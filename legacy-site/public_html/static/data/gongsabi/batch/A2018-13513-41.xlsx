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1" i="4" l="1"/>
  <c r="E136" i="4"/>
  <c r="E129" i="4"/>
  <c r="E123" i="4"/>
  <c r="E115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0" i="4"/>
  <c r="E47" i="4"/>
  <c r="E37" i="4"/>
  <c r="E30" i="4"/>
  <c r="D160" i="4" l="1"/>
  <c r="E160" i="4" s="1"/>
  <c r="D159" i="4"/>
  <c r="E159" i="4" s="1"/>
  <c r="D158" i="4"/>
  <c r="E158" i="4" s="1"/>
  <c r="D157" i="4"/>
  <c r="D153" i="4"/>
  <c r="E153" i="4" s="1"/>
  <c r="D152" i="4"/>
  <c r="E152" i="4" s="1"/>
  <c r="D150" i="4"/>
  <c r="E150" i="4" s="1"/>
  <c r="D149" i="4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4" i="4"/>
  <c r="E84" i="4" s="1"/>
  <c r="D75" i="4"/>
  <c r="E75" i="4" s="1"/>
  <c r="D73" i="4"/>
  <c r="E73" i="4" s="1"/>
  <c r="D72" i="4"/>
  <c r="E72" i="4" s="1"/>
  <c r="D71" i="4"/>
  <c r="E71" i="4" s="1"/>
  <c r="D70" i="4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1" i="4"/>
  <c r="E51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D41" i="4"/>
  <c r="E41" i="4" s="1"/>
  <c r="D40" i="4"/>
  <c r="E40" i="4" s="1"/>
  <c r="D24" i="4"/>
  <c r="D7" i="4"/>
  <c r="E24" i="4" l="1"/>
  <c r="D66" i="4"/>
  <c r="D26" i="4" s="1"/>
  <c r="E26" i="4" s="1"/>
  <c r="D154" i="4"/>
  <c r="D31" i="4" s="1"/>
  <c r="E31" i="4" s="1"/>
  <c r="E149" i="4"/>
  <c r="E154" i="4" s="1"/>
  <c r="D161" i="4"/>
  <c r="D32" i="4" s="1"/>
  <c r="E32" i="4" s="1"/>
  <c r="E157" i="4"/>
  <c r="E161" i="4" s="1"/>
  <c r="D119" i="4"/>
  <c r="D28" i="4" s="1"/>
  <c r="E28" i="4" s="1"/>
  <c r="E98" i="4"/>
  <c r="E119" i="4" s="1"/>
  <c r="D133" i="4"/>
  <c r="D29" i="4" s="1"/>
  <c r="E29" i="4" s="1"/>
  <c r="E122" i="4"/>
  <c r="E133" i="4" s="1"/>
  <c r="E95" i="4"/>
  <c r="D95" i="4"/>
  <c r="D27" i="4" s="1"/>
  <c r="E27" i="4" s="1"/>
  <c r="E70" i="4"/>
  <c r="D60" i="4"/>
  <c r="D25" i="4" s="1"/>
  <c r="E25" i="4" s="1"/>
  <c r="E42" i="4"/>
  <c r="E60" i="4" s="1"/>
  <c r="D146" i="4"/>
  <c r="E137" i="4"/>
  <c r="E14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/>
  <c r="E34" i="4"/>
</calcChain>
</file>

<file path=xl/sharedStrings.xml><?xml version="1.0" encoding="utf-8"?>
<sst xmlns="http://schemas.openxmlformats.org/spreadsheetml/2006/main" count="390" uniqueCount="263">
  <si>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</si>
  <si>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</si>
  <si>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</si>
  <si>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</si>
  <si>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</si>
  <si>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</si>
  <si>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</si>
  <si>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</si>
  <si>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</si>
  <si>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</si>
  <si>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</si>
  <si>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</si>
  <si>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</si>
  <si>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</si>
  <si>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</si>
  <si>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</si>
  <si>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</si>
  <si>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</si>
  <si>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</si>
  <si>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</si>
  <si>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</si>
  <si>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</si>
  <si>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</si>
  <si>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</si>
  <si>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</si>
  <si>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</si>
  <si>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</si>
  <si>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</si>
  <si>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</si>
  <si>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</si>
  <si>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</si>
  <si>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</si>
  <si>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</si>
  <si>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</si>
  <si>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</si>
  <si>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</si>
  <si>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</si>
  <si>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</si>
  <si>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</si>
  <si>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</si>
  <si>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</si>
  <si>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</si>
  <si>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</si>
  <si>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</si>
  <si>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</si>
  <si>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</si>
  <si>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</si>
  <si>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</si>
  <si>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</si>
  <si>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</si>
  <si>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</si>
  <si>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</si>
  <si>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</si>
  <si>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</si>
  <si>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</si>
  <si>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</si>
  <si>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</si>
  <si>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</si>
  <si>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</si>
  <si>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</si>
  <si>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</si>
  <si>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</si>
  <si>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</si>
  <si>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</si>
  <si>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</si>
  <si>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</si>
  <si>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</si>
  <si>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</si>
  <si>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</si>
  <si>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</si>
  <si>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</si>
  <si>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</si>
  <si>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</si>
  <si>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</si>
  <si>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</si>
  <si>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</si>
  <si>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</si>
  <si>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</si>
  <si>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</si>
  <si>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</si>
  <si>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</si>
  <si>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</si>
  <si>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</si>
  <si>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</si>
  <si>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</si>
  <si>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</si>
  <si>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</si>
  <si>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</si>
  <si>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</si>
  <si>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</si>
  <si>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</si>
  <si>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</si>
  <si>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</si>
  <si>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</si>
  <si>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</si>
  <si>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</si>
  <si>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</si>
  <si>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</si>
  <si>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</si>
  <si>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</si>
  <si>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</si>
  <si>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</si>
  <si>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</si>
  <si>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</si>
  <si>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</si>
  <si>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</si>
  <si>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</si>
  <si>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</si>
  <si>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</si>
  <si>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</si>
  <si>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</si>
  <si>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</si>
  <si>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</si>
  <si>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</si>
  <si>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</si>
  <si>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</si>
  <si>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</si>
  <si>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</si>
  <si>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</si>
  <si>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</si>
  <si>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</si>
  <si>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</si>
  <si>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</si>
  <si>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</si>
  <si>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</si>
  <si>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</si>
  <si>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</si>
  <si>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</si>
  <si>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</si>
  <si>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</si>
  <si>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</si>
  <si>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</si>
  <si>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</si>
  <si>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</si>
  <si>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</si>
  <si>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</si>
  <si>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</si>
  <si>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</si>
  <si>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</si>
  <si>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</si>
  <si>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</si>
  <si>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</si>
  <si>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</si>
  <si>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</si>
  <si>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</si>
  <si>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</si>
  <si>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</si>
  <si>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</si>
  <si>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</si>
  <si>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</si>
  <si>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</si>
  <si>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</si>
  <si>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</si>
  <si>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</si>
  <si>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</si>
  <si>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</si>
  <si>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</si>
  <si>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</si>
  <si>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</si>
  <si>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</si>
  <si>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</si>
  <si>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</si>
  <si>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</si>
  <si>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</si>
  <si>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</si>
  <si>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</si>
  <si>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</si>
  <si>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</si>
  <si>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</si>
  <si>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</si>
  <si>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</si>
  <si>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</si>
  <si>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</si>
  <si>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</si>
  <si>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</si>
  <si>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</si>
  <si>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</si>
  <si>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</si>
  <si>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</si>
  <si>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</si>
  <si>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</si>
  <si>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</si>
  <si>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</si>
  <si>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</si>
  <si>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</si>
  <si>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</si>
  <si>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</si>
  <si>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</si>
  <si>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</si>
  <si>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</si>
  <si>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</si>
  <si>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</si>
  <si>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</si>
  <si>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</si>
  <si>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</si>
  <si>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</si>
  <si>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</si>
  <si>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</si>
  <si>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</si>
  <si>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</si>
  <si>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</si>
  <si>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</si>
  <si>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</si>
  <si>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</si>
  <si>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</si>
  <si>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</si>
  <si>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</si>
  <si>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</si>
  <si>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</si>
  <si>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</si>
  <si>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</si>
  <si>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</si>
  <si>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</si>
  <si>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</si>
  <si>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</si>
  <si>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</si>
  <si>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</si>
  <si>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</si>
  <si>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</si>
  <si>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</si>
  <si>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</si>
  <si>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</si>
  <si>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</si>
  <si>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</si>
  <si>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</si>
  <si>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</si>
  <si>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</si>
  <si>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</si>
  <si>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</si>
  <si>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</si>
  <si>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</si>
  <si>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</si>
  <si>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</si>
  <si>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</si>
  <si>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</si>
  <si>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</si>
  <si>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</si>
  <si>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</si>
  <si>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</si>
  <si>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</si>
  <si>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</si>
  <si>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</si>
  <si>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</si>
  <si>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</si>
  <si>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</si>
  <si>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</si>
  <si>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</si>
  <si>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국민연금공단 지방이전 제2사옥 신축사업 건축공사</t>
    <phoneticPr fontId="2" type="noConversion"/>
  </si>
  <si>
    <t>전라도</t>
  </si>
  <si>
    <t>평</t>
    <phoneticPr fontId="2" type="noConversion"/>
  </si>
  <si>
    <t>원/ m2</t>
    <phoneticPr fontId="2" type="noConversion"/>
  </si>
  <si>
    <t>기초공사,골재비및운반비,작업부산물</t>
    <phoneticPr fontId="2" type="noConversion"/>
  </si>
  <si>
    <t>공조배관공사,우수처리시설공사,바닥난방공사,기타공사</t>
    <phoneticPr fontId="2" type="noConversion"/>
  </si>
  <si>
    <t xml:space="preserve">원격검침 설비공사 </t>
    <phoneticPr fontId="2" type="noConversion"/>
  </si>
  <si>
    <t>CCTV설비공사,주차관제설비공사</t>
    <phoneticPr fontId="2" type="noConversion"/>
  </si>
  <si>
    <t>옥외소화배관공사,펌프실배관공사, 제연덕트,기타공사</t>
    <phoneticPr fontId="2" type="noConversion"/>
  </si>
  <si>
    <t>토목 상수도공사, 토목 기타공사</t>
    <phoneticPr fontId="2" type="noConversion"/>
  </si>
  <si>
    <t>포장공사.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</si>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</sst>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3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7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7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7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7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210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56">
        <v>20389.68</v>
      </c>
      <c r="D7" s="36">
        <f>+C7/3.3058</f>
        <v>6167.8504446729985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235</v>
      </c>
    </row>
    <row r="24" spans="1:5" x14ac:dyDescent="0.3">
      <c r="B24" s="2">
        <v>1</v>
      </c>
      <c r="C24" s="35" t="s">
        <v>110</v>
      </c>
      <c r="D24" s="40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4">
        <f>+D60</f>
        <v>794120</v>
      </c>
      <c r="E25" s="59">
        <f t="shared" si="0"/>
        <v>2625200</v>
      </c>
    </row>
    <row r="26" spans="1:5" x14ac:dyDescent="0.3">
      <c r="B26" s="2">
        <v>3</v>
      </c>
      <c r="C26" s="35" t="s">
        <v>95</v>
      </c>
      <c r="D26" s="44">
        <f>+D66</f>
        <v>18330</v>
      </c>
      <c r="E26" s="59">
        <f t="shared" si="0"/>
        <v>60590</v>
      </c>
    </row>
    <row r="27" spans="1:5" x14ac:dyDescent="0.3">
      <c r="B27" s="2">
        <v>4</v>
      </c>
      <c r="C27" s="35" t="s">
        <v>96</v>
      </c>
      <c r="D27" s="44">
        <f>D95</f>
        <v>402490</v>
      </c>
      <c r="E27" s="59">
        <f t="shared" si="0"/>
        <v>1330550</v>
      </c>
    </row>
    <row r="28" spans="1:5" x14ac:dyDescent="0.3">
      <c r="B28" s="2">
        <v>5</v>
      </c>
      <c r="C28" s="35" t="s">
        <v>97</v>
      </c>
      <c r="D28" s="44">
        <f>D119</f>
        <v>201610</v>
      </c>
      <c r="E28" s="59">
        <f t="shared" si="0"/>
        <v>666480</v>
      </c>
    </row>
    <row r="29" spans="1:5" x14ac:dyDescent="0.3">
      <c r="B29" s="2">
        <v>6</v>
      </c>
      <c r="C29" s="35" t="s">
        <v>98</v>
      </c>
      <c r="D29" s="44">
        <f>D133</f>
        <v>102190</v>
      </c>
      <c r="E29" s="59">
        <f t="shared" si="0"/>
        <v>337810</v>
      </c>
    </row>
    <row r="30" spans="1:5" x14ac:dyDescent="0.3">
      <c r="B30" s="2">
        <v>7</v>
      </c>
      <c r="C30" s="35" t="s">
        <v>99</v>
      </c>
      <c r="D30" s="44">
        <v>71940</v>
      </c>
      <c r="E30" s="59">
        <f t="shared" si="0"/>
        <v>237810</v>
      </c>
    </row>
    <row r="31" spans="1:5" x14ac:dyDescent="0.3">
      <c r="B31" s="2">
        <v>8</v>
      </c>
      <c r="C31" s="35" t="s">
        <v>100</v>
      </c>
      <c r="D31" s="44">
        <f>D154</f>
        <v>48760</v>
      </c>
      <c r="E31" s="59">
        <f t="shared" si="0"/>
        <v>161190</v>
      </c>
    </row>
    <row r="32" spans="1:5" x14ac:dyDescent="0.3">
      <c r="B32" s="2">
        <v>9</v>
      </c>
      <c r="C32" s="35" t="s">
        <v>101</v>
      </c>
      <c r="D32" s="44">
        <f>+D161</f>
        <v>64150</v>
      </c>
      <c r="E32" s="59">
        <f t="shared" si="0"/>
        <v>212060</v>
      </c>
    </row>
    <row r="33" spans="1:7" x14ac:dyDescent="0.3">
      <c r="B33" s="2">
        <v>10</v>
      </c>
      <c r="C33" s="35" t="s">
        <v>153</v>
      </c>
      <c r="D33" s="52">
        <f>TRUNC(SUM(D24:D32)*0.275,-1)</f>
        <v>468480</v>
      </c>
      <c r="E33" s="60">
        <f t="shared" si="0"/>
        <v>1548700</v>
      </c>
    </row>
    <row r="34" spans="1:7" x14ac:dyDescent="0.3">
      <c r="C34" s="35" t="s">
        <v>112</v>
      </c>
      <c r="D34" s="43">
        <f>SUM(D24:D33)</f>
        <v>2172070</v>
      </c>
      <c r="E34" s="43">
        <f>SUM(E24:E33)</f>
        <v>7180390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236</v>
      </c>
      <c r="D36" s="55" t="s">
        <v>234</v>
      </c>
      <c r="E36" s="55" t="s">
        <v>235</v>
      </c>
      <c r="F36" s="53"/>
      <c r="G36" s="53"/>
    </row>
    <row r="37" spans="1:7" ht="17.25" thickBot="1" x14ac:dyDescent="0.35">
      <c r="C37" s="37" t="s">
        <v>143</v>
      </c>
      <c r="D37" s="51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7" t="s">
        <v>15</v>
      </c>
      <c r="D40" s="39">
        <f>TRUNC(41106,-1)</f>
        <v>41100</v>
      </c>
      <c r="E40" s="62">
        <f t="shared" ref="E40:E59" si="1">TRUNC(+D40*3.3058,-1)</f>
        <v>135860</v>
      </c>
    </row>
    <row r="41" spans="1:7" x14ac:dyDescent="0.3">
      <c r="A41" s="2">
        <v>2</v>
      </c>
      <c r="C41" s="37" t="s">
        <v>13</v>
      </c>
      <c r="D41" s="41">
        <f>TRUNC(99854,-1)</f>
        <v>99850</v>
      </c>
      <c r="E41" s="63">
        <f t="shared" si="1"/>
        <v>330080</v>
      </c>
    </row>
    <row r="42" spans="1:7" x14ac:dyDescent="0.3">
      <c r="A42" s="2">
        <v>3</v>
      </c>
      <c r="C42" s="37" t="s">
        <v>14</v>
      </c>
      <c r="D42" s="41">
        <f>TRUNC(50397,-1)</f>
        <v>50390</v>
      </c>
      <c r="E42" s="63">
        <f t="shared" si="1"/>
        <v>166570</v>
      </c>
    </row>
    <row r="43" spans="1:7" x14ac:dyDescent="0.3">
      <c r="A43" s="2">
        <v>4</v>
      </c>
      <c r="C43" s="37" t="s">
        <v>16</v>
      </c>
      <c r="D43" s="41">
        <f>TRUNC(19132,-1)</f>
        <v>19130</v>
      </c>
      <c r="E43" s="63">
        <f t="shared" si="1"/>
        <v>63230</v>
      </c>
    </row>
    <row r="44" spans="1:7" x14ac:dyDescent="0.3">
      <c r="A44" s="2">
        <v>5</v>
      </c>
      <c r="C44" s="37" t="s">
        <v>17</v>
      </c>
      <c r="D44" s="41">
        <f>TRUNC(18598,-1)</f>
        <v>18590</v>
      </c>
      <c r="E44" s="63">
        <f t="shared" si="1"/>
        <v>61450</v>
      </c>
    </row>
    <row r="45" spans="1:7" x14ac:dyDescent="0.3">
      <c r="A45" s="2">
        <v>6</v>
      </c>
      <c r="C45" s="37" t="s">
        <v>18</v>
      </c>
      <c r="D45" s="41">
        <f>TRUNC(2910,-1)</f>
        <v>2910</v>
      </c>
      <c r="E45" s="63">
        <f t="shared" si="1"/>
        <v>9610</v>
      </c>
    </row>
    <row r="46" spans="1:7" x14ac:dyDescent="0.3">
      <c r="A46" s="2">
        <v>7</v>
      </c>
      <c r="C46" s="37" t="s">
        <v>19</v>
      </c>
      <c r="D46" s="41">
        <f>TRUNC(9826,-1)</f>
        <v>9820</v>
      </c>
      <c r="E46" s="63">
        <f t="shared" si="1"/>
        <v>32460</v>
      </c>
    </row>
    <row r="47" spans="1:7" x14ac:dyDescent="0.3">
      <c r="A47" s="2">
        <v>8</v>
      </c>
      <c r="C47" s="37" t="s">
        <v>20</v>
      </c>
      <c r="D47" s="41">
        <v>0</v>
      </c>
      <c r="E47" s="63">
        <f t="shared" si="1"/>
        <v>0</v>
      </c>
    </row>
    <row r="48" spans="1:7" x14ac:dyDescent="0.3">
      <c r="A48" s="2">
        <v>9</v>
      </c>
      <c r="C48" s="37" t="s">
        <v>21</v>
      </c>
      <c r="D48" s="41">
        <f>TRUNC(30352,-1)</f>
        <v>30350</v>
      </c>
      <c r="E48" s="63">
        <f t="shared" si="1"/>
        <v>100330</v>
      </c>
    </row>
    <row r="49" spans="1:7" x14ac:dyDescent="0.3">
      <c r="A49" s="2">
        <v>10</v>
      </c>
      <c r="C49" s="37" t="s">
        <v>22</v>
      </c>
      <c r="D49" s="41">
        <f>TRUNC(7890,-1)</f>
        <v>7890</v>
      </c>
      <c r="E49" s="63">
        <f t="shared" si="1"/>
        <v>26080</v>
      </c>
    </row>
    <row r="50" spans="1:7" x14ac:dyDescent="0.3">
      <c r="A50" s="2">
        <v>11</v>
      </c>
      <c r="C50" s="37" t="s">
        <v>154</v>
      </c>
      <c r="D50" s="41"/>
      <c r="E50" s="63">
        <f t="shared" si="1"/>
        <v>0</v>
      </c>
    </row>
    <row r="51" spans="1:7" x14ac:dyDescent="0.3">
      <c r="A51" s="2">
        <v>12</v>
      </c>
      <c r="C51" s="37" t="s">
        <v>23</v>
      </c>
      <c r="D51" s="41">
        <f>TRUNC(52879,-1)</f>
        <v>52870</v>
      </c>
      <c r="E51" s="63">
        <f t="shared" si="1"/>
        <v>174770</v>
      </c>
    </row>
    <row r="52" spans="1:7" x14ac:dyDescent="0.3">
      <c r="A52" s="2">
        <v>13</v>
      </c>
      <c r="C52" s="37" t="s">
        <v>24</v>
      </c>
      <c r="D52" s="41">
        <f>TRUNC(8323,-1)</f>
        <v>8320</v>
      </c>
      <c r="E52" s="63">
        <f t="shared" si="1"/>
        <v>27500</v>
      </c>
    </row>
    <row r="53" spans="1:7" x14ac:dyDescent="0.3">
      <c r="A53" s="2">
        <v>14</v>
      </c>
      <c r="C53" s="37" t="s">
        <v>25</v>
      </c>
      <c r="D53" s="41">
        <f>TRUNC(117067,-1)</f>
        <v>117060</v>
      </c>
      <c r="E53" s="63">
        <f t="shared" si="1"/>
        <v>386970</v>
      </c>
    </row>
    <row r="54" spans="1:7" x14ac:dyDescent="0.3">
      <c r="A54" s="2">
        <v>15</v>
      </c>
      <c r="C54" s="37" t="s">
        <v>147</v>
      </c>
      <c r="D54" s="41">
        <v>0</v>
      </c>
      <c r="E54" s="63">
        <f t="shared" si="1"/>
        <v>0</v>
      </c>
    </row>
    <row r="55" spans="1:7" x14ac:dyDescent="0.3">
      <c r="A55" s="2">
        <v>16</v>
      </c>
      <c r="C55" s="37" t="s">
        <v>144</v>
      </c>
      <c r="D55" s="41">
        <v>0</v>
      </c>
      <c r="E55" s="63">
        <f t="shared" si="1"/>
        <v>0</v>
      </c>
    </row>
    <row r="56" spans="1:7" x14ac:dyDescent="0.3">
      <c r="A56" s="2">
        <v>17</v>
      </c>
      <c r="C56" s="37" t="s">
        <v>145</v>
      </c>
      <c r="D56" s="41">
        <v>0</v>
      </c>
      <c r="E56" s="63">
        <f t="shared" si="1"/>
        <v>0</v>
      </c>
    </row>
    <row r="57" spans="1:7" x14ac:dyDescent="0.3">
      <c r="A57" s="2">
        <v>18</v>
      </c>
      <c r="C57" s="37" t="s">
        <v>146</v>
      </c>
      <c r="D57" s="41">
        <v>0</v>
      </c>
      <c r="E57" s="63">
        <f t="shared" si="1"/>
        <v>0</v>
      </c>
    </row>
    <row r="58" spans="1:7" x14ac:dyDescent="0.3">
      <c r="A58" s="2">
        <v>19</v>
      </c>
      <c r="C58" s="37" t="s">
        <v>26</v>
      </c>
      <c r="D58" s="41">
        <f>TRUNC(13219+3305-786+30202,-1)</f>
        <v>45940</v>
      </c>
      <c r="E58" s="63">
        <f t="shared" si="1"/>
        <v>151860</v>
      </c>
      <c r="F58" s="2" t="s">
        <v>251</v>
      </c>
    </row>
    <row r="59" spans="1:7" ht="17.25" thickBot="1" x14ac:dyDescent="0.35">
      <c r="A59" s="2">
        <v>20</v>
      </c>
      <c r="C59" s="37" t="s">
        <v>148</v>
      </c>
      <c r="D59" s="42">
        <f>TRUNC(289907,-1)</f>
        <v>289900</v>
      </c>
      <c r="E59" s="64">
        <f t="shared" si="1"/>
        <v>958350</v>
      </c>
    </row>
    <row r="60" spans="1:7" x14ac:dyDescent="0.3">
      <c r="A60" s="2">
        <v>21</v>
      </c>
      <c r="C60" s="27" t="s">
        <v>112</v>
      </c>
      <c r="D60" s="38">
        <f>SUM(D40:D59)</f>
        <v>794120</v>
      </c>
      <c r="E60" s="38">
        <f>SUM(E40:E59)</f>
        <v>2625120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237</v>
      </c>
      <c r="C62" s="54" t="s">
        <v>238</v>
      </c>
      <c r="D62" s="55" t="s">
        <v>234</v>
      </c>
      <c r="E62" s="55" t="s">
        <v>235</v>
      </c>
      <c r="F62" s="53"/>
      <c r="G62" s="53"/>
    </row>
    <row r="63" spans="1:7" x14ac:dyDescent="0.3">
      <c r="A63" s="2">
        <v>1</v>
      </c>
      <c r="C63" s="37" t="s">
        <v>27</v>
      </c>
      <c r="D63" s="39">
        <f>TRUNC(18335,-1)</f>
        <v>18330</v>
      </c>
      <c r="E63" s="62">
        <f>TRUNC(+D63*3.3058,-1)</f>
        <v>60590</v>
      </c>
    </row>
    <row r="64" spans="1:7" x14ac:dyDescent="0.3">
      <c r="A64" s="2">
        <v>2</v>
      </c>
      <c r="C64" s="37" t="s">
        <v>29</v>
      </c>
      <c r="D64" s="41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7" t="s">
        <v>28</v>
      </c>
      <c r="D65" s="42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18330</v>
      </c>
      <c r="E66" s="57">
        <f>SUM(E63:E65)</f>
        <v>60590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239</v>
      </c>
      <c r="C68" s="54" t="s">
        <v>240</v>
      </c>
      <c r="D68" s="55" t="s">
        <v>234</v>
      </c>
      <c r="E68" s="55" t="s">
        <v>235</v>
      </c>
      <c r="F68" s="53"/>
      <c r="G68" s="53"/>
    </row>
    <row r="69" spans="1:7" x14ac:dyDescent="0.3">
      <c r="A69" s="2">
        <v>1</v>
      </c>
      <c r="C69" s="37" t="s">
        <v>30</v>
      </c>
      <c r="D69" s="39">
        <f>TRUNC(11465,-1)</f>
        <v>11460</v>
      </c>
      <c r="E69" s="62">
        <f t="shared" ref="E69:E94" si="2">TRUNC(+D69*3.3058,-1)</f>
        <v>37880</v>
      </c>
    </row>
    <row r="70" spans="1:7" ht="16.5" customHeight="1" x14ac:dyDescent="0.3">
      <c r="A70" s="2">
        <v>2</v>
      </c>
      <c r="C70" s="37" t="s">
        <v>31</v>
      </c>
      <c r="D70" s="41">
        <f>TRUNC(353,-1)</f>
        <v>350</v>
      </c>
      <c r="E70" s="63">
        <f t="shared" si="2"/>
        <v>1150</v>
      </c>
    </row>
    <row r="71" spans="1:7" x14ac:dyDescent="0.3">
      <c r="A71" s="2">
        <v>3</v>
      </c>
      <c r="C71" s="37" t="s">
        <v>32</v>
      </c>
      <c r="D71" s="41">
        <f>TRUNC(17412,-1)</f>
        <v>17410</v>
      </c>
      <c r="E71" s="63">
        <f t="shared" si="2"/>
        <v>57550</v>
      </c>
    </row>
    <row r="72" spans="1:7" x14ac:dyDescent="0.3">
      <c r="A72" s="2">
        <v>4</v>
      </c>
      <c r="C72" s="37" t="s">
        <v>33</v>
      </c>
      <c r="D72" s="41">
        <f>TRUNC(3395,-1)</f>
        <v>3390</v>
      </c>
      <c r="E72" s="63">
        <f t="shared" si="2"/>
        <v>11200</v>
      </c>
    </row>
    <row r="73" spans="1:7" x14ac:dyDescent="0.3">
      <c r="A73" s="2">
        <v>5</v>
      </c>
      <c r="C73" s="37" t="s">
        <v>34</v>
      </c>
      <c r="D73" s="41">
        <f>TRUNC(5875,-1)</f>
        <v>5870</v>
      </c>
      <c r="E73" s="63">
        <f t="shared" si="2"/>
        <v>19400</v>
      </c>
    </row>
    <row r="74" spans="1:7" x14ac:dyDescent="0.3">
      <c r="A74" s="2">
        <v>6</v>
      </c>
      <c r="C74" s="37" t="s">
        <v>175</v>
      </c>
      <c r="D74" s="41">
        <v>0</v>
      </c>
      <c r="E74" s="63">
        <f t="shared" si="2"/>
        <v>0</v>
      </c>
    </row>
    <row r="75" spans="1:7" x14ac:dyDescent="0.3">
      <c r="A75" s="2">
        <v>7</v>
      </c>
      <c r="C75" s="37" t="s">
        <v>140</v>
      </c>
      <c r="D75" s="41">
        <f>TRUNC(7048,-1)</f>
        <v>7040</v>
      </c>
      <c r="E75" s="63">
        <f t="shared" si="2"/>
        <v>23270</v>
      </c>
    </row>
    <row r="76" spans="1:7" x14ac:dyDescent="0.3">
      <c r="A76" s="2">
        <v>8</v>
      </c>
      <c r="C76" s="37" t="s">
        <v>119</v>
      </c>
      <c r="D76" s="41">
        <v>0</v>
      </c>
      <c r="E76" s="63">
        <f t="shared" si="2"/>
        <v>0</v>
      </c>
    </row>
    <row r="77" spans="1:7" x14ac:dyDescent="0.3">
      <c r="A77" s="2">
        <v>9</v>
      </c>
      <c r="C77" s="37" t="s">
        <v>152</v>
      </c>
      <c r="D77" s="41">
        <v>0</v>
      </c>
      <c r="E77" s="63">
        <f t="shared" si="2"/>
        <v>0</v>
      </c>
    </row>
    <row r="78" spans="1:7" x14ac:dyDescent="0.3">
      <c r="A78" s="2">
        <v>10</v>
      </c>
      <c r="C78" s="37" t="s">
        <v>137</v>
      </c>
      <c r="D78" s="41">
        <v>0</v>
      </c>
      <c r="E78" s="63">
        <f t="shared" si="2"/>
        <v>0</v>
      </c>
    </row>
    <row r="79" spans="1:7" x14ac:dyDescent="0.3">
      <c r="A79" s="2">
        <v>11</v>
      </c>
      <c r="C79" s="37" t="s">
        <v>133</v>
      </c>
      <c r="D79" s="41">
        <v>0</v>
      </c>
      <c r="E79" s="63">
        <f t="shared" si="2"/>
        <v>0</v>
      </c>
    </row>
    <row r="80" spans="1:7" x14ac:dyDescent="0.3">
      <c r="A80" s="2">
        <v>12</v>
      </c>
      <c r="C80" s="37" t="s">
        <v>128</v>
      </c>
      <c r="D80" s="41">
        <v>0</v>
      </c>
      <c r="E80" s="63">
        <f t="shared" si="2"/>
        <v>0</v>
      </c>
    </row>
    <row r="81" spans="1:7" x14ac:dyDescent="0.3">
      <c r="A81" s="2">
        <v>13</v>
      </c>
      <c r="C81" s="37" t="s">
        <v>121</v>
      </c>
      <c r="D81" s="41">
        <v>0</v>
      </c>
      <c r="E81" s="63">
        <f t="shared" si="2"/>
        <v>0</v>
      </c>
    </row>
    <row r="82" spans="1:7" x14ac:dyDescent="0.3">
      <c r="A82" s="2">
        <v>14</v>
      </c>
      <c r="C82" s="37" t="s">
        <v>134</v>
      </c>
      <c r="D82" s="41">
        <v>0</v>
      </c>
      <c r="E82" s="63">
        <f t="shared" si="2"/>
        <v>0</v>
      </c>
    </row>
    <row r="83" spans="1:7" x14ac:dyDescent="0.3">
      <c r="A83" s="2">
        <v>15</v>
      </c>
      <c r="C83" s="37" t="s">
        <v>136</v>
      </c>
      <c r="D83" s="41">
        <v>0</v>
      </c>
      <c r="E83" s="63">
        <f t="shared" si="2"/>
        <v>0</v>
      </c>
    </row>
    <row r="84" spans="1:7" x14ac:dyDescent="0.3">
      <c r="A84" s="2">
        <v>16</v>
      </c>
      <c r="C84" s="37" t="s">
        <v>122</v>
      </c>
      <c r="D84" s="41">
        <f>TRUNC(692,-1)</f>
        <v>690</v>
      </c>
      <c r="E84" s="63">
        <f t="shared" si="2"/>
        <v>2280</v>
      </c>
    </row>
    <row r="85" spans="1:7" x14ac:dyDescent="0.3">
      <c r="A85" s="2">
        <v>17</v>
      </c>
      <c r="C85" s="37" t="s">
        <v>123</v>
      </c>
      <c r="D85" s="41">
        <v>0</v>
      </c>
      <c r="E85" s="63">
        <f t="shared" si="2"/>
        <v>0</v>
      </c>
    </row>
    <row r="86" spans="1:7" x14ac:dyDescent="0.3">
      <c r="A86" s="2">
        <v>18</v>
      </c>
      <c r="C86" s="37" t="s">
        <v>141</v>
      </c>
      <c r="D86" s="41">
        <v>0</v>
      </c>
      <c r="E86" s="63">
        <f t="shared" si="2"/>
        <v>0</v>
      </c>
    </row>
    <row r="87" spans="1:7" x14ac:dyDescent="0.3">
      <c r="A87" s="2">
        <v>19</v>
      </c>
      <c r="C87" s="37" t="s">
        <v>139</v>
      </c>
      <c r="D87" s="41">
        <v>0</v>
      </c>
      <c r="E87" s="63">
        <f t="shared" si="2"/>
        <v>0</v>
      </c>
    </row>
    <row r="88" spans="1:7" x14ac:dyDescent="0.3">
      <c r="A88" s="2">
        <v>20</v>
      </c>
      <c r="C88" s="37" t="s">
        <v>142</v>
      </c>
      <c r="D88" s="41">
        <v>0</v>
      </c>
      <c r="E88" s="63">
        <f t="shared" si="2"/>
        <v>0</v>
      </c>
    </row>
    <row r="89" spans="1:7" x14ac:dyDescent="0.3">
      <c r="A89" s="2">
        <v>21</v>
      </c>
      <c r="C89" s="37" t="s">
        <v>35</v>
      </c>
      <c r="D89" s="41">
        <f>TRUNC(12537,-1)</f>
        <v>12530</v>
      </c>
      <c r="E89" s="63">
        <f t="shared" si="2"/>
        <v>41420</v>
      </c>
    </row>
    <row r="90" spans="1:7" x14ac:dyDescent="0.3">
      <c r="A90" s="2">
        <v>22</v>
      </c>
      <c r="C90" s="37" t="s">
        <v>36</v>
      </c>
      <c r="D90" s="41">
        <f>TRUNC(1671,-1)</f>
        <v>1670</v>
      </c>
      <c r="E90" s="63">
        <f t="shared" si="2"/>
        <v>5520</v>
      </c>
    </row>
    <row r="91" spans="1:7" x14ac:dyDescent="0.3">
      <c r="A91" s="2">
        <v>23</v>
      </c>
      <c r="C91" s="37" t="s">
        <v>37</v>
      </c>
      <c r="D91" s="41">
        <f>TRUNC(46107,-1)</f>
        <v>46100</v>
      </c>
      <c r="E91" s="63">
        <f t="shared" si="2"/>
        <v>152390</v>
      </c>
    </row>
    <row r="92" spans="1:7" x14ac:dyDescent="0.3">
      <c r="A92" s="2">
        <v>24</v>
      </c>
      <c r="C92" s="37" t="s">
        <v>38</v>
      </c>
      <c r="D92" s="41">
        <f>TRUNC(4012,-1)</f>
        <v>4010</v>
      </c>
      <c r="E92" s="63">
        <f t="shared" si="2"/>
        <v>13250</v>
      </c>
    </row>
    <row r="93" spans="1:7" x14ac:dyDescent="0.3">
      <c r="A93" s="2">
        <v>25</v>
      </c>
      <c r="C93" s="37" t="s">
        <v>148</v>
      </c>
      <c r="D93" s="41">
        <f>TRUNC(265477,-1)</f>
        <v>265470</v>
      </c>
      <c r="E93" s="63">
        <f t="shared" si="2"/>
        <v>877590</v>
      </c>
    </row>
    <row r="94" spans="1:7" ht="17.25" thickBot="1" x14ac:dyDescent="0.35">
      <c r="A94" s="2">
        <v>26</v>
      </c>
      <c r="C94" s="37" t="s">
        <v>47</v>
      </c>
      <c r="D94" s="42">
        <f>TRUNC(16178+3056+380+6895,-1)</f>
        <v>26500</v>
      </c>
      <c r="E94" s="64">
        <f t="shared" si="2"/>
        <v>87600</v>
      </c>
      <c r="F94" s="2" t="s">
        <v>252</v>
      </c>
    </row>
    <row r="95" spans="1:7" x14ac:dyDescent="0.3">
      <c r="A95" s="2">
        <v>27</v>
      </c>
      <c r="C95" s="27" t="s">
        <v>112</v>
      </c>
      <c r="D95" s="38">
        <f>SUM(D69:D94)</f>
        <v>402490</v>
      </c>
      <c r="E95" s="38">
        <f>SUM(E69:E94)</f>
        <v>1330500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241</v>
      </c>
      <c r="C97" s="54" t="s">
        <v>240</v>
      </c>
      <c r="D97" s="55" t="s">
        <v>234</v>
      </c>
      <c r="E97" s="55" t="s">
        <v>235</v>
      </c>
      <c r="F97" s="53"/>
      <c r="G97" s="53"/>
    </row>
    <row r="98" spans="1:7" x14ac:dyDescent="0.3">
      <c r="A98" s="2">
        <v>1</v>
      </c>
      <c r="C98" s="37" t="s">
        <v>39</v>
      </c>
      <c r="D98" s="39">
        <f>TRUNC(15417,-1)</f>
        <v>15410</v>
      </c>
      <c r="E98" s="62">
        <f t="shared" ref="E98:E118" si="3">TRUNC(+D98*3.3058,-1)</f>
        <v>50940</v>
      </c>
    </row>
    <row r="99" spans="1:7" x14ac:dyDescent="0.3">
      <c r="A99" s="2">
        <v>2</v>
      </c>
      <c r="C99" s="37" t="s">
        <v>40</v>
      </c>
      <c r="D99" s="41">
        <f>TRUNC(10257,-1)</f>
        <v>10250</v>
      </c>
      <c r="E99" s="63">
        <f t="shared" si="3"/>
        <v>33880</v>
      </c>
    </row>
    <row r="100" spans="1:7" x14ac:dyDescent="0.3">
      <c r="A100" s="2">
        <v>3</v>
      </c>
      <c r="C100" s="37" t="s">
        <v>41</v>
      </c>
      <c r="D100" s="41">
        <f>TRUNC(36445,-1)</f>
        <v>36440</v>
      </c>
      <c r="E100" s="63">
        <f t="shared" si="3"/>
        <v>120460</v>
      </c>
    </row>
    <row r="101" spans="1:7" x14ac:dyDescent="0.3">
      <c r="A101" s="2">
        <v>4</v>
      </c>
      <c r="C101" s="37" t="s">
        <v>42</v>
      </c>
      <c r="D101" s="41">
        <f>TRUNC(2743,-1)</f>
        <v>2740</v>
      </c>
      <c r="E101" s="63">
        <f t="shared" si="3"/>
        <v>9050</v>
      </c>
    </row>
    <row r="102" spans="1:7" x14ac:dyDescent="0.3">
      <c r="A102" s="2">
        <v>5</v>
      </c>
      <c r="C102" s="37" t="s">
        <v>43</v>
      </c>
      <c r="D102" s="41">
        <f>TRUNC(18070,-1)</f>
        <v>18070</v>
      </c>
      <c r="E102" s="63">
        <f t="shared" si="3"/>
        <v>59730</v>
      </c>
    </row>
    <row r="103" spans="1:7" x14ac:dyDescent="0.3">
      <c r="A103" s="2">
        <v>6</v>
      </c>
      <c r="C103" s="37" t="s">
        <v>44</v>
      </c>
      <c r="D103" s="41">
        <f>TRUNC(4913,-1)</f>
        <v>4910</v>
      </c>
      <c r="E103" s="63">
        <f t="shared" si="3"/>
        <v>16230</v>
      </c>
    </row>
    <row r="104" spans="1:7" x14ac:dyDescent="0.3">
      <c r="A104" s="2">
        <v>7</v>
      </c>
      <c r="C104" s="37" t="s">
        <v>45</v>
      </c>
      <c r="D104" s="41">
        <f>TRUNC(3834,-1)</f>
        <v>3830</v>
      </c>
      <c r="E104" s="63">
        <f t="shared" si="3"/>
        <v>12660</v>
      </c>
    </row>
    <row r="105" spans="1:7" x14ac:dyDescent="0.3">
      <c r="A105" s="2">
        <v>8</v>
      </c>
      <c r="C105" s="37" t="s">
        <v>46</v>
      </c>
      <c r="D105" s="41">
        <f>TRUNC(5399,-1)</f>
        <v>5390</v>
      </c>
      <c r="E105" s="63">
        <f t="shared" si="3"/>
        <v>17810</v>
      </c>
    </row>
    <row r="106" spans="1:7" x14ac:dyDescent="0.3">
      <c r="A106" s="2">
        <v>9</v>
      </c>
      <c r="C106" s="37" t="s">
        <v>135</v>
      </c>
      <c r="D106" s="41">
        <v>0</v>
      </c>
      <c r="E106" s="63">
        <f t="shared" si="3"/>
        <v>0</v>
      </c>
    </row>
    <row r="107" spans="1:7" x14ac:dyDescent="0.3">
      <c r="A107" s="2">
        <v>10</v>
      </c>
      <c r="C107" s="37" t="s">
        <v>117</v>
      </c>
      <c r="D107" s="41">
        <v>0</v>
      </c>
      <c r="E107" s="63">
        <f t="shared" si="3"/>
        <v>0</v>
      </c>
    </row>
    <row r="108" spans="1:7" x14ac:dyDescent="0.3">
      <c r="A108" s="2">
        <v>11</v>
      </c>
      <c r="C108" s="37" t="s">
        <v>120</v>
      </c>
      <c r="D108" s="41">
        <v>0</v>
      </c>
      <c r="E108" s="63">
        <f t="shared" si="3"/>
        <v>0</v>
      </c>
    </row>
    <row r="109" spans="1:7" x14ac:dyDescent="0.3">
      <c r="A109" s="2">
        <v>12</v>
      </c>
      <c r="C109" s="37" t="s">
        <v>125</v>
      </c>
      <c r="D109" s="41">
        <v>0</v>
      </c>
      <c r="E109" s="63">
        <f t="shared" si="3"/>
        <v>0</v>
      </c>
    </row>
    <row r="110" spans="1:7" x14ac:dyDescent="0.3">
      <c r="A110" s="2">
        <v>13</v>
      </c>
      <c r="C110" s="37" t="s">
        <v>127</v>
      </c>
      <c r="D110" s="41">
        <v>0</v>
      </c>
      <c r="E110" s="63">
        <f t="shared" si="3"/>
        <v>0</v>
      </c>
    </row>
    <row r="111" spans="1:7" x14ac:dyDescent="0.3">
      <c r="A111" s="2">
        <v>14</v>
      </c>
      <c r="C111" s="37" t="s">
        <v>129</v>
      </c>
      <c r="D111" s="41">
        <v>0</v>
      </c>
      <c r="E111" s="63">
        <f t="shared" si="3"/>
        <v>0</v>
      </c>
    </row>
    <row r="112" spans="1:7" x14ac:dyDescent="0.3">
      <c r="A112" s="2">
        <v>15</v>
      </c>
      <c r="C112" s="37" t="s">
        <v>132</v>
      </c>
      <c r="D112" s="41">
        <v>0</v>
      </c>
      <c r="E112" s="63">
        <f t="shared" si="3"/>
        <v>0</v>
      </c>
    </row>
    <row r="113" spans="1:7" x14ac:dyDescent="0.3">
      <c r="A113" s="2">
        <v>16</v>
      </c>
      <c r="C113" s="37" t="s">
        <v>118</v>
      </c>
      <c r="D113" s="41">
        <v>0</v>
      </c>
      <c r="E113" s="63">
        <f t="shared" si="3"/>
        <v>0</v>
      </c>
    </row>
    <row r="114" spans="1:7" x14ac:dyDescent="0.3">
      <c r="A114" s="2">
        <v>17</v>
      </c>
      <c r="C114" s="37" t="s">
        <v>130</v>
      </c>
      <c r="D114" s="41">
        <f>TRUNC(6334,-1)</f>
        <v>6330</v>
      </c>
      <c r="E114" s="63">
        <f t="shared" si="3"/>
        <v>20920</v>
      </c>
    </row>
    <row r="115" spans="1:7" x14ac:dyDescent="0.3">
      <c r="A115" s="2">
        <v>18</v>
      </c>
      <c r="C115" s="37" t="s">
        <v>116</v>
      </c>
      <c r="D115" s="41">
        <v>0</v>
      </c>
      <c r="E115" s="63">
        <f t="shared" si="3"/>
        <v>0</v>
      </c>
    </row>
    <row r="116" spans="1:7" x14ac:dyDescent="0.3">
      <c r="A116" s="2">
        <v>19</v>
      </c>
      <c r="C116" s="37" t="s">
        <v>115</v>
      </c>
      <c r="D116" s="41">
        <f>TRUNC(3311,-1)</f>
        <v>3310</v>
      </c>
      <c r="E116" s="63">
        <f t="shared" si="3"/>
        <v>10940</v>
      </c>
    </row>
    <row r="117" spans="1:7" x14ac:dyDescent="0.3">
      <c r="A117" s="2">
        <v>20</v>
      </c>
      <c r="C117" s="37" t="s">
        <v>148</v>
      </c>
      <c r="D117" s="41">
        <f>TRUNC(93478,-1)</f>
        <v>93470</v>
      </c>
      <c r="E117" s="63">
        <f t="shared" si="3"/>
        <v>308990</v>
      </c>
    </row>
    <row r="118" spans="1:7" ht="17.25" thickBot="1" x14ac:dyDescent="0.35">
      <c r="A118" s="2">
        <v>21</v>
      </c>
      <c r="C118" s="37" t="s">
        <v>47</v>
      </c>
      <c r="D118" s="42">
        <f>TRUNC(1467,-1)</f>
        <v>1460</v>
      </c>
      <c r="E118" s="64">
        <f t="shared" si="3"/>
        <v>4820</v>
      </c>
      <c r="F118" s="2" t="s">
        <v>253</v>
      </c>
    </row>
    <row r="119" spans="1:7" x14ac:dyDescent="0.3">
      <c r="A119" s="2">
        <v>22</v>
      </c>
      <c r="C119" s="27" t="s">
        <v>112</v>
      </c>
      <c r="D119" s="38">
        <f>SUM(D98:D118)</f>
        <v>201610</v>
      </c>
      <c r="E119" s="38">
        <f>SUM(E98:E118)</f>
        <v>666430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242</v>
      </c>
      <c r="C121" s="54" t="s">
        <v>240</v>
      </c>
      <c r="D121" s="55" t="s">
        <v>234</v>
      </c>
      <c r="E121" s="55" t="s">
        <v>235</v>
      </c>
      <c r="F121" s="53"/>
      <c r="G121" s="53"/>
    </row>
    <row r="122" spans="1:7" x14ac:dyDescent="0.3">
      <c r="A122" s="2">
        <v>1</v>
      </c>
      <c r="C122" s="37" t="s">
        <v>55</v>
      </c>
      <c r="D122" s="39">
        <f>TRUNC(4723,-1)</f>
        <v>4720</v>
      </c>
      <c r="E122" s="62">
        <f t="shared" ref="E122:E132" si="4">TRUNC(+D122*3.3058,-1)</f>
        <v>15600</v>
      </c>
    </row>
    <row r="123" spans="1:7" x14ac:dyDescent="0.3">
      <c r="A123" s="2">
        <v>2</v>
      </c>
      <c r="C123" s="37" t="s">
        <v>124</v>
      </c>
      <c r="D123" s="41">
        <v>0</v>
      </c>
      <c r="E123" s="63">
        <f t="shared" si="4"/>
        <v>0</v>
      </c>
    </row>
    <row r="124" spans="1:7" x14ac:dyDescent="0.3">
      <c r="A124" s="2">
        <v>3</v>
      </c>
      <c r="C124" s="37" t="s">
        <v>151</v>
      </c>
      <c r="D124" s="41">
        <f>TRUNC(2224,-1)</f>
        <v>2220</v>
      </c>
      <c r="E124" s="63">
        <f t="shared" si="4"/>
        <v>7330</v>
      </c>
    </row>
    <row r="125" spans="1:7" x14ac:dyDescent="0.3">
      <c r="A125" s="2">
        <v>4</v>
      </c>
      <c r="C125" s="37" t="s">
        <v>138</v>
      </c>
      <c r="D125" s="41">
        <f>TRUNC(5644,-1)</f>
        <v>5640</v>
      </c>
      <c r="E125" s="63">
        <f t="shared" si="4"/>
        <v>18640</v>
      </c>
    </row>
    <row r="126" spans="1:7" x14ac:dyDescent="0.3">
      <c r="A126" s="2">
        <v>5</v>
      </c>
      <c r="C126" s="37" t="s">
        <v>53</v>
      </c>
      <c r="D126" s="41">
        <f>TRUNC(15759,-1)</f>
        <v>15750</v>
      </c>
      <c r="E126" s="63">
        <f t="shared" si="4"/>
        <v>52060</v>
      </c>
    </row>
    <row r="127" spans="1:7" x14ac:dyDescent="0.3">
      <c r="A127" s="2">
        <v>6</v>
      </c>
      <c r="C127" s="37" t="s">
        <v>56</v>
      </c>
      <c r="D127" s="41">
        <f>TRUNC(4531,-1)</f>
        <v>4530</v>
      </c>
      <c r="E127" s="63">
        <f t="shared" si="4"/>
        <v>14970</v>
      </c>
    </row>
    <row r="128" spans="1:7" x14ac:dyDescent="0.3">
      <c r="A128" s="2">
        <v>7</v>
      </c>
      <c r="C128" s="37" t="s">
        <v>46</v>
      </c>
      <c r="D128" s="41">
        <f>TRUNC(7450,-1)</f>
        <v>7450</v>
      </c>
      <c r="E128" s="63">
        <f t="shared" si="4"/>
        <v>24620</v>
      </c>
    </row>
    <row r="129" spans="1:7" x14ac:dyDescent="0.3">
      <c r="A129" s="2">
        <v>8</v>
      </c>
      <c r="C129" s="37" t="s">
        <v>126</v>
      </c>
      <c r="D129" s="41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7" t="s">
        <v>54</v>
      </c>
      <c r="D130" s="41">
        <f>TRUNC(33986,-1)</f>
        <v>33980</v>
      </c>
      <c r="E130" s="63">
        <f t="shared" si="4"/>
        <v>112330</v>
      </c>
    </row>
    <row r="131" spans="1:7" x14ac:dyDescent="0.3">
      <c r="A131" s="2">
        <v>10</v>
      </c>
      <c r="C131" s="37" t="s">
        <v>148</v>
      </c>
      <c r="D131" s="41">
        <f>TRUNC(26398,-1)</f>
        <v>26390</v>
      </c>
      <c r="E131" s="63">
        <f t="shared" si="4"/>
        <v>87240</v>
      </c>
    </row>
    <row r="132" spans="1:7" ht="17.25" thickBot="1" x14ac:dyDescent="0.35">
      <c r="A132" s="2">
        <v>11</v>
      </c>
      <c r="C132" s="37" t="s">
        <v>47</v>
      </c>
      <c r="D132" s="42">
        <f>TRUNC(723+789,-1)</f>
        <v>1510</v>
      </c>
      <c r="E132" s="64">
        <f t="shared" si="4"/>
        <v>4990</v>
      </c>
      <c r="F132" s="2" t="s">
        <v>254</v>
      </c>
    </row>
    <row r="133" spans="1:7" x14ac:dyDescent="0.3">
      <c r="A133" s="2">
        <v>12</v>
      </c>
      <c r="C133" s="27" t="s">
        <v>112</v>
      </c>
      <c r="D133" s="38">
        <f>SUM(D122:D132)</f>
        <v>102190</v>
      </c>
      <c r="E133" s="38">
        <f>SUM(E122:E132)</f>
        <v>337780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243</v>
      </c>
      <c r="C135" s="54" t="s">
        <v>240</v>
      </c>
      <c r="D135" s="55" t="s">
        <v>234</v>
      </c>
      <c r="E135" s="55" t="s">
        <v>235</v>
      </c>
      <c r="F135" s="53"/>
      <c r="G135" s="53"/>
    </row>
    <row r="136" spans="1:7" x14ac:dyDescent="0.3">
      <c r="A136" s="2">
        <v>1</v>
      </c>
      <c r="C136" s="37" t="s">
        <v>131</v>
      </c>
      <c r="D136" s="39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7" t="s">
        <v>47</v>
      </c>
      <c r="D137" s="41">
        <f>TRUNC(115+1187+8533+588,-1)</f>
        <v>10420</v>
      </c>
      <c r="E137" s="63">
        <f t="shared" si="5"/>
        <v>34440</v>
      </c>
      <c r="F137" s="2" t="s">
        <v>255</v>
      </c>
    </row>
    <row r="138" spans="1:7" x14ac:dyDescent="0.3">
      <c r="A138" s="2">
        <v>3</v>
      </c>
      <c r="C138" s="37" t="s">
        <v>60</v>
      </c>
      <c r="D138" s="41">
        <f>TRUNC(3106,-1)</f>
        <v>3100</v>
      </c>
      <c r="E138" s="63">
        <f t="shared" si="5"/>
        <v>10240</v>
      </c>
    </row>
    <row r="139" spans="1:7" x14ac:dyDescent="0.3">
      <c r="A139" s="2">
        <v>4</v>
      </c>
      <c r="C139" s="37" t="s">
        <v>61</v>
      </c>
      <c r="D139" s="41">
        <f>TRUNC(3847,-1)</f>
        <v>3840</v>
      </c>
      <c r="E139" s="63">
        <f t="shared" si="5"/>
        <v>12690</v>
      </c>
    </row>
    <row r="140" spans="1:7" x14ac:dyDescent="0.3">
      <c r="A140" s="2">
        <v>5</v>
      </c>
      <c r="C140" s="37" t="s">
        <v>57</v>
      </c>
      <c r="D140" s="41">
        <f>TRUNC(1369,-1)</f>
        <v>1360</v>
      </c>
      <c r="E140" s="63">
        <f t="shared" si="5"/>
        <v>4490</v>
      </c>
    </row>
    <row r="141" spans="1:7" x14ac:dyDescent="0.3">
      <c r="A141" s="2">
        <v>6</v>
      </c>
      <c r="C141" s="37" t="s">
        <v>59</v>
      </c>
      <c r="D141" s="41">
        <f>TRUNC(24647,-1)</f>
        <v>24640</v>
      </c>
      <c r="E141" s="63">
        <f t="shared" si="5"/>
        <v>81450</v>
      </c>
    </row>
    <row r="142" spans="1:7" x14ac:dyDescent="0.3">
      <c r="A142" s="2">
        <v>7</v>
      </c>
      <c r="C142" s="37" t="s">
        <v>58</v>
      </c>
      <c r="D142" s="41">
        <f>TRUNC(4575,-1)</f>
        <v>4570</v>
      </c>
      <c r="E142" s="63">
        <f t="shared" si="5"/>
        <v>15100</v>
      </c>
    </row>
    <row r="143" spans="1:7" x14ac:dyDescent="0.3">
      <c r="A143" s="2">
        <v>8</v>
      </c>
      <c r="C143" s="37" t="s">
        <v>62</v>
      </c>
      <c r="D143" s="41">
        <f>TRUNC(4387,-1)</f>
        <v>4380</v>
      </c>
      <c r="E143" s="63">
        <f t="shared" si="5"/>
        <v>14470</v>
      </c>
    </row>
    <row r="144" spans="1:7" x14ac:dyDescent="0.3">
      <c r="A144" s="2">
        <v>9</v>
      </c>
      <c r="C144" s="37" t="s">
        <v>63</v>
      </c>
      <c r="D144" s="41">
        <f>TRUNC(19587,-1)</f>
        <v>19580</v>
      </c>
      <c r="E144" s="63">
        <f t="shared" si="5"/>
        <v>64720</v>
      </c>
    </row>
    <row r="145" spans="1:7" ht="17.25" thickBot="1" x14ac:dyDescent="0.35">
      <c r="A145" s="2">
        <v>10</v>
      </c>
      <c r="C145" s="37" t="s">
        <v>148</v>
      </c>
      <c r="D145" s="42">
        <f>TRUNC(8097,-1)</f>
        <v>8090</v>
      </c>
      <c r="E145" s="64">
        <f t="shared" si="5"/>
        <v>26740</v>
      </c>
    </row>
    <row r="146" spans="1:7" x14ac:dyDescent="0.3">
      <c r="A146" s="2">
        <v>11</v>
      </c>
      <c r="C146" s="27" t="s">
        <v>112</v>
      </c>
      <c r="D146" s="38">
        <f>SUM(D136:D145)</f>
        <v>79980</v>
      </c>
      <c r="E146" s="38">
        <f>SUM(E136:E145)</f>
        <v>264340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244</v>
      </c>
      <c r="C148" s="54" t="s">
        <v>240</v>
      </c>
      <c r="D148" s="55" t="s">
        <v>234</v>
      </c>
      <c r="E148" s="55" t="s">
        <v>235</v>
      </c>
      <c r="F148" s="53"/>
      <c r="G148" s="53"/>
    </row>
    <row r="149" spans="1:7" x14ac:dyDescent="0.3">
      <c r="A149" s="2">
        <v>1</v>
      </c>
      <c r="C149" s="37" t="s">
        <v>48</v>
      </c>
      <c r="D149" s="39">
        <f>TRUNC(8557+955,-1)</f>
        <v>9510</v>
      </c>
      <c r="E149" s="62">
        <f>TRUNC(+D149*3.3058,-1)</f>
        <v>31430</v>
      </c>
      <c r="F149" s="2" t="s">
        <v>231</v>
      </c>
    </row>
    <row r="150" spans="1:7" x14ac:dyDescent="0.3">
      <c r="A150" s="2">
        <v>2</v>
      </c>
      <c r="C150" s="37" t="s">
        <v>49</v>
      </c>
      <c r="D150" s="41">
        <f>TRUNC(5780+8879,-1)</f>
        <v>14650</v>
      </c>
      <c r="E150" s="63">
        <f>TRUNC(+D150*3.3058,-1)</f>
        <v>48420</v>
      </c>
      <c r="F150" s="2" t="s">
        <v>231</v>
      </c>
    </row>
    <row r="151" spans="1:7" x14ac:dyDescent="0.3">
      <c r="A151" s="2">
        <v>3</v>
      </c>
      <c r="C151" s="37" t="s">
        <v>50</v>
      </c>
      <c r="D151" s="41">
        <v>0</v>
      </c>
      <c r="E151" s="63">
        <f>TRUNC(+D151*3.3058,-1)</f>
        <v>0</v>
      </c>
    </row>
    <row r="152" spans="1:7" x14ac:dyDescent="0.3">
      <c r="A152" s="2">
        <v>4</v>
      </c>
      <c r="C152" s="37" t="s">
        <v>47</v>
      </c>
      <c r="D152" s="41">
        <f>TRUNC(471+11080,-1)</f>
        <v>11550</v>
      </c>
      <c r="E152" s="63">
        <f>TRUNC(+D152*3.3058,-1)</f>
        <v>38180</v>
      </c>
      <c r="F152" s="2" t="s">
        <v>256</v>
      </c>
    </row>
    <row r="153" spans="1:7" ht="17.25" thickBot="1" x14ac:dyDescent="0.35">
      <c r="A153" s="2">
        <v>5</v>
      </c>
      <c r="C153" s="37" t="s">
        <v>148</v>
      </c>
      <c r="D153" s="42">
        <f>TRUNC(13059,-1)</f>
        <v>13050</v>
      </c>
      <c r="E153" s="64">
        <f>TRUNC(+D153*3.3058,-1)</f>
        <v>43140</v>
      </c>
    </row>
    <row r="154" spans="1:7" x14ac:dyDescent="0.3">
      <c r="A154" s="2">
        <v>6</v>
      </c>
      <c r="C154" s="27" t="s">
        <v>112</v>
      </c>
      <c r="D154" s="38">
        <f>SUM(D149:D153)</f>
        <v>48760</v>
      </c>
      <c r="E154" s="38">
        <f>SUM(E149:E153)</f>
        <v>161170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245</v>
      </c>
      <c r="C156" s="54" t="s">
        <v>240</v>
      </c>
      <c r="D156" s="55" t="s">
        <v>234</v>
      </c>
      <c r="E156" s="55" t="s">
        <v>235</v>
      </c>
      <c r="F156" s="53"/>
      <c r="G156" s="53"/>
    </row>
    <row r="157" spans="1:7" x14ac:dyDescent="0.3">
      <c r="A157" s="2">
        <v>1</v>
      </c>
      <c r="C157" s="37" t="s">
        <v>51</v>
      </c>
      <c r="D157" s="39">
        <f>TRUNC(29126,-1)</f>
        <v>29120</v>
      </c>
      <c r="E157" s="62">
        <f>TRUNC(+D157*3.3058,-1)</f>
        <v>96260</v>
      </c>
    </row>
    <row r="158" spans="1:7" x14ac:dyDescent="0.3">
      <c r="A158" s="2">
        <v>2</v>
      </c>
      <c r="C158" s="37" t="s">
        <v>52</v>
      </c>
      <c r="D158" s="41">
        <f>TRUNC(14100,-1)</f>
        <v>14100</v>
      </c>
      <c r="E158" s="63">
        <f>TRUNC(+D158*3.3058,-1)</f>
        <v>46610</v>
      </c>
    </row>
    <row r="159" spans="1:7" x14ac:dyDescent="0.3">
      <c r="A159" s="2">
        <v>3</v>
      </c>
      <c r="C159" s="37" t="s">
        <v>47</v>
      </c>
      <c r="D159" s="41">
        <f>TRUNC(8879+943,-1)</f>
        <v>9820</v>
      </c>
      <c r="E159" s="63">
        <f>TRUNC(+D159*3.3058,-1)</f>
        <v>32460</v>
      </c>
      <c r="F159" s="2" t="s">
        <v>257</v>
      </c>
    </row>
    <row r="160" spans="1:7" ht="17.25" thickBot="1" x14ac:dyDescent="0.35">
      <c r="A160" s="2">
        <v>4</v>
      </c>
      <c r="C160" s="37" t="s">
        <v>148</v>
      </c>
      <c r="D160" s="42">
        <f>TRUNC(11115,-1)</f>
        <v>11110</v>
      </c>
      <c r="E160" s="64">
        <f>TRUNC(+D160*3.3058,-1)</f>
        <v>36720</v>
      </c>
    </row>
    <row r="161" spans="1:5" x14ac:dyDescent="0.3">
      <c r="A161" s="2">
        <v>5</v>
      </c>
      <c r="C161" s="27" t="s">
        <v>112</v>
      </c>
      <c r="D161" s="38">
        <f>SUM(D157:D160)</f>
        <v>64150</v>
      </c>
      <c r="E161" s="38">
        <f>SUM(E157:E160)</f>
        <v>212050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2020-12-08T04:01:33Z</dcterms:modified>
</cp:coreProperties>
</file>