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1" i="4"/>
  <c r="D150" i="4"/>
  <c r="D144" i="4"/>
  <c r="D143" i="4"/>
  <c r="D142" i="4"/>
  <c r="D140" i="4"/>
  <c r="D139" i="4"/>
  <c r="D137" i="4"/>
  <c r="D132" i="4"/>
  <c r="D131" i="4"/>
  <c r="D130" i="4"/>
  <c r="D127" i="4"/>
  <c r="D125" i="4"/>
  <c r="D124" i="4"/>
  <c r="D118" i="4"/>
  <c r="D117" i="4"/>
  <c r="D116" i="4"/>
  <c r="D114" i="4"/>
  <c r="D104" i="4"/>
  <c r="D102" i="4"/>
  <c r="D100" i="4"/>
  <c r="D99" i="4"/>
  <c r="D98" i="4"/>
  <c r="D94" i="4"/>
  <c r="D92" i="4"/>
  <c r="D91" i="4"/>
  <c r="D89" i="4"/>
  <c r="D73" i="4"/>
  <c r="D70" i="4"/>
  <c r="D69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<sst xmlns="http://schemas.openxmlformats.org/spreadsheetml/2006/main" count="393" uniqueCount="267">
  <si>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</si>
  <si>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</si>
  <si>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</si>
  <si>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</si>
  <si>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</si>
  <si>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</si>
  <si>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</si>
  <si>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</si>
  <si>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</si>
  <si>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</si>
  <si>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</si>
  <si>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</si>
  <si>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</si>
  <si>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</si>
  <si>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</si>
  <si>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</si>
  <si>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</si>
  <si>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</si>
  <si>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</si>
  <si>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</si>
  <si>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</si>
  <si>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</si>
  <si>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</si>
  <si>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</si>
  <si>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</si>
  <si>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</si>
  <si>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</si>
  <si>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</si>
  <si>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</si>
  <si>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</si>
  <si>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</si>
  <si>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</si>
  <si>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</si>
  <si>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</si>
  <si>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</si>
  <si>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</si>
  <si>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</si>
  <si>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</si>
  <si>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</si>
  <si>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</si>
  <si>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</si>
  <si>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</si>
  <si>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</si>
  <si>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</si>
  <si>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</si>
  <si>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</si>
  <si>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</si>
  <si>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</si>
  <si>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</si>
  <si>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</si>
  <si>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</si>
  <si>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</si>
  <si>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</si>
  <si>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</si>
  <si>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</si>
  <si>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</si>
  <si>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</si>
  <si>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</si>
  <si>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</si>
  <si>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</si>
  <si>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</si>
  <si>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</si>
  <si>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</si>
  <si>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</si>
  <si>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</si>
  <si>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</si>
  <si>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</si>
  <si>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</si>
  <si>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</si>
  <si>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</si>
  <si>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</si>
  <si>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</si>
  <si>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</si>
  <si>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</si>
  <si>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</si>
  <si>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</si>
  <si>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</si>
  <si>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</si>
  <si>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</si>
  <si>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</si>
  <si>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</si>
  <si>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</si>
  <si>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</si>
  <si>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</si>
  <si>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</si>
  <si>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</si>
  <si>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</si>
  <si>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</si>
  <si>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</si>
  <si>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</si>
  <si>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</si>
  <si>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</si>
  <si>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</si>
  <si>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</si>
  <si>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</si>
  <si>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</si>
  <si>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</si>
  <si>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</si>
  <si>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</si>
  <si>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</si>
  <si>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</si>
  <si>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</si>
  <si>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</si>
  <si>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</si>
  <si>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</si>
  <si>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</si>
  <si>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</si>
  <si>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</si>
  <si>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</si>
  <si>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</si>
  <si>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</si>
  <si>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</si>
  <si>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</si>
  <si>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</si>
  <si>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</si>
  <si>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</si>
  <si>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</si>
  <si>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</si>
  <si>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</si>
  <si>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</si>
  <si>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</si>
  <si>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</si>
  <si>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</si>
  <si>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</si>
  <si>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</si>
  <si>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</si>
  <si>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</si>
  <si>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</si>
  <si>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</si>
  <si>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</si>
  <si>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</si>
  <si>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</si>
  <si>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</si>
  <si>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</si>
  <si>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</si>
  <si>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</si>
  <si>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</si>
  <si>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</si>
  <si>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</si>
  <si>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</si>
  <si>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</si>
  <si>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</si>
  <si>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</si>
  <si>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</si>
  <si>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</si>
  <si>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</si>
  <si>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</si>
  <si>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</si>
  <si>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</si>
  <si>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</si>
  <si>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</si>
  <si>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</si>
  <si>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</si>
  <si>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</si>
  <si>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</si>
  <si>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</si>
  <si>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</si>
  <si>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</si>
  <si>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</si>
  <si>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</si>
  <si>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</si>
  <si>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</si>
  <si>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</si>
  <si>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</si>
  <si>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</si>
  <si>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</si>
  <si>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</si>
  <si>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</si>
  <si>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</si>
  <si>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</si>
  <si>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</si>
  <si>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</si>
  <si>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</si>
  <si>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</si>
  <si>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</si>
  <si>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</si>
  <si>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</si>
  <si>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</si>
  <si>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</si>
  <si>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</si>
  <si>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</si>
  <si>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</si>
  <si>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</si>
  <si>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</si>
  <si>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</si>
  <si>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</si>
  <si>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</si>
  <si>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</si>
  <si>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</si>
  <si>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</si>
  <si>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</si>
  <si>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</si>
  <si>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</si>
  <si>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</si>
  <si>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</si>
  <si>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</si>
  <si>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</si>
  <si>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</si>
  <si>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</si>
  <si>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</si>
  <si>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</si>
  <si>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</si>
  <si>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</si>
  <si>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</si>
  <si>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</si>
  <si>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</si>
  <si>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</si>
  <si>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</si>
  <si>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</si>
  <si>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</si>
  <si>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</si>
  <si>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</si>
  <si>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</si>
  <si>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</si>
  <si>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</si>
  <si>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</si>
  <si>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</si>
  <si>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</si>
  <si>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</si>
  <si>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</si>
  <si>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</si>
  <si>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</si>
  <si>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</si>
  <si>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</si>
  <si>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</si>
  <si>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</si>
  <si>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</si>
  <si>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</si>
  <si>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</si>
  <si>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</si>
  <si>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</si>
  <si>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</si>
  <si>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</si>
  <si>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</si>
  <si>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</si>
  <si>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</si>
  <si>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</si>
  <si>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</si>
  <si>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</si>
  <si>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</si>
  <si>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</si>
  <si>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</si>
  <si>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</si>
  <si>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</si>
  <si>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</si>
  <si>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</si>
  <si>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</si>
  <si>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</si>
  <si>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</si>
  <si>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</si>
  <si>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</si>
  <si>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</si>
  <si>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</si>
  <si>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</si>
  <si>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</si>
  <si>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</si>
  <si>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</si>
  <si>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국민건강보험공단 상주지사 사옥신축공사</t>
    <phoneticPr fontId="2" type="noConversion"/>
  </si>
  <si>
    <t>경상도</t>
  </si>
  <si>
    <t>기초공사, 골재비및운반비, 기타공사</t>
    <phoneticPr fontId="2" type="noConversion"/>
  </si>
  <si>
    <t>바닥난방공사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</si>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</sst>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1745.52</v>
      </c>
      <c r="D7" s="36">
        <f>+C7/3.3058</f>
        <v>528.01742392159235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1276090</v>
      </c>
      <c r="E25" s="59">
        <f t="shared" si="0"/>
        <v>4218490</v>
      </c>
    </row>
    <row r="26" spans="1:5" x14ac:dyDescent="0.3">
      <c r="B26" s="2">
        <v>3</v>
      </c>
      <c r="C26" s="35" t="s">
        <v>95</v>
      </c>
      <c r="D26" s="45">
        <f>+D66</f>
        <v>4000</v>
      </c>
      <c r="E26" s="59">
        <f t="shared" si="0"/>
        <v>13220</v>
      </c>
    </row>
    <row r="27" spans="1:5" x14ac:dyDescent="0.3">
      <c r="B27" s="2">
        <v>4</v>
      </c>
      <c r="C27" s="35" t="s">
        <v>96</v>
      </c>
      <c r="D27" s="45">
        <f>+D95</f>
        <v>69950</v>
      </c>
      <c r="E27" s="59">
        <f t="shared" si="0"/>
        <v>231240</v>
      </c>
    </row>
    <row r="28" spans="1:5" x14ac:dyDescent="0.3">
      <c r="B28" s="2">
        <v>5</v>
      </c>
      <c r="C28" s="35" t="s">
        <v>97</v>
      </c>
      <c r="D28" s="45">
        <f>+D119</f>
        <v>232400</v>
      </c>
      <c r="E28" s="59">
        <f t="shared" si="0"/>
        <v>768260</v>
      </c>
    </row>
    <row r="29" spans="1:5" x14ac:dyDescent="0.3">
      <c r="B29" s="2">
        <v>6</v>
      </c>
      <c r="C29" s="35" t="s">
        <v>98</v>
      </c>
      <c r="D29" s="45">
        <f>+D133</f>
        <v>80550</v>
      </c>
      <c r="E29" s="59">
        <f t="shared" si="0"/>
        <v>266280</v>
      </c>
    </row>
    <row r="30" spans="1:5" x14ac:dyDescent="0.3">
      <c r="B30" s="2">
        <v>7</v>
      </c>
      <c r="C30" s="35" t="s">
        <v>99</v>
      </c>
      <c r="D30" s="45">
        <f>+D146</f>
        <v>43050</v>
      </c>
      <c r="E30" s="59">
        <f t="shared" si="0"/>
        <v>142310</v>
      </c>
    </row>
    <row r="31" spans="1:5" x14ac:dyDescent="0.3">
      <c r="B31" s="2">
        <v>8</v>
      </c>
      <c r="C31" s="35" t="s">
        <v>100</v>
      </c>
      <c r="D31" s="45">
        <f>+D154</f>
        <v>96120</v>
      </c>
      <c r="E31" s="59">
        <f t="shared" si="0"/>
        <v>317750</v>
      </c>
    </row>
    <row r="32" spans="1:5" x14ac:dyDescent="0.3">
      <c r="B32" s="2">
        <v>9</v>
      </c>
      <c r="C32" s="35" t="s">
        <v>101</v>
      </c>
      <c r="D32" s="45">
        <f>+D161</f>
        <v>53980</v>
      </c>
      <c r="E32" s="59">
        <f t="shared" si="0"/>
        <v>178440</v>
      </c>
    </row>
    <row r="33" spans="1:7" x14ac:dyDescent="0.3">
      <c r="B33" s="2">
        <v>10</v>
      </c>
      <c r="C33" s="35" t="s">
        <v>155</v>
      </c>
      <c r="D33" s="53">
        <f>TRUNC(SUM(D24:D32)*0.275,-1)</f>
        <v>510430</v>
      </c>
      <c r="E33" s="60">
        <f t="shared" si="0"/>
        <v>1687370</v>
      </c>
    </row>
    <row r="34" spans="1:7" x14ac:dyDescent="0.3">
      <c r="C34" s="35" t="s">
        <v>112</v>
      </c>
      <c r="D34" s="44">
        <f>SUM(D24:D33)</f>
        <v>2366570</v>
      </c>
      <c r="E34" s="44">
        <f>SUM(E24:E33)</f>
        <v>7823360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TRUNC(57335,-1)</f>
        <v>57330</v>
      </c>
      <c r="E40" s="62">
        <f t="shared" ref="E40:E59" si="1">TRUNC(+D40*3.3058,-1)</f>
        <v>189520</v>
      </c>
    </row>
    <row r="41" spans="1:7" x14ac:dyDescent="0.3">
      <c r="A41" s="2">
        <v>2</v>
      </c>
      <c r="C41" s="38" t="s">
        <v>13</v>
      </c>
      <c r="D41" s="42">
        <f>TRUNC(183322,-1)</f>
        <v>183320</v>
      </c>
      <c r="E41" s="63">
        <f t="shared" si="1"/>
        <v>606010</v>
      </c>
    </row>
    <row r="42" spans="1:7" x14ac:dyDescent="0.3">
      <c r="A42" s="2">
        <v>3</v>
      </c>
      <c r="C42" s="38" t="s">
        <v>14</v>
      </c>
      <c r="D42" s="42">
        <f>TRUNC(13069,-1)</f>
        <v>13060</v>
      </c>
      <c r="E42" s="63">
        <f t="shared" si="1"/>
        <v>43170</v>
      </c>
    </row>
    <row r="43" spans="1:7" x14ac:dyDescent="0.3">
      <c r="A43" s="2">
        <v>4</v>
      </c>
      <c r="C43" s="38" t="s">
        <v>16</v>
      </c>
      <c r="D43" s="42">
        <f>TRUNC(5628,-1)</f>
        <v>5620</v>
      </c>
      <c r="E43" s="63">
        <f t="shared" si="1"/>
        <v>18570</v>
      </c>
    </row>
    <row r="44" spans="1:7" x14ac:dyDescent="0.3">
      <c r="A44" s="2">
        <v>5</v>
      </c>
      <c r="C44" s="38" t="s">
        <v>17</v>
      </c>
      <c r="D44" s="42">
        <f>TRUNC(32202,-1)</f>
        <v>32200</v>
      </c>
      <c r="E44" s="63">
        <f t="shared" si="1"/>
        <v>106440</v>
      </c>
    </row>
    <row r="45" spans="1:7" x14ac:dyDescent="0.3">
      <c r="A45" s="2">
        <v>6</v>
      </c>
      <c r="C45" s="38" t="s">
        <v>18</v>
      </c>
      <c r="D45" s="42">
        <f>TRUNC(14705,-1)</f>
        <v>14700</v>
      </c>
      <c r="E45" s="63">
        <f t="shared" si="1"/>
        <v>48590</v>
      </c>
    </row>
    <row r="46" spans="1:7" x14ac:dyDescent="0.3">
      <c r="A46" s="2">
        <v>7</v>
      </c>
      <c r="C46" s="38" t="s">
        <v>19</v>
      </c>
      <c r="D46" s="42">
        <f>TRUNC(177392,-1)</f>
        <v>177390</v>
      </c>
      <c r="E46" s="63">
        <f t="shared" si="1"/>
        <v>586410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TRUNC(35166,-1)</f>
        <v>35160</v>
      </c>
      <c r="E48" s="63">
        <f t="shared" si="1"/>
        <v>116230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TRUNC(7941,-1)</f>
        <v>7940</v>
      </c>
      <c r="E49" s="63">
        <f t="shared" si="1"/>
        <v>26240</v>
      </c>
    </row>
    <row r="50" spans="1:7" x14ac:dyDescent="0.3">
      <c r="A50" s="2">
        <v>11</v>
      </c>
      <c r="C50" s="38" t="s">
        <v>156</v>
      </c>
      <c r="D50" s="42">
        <v>80340</v>
      </c>
      <c r="E50" s="63">
        <f t="shared" si="1"/>
        <v>265580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TRUNC(9085,-1)</f>
        <v>9080</v>
      </c>
      <c r="E52" s="63">
        <f t="shared" si="1"/>
        <v>30010</v>
      </c>
    </row>
    <row r="53" spans="1:7" x14ac:dyDescent="0.3">
      <c r="A53" s="2">
        <v>14</v>
      </c>
      <c r="C53" s="38" t="s">
        <v>25</v>
      </c>
      <c r="D53" s="42">
        <f>TRUNC(197626,-1)</f>
        <v>197620</v>
      </c>
      <c r="E53" s="63">
        <f t="shared" si="1"/>
        <v>653290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TRUNC(47415+5333+84704,-1)</f>
        <v>137450</v>
      </c>
      <c r="E58" s="63">
        <f t="shared" si="1"/>
        <v>454380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TRUNC(324888,-1)</f>
        <v>324880</v>
      </c>
      <c r="E59" s="64">
        <f t="shared" si="1"/>
        <v>1073980</v>
      </c>
    </row>
    <row r="60" spans="1:7" x14ac:dyDescent="0.3">
      <c r="A60" s="2">
        <v>21</v>
      </c>
      <c r="C60" s="27" t="s">
        <v>112</v>
      </c>
      <c r="D60" s="39">
        <f>SUM(D40:D59)</f>
        <v>1276090</v>
      </c>
      <c r="E60" s="39">
        <f>SUM(E40:E59)</f>
        <v>4218420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TRUNC(4002,-1)</f>
        <v>4000</v>
      </c>
      <c r="E63" s="62">
        <f>TRUNC(+D63*3.3058,-1)</f>
        <v>13220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4000</v>
      </c>
      <c r="E66" s="65">
        <f>SUM(E63:E65)</f>
        <v>13220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TRUNC(9677,-1)</f>
        <v>9670</v>
      </c>
      <c r="E69" s="62">
        <f t="shared" ref="E69:E94" si="2">TRUNC(+D69*3.3058,-1)</f>
        <v>31960</v>
      </c>
    </row>
    <row r="70" spans="1:7" ht="16.5" customHeight="1" x14ac:dyDescent="0.3">
      <c r="A70" s="2">
        <v>2</v>
      </c>
      <c r="C70" s="38" t="s">
        <v>31</v>
      </c>
      <c r="D70" s="42">
        <f>TRUNC(1448,-1)</f>
        <v>1440</v>
      </c>
      <c r="E70" s="63">
        <f t="shared" si="2"/>
        <v>4760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TRUNC(23907,-1)</f>
        <v>23900</v>
      </c>
      <c r="E73" s="63">
        <f t="shared" si="2"/>
        <v>79000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TRUNC(11309,-1)</f>
        <v>11300</v>
      </c>
      <c r="E89" s="63">
        <f t="shared" si="2"/>
        <v>37350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TRUNC(7665,-1)</f>
        <v>7660</v>
      </c>
      <c r="E91" s="63">
        <f t="shared" si="2"/>
        <v>25320</v>
      </c>
    </row>
    <row r="92" spans="1:7" x14ac:dyDescent="0.3">
      <c r="A92" s="2">
        <v>24</v>
      </c>
      <c r="C92" s="38" t="s">
        <v>38</v>
      </c>
      <c r="D92" s="42">
        <f>TRUNC(15664,-1)</f>
        <v>15660</v>
      </c>
      <c r="E92" s="63">
        <f t="shared" si="2"/>
        <v>51760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TRUNC(321,-1)</f>
        <v>320</v>
      </c>
      <c r="E94" s="64">
        <f t="shared" si="2"/>
        <v>1050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69950</v>
      </c>
      <c r="E95" s="39">
        <f>SUM(E69:E94)</f>
        <v>231200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TRUNC(6155,-1)</f>
        <v>6150</v>
      </c>
      <c r="E98" s="62">
        <f t="shared" ref="E98:E118" si="3">TRUNC(+D98*3.3058,-1)</f>
        <v>20330</v>
      </c>
    </row>
    <row r="99" spans="1:7" x14ac:dyDescent="0.3">
      <c r="A99" s="2">
        <v>2</v>
      </c>
      <c r="C99" s="38" t="s">
        <v>40</v>
      </c>
      <c r="D99" s="42">
        <f>TRUNC(3305,-1)</f>
        <v>3300</v>
      </c>
      <c r="E99" s="63">
        <f t="shared" si="3"/>
        <v>10900</v>
      </c>
    </row>
    <row r="100" spans="1:7" x14ac:dyDescent="0.3">
      <c r="A100" s="2">
        <v>3</v>
      </c>
      <c r="C100" s="38" t="s">
        <v>41</v>
      </c>
      <c r="D100" s="42">
        <f>TRUNC(27399,-1)</f>
        <v>27390</v>
      </c>
      <c r="E100" s="63">
        <f t="shared" si="3"/>
        <v>90540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TRUNC(29584,-1)</f>
        <v>29580</v>
      </c>
      <c r="E102" s="63">
        <f t="shared" si="3"/>
        <v>97780</v>
      </c>
    </row>
    <row r="103" spans="1:7" x14ac:dyDescent="0.3">
      <c r="A103" s="2">
        <v>6</v>
      </c>
      <c r="C103" s="38" t="s">
        <v>44</v>
      </c>
      <c r="D103" s="42">
        <v>4270</v>
      </c>
      <c r="E103" s="63">
        <f t="shared" si="3"/>
        <v>14110</v>
      </c>
    </row>
    <row r="104" spans="1:7" x14ac:dyDescent="0.3">
      <c r="A104" s="2">
        <v>7</v>
      </c>
      <c r="C104" s="38" t="s">
        <v>45</v>
      </c>
      <c r="D104" s="42">
        <f>TRUNC(4898,-1)</f>
        <v>4890</v>
      </c>
      <c r="E104" s="63">
        <f t="shared" si="3"/>
        <v>16160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TRUNC(12454,-1)</f>
        <v>12450</v>
      </c>
      <c r="E114" s="63">
        <f t="shared" si="3"/>
        <v>41150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TRUNC(3599,-1)</f>
        <v>3590</v>
      </c>
      <c r="E116" s="63">
        <f t="shared" si="3"/>
        <v>11860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TRUNC(138116,-1)</f>
        <v>138110</v>
      </c>
      <c r="E117" s="63">
        <f t="shared" si="3"/>
        <v>456560</v>
      </c>
    </row>
    <row r="118" spans="1:7" ht="17.25" thickBot="1" x14ac:dyDescent="0.35">
      <c r="A118" s="2">
        <v>21</v>
      </c>
      <c r="C118" s="38" t="s">
        <v>47</v>
      </c>
      <c r="D118" s="43">
        <f>TRUNC(2674,-1)</f>
        <v>2670</v>
      </c>
      <c r="E118" s="64">
        <f t="shared" si="3"/>
        <v>8820</v>
      </c>
    </row>
    <row r="119" spans="1:7" x14ac:dyDescent="0.3">
      <c r="A119" s="2">
        <v>22</v>
      </c>
      <c r="C119" s="27" t="s">
        <v>112</v>
      </c>
      <c r="D119" s="39">
        <f>SUM(D98:D118)</f>
        <v>232400</v>
      </c>
      <c r="E119" s="39">
        <f>SUM(E98:E118)</f>
        <v>768210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TRUNC(1828,-1)</f>
        <v>1820</v>
      </c>
      <c r="E124" s="63">
        <f t="shared" si="4"/>
        <v>6010</v>
      </c>
    </row>
    <row r="125" spans="1:7" x14ac:dyDescent="0.3">
      <c r="A125" s="2">
        <v>4</v>
      </c>
      <c r="C125" s="38" t="s">
        <v>138</v>
      </c>
      <c r="D125" s="42">
        <f>TRUNC(8972,-1)</f>
        <v>8970</v>
      </c>
      <c r="E125" s="63">
        <f t="shared" si="4"/>
        <v>29650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TRUNC(3997,-1)</f>
        <v>3990</v>
      </c>
      <c r="E127" s="63">
        <f t="shared" si="4"/>
        <v>13190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TRUNC(27129,-1)</f>
        <v>27120</v>
      </c>
      <c r="E130" s="63">
        <f t="shared" si="4"/>
        <v>89650</v>
      </c>
    </row>
    <row r="131" spans="1:7" x14ac:dyDescent="0.3">
      <c r="A131" s="2">
        <v>10</v>
      </c>
      <c r="C131" s="38" t="s">
        <v>149</v>
      </c>
      <c r="D131" s="42">
        <f>TRUNC(29072,-1)</f>
        <v>29070</v>
      </c>
      <c r="E131" s="63">
        <f t="shared" si="4"/>
        <v>96090</v>
      </c>
    </row>
    <row r="132" spans="1:7" ht="18" thickBot="1" x14ac:dyDescent="0.35">
      <c r="A132" s="2">
        <v>11</v>
      </c>
      <c r="C132" s="38" t="s">
        <v>47</v>
      </c>
      <c r="D132" s="43">
        <f>TRUNC(9588,-1)</f>
        <v>9580</v>
      </c>
      <c r="E132" s="64">
        <f t="shared" si="4"/>
        <v>31660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80550</v>
      </c>
      <c r="E133" s="39">
        <f>SUM(E122:E132)</f>
        <v>266250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TRUNC(4748+380,-1)</f>
        <v>5120</v>
      </c>
      <c r="E137" s="63">
        <f t="shared" si="5"/>
        <v>16920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TRUNC(5281,-1)</f>
        <v>5280</v>
      </c>
      <c r="E139" s="63">
        <f t="shared" si="5"/>
        <v>17450</v>
      </c>
    </row>
    <row r="140" spans="1:7" x14ac:dyDescent="0.3">
      <c r="A140" s="2">
        <v>5</v>
      </c>
      <c r="C140" s="38" t="s">
        <v>57</v>
      </c>
      <c r="D140" s="42">
        <f>TRUNC(5402,-1)</f>
        <v>5400</v>
      </c>
      <c r="E140" s="63">
        <f t="shared" si="5"/>
        <v>17850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TRUNC(5047,-1)</f>
        <v>5040</v>
      </c>
      <c r="E142" s="63">
        <f t="shared" si="5"/>
        <v>16660</v>
      </c>
    </row>
    <row r="143" spans="1:7" x14ac:dyDescent="0.3">
      <c r="A143" s="2">
        <v>8</v>
      </c>
      <c r="C143" s="38" t="s">
        <v>62</v>
      </c>
      <c r="D143" s="42">
        <f>TRUNC(10146,-1)</f>
        <v>10140</v>
      </c>
      <c r="E143" s="63">
        <f t="shared" si="5"/>
        <v>33520</v>
      </c>
    </row>
    <row r="144" spans="1:7" x14ac:dyDescent="0.3">
      <c r="A144" s="2">
        <v>9</v>
      </c>
      <c r="C144" s="38" t="s">
        <v>63</v>
      </c>
      <c r="D144" s="42">
        <f>TRUNC(12076,-1)</f>
        <v>12070</v>
      </c>
      <c r="E144" s="63">
        <f t="shared" si="5"/>
        <v>39900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43050</v>
      </c>
      <c r="E146" s="39">
        <f>SUM(E136:E145)</f>
        <v>142300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27646+1194</f>
        <v>28840</v>
      </c>
      <c r="E149" s="62">
        <f>TRUNC(+D149*3.3058,-1)</f>
        <v>95330</v>
      </c>
    </row>
    <row r="150" spans="1:7" x14ac:dyDescent="0.3">
      <c r="A150" s="2">
        <v>2</v>
      </c>
      <c r="C150" s="38" t="s">
        <v>49</v>
      </c>
      <c r="D150" s="42">
        <f>TRUNC(55294,-1)</f>
        <v>55290</v>
      </c>
      <c r="E150" s="63">
        <f>TRUNC(+D150*3.3058,-1)</f>
        <v>182770</v>
      </c>
    </row>
    <row r="151" spans="1:7" x14ac:dyDescent="0.3">
      <c r="A151" s="2">
        <v>3</v>
      </c>
      <c r="C151" s="38" t="s">
        <v>50</v>
      </c>
      <c r="D151" s="42">
        <f>TRUNC(10432,-1)</f>
        <v>10430</v>
      </c>
      <c r="E151" s="63">
        <f>TRUNC(+D151*3.3058,-1)</f>
        <v>34470</v>
      </c>
    </row>
    <row r="152" spans="1:7" x14ac:dyDescent="0.3">
      <c r="A152" s="2">
        <v>4</v>
      </c>
      <c r="C152" s="38" t="s">
        <v>47</v>
      </c>
      <c r="D152" s="42">
        <f>TRUNC(55+1510,-1)</f>
        <v>1560</v>
      </c>
      <c r="E152" s="63">
        <f>TRUNC(+D152*3.3058,-1)</f>
        <v>5150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96120</v>
      </c>
      <c r="E154" s="39">
        <f>SUM(E149:E153)</f>
        <v>317720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TRUNC(30922,-1)</f>
        <v>30920</v>
      </c>
      <c r="E157" s="62">
        <f>TRUNC(+D157*3.3058,-1)</f>
        <v>102210</v>
      </c>
    </row>
    <row r="158" spans="1:7" x14ac:dyDescent="0.3">
      <c r="A158" s="2">
        <v>2</v>
      </c>
      <c r="C158" s="38" t="s">
        <v>52</v>
      </c>
      <c r="D158" s="42">
        <f>TRUNC(23063,-1)</f>
        <v>23060</v>
      </c>
      <c r="E158" s="63">
        <f>TRUNC(+D158*3.3058,-1)</f>
        <v>76230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53980</v>
      </c>
      <c r="E161" s="39">
        <f>SUM(E157:E160)</f>
        <v>178440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2020-12-08T01:30:00Z</dcterms:modified>
</cp:coreProperties>
</file>