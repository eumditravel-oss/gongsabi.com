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5" i="4"/>
  <c r="E54" i="4"/>
  <c r="E47" i="4"/>
  <c r="E37" i="4"/>
  <c r="E146" i="4" l="1"/>
  <c r="D40" i="4"/>
  <c r="E40" i="4" s="1"/>
  <c r="D152" i="4"/>
  <c r="E152" i="4" s="1"/>
  <c r="E154" i="4" s="1"/>
  <c r="D132" i="4" l="1"/>
  <c r="E132" i="4" s="1"/>
  <c r="E133" i="4" s="1"/>
  <c r="D118" i="4" l="1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4" i="4"/>
  <c r="E44" i="4" s="1"/>
  <c r="D45" i="4"/>
  <c r="E45" i="4" s="1"/>
  <c r="D46" i="4"/>
  <c r="E46" i="4" s="1"/>
  <c r="D43" i="4"/>
  <c r="E43" i="4" s="1"/>
  <c r="D42" i="4"/>
  <c r="E42" i="4" s="1"/>
  <c r="D41" i="4"/>
  <c r="E41" i="4" s="1"/>
  <c r="E60" i="4" l="1"/>
  <c r="D161" i="4"/>
  <c r="D154" i="4"/>
  <c r="D146" i="4"/>
  <c r="D133" i="4"/>
  <c r="D119" i="4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28" i="4"/>
  <c r="E28" i="4" s="1"/>
  <c r="D29" i="4"/>
  <c r="E29" i="4" s="1"/>
  <c r="D30" i="4"/>
  <c r="E30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<sst xmlns="http://schemas.openxmlformats.org/spreadsheetml/2006/main" count="385" uniqueCount="260">
  <si>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</si>
  <si>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</si>
  <si>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</si>
  <si>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</si>
  <si>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</si>
  <si>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</si>
  <si>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</si>
  <si>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</si>
  <si>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</si>
  <si>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</si>
  <si>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</si>
  <si>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</si>
  <si>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</si>
  <si>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</si>
  <si>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</si>
  <si>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</si>
  <si>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</si>
  <si>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</si>
  <si>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</si>
  <si>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</si>
  <si>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</si>
  <si>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</si>
  <si>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</si>
  <si>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</si>
  <si>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</si>
  <si>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</si>
  <si>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</si>
  <si>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</si>
  <si>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</si>
  <si>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</si>
  <si>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</si>
  <si>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</si>
  <si>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</si>
  <si>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</si>
  <si>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</si>
  <si>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</si>
  <si>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</si>
  <si>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</si>
  <si>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</si>
  <si>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</si>
  <si>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</si>
  <si>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</si>
  <si>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</si>
  <si>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</si>
  <si>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</si>
  <si>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</si>
  <si>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</si>
  <si>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</si>
  <si>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</si>
  <si>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</si>
  <si>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</si>
  <si>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</si>
  <si>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</si>
  <si>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</si>
  <si>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</si>
  <si>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</si>
  <si>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</si>
  <si>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</si>
  <si>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</si>
  <si>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</si>
  <si>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</si>
  <si>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</si>
  <si>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</si>
  <si>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</si>
  <si>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</si>
  <si>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</si>
  <si>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</si>
  <si>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</si>
  <si>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</si>
  <si>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</si>
  <si>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</si>
  <si>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</si>
  <si>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</si>
  <si>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</si>
  <si>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</si>
  <si>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</si>
  <si>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</si>
  <si>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</si>
  <si>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</si>
  <si>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</si>
  <si>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</si>
  <si>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</si>
  <si>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</si>
  <si>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</si>
  <si>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</si>
  <si>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</si>
  <si>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</si>
  <si>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</si>
  <si>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</si>
  <si>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</si>
  <si>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</si>
  <si>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</si>
  <si>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</si>
  <si>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</si>
  <si>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</si>
  <si>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</si>
  <si>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</si>
  <si>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</si>
  <si>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</si>
  <si>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</si>
  <si>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</si>
  <si>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</si>
  <si>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</si>
  <si>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</si>
  <si>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</si>
  <si>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</si>
  <si>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</si>
  <si>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</si>
  <si>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</si>
  <si>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</si>
  <si>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</si>
  <si>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</si>
  <si>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</si>
  <si>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</si>
  <si>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</si>
  <si>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</si>
  <si>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</si>
  <si>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</si>
  <si>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</si>
  <si>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</si>
  <si>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</si>
  <si>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</si>
  <si>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</si>
  <si>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</si>
  <si>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</si>
  <si>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</si>
  <si>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</si>
  <si>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</si>
  <si>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</si>
  <si>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</si>
  <si>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</si>
  <si>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</si>
  <si>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</si>
  <si>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</si>
  <si>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</si>
  <si>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</si>
  <si>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</si>
  <si>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</si>
  <si>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</si>
  <si>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</si>
  <si>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</si>
  <si>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</si>
  <si>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</si>
  <si>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</si>
  <si>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</si>
  <si>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</si>
  <si>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</si>
  <si>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</si>
  <si>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</si>
  <si>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</si>
  <si>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</si>
  <si>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</si>
  <si>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</si>
  <si>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</si>
  <si>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</si>
  <si>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</si>
  <si>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</si>
  <si>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</si>
  <si>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</si>
  <si>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</si>
  <si>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</si>
  <si>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</si>
  <si>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</si>
  <si>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</si>
  <si>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</si>
  <si>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</si>
  <si>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</si>
  <si>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</si>
  <si>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</si>
  <si>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</si>
  <si>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</si>
  <si>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</si>
  <si>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</si>
  <si>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</si>
  <si>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</si>
  <si>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</si>
  <si>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</si>
  <si>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</si>
  <si>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</si>
  <si>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</si>
  <si>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</si>
  <si>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</si>
  <si>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</si>
  <si>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</si>
  <si>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</si>
  <si>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</si>
  <si>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</si>
  <si>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</si>
  <si>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</si>
  <si>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</si>
  <si>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</si>
  <si>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</si>
  <si>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</si>
  <si>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</si>
  <si>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</si>
  <si>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</si>
  <si>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</si>
  <si>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</si>
  <si>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</si>
  <si>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</si>
  <si>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</si>
  <si>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</si>
  <si>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</si>
  <si>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</si>
  <si>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</si>
  <si>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</si>
  <si>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</si>
  <si>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</si>
  <si>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</si>
  <si>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</si>
  <si>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</si>
  <si>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</si>
  <si>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</si>
  <si>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</si>
  <si>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</si>
  <si>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</si>
  <si>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</si>
  <si>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</si>
  <si>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</si>
  <si>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</si>
  <si>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</si>
  <si>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</si>
  <si>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</si>
  <si>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</si>
  <si>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</si>
  <si>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</si>
  <si>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</si>
  <si>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</si>
  <si>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</si>
  <si>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</si>
  <si>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</si>
  <si>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</si>
  <si>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</si>
  <si>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</si>
  <si>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</si>
  <si>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</si>
  <si>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</si>
  <si>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</si>
  <si>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</si>
  <si>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</si>
  <si>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</si>
  <si>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</si>
  <si>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</si>
  <si>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</si>
  <si>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</si>
  <si>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</si>
  <si>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</si>
  <si>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</si>
  <si>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기타공사,골재대 및 운반비</t>
  </si>
  <si>
    <t>업무</t>
  </si>
  <si>
    <t>대구법원 종합청사 증축공사</t>
  </si>
  <si>
    <t>대구시</t>
  </si>
  <si>
    <t>토공사 및 지정공사</t>
  </si>
  <si>
    <t xml:space="preserve"> </t>
    <phoneticPr fontId="2" type="noConversion"/>
  </si>
  <si>
    <t>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</si>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</sst>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4945</v>
      </c>
      <c r="D7" s="36">
        <f>+C7/3.3058</f>
        <v>1495.855768649041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258</v>
      </c>
    </row>
    <row r="19" spans="1:5" x14ac:dyDescent="0.3">
      <c r="A19" s="2">
        <v>9</v>
      </c>
      <c r="B19" s="2" t="s">
        <v>259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821750</v>
      </c>
      <c r="E25" s="59">
        <f t="shared" si="0"/>
        <v>2716540</v>
      </c>
    </row>
    <row r="26" spans="1:5" x14ac:dyDescent="0.3">
      <c r="B26" s="2">
        <v>3</v>
      </c>
      <c r="C26" s="35" t="s">
        <v>95</v>
      </c>
      <c r="D26" s="45">
        <f>+D66</f>
        <v>7510</v>
      </c>
      <c r="E26" s="59">
        <f t="shared" si="0"/>
        <v>24820</v>
      </c>
    </row>
    <row r="27" spans="1:5" x14ac:dyDescent="0.3">
      <c r="B27" s="2">
        <v>4</v>
      </c>
      <c r="C27" s="35" t="s">
        <v>96</v>
      </c>
      <c r="D27" s="45">
        <f>+D95</f>
        <v>224620</v>
      </c>
      <c r="E27" s="59">
        <f t="shared" si="0"/>
        <v>742540</v>
      </c>
    </row>
    <row r="28" spans="1:5" x14ac:dyDescent="0.3">
      <c r="B28" s="2">
        <v>5</v>
      </c>
      <c r="C28" s="35" t="s">
        <v>97</v>
      </c>
      <c r="D28" s="45">
        <f>+D119</f>
        <v>203030</v>
      </c>
      <c r="E28" s="59">
        <f t="shared" si="0"/>
        <v>671170</v>
      </c>
    </row>
    <row r="29" spans="1:5" x14ac:dyDescent="0.3">
      <c r="B29" s="2">
        <v>6</v>
      </c>
      <c r="C29" s="35" t="s">
        <v>98</v>
      </c>
      <c r="D29" s="45">
        <f>+D133</f>
        <v>177910</v>
      </c>
      <c r="E29" s="59">
        <f t="shared" si="0"/>
        <v>588130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3370</v>
      </c>
      <c r="E31" s="59">
        <f t="shared" si="0"/>
        <v>11140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395500</v>
      </c>
      <c r="E33" s="60">
        <f t="shared" si="0"/>
        <v>1307440</v>
      </c>
    </row>
    <row r="34" spans="1:7" x14ac:dyDescent="0.3">
      <c r="C34" s="35" t="s">
        <v>112</v>
      </c>
      <c r="D34" s="44">
        <f>SUM(D24:D33)</f>
        <v>1833690</v>
      </c>
      <c r="E34" s="44">
        <f>SUM(E24:E33)</f>
        <v>6061780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255</v>
      </c>
      <c r="E39" s="67" t="s">
        <v>256</v>
      </c>
      <c r="G39" s="68"/>
    </row>
    <row r="40" spans="1:7" x14ac:dyDescent="0.3">
      <c r="A40" s="2">
        <v>1</v>
      </c>
      <c r="C40" s="38" t="s">
        <v>15</v>
      </c>
      <c r="D40" s="40">
        <f>TRUNC(40798,-1)</f>
        <v>40790</v>
      </c>
      <c r="E40" s="62">
        <f t="shared" ref="E40:E59" si="1">TRUNC(+D40*3.3058,-1)</f>
        <v>134840</v>
      </c>
    </row>
    <row r="41" spans="1:7" x14ac:dyDescent="0.3">
      <c r="A41" s="2">
        <v>2</v>
      </c>
      <c r="C41" s="38" t="s">
        <v>13</v>
      </c>
      <c r="D41" s="42">
        <f>TRUNC(219964,-1)</f>
        <v>219960</v>
      </c>
      <c r="E41" s="63">
        <f t="shared" si="1"/>
        <v>727140</v>
      </c>
    </row>
    <row r="42" spans="1:7" x14ac:dyDescent="0.3">
      <c r="A42" s="2">
        <v>3</v>
      </c>
      <c r="C42" s="38" t="s">
        <v>14</v>
      </c>
      <c r="D42" s="42">
        <f>TRUNC(11013,-1)</f>
        <v>11010</v>
      </c>
      <c r="E42" s="63">
        <f t="shared" si="1"/>
        <v>36390</v>
      </c>
    </row>
    <row r="43" spans="1:7" x14ac:dyDescent="0.3">
      <c r="A43" s="2">
        <v>4</v>
      </c>
      <c r="C43" s="38" t="s">
        <v>16</v>
      </c>
      <c r="D43" s="42">
        <f>TRUNC(10356,-1)</f>
        <v>10350</v>
      </c>
      <c r="E43" s="63">
        <f t="shared" si="1"/>
        <v>34210</v>
      </c>
    </row>
    <row r="44" spans="1:7" x14ac:dyDescent="0.3">
      <c r="A44" s="2">
        <v>5</v>
      </c>
      <c r="C44" s="38" t="s">
        <v>17</v>
      </c>
      <c r="D44" s="42">
        <f>TRUNC(9059,-1)</f>
        <v>9050</v>
      </c>
      <c r="E44" s="63">
        <f t="shared" si="1"/>
        <v>29910</v>
      </c>
    </row>
    <row r="45" spans="1:7" x14ac:dyDescent="0.3">
      <c r="A45" s="2">
        <v>6</v>
      </c>
      <c r="C45" s="38" t="s">
        <v>18</v>
      </c>
      <c r="D45" s="42">
        <f>TRUNC(740,-1)</f>
        <v>740</v>
      </c>
      <c r="E45" s="63">
        <f t="shared" si="1"/>
        <v>2440</v>
      </c>
    </row>
    <row r="46" spans="1:7" x14ac:dyDescent="0.3">
      <c r="A46" s="2">
        <v>7</v>
      </c>
      <c r="C46" s="38" t="s">
        <v>19</v>
      </c>
      <c r="D46" s="42">
        <f>TRUNC(4726,-1)</f>
        <v>4720</v>
      </c>
      <c r="E46" s="63">
        <f t="shared" si="1"/>
        <v>15600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TRUNC(27999,-1)</f>
        <v>27990</v>
      </c>
      <c r="E48" s="63">
        <f t="shared" si="1"/>
        <v>92520</v>
      </c>
    </row>
    <row r="49" spans="1:7" x14ac:dyDescent="0.3">
      <c r="A49" s="2">
        <v>10</v>
      </c>
      <c r="C49" s="38" t="s">
        <v>22</v>
      </c>
      <c r="D49" s="42">
        <f>TRUNC(29594,-1)</f>
        <v>29590</v>
      </c>
      <c r="E49" s="63">
        <f t="shared" si="1"/>
        <v>97810</v>
      </c>
    </row>
    <row r="50" spans="1:7" x14ac:dyDescent="0.3">
      <c r="A50" s="2">
        <v>11</v>
      </c>
      <c r="C50" s="38" t="s">
        <v>155</v>
      </c>
      <c r="D50" s="42">
        <f>TRUNC(35369,-1)</f>
        <v>35360</v>
      </c>
      <c r="E50" s="63">
        <f t="shared" si="1"/>
        <v>116890</v>
      </c>
    </row>
    <row r="51" spans="1:7" x14ac:dyDescent="0.3">
      <c r="A51" s="2">
        <v>12</v>
      </c>
      <c r="C51" s="38" t="s">
        <v>23</v>
      </c>
      <c r="D51" s="42">
        <f>TRUNC(3361,-1)</f>
        <v>3360</v>
      </c>
      <c r="E51" s="63">
        <f t="shared" si="1"/>
        <v>11100</v>
      </c>
    </row>
    <row r="52" spans="1:7" x14ac:dyDescent="0.3">
      <c r="A52" s="2">
        <v>13</v>
      </c>
      <c r="C52" s="38" t="s">
        <v>24</v>
      </c>
      <c r="D52" s="42">
        <f>TRUNC(13742,-1)</f>
        <v>13740</v>
      </c>
      <c r="E52" s="63">
        <f t="shared" si="1"/>
        <v>45420</v>
      </c>
    </row>
    <row r="53" spans="1:7" x14ac:dyDescent="0.3">
      <c r="A53" s="2">
        <v>14</v>
      </c>
      <c r="C53" s="38" t="s">
        <v>25</v>
      </c>
      <c r="D53" s="42">
        <f>TRUNC(34373,-1)</f>
        <v>34370</v>
      </c>
      <c r="E53" s="63">
        <f t="shared" si="1"/>
        <v>113620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TRUNC(247991+5069,-1)</f>
        <v>253060</v>
      </c>
      <c r="E58" s="63">
        <f t="shared" si="1"/>
        <v>836560</v>
      </c>
      <c r="F58" s="2" t="s">
        <v>248</v>
      </c>
    </row>
    <row r="59" spans="1:7" ht="17.25" thickBot="1" x14ac:dyDescent="0.35">
      <c r="A59" s="2">
        <v>20</v>
      </c>
      <c r="C59" s="38" t="s">
        <v>148</v>
      </c>
      <c r="D59" s="43">
        <f>TRUNC(127665.925176946,-1)</f>
        <v>127660</v>
      </c>
      <c r="E59" s="64">
        <f t="shared" si="1"/>
        <v>422010</v>
      </c>
    </row>
    <row r="60" spans="1:7" x14ac:dyDescent="0.3">
      <c r="A60" s="2">
        <v>21</v>
      </c>
      <c r="C60" s="27" t="s">
        <v>112</v>
      </c>
      <c r="D60" s="39">
        <f>SUM(D40:D59)</f>
        <v>821750</v>
      </c>
      <c r="E60" s="39">
        <f>SUM(E40:E59)</f>
        <v>2716460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TRUNC(7514,-1)</f>
        <v>7510</v>
      </c>
      <c r="E63" s="62">
        <f>TRUNC(+D63*3.3058,-1)</f>
        <v>24820</v>
      </c>
      <c r="F63" s="2" t="s">
        <v>252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7510</v>
      </c>
      <c r="E66" s="65">
        <f>SUM(E63:E65)</f>
        <v>24820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TRUNC(86198.5844287159,-1)</f>
        <v>86190</v>
      </c>
      <c r="E93" s="63">
        <f t="shared" si="2"/>
        <v>284920</v>
      </c>
    </row>
    <row r="94" spans="1:7" ht="17.25" thickBot="1" x14ac:dyDescent="0.35">
      <c r="A94" s="2">
        <v>26</v>
      </c>
      <c r="C94" s="38" t="s">
        <v>47</v>
      </c>
      <c r="D94" s="43">
        <f>TRUNC(138438,-1)</f>
        <v>138430</v>
      </c>
      <c r="E94" s="64">
        <f t="shared" si="2"/>
        <v>457620</v>
      </c>
    </row>
    <row r="95" spans="1:7" x14ac:dyDescent="0.3">
      <c r="A95" s="2">
        <v>27</v>
      </c>
      <c r="C95" s="27" t="s">
        <v>112</v>
      </c>
      <c r="D95" s="39">
        <f>SUM(D69:D94)</f>
        <v>224620</v>
      </c>
      <c r="E95" s="39">
        <f>SUM(E69:E94)</f>
        <v>742540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TRUNC(65403.6400404449,-1)</f>
        <v>65400</v>
      </c>
      <c r="E117" s="63">
        <f t="shared" si="3"/>
        <v>216190</v>
      </c>
    </row>
    <row r="118" spans="1:7" ht="17.25" thickBot="1" x14ac:dyDescent="0.35">
      <c r="A118" s="2">
        <v>21</v>
      </c>
      <c r="C118" s="38" t="s">
        <v>47</v>
      </c>
      <c r="D118" s="43">
        <f>TRUNC(137634,-1)</f>
        <v>137630</v>
      </c>
      <c r="E118" s="64">
        <f t="shared" si="3"/>
        <v>454970</v>
      </c>
    </row>
    <row r="119" spans="1:7" x14ac:dyDescent="0.3">
      <c r="A119" s="2">
        <v>22</v>
      </c>
      <c r="C119" s="27" t="s">
        <v>112</v>
      </c>
      <c r="D119" s="39">
        <f>SUM(D98:D118)</f>
        <v>203030</v>
      </c>
      <c r="E119" s="39">
        <f>SUM(E98:E118)</f>
        <v>671160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  <c r="F128" s="2" t="s">
        <v>253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TRUNC(69986.2487360971,-1)</f>
        <v>69980</v>
      </c>
      <c r="E131" s="63">
        <f t="shared" si="4"/>
        <v>231330</v>
      </c>
    </row>
    <row r="132" spans="1:7" ht="18" thickBot="1" x14ac:dyDescent="0.35">
      <c r="A132" s="2">
        <v>11</v>
      </c>
      <c r="C132" s="38" t="s">
        <v>47</v>
      </c>
      <c r="D132" s="43">
        <f>TRUNC(107939,-1)</f>
        <v>107930</v>
      </c>
      <c r="E132" s="64">
        <f t="shared" si="4"/>
        <v>356790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177910</v>
      </c>
      <c r="E133" s="39">
        <f>SUM(E122:E132)</f>
        <v>588120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TRUNC(3377,-1)</f>
        <v>3370</v>
      </c>
      <c r="E152" s="63">
        <f>TRUNC(+D152*3.3058,-1)</f>
        <v>11140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3370</v>
      </c>
      <c r="E154" s="39">
        <f>SUM(E149:E153)</f>
        <v>11140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2020-12-07T09:26:04Z</dcterms:modified>
</cp:coreProperties>
</file>