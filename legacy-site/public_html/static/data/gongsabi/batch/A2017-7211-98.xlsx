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37" i="4"/>
  <c r="D139" i="4"/>
  <c r="D141" i="4"/>
  <c r="D142" i="4"/>
  <c r="D140" i="4"/>
  <c r="D132" i="4"/>
  <c r="D125" i="4"/>
  <c r="D130" i="4"/>
  <c r="D118" i="4"/>
  <c r="D103" i="4"/>
  <c r="D102" i="4"/>
  <c r="D100" i="4"/>
  <c r="D99" i="4"/>
  <c r="D98" i="4"/>
  <c r="D92" i="4"/>
  <c r="D91" i="4"/>
  <c r="D89" i="4"/>
  <c r="D73" i="4"/>
  <c r="D69" i="4"/>
  <c r="D58" i="4"/>
  <c r="D53" i="4"/>
  <c r="D52" i="4"/>
  <c r="D50" i="4"/>
  <c r="D49" i="4"/>
  <c r="D48" i="4"/>
  <c r="D46" i="4"/>
  <c r="D45" i="4"/>
  <c r="D44" i="4"/>
  <c r="D43" i="4"/>
  <c r="D41" i="4"/>
  <c r="D40" i="4"/>
  <c r="D65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95" i="4"/>
  <c r="E60" i="4"/>
  <c r="E66" i="4"/>
  <c r="E133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<sst xmlns="http://schemas.openxmlformats.org/spreadsheetml/2006/main" count="390" uniqueCount="267">
  <si>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</si>
  <si>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</si>
  <si>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</si>
  <si>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</si>
  <si>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</si>
  <si>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</si>
  <si>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</si>
  <si>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</si>
  <si>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</si>
  <si>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</si>
  <si>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</si>
  <si>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</si>
  <si>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</si>
  <si>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</si>
  <si>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</si>
  <si>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</si>
  <si>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</si>
  <si>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</si>
  <si>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</si>
  <si>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</si>
  <si>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</si>
  <si>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</si>
  <si>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</si>
  <si>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</si>
  <si>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</si>
  <si>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</si>
  <si>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</si>
  <si>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</si>
  <si>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</si>
  <si>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</si>
  <si>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</si>
  <si>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</si>
  <si>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</si>
  <si>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</si>
  <si>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</si>
  <si>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</si>
  <si>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</si>
  <si>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</si>
  <si>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</si>
  <si>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</si>
  <si>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</si>
  <si>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</si>
  <si>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</si>
  <si>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</si>
  <si>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</si>
  <si>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</si>
  <si>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</si>
  <si>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</si>
  <si>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</si>
  <si>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</si>
  <si>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</si>
  <si>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</si>
  <si>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</si>
  <si>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</si>
  <si>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</si>
  <si>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</si>
  <si>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</si>
  <si>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</si>
  <si>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</si>
  <si>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</si>
  <si>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</si>
  <si>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</si>
  <si>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</si>
  <si>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</si>
  <si>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</si>
  <si>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</si>
  <si>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</si>
  <si>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</si>
  <si>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</si>
  <si>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</si>
  <si>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</si>
  <si>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</si>
  <si>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</si>
  <si>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</si>
  <si>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</si>
  <si>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</si>
  <si>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</si>
  <si>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</si>
  <si>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</si>
  <si>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</si>
  <si>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</si>
  <si>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</si>
  <si>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</si>
  <si>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</si>
  <si>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</si>
  <si>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</si>
  <si>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</si>
  <si>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</si>
  <si>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</si>
  <si>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</si>
  <si>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</si>
  <si>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</si>
  <si>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</si>
  <si>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</si>
  <si>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</si>
  <si>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</si>
  <si>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</si>
  <si>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</si>
  <si>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</si>
  <si>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</si>
  <si>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</si>
  <si>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</si>
  <si>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</si>
  <si>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</si>
  <si>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</si>
  <si>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</si>
  <si>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</si>
  <si>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</si>
  <si>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</si>
  <si>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</si>
  <si>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</si>
  <si>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</si>
  <si>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</si>
  <si>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</si>
  <si>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</si>
  <si>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</si>
  <si>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</si>
  <si>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</si>
  <si>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</si>
  <si>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</si>
  <si>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</si>
  <si>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</si>
  <si>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</si>
  <si>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</si>
  <si>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</si>
  <si>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</si>
  <si>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</si>
  <si>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</si>
  <si>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</si>
  <si>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</si>
  <si>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</si>
  <si>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</si>
  <si>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</si>
  <si>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</si>
  <si>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</si>
  <si>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</si>
  <si>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</si>
  <si>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</si>
  <si>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</si>
  <si>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</si>
  <si>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</si>
  <si>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</si>
  <si>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</si>
  <si>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</si>
  <si>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</si>
  <si>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</si>
  <si>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</si>
  <si>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</si>
  <si>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</si>
  <si>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</si>
  <si>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</si>
  <si>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</si>
  <si>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</si>
  <si>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</si>
  <si>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</si>
  <si>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</si>
  <si>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</si>
  <si>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</si>
  <si>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</si>
  <si>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</si>
  <si>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</si>
  <si>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</si>
  <si>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</si>
  <si>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</si>
  <si>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</si>
  <si>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</si>
  <si>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</si>
  <si>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</si>
  <si>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</si>
  <si>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</si>
  <si>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</si>
  <si>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</si>
  <si>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</si>
  <si>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</si>
  <si>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</si>
  <si>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</si>
  <si>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</si>
  <si>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</si>
  <si>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</si>
  <si>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</si>
  <si>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</si>
  <si>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</si>
  <si>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</si>
  <si>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</si>
  <si>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</si>
  <si>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</si>
  <si>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</si>
  <si>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</si>
  <si>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</si>
  <si>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</si>
  <si>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</si>
  <si>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</si>
  <si>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</si>
  <si>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</si>
  <si>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</si>
  <si>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</si>
  <si>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</si>
  <si>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</si>
  <si>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</si>
  <si>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</si>
  <si>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</si>
  <si>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</si>
  <si>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</si>
  <si>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</si>
  <si>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</si>
  <si>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</si>
  <si>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</si>
  <si>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</si>
  <si>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</si>
  <si>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</si>
  <si>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</si>
  <si>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</si>
  <si>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</si>
  <si>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</si>
  <si>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</si>
  <si>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</si>
  <si>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</si>
  <si>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</si>
  <si>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</si>
  <si>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</si>
  <si>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</si>
  <si>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</si>
  <si>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</si>
  <si>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</si>
  <si>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</si>
  <si>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</si>
  <si>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</si>
  <si>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</si>
  <si>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</si>
  <si>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</si>
  <si>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</si>
  <si>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</si>
  <si>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</si>
  <si>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</si>
  <si>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</si>
  <si>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</si>
  <si>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</si>
  <si>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</si>
  <si>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</si>
  <si>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</si>
  <si>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</si>
  <si>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</si>
  <si>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</si>
  <si>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</si>
  <si>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</si>
  <si>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</si>
  <si>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</si>
  <si>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</si>
  <si>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칠백의총 종합정비사업 1단계 공사</t>
    <phoneticPr fontId="2" type="noConversion"/>
  </si>
  <si>
    <t>문화및집회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</si>
  <si>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</si>
  <si>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</si>
  <si>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</si>
  <si>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</si>
  <si>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기초공사,해체및철거공사,폐기물처리비,골재비및운반비,작업부산물,품질시험비,기타공사</t>
    <phoneticPr fontId="2" type="noConversion"/>
  </si>
  <si>
    <t xml:space="preserve">기타공사 </t>
    <phoneticPr fontId="2" type="noConversion"/>
  </si>
  <si>
    <t>CCTV설비공사</t>
    <phoneticPr fontId="2" type="noConversion"/>
  </si>
  <si>
    <t>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</si>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</sst>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3092.97</v>
      </c>
      <c r="D7" s="36">
        <f>+C7/3.3058</f>
        <v>935.61921471353367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1270730</v>
      </c>
      <c r="E25" s="59">
        <f t="shared" si="0"/>
        <v>4200770</v>
      </c>
    </row>
    <row r="26" spans="1:5" x14ac:dyDescent="0.3">
      <c r="B26" s="2">
        <v>3</v>
      </c>
      <c r="C26" s="35" t="s">
        <v>95</v>
      </c>
      <c r="D26" s="45">
        <f>+D66</f>
        <v>194350</v>
      </c>
      <c r="E26" s="59">
        <f t="shared" si="0"/>
        <v>642480</v>
      </c>
    </row>
    <row r="27" spans="1:5" x14ac:dyDescent="0.3">
      <c r="B27" s="2">
        <v>4</v>
      </c>
      <c r="C27" s="35" t="s">
        <v>96</v>
      </c>
      <c r="D27" s="45">
        <f>+D95</f>
        <v>200100</v>
      </c>
      <c r="E27" s="59">
        <f t="shared" si="0"/>
        <v>661490</v>
      </c>
    </row>
    <row r="28" spans="1:5" x14ac:dyDescent="0.3">
      <c r="B28" s="2">
        <v>5</v>
      </c>
      <c r="C28" s="35" t="s">
        <v>97</v>
      </c>
      <c r="D28" s="45">
        <f>+D119</f>
        <v>276040</v>
      </c>
      <c r="E28" s="59">
        <f t="shared" si="0"/>
        <v>912530</v>
      </c>
    </row>
    <row r="29" spans="1:5" x14ac:dyDescent="0.3">
      <c r="B29" s="2">
        <v>6</v>
      </c>
      <c r="C29" s="35" t="s">
        <v>98</v>
      </c>
      <c r="D29" s="45">
        <f>+D133</f>
        <v>102420</v>
      </c>
      <c r="E29" s="59">
        <f t="shared" si="0"/>
        <v>338580</v>
      </c>
    </row>
    <row r="30" spans="1:5" x14ac:dyDescent="0.3">
      <c r="B30" s="2">
        <v>7</v>
      </c>
      <c r="C30" s="35" t="s">
        <v>99</v>
      </c>
      <c r="D30" s="45">
        <f>+D146</f>
        <v>70770</v>
      </c>
      <c r="E30" s="59">
        <f t="shared" si="0"/>
        <v>233950</v>
      </c>
    </row>
    <row r="31" spans="1:5" x14ac:dyDescent="0.3">
      <c r="B31" s="2">
        <v>8</v>
      </c>
      <c r="C31" s="35" t="s">
        <v>100</v>
      </c>
      <c r="D31" s="45">
        <f>+D154</f>
        <v>39340</v>
      </c>
      <c r="E31" s="59">
        <f t="shared" si="0"/>
        <v>130050</v>
      </c>
    </row>
    <row r="32" spans="1:5" x14ac:dyDescent="0.3">
      <c r="B32" s="2">
        <v>9</v>
      </c>
      <c r="C32" s="35" t="s">
        <v>101</v>
      </c>
      <c r="D32" s="45">
        <f>+D161</f>
        <v>62370</v>
      </c>
      <c r="E32" s="59">
        <f t="shared" si="0"/>
        <v>206180</v>
      </c>
    </row>
    <row r="33" spans="1:7" x14ac:dyDescent="0.3">
      <c r="B33" s="2">
        <v>10</v>
      </c>
      <c r="C33" s="35" t="s">
        <v>154</v>
      </c>
      <c r="D33" s="53">
        <f>TRUNC(SUM(D24:D32)*0.275,-1)</f>
        <v>609430</v>
      </c>
      <c r="E33" s="60">
        <f t="shared" si="0"/>
        <v>2014650</v>
      </c>
    </row>
    <row r="34" spans="1:7" x14ac:dyDescent="0.3">
      <c r="C34" s="35" t="s">
        <v>112</v>
      </c>
      <c r="D34" s="44">
        <f>SUM(D24:D33)</f>
        <v>2825550</v>
      </c>
      <c r="E34" s="44">
        <f>SUM(E24:E33)</f>
        <v>9340680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TRUNC(77753,-1)</f>
        <v>77750</v>
      </c>
      <c r="E40" s="62">
        <f t="shared" ref="E40:E59" si="1">TRUNC(+D40*3.3058,-1)</f>
        <v>257020</v>
      </c>
    </row>
    <row r="41" spans="1:7" x14ac:dyDescent="0.3">
      <c r="A41" s="2">
        <v>2</v>
      </c>
      <c r="C41" s="38" t="s">
        <v>13</v>
      </c>
      <c r="D41" s="42">
        <f>TRUNC(224915,-1)</f>
        <v>224910</v>
      </c>
      <c r="E41" s="63">
        <f t="shared" si="1"/>
        <v>743500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TRUNC(35453,-1)</f>
        <v>35450</v>
      </c>
      <c r="E43" s="63">
        <f t="shared" si="1"/>
        <v>117190</v>
      </c>
    </row>
    <row r="44" spans="1:7" x14ac:dyDescent="0.3">
      <c r="A44" s="2">
        <v>5</v>
      </c>
      <c r="C44" s="38" t="s">
        <v>17</v>
      </c>
      <c r="D44" s="42">
        <f>TRUNC(90601,-1)</f>
        <v>90600</v>
      </c>
      <c r="E44" s="63">
        <f t="shared" si="1"/>
        <v>299500</v>
      </c>
    </row>
    <row r="45" spans="1:7" x14ac:dyDescent="0.3">
      <c r="A45" s="2">
        <v>6</v>
      </c>
      <c r="C45" s="38" t="s">
        <v>18</v>
      </c>
      <c r="D45" s="42">
        <f>TRUNC(7466,-1)</f>
        <v>7460</v>
      </c>
      <c r="E45" s="63">
        <f t="shared" si="1"/>
        <v>24660</v>
      </c>
    </row>
    <row r="46" spans="1:7" x14ac:dyDescent="0.3">
      <c r="A46" s="2">
        <v>7</v>
      </c>
      <c r="C46" s="38" t="s">
        <v>19</v>
      </c>
      <c r="D46" s="42">
        <f>TRUNC(45309,-1)</f>
        <v>45300</v>
      </c>
      <c r="E46" s="63">
        <f t="shared" si="1"/>
        <v>149750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TRUNC(111142,-1)</f>
        <v>111140</v>
      </c>
      <c r="E48" s="63">
        <f t="shared" si="1"/>
        <v>367400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TRUNC(32991,-1)</f>
        <v>32990</v>
      </c>
      <c r="E49" s="63">
        <f t="shared" si="1"/>
        <v>109050</v>
      </c>
    </row>
    <row r="50" spans="1:7" x14ac:dyDescent="0.3">
      <c r="A50" s="2">
        <v>11</v>
      </c>
      <c r="C50" s="38" t="s">
        <v>155</v>
      </c>
      <c r="D50" s="42">
        <f>TRUNC(171791,-1)</f>
        <v>171790</v>
      </c>
      <c r="E50" s="63">
        <f t="shared" si="1"/>
        <v>567900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TRUNC(48559,-1)</f>
        <v>48550</v>
      </c>
      <c r="E52" s="63">
        <f t="shared" si="1"/>
        <v>160490</v>
      </c>
    </row>
    <row r="53" spans="1:7" x14ac:dyDescent="0.3">
      <c r="A53" s="2">
        <v>14</v>
      </c>
      <c r="C53" s="38" t="s">
        <v>25</v>
      </c>
      <c r="D53" s="42">
        <f>TRUNC(144269,-1)</f>
        <v>144260</v>
      </c>
      <c r="E53" s="63">
        <f t="shared" si="1"/>
        <v>476890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TRUNC(16559+2154+382+11678-581+944+19748,-1)</f>
        <v>50880</v>
      </c>
      <c r="E58" s="63">
        <f t="shared" si="1"/>
        <v>168190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TRUNC(229653,-1)</f>
        <v>229650</v>
      </c>
      <c r="E59" s="64">
        <f t="shared" si="1"/>
        <v>759170</v>
      </c>
    </row>
    <row r="60" spans="1:7" x14ac:dyDescent="0.3">
      <c r="A60" s="2">
        <v>21</v>
      </c>
      <c r="C60" s="27" t="s">
        <v>112</v>
      </c>
      <c r="D60" s="39">
        <f>SUM(D40:D59)</f>
        <v>1270730</v>
      </c>
      <c r="E60" s="39">
        <f>SUM(E40:E59)</f>
        <v>4200710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TRUNC(194356,-1)</f>
        <v>194350</v>
      </c>
      <c r="E65" s="64">
        <f>TRUNC(+D65*3.3058,-1)</f>
        <v>642480</v>
      </c>
    </row>
    <row r="66" spans="1:7" x14ac:dyDescent="0.3">
      <c r="A66" s="2">
        <v>4</v>
      </c>
      <c r="C66" s="27" t="s">
        <v>112</v>
      </c>
      <c r="D66" s="39">
        <f>SUM(D63:D65)</f>
        <v>194350</v>
      </c>
      <c r="E66" s="65">
        <f>SUM(E63:E65)</f>
        <v>642480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TRUNC(12767,-1)</f>
        <v>12760</v>
      </c>
      <c r="E69" s="62">
        <f t="shared" ref="E69:E94" si="2">TRUNC(+D69*3.3058,-1)</f>
        <v>42180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TRUNC(7946,-1)</f>
        <v>7940</v>
      </c>
      <c r="E73" s="63">
        <f t="shared" si="2"/>
        <v>26240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TRUNC(4902,-1)</f>
        <v>4900</v>
      </c>
      <c r="E89" s="63">
        <f t="shared" si="2"/>
        <v>16190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TRUNC(67453,-1)</f>
        <v>67450</v>
      </c>
      <c r="E91" s="63">
        <f t="shared" si="2"/>
        <v>222970</v>
      </c>
    </row>
    <row r="92" spans="1:7" x14ac:dyDescent="0.3">
      <c r="A92" s="2">
        <v>24</v>
      </c>
      <c r="C92" s="38" t="s">
        <v>38</v>
      </c>
      <c r="D92" s="42">
        <f>TRUNC(5034,-1)</f>
        <v>5030</v>
      </c>
      <c r="E92" s="63">
        <f t="shared" si="2"/>
        <v>16620</v>
      </c>
    </row>
    <row r="93" spans="1:7" x14ac:dyDescent="0.3">
      <c r="A93" s="2">
        <v>25</v>
      </c>
      <c r="C93" s="38" t="s">
        <v>148</v>
      </c>
      <c r="D93" s="42">
        <f>TRUNC(102022,-1)</f>
        <v>102020</v>
      </c>
      <c r="E93" s="63">
        <f t="shared" si="2"/>
        <v>337250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200100</v>
      </c>
      <c r="E95" s="39">
        <f>SUM(E69:E94)</f>
        <v>661450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TRUNC(38468,-1)</f>
        <v>38460</v>
      </c>
      <c r="E98" s="62">
        <f t="shared" ref="E98:E118" si="3">TRUNC(+D98*3.3058,-1)</f>
        <v>127140</v>
      </c>
    </row>
    <row r="99" spans="1:7" x14ac:dyDescent="0.3">
      <c r="A99" s="2">
        <v>2</v>
      </c>
      <c r="C99" s="38" t="s">
        <v>40</v>
      </c>
      <c r="D99" s="42">
        <f>TRUNC(4290,-1)</f>
        <v>4290</v>
      </c>
      <c r="E99" s="63">
        <f t="shared" si="3"/>
        <v>14180</v>
      </c>
    </row>
    <row r="100" spans="1:7" x14ac:dyDescent="0.3">
      <c r="A100" s="2">
        <v>3</v>
      </c>
      <c r="C100" s="38" t="s">
        <v>41</v>
      </c>
      <c r="D100" s="42">
        <f>TRUNC(41539,-1)</f>
        <v>41530</v>
      </c>
      <c r="E100" s="63">
        <f t="shared" si="3"/>
        <v>137280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TRUNC(12232,-1)</f>
        <v>12230</v>
      </c>
      <c r="E102" s="63">
        <f t="shared" si="3"/>
        <v>40420</v>
      </c>
    </row>
    <row r="103" spans="1:7" x14ac:dyDescent="0.3">
      <c r="A103" s="2">
        <v>6</v>
      </c>
      <c r="C103" s="38" t="s">
        <v>44</v>
      </c>
      <c r="D103" s="42">
        <f>TRUNC(11475,-1)</f>
        <v>11470</v>
      </c>
      <c r="E103" s="63">
        <f t="shared" si="3"/>
        <v>37910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TRUNC(148158,-1)</f>
        <v>148150</v>
      </c>
      <c r="E117" s="63">
        <f t="shared" si="3"/>
        <v>489750</v>
      </c>
    </row>
    <row r="118" spans="1:7" ht="17.25" thickBot="1" x14ac:dyDescent="0.35">
      <c r="A118" s="2">
        <v>21</v>
      </c>
      <c r="C118" s="38" t="s">
        <v>47</v>
      </c>
      <c r="D118" s="43">
        <f>TRUNC(19918,-1)</f>
        <v>19910</v>
      </c>
      <c r="E118" s="64">
        <f t="shared" si="3"/>
        <v>65810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276040</v>
      </c>
      <c r="E119" s="39">
        <f>SUM(E98:E118)</f>
        <v>912490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TRUNC(5143,-1)</f>
        <v>5140</v>
      </c>
      <c r="E125" s="63">
        <f t="shared" si="4"/>
        <v>16990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TRUNC(30817,-1)</f>
        <v>30810</v>
      </c>
      <c r="E130" s="63">
        <f t="shared" si="4"/>
        <v>101850</v>
      </c>
    </row>
    <row r="131" spans="1:7" x14ac:dyDescent="0.3">
      <c r="A131" s="2">
        <v>10</v>
      </c>
      <c r="C131" s="38" t="s">
        <v>148</v>
      </c>
      <c r="D131" s="42">
        <f>TRUNC(57754,-1)</f>
        <v>57750</v>
      </c>
      <c r="E131" s="63">
        <f t="shared" si="4"/>
        <v>190900</v>
      </c>
    </row>
    <row r="132" spans="1:7" ht="18" thickBot="1" x14ac:dyDescent="0.35">
      <c r="A132" s="2">
        <v>11</v>
      </c>
      <c r="C132" s="38" t="s">
        <v>47</v>
      </c>
      <c r="D132" s="43">
        <f>TRUNC(8721,-1)</f>
        <v>8720</v>
      </c>
      <c r="E132" s="64">
        <f t="shared" si="4"/>
        <v>28820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102420</v>
      </c>
      <c r="E133" s="39">
        <f>SUM(E122:E132)</f>
        <v>338560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TRUNC(28713,-1)</f>
        <v>28710</v>
      </c>
      <c r="E137" s="63">
        <f t="shared" si="5"/>
        <v>94900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TRUNC(4442,-1)</f>
        <v>4440</v>
      </c>
      <c r="E139" s="63">
        <f t="shared" si="5"/>
        <v>14670</v>
      </c>
    </row>
    <row r="140" spans="1:7" x14ac:dyDescent="0.3">
      <c r="A140" s="2">
        <v>5</v>
      </c>
      <c r="C140" s="38" t="s">
        <v>57</v>
      </c>
      <c r="D140" s="42">
        <f>TRUNC(13042,-1)</f>
        <v>13040</v>
      </c>
      <c r="E140" s="63">
        <f t="shared" si="5"/>
        <v>43100</v>
      </c>
    </row>
    <row r="141" spans="1:7" x14ac:dyDescent="0.3">
      <c r="A141" s="2">
        <v>6</v>
      </c>
      <c r="C141" s="38" t="s">
        <v>59</v>
      </c>
      <c r="D141" s="42">
        <f>TRUNC(21139,-1)</f>
        <v>21130</v>
      </c>
      <c r="E141" s="63">
        <f t="shared" si="5"/>
        <v>69850</v>
      </c>
    </row>
    <row r="142" spans="1:7" x14ac:dyDescent="0.3">
      <c r="A142" s="2">
        <v>7</v>
      </c>
      <c r="C142" s="38" t="s">
        <v>58</v>
      </c>
      <c r="D142" s="42">
        <f>TRUNC(3450,-1)</f>
        <v>3450</v>
      </c>
      <c r="E142" s="63">
        <f t="shared" si="5"/>
        <v>11400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70770</v>
      </c>
      <c r="E146" s="39">
        <f>SUM(E136:E145)</f>
        <v>233920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f>TRUNC(39343,-1)</f>
        <v>39340</v>
      </c>
      <c r="E153" s="64">
        <f>TRUNC(+D153*3.3058,-1)</f>
        <v>130050</v>
      </c>
    </row>
    <row r="154" spans="1:7" x14ac:dyDescent="0.3">
      <c r="A154" s="2">
        <v>6</v>
      </c>
      <c r="C154" s="27" t="s">
        <v>112</v>
      </c>
      <c r="D154" s="39">
        <f>SUM(D149:D153)</f>
        <v>39340</v>
      </c>
      <c r="E154" s="39">
        <f>SUM(E149:E153)</f>
        <v>130050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f>TRUNC(52603,-1)</f>
        <v>52600</v>
      </c>
      <c r="E158" s="63">
        <f>TRUNC(+D158*3.3058,-1)</f>
        <v>173880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f>TRUNC(3362+6412,-1)</f>
        <v>9770</v>
      </c>
      <c r="E159" s="63">
        <f>TRUNC(+D159*3.3058,-1)</f>
        <v>32290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62370</v>
      </c>
      <c r="E161" s="39">
        <f>SUM(E157:E160)</f>
        <v>206170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2020-12-08T01:53:22Z</dcterms:modified>
</cp:coreProperties>
</file>