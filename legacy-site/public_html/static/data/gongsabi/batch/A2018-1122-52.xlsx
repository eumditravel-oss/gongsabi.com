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0" i="4"/>
  <c r="D149" i="4"/>
  <c r="D144" i="4"/>
  <c r="D143" i="4"/>
  <c r="D142" i="4"/>
  <c r="D141" i="4"/>
  <c r="D138" i="4"/>
  <c r="D137" i="4"/>
  <c r="D132" i="4"/>
  <c r="D131" i="4"/>
  <c r="D127" i="4"/>
  <c r="D130" i="4"/>
  <c r="D125" i="4"/>
  <c r="D124" i="4"/>
  <c r="D122" i="4"/>
  <c r="D118" i="4"/>
  <c r="D117" i="4"/>
  <c r="D116" i="4"/>
  <c r="D114" i="4"/>
  <c r="D104" i="4"/>
  <c r="D103" i="4"/>
  <c r="D102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65" i="4"/>
  <c r="D63" i="4"/>
  <c r="D59" i="4"/>
  <c r="D53" i="4"/>
  <c r="D52" i="4"/>
  <c r="D50" i="4"/>
  <c r="D49" i="4"/>
  <c r="D48" i="4"/>
  <c r="D46" i="4"/>
  <c r="D45" i="4"/>
  <c r="D44" i="4"/>
  <c r="D43" i="4"/>
  <c r="D42" i="4"/>
  <c r="D41" i="4"/>
  <c r="D40" i="4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<sst xmlns="http://schemas.openxmlformats.org/spreadsheetml/2006/main" count="392" uniqueCount="267">
  <si>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</si>
  <si>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</si>
  <si>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</si>
  <si>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</si>
  <si>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</si>
  <si>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</si>
  <si>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</si>
  <si>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</si>
  <si>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</si>
  <si>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</si>
  <si>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</si>
  <si>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</si>
  <si>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</si>
  <si>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</si>
  <si>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</si>
  <si>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</si>
  <si>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</si>
  <si>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</si>
  <si>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</si>
  <si>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</si>
  <si>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</si>
  <si>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</si>
  <si>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</si>
  <si>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</si>
  <si>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</si>
  <si>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</si>
  <si>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</si>
  <si>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</si>
  <si>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</si>
  <si>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</si>
  <si>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</si>
  <si>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</si>
  <si>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</si>
  <si>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</si>
  <si>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</si>
  <si>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</si>
  <si>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</si>
  <si>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</si>
  <si>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</si>
  <si>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</si>
  <si>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</si>
  <si>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</si>
  <si>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</si>
  <si>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</si>
  <si>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</si>
  <si>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</si>
  <si>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</si>
  <si>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</si>
  <si>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</si>
  <si>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</si>
  <si>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</si>
  <si>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</si>
  <si>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</si>
  <si>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</si>
  <si>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</si>
  <si>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</si>
  <si>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</si>
  <si>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</si>
  <si>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</si>
  <si>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</si>
  <si>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</si>
  <si>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</si>
  <si>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</si>
  <si>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</si>
  <si>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</si>
  <si>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</si>
  <si>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</si>
  <si>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</si>
  <si>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</si>
  <si>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</si>
  <si>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</si>
  <si>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</si>
  <si>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</si>
  <si>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</si>
  <si>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</si>
  <si>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</si>
  <si>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</si>
  <si>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</si>
  <si>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</si>
  <si>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</si>
  <si>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</si>
  <si>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</si>
  <si>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</si>
  <si>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</si>
  <si>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</si>
  <si>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</si>
  <si>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</si>
  <si>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</si>
  <si>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</si>
  <si>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</si>
  <si>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</si>
  <si>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</si>
  <si>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</si>
  <si>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</si>
  <si>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</si>
  <si>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</si>
  <si>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</si>
  <si>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</si>
  <si>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</si>
  <si>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</si>
  <si>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</si>
  <si>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</si>
  <si>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</si>
  <si>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</si>
  <si>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</si>
  <si>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</si>
  <si>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</si>
  <si>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</si>
  <si>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</si>
  <si>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</si>
  <si>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</si>
  <si>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</si>
  <si>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</si>
  <si>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</si>
  <si>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</si>
  <si>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</si>
  <si>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</si>
  <si>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</si>
  <si>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</si>
  <si>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</si>
  <si>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</si>
  <si>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</si>
  <si>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</si>
  <si>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</si>
  <si>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</si>
  <si>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</si>
  <si>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</si>
  <si>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</si>
  <si>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</si>
  <si>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</si>
  <si>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</si>
  <si>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</si>
  <si>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</si>
  <si>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</si>
  <si>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</si>
  <si>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</si>
  <si>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</si>
  <si>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</si>
  <si>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</si>
  <si>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</si>
  <si>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</si>
  <si>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</si>
  <si>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</si>
  <si>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</si>
  <si>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</si>
  <si>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</si>
  <si>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</si>
  <si>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</si>
  <si>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</si>
  <si>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</si>
  <si>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</si>
  <si>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</si>
  <si>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</si>
  <si>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</si>
  <si>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</si>
  <si>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</si>
  <si>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</si>
  <si>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</si>
  <si>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</si>
  <si>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</si>
  <si>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</si>
  <si>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</si>
  <si>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</si>
  <si>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</si>
  <si>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</si>
  <si>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</si>
  <si>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</si>
  <si>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</si>
  <si>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</si>
  <si>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</si>
  <si>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</si>
  <si>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</si>
  <si>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</si>
  <si>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</si>
  <si>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</si>
  <si>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</si>
  <si>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</si>
  <si>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</si>
  <si>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</si>
  <si>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</si>
  <si>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</si>
  <si>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</si>
  <si>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</si>
  <si>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</si>
  <si>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</si>
  <si>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</si>
  <si>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</si>
  <si>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</si>
  <si>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</si>
  <si>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</si>
  <si>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</si>
  <si>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</si>
  <si>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</si>
  <si>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</si>
  <si>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</si>
  <si>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</si>
  <si>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</si>
  <si>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</si>
  <si>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</si>
  <si>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</si>
  <si>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</si>
  <si>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</si>
  <si>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</si>
  <si>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</si>
  <si>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</si>
  <si>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</si>
  <si>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</si>
  <si>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</si>
  <si>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</si>
  <si>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</si>
  <si>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</si>
  <si>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</si>
  <si>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</si>
  <si>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</si>
  <si>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</si>
  <si>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</si>
  <si>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</si>
  <si>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</si>
  <si>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</si>
  <si>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</si>
  <si>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</si>
  <si>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</si>
  <si>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</si>
  <si>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</si>
  <si>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</si>
  <si>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</si>
  <si>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</si>
  <si>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</si>
  <si>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</si>
  <si>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</si>
  <si>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</si>
  <si>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</si>
  <si>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</si>
  <si>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</si>
  <si>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</si>
  <si>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</si>
  <si>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</si>
  <si>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</si>
  <si>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</si>
  <si>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</si>
  <si>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</si>
  <si>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</si>
  <si>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</si>
  <si>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</si>
  <si>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</si>
  <si>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</si>
  <si>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</si>
  <si>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</si>
  <si>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</si>
  <si>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</si>
  <si>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아양도서관 건립사업 건축공사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</si>
  <si>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</si>
  <si>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</si>
  <si>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</si>
  <si>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폐기물처리비, 골재비및운반비, 작업부산물, 기타공사</t>
    <phoneticPr fontId="2" type="noConversion"/>
  </si>
  <si>
    <t>공조배관공사, 난방배관공사, 기타공사</t>
    <phoneticPr fontId="2" type="noConversion"/>
  </si>
  <si>
    <t xml:space="preserve"> 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</si>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</sst>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2764.85</v>
      </c>
      <c r="D7" s="36">
        <f>+C7/3.3058</f>
        <v>836.36336136487387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1234610</v>
      </c>
      <c r="E25" s="59">
        <f t="shared" si="0"/>
        <v>4081370</v>
      </c>
    </row>
    <row r="26" spans="1:5" x14ac:dyDescent="0.3">
      <c r="B26" s="2">
        <v>3</v>
      </c>
      <c r="C26" s="35" t="s">
        <v>95</v>
      </c>
      <c r="D26" s="45">
        <f>+D66</f>
        <v>12730</v>
      </c>
      <c r="E26" s="59">
        <f t="shared" si="0"/>
        <v>42080</v>
      </c>
    </row>
    <row r="27" spans="1:5" x14ac:dyDescent="0.3">
      <c r="B27" s="2">
        <v>4</v>
      </c>
      <c r="C27" s="35" t="s">
        <v>96</v>
      </c>
      <c r="D27" s="45">
        <f>+D95</f>
        <v>433270</v>
      </c>
      <c r="E27" s="59">
        <f t="shared" si="0"/>
        <v>1432300</v>
      </c>
    </row>
    <row r="28" spans="1:5" x14ac:dyDescent="0.3">
      <c r="B28" s="2">
        <v>5</v>
      </c>
      <c r="C28" s="35" t="s">
        <v>97</v>
      </c>
      <c r="D28" s="45">
        <f>+D119</f>
        <v>222090</v>
      </c>
      <c r="E28" s="59">
        <f t="shared" si="0"/>
        <v>734180</v>
      </c>
    </row>
    <row r="29" spans="1:5" x14ac:dyDescent="0.3">
      <c r="B29" s="2">
        <v>6</v>
      </c>
      <c r="C29" s="35" t="s">
        <v>98</v>
      </c>
      <c r="D29" s="45">
        <f>+D133</f>
        <v>144460</v>
      </c>
      <c r="E29" s="59">
        <f t="shared" si="0"/>
        <v>477550</v>
      </c>
    </row>
    <row r="30" spans="1:5" x14ac:dyDescent="0.3">
      <c r="B30" s="2">
        <v>7</v>
      </c>
      <c r="C30" s="35" t="s">
        <v>99</v>
      </c>
      <c r="D30" s="45">
        <f>+D146</f>
        <v>26860</v>
      </c>
      <c r="E30" s="59">
        <f t="shared" si="0"/>
        <v>88790</v>
      </c>
    </row>
    <row r="31" spans="1:5" x14ac:dyDescent="0.3">
      <c r="B31" s="2">
        <v>8</v>
      </c>
      <c r="C31" s="35" t="s">
        <v>100</v>
      </c>
      <c r="D31" s="45">
        <f>+D154</f>
        <v>20590</v>
      </c>
      <c r="E31" s="59">
        <f t="shared" si="0"/>
        <v>68060</v>
      </c>
    </row>
    <row r="32" spans="1:5" x14ac:dyDescent="0.3">
      <c r="B32" s="2">
        <v>9</v>
      </c>
      <c r="C32" s="35" t="s">
        <v>101</v>
      </c>
      <c r="D32" s="45">
        <f>+D161</f>
        <v>64350</v>
      </c>
      <c r="E32" s="59">
        <f t="shared" si="0"/>
        <v>212720</v>
      </c>
    </row>
    <row r="33" spans="1:7" x14ac:dyDescent="0.3">
      <c r="B33" s="2">
        <v>10</v>
      </c>
      <c r="C33" s="35" t="s">
        <v>154</v>
      </c>
      <c r="D33" s="53">
        <f>TRUNC(SUM(D24:D32)*0.275,-1)</f>
        <v>593710</v>
      </c>
      <c r="E33" s="60">
        <f t="shared" si="0"/>
        <v>1962680</v>
      </c>
    </row>
    <row r="34" spans="1:7" x14ac:dyDescent="0.3">
      <c r="C34" s="35" t="s">
        <v>112</v>
      </c>
      <c r="D34" s="44">
        <f>SUM(D24:D33)</f>
        <v>2752670</v>
      </c>
      <c r="E34" s="44">
        <f>SUM(E24:E33)</f>
        <v>9099730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TRUNC(63031,-1)</f>
        <v>63030</v>
      </c>
      <c r="E40" s="62">
        <f t="shared" ref="E40:E59" si="1">TRUNC(+D40*3.3058,-1)</f>
        <v>208360</v>
      </c>
    </row>
    <row r="41" spans="1:7" x14ac:dyDescent="0.3">
      <c r="A41" s="2">
        <v>2</v>
      </c>
      <c r="C41" s="38" t="s">
        <v>13</v>
      </c>
      <c r="D41" s="42">
        <f>TRUNC(173754,-1)</f>
        <v>173750</v>
      </c>
      <c r="E41" s="63">
        <f t="shared" si="1"/>
        <v>574380</v>
      </c>
    </row>
    <row r="42" spans="1:7" x14ac:dyDescent="0.3">
      <c r="A42" s="2">
        <v>3</v>
      </c>
      <c r="C42" s="38" t="s">
        <v>14</v>
      </c>
      <c r="D42" s="42">
        <f>TRUNC(13684,-1)</f>
        <v>13680</v>
      </c>
      <c r="E42" s="63">
        <f t="shared" si="1"/>
        <v>45220</v>
      </c>
    </row>
    <row r="43" spans="1:7" x14ac:dyDescent="0.3">
      <c r="A43" s="2">
        <v>4</v>
      </c>
      <c r="C43" s="38" t="s">
        <v>16</v>
      </c>
      <c r="D43" s="42">
        <f>TRUNC(22561,-1)</f>
        <v>22560</v>
      </c>
      <c r="E43" s="63">
        <f t="shared" si="1"/>
        <v>74570</v>
      </c>
    </row>
    <row r="44" spans="1:7" x14ac:dyDescent="0.3">
      <c r="A44" s="2">
        <v>5</v>
      </c>
      <c r="C44" s="38" t="s">
        <v>17</v>
      </c>
      <c r="D44" s="42">
        <f>TRUNC(64839,-1)</f>
        <v>64830</v>
      </c>
      <c r="E44" s="63">
        <f t="shared" si="1"/>
        <v>214310</v>
      </c>
    </row>
    <row r="45" spans="1:7" x14ac:dyDescent="0.3">
      <c r="A45" s="2">
        <v>6</v>
      </c>
      <c r="C45" s="38" t="s">
        <v>18</v>
      </c>
      <c r="D45" s="42">
        <f>TRUNC(10685,-1)</f>
        <v>10680</v>
      </c>
      <c r="E45" s="63">
        <f t="shared" si="1"/>
        <v>35300</v>
      </c>
    </row>
    <row r="46" spans="1:7" x14ac:dyDescent="0.3">
      <c r="A46" s="2">
        <v>7</v>
      </c>
      <c r="C46" s="38" t="s">
        <v>19</v>
      </c>
      <c r="D46" s="42">
        <f>TRUNC(73526,-1)</f>
        <v>73520</v>
      </c>
      <c r="E46" s="63">
        <f t="shared" si="1"/>
        <v>243040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TRUNC(59424,-1)</f>
        <v>59420</v>
      </c>
      <c r="E48" s="63">
        <f t="shared" si="1"/>
        <v>196430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TRUNC(15553,-1)</f>
        <v>15550</v>
      </c>
      <c r="E49" s="63">
        <f t="shared" si="1"/>
        <v>51400</v>
      </c>
    </row>
    <row r="50" spans="1:7" x14ac:dyDescent="0.3">
      <c r="A50" s="2">
        <v>11</v>
      </c>
      <c r="C50" s="38" t="s">
        <v>155</v>
      </c>
      <c r="D50" s="42">
        <f>TRUNC(85076,-1)</f>
        <v>85070</v>
      </c>
      <c r="E50" s="63">
        <f t="shared" si="1"/>
        <v>281220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TRUNC(8027,-1)</f>
        <v>8020</v>
      </c>
      <c r="E52" s="63">
        <f t="shared" si="1"/>
        <v>26510</v>
      </c>
    </row>
    <row r="53" spans="1:7" x14ac:dyDescent="0.3">
      <c r="A53" s="2">
        <v>14</v>
      </c>
      <c r="C53" s="38" t="s">
        <v>25</v>
      </c>
      <c r="D53" s="42">
        <f>TRUNC(258226,-1)</f>
        <v>258220</v>
      </c>
      <c r="E53" s="63">
        <f t="shared" si="1"/>
        <v>853620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13174+1673+6736-917+54194</f>
        <v>74860</v>
      </c>
      <c r="E58" s="63">
        <f t="shared" si="1"/>
        <v>247470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TRUNC(311424,-1)</f>
        <v>311420</v>
      </c>
      <c r="E59" s="64">
        <f t="shared" si="1"/>
        <v>1029490</v>
      </c>
    </row>
    <row r="60" spans="1:7" x14ac:dyDescent="0.3">
      <c r="A60" s="2">
        <v>21</v>
      </c>
      <c r="C60" s="27" t="s">
        <v>112</v>
      </c>
      <c r="D60" s="39">
        <f>SUM(D40:D59)</f>
        <v>1234610</v>
      </c>
      <c r="E60" s="39">
        <f>SUM(E40:E59)</f>
        <v>4081320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TRUNC(11074,-1)</f>
        <v>11070</v>
      </c>
      <c r="E63" s="62">
        <f>TRUNC(+D63*3.3058,-1)</f>
        <v>36590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TRUNC(1661,-1)</f>
        <v>1660</v>
      </c>
      <c r="E65" s="64">
        <f>TRUNC(+D65*3.3058,-1)</f>
        <v>5480</v>
      </c>
    </row>
    <row r="66" spans="1:7" x14ac:dyDescent="0.3">
      <c r="A66" s="2">
        <v>4</v>
      </c>
      <c r="C66" s="27" t="s">
        <v>112</v>
      </c>
      <c r="D66" s="39">
        <f>SUM(D63:D65)</f>
        <v>12730</v>
      </c>
      <c r="E66" s="65">
        <f>SUM(E63:E65)</f>
        <v>42070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TRUNC(6694,-1)</f>
        <v>6690</v>
      </c>
      <c r="E69" s="62">
        <f t="shared" ref="E69:E94" si="2">TRUNC(+D69*3.3058,-1)</f>
        <v>22110</v>
      </c>
    </row>
    <row r="70" spans="1:7" ht="16.5" customHeight="1" x14ac:dyDescent="0.3">
      <c r="A70" s="2">
        <v>2</v>
      </c>
      <c r="C70" s="38" t="s">
        <v>31</v>
      </c>
      <c r="D70" s="42">
        <f>TRUNC(184,-1)</f>
        <v>180</v>
      </c>
      <c r="E70" s="63">
        <f t="shared" si="2"/>
        <v>590</v>
      </c>
    </row>
    <row r="71" spans="1:7" x14ac:dyDescent="0.3">
      <c r="A71" s="2">
        <v>3</v>
      </c>
      <c r="C71" s="38" t="s">
        <v>32</v>
      </c>
      <c r="D71" s="42">
        <f>TRUNC(21687,-1)</f>
        <v>21680</v>
      </c>
      <c r="E71" s="63">
        <f t="shared" si="2"/>
        <v>71660</v>
      </c>
    </row>
    <row r="72" spans="1:7" x14ac:dyDescent="0.3">
      <c r="A72" s="2">
        <v>4</v>
      </c>
      <c r="C72" s="38" t="s">
        <v>33</v>
      </c>
      <c r="D72" s="42">
        <f>TRUNC(6395,-1)</f>
        <v>6390</v>
      </c>
      <c r="E72" s="63">
        <f t="shared" si="2"/>
        <v>21120</v>
      </c>
    </row>
    <row r="73" spans="1:7" x14ac:dyDescent="0.3">
      <c r="A73" s="2">
        <v>5</v>
      </c>
      <c r="C73" s="38" t="s">
        <v>34</v>
      </c>
      <c r="D73" s="42">
        <f>TRUNC(5285,-1)</f>
        <v>5280</v>
      </c>
      <c r="E73" s="63">
        <f t="shared" si="2"/>
        <v>17450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TRUNC(22791,-1)</f>
        <v>22790</v>
      </c>
      <c r="E89" s="63">
        <f t="shared" si="2"/>
        <v>75330</v>
      </c>
    </row>
    <row r="90" spans="1:7" x14ac:dyDescent="0.3">
      <c r="A90" s="2">
        <v>22</v>
      </c>
      <c r="C90" s="38" t="s">
        <v>36</v>
      </c>
      <c r="D90" s="42">
        <f>TRUNC(3074,-1)</f>
        <v>3070</v>
      </c>
      <c r="E90" s="63">
        <f t="shared" si="2"/>
        <v>10140</v>
      </c>
    </row>
    <row r="91" spans="1:7" x14ac:dyDescent="0.3">
      <c r="A91" s="2">
        <v>23</v>
      </c>
      <c r="C91" s="38" t="s">
        <v>37</v>
      </c>
      <c r="D91" s="42">
        <f>TRUNC(10597,-1)</f>
        <v>10590</v>
      </c>
      <c r="E91" s="63">
        <f t="shared" si="2"/>
        <v>35000</v>
      </c>
    </row>
    <row r="92" spans="1:7" x14ac:dyDescent="0.3">
      <c r="A92" s="2">
        <v>24</v>
      </c>
      <c r="C92" s="38" t="s">
        <v>38</v>
      </c>
      <c r="D92" s="42">
        <f>TRUNC(6362,-1)</f>
        <v>6360</v>
      </c>
      <c r="E92" s="63">
        <f t="shared" si="2"/>
        <v>21020</v>
      </c>
    </row>
    <row r="93" spans="1:7" x14ac:dyDescent="0.3">
      <c r="A93" s="2">
        <v>25</v>
      </c>
      <c r="C93" s="38" t="s">
        <v>148</v>
      </c>
      <c r="D93" s="42">
        <f>TRUNC(325444,-1)</f>
        <v>325440</v>
      </c>
      <c r="E93" s="63">
        <f t="shared" si="2"/>
        <v>1075830</v>
      </c>
    </row>
    <row r="94" spans="1:7" ht="17.25" thickBot="1" x14ac:dyDescent="0.35">
      <c r="A94" s="2">
        <v>26</v>
      </c>
      <c r="C94" s="38" t="s">
        <v>47</v>
      </c>
      <c r="D94" s="43">
        <f>TRUNC(22833+855+1120,-1)</f>
        <v>24800</v>
      </c>
      <c r="E94" s="64">
        <f t="shared" si="2"/>
        <v>81980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433270</v>
      </c>
      <c r="E95" s="39">
        <f>SUM(E69:E94)</f>
        <v>1432230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TRUNC(11738,-1)</f>
        <v>11730</v>
      </c>
      <c r="E98" s="62">
        <f t="shared" ref="E98:E118" si="3">TRUNC(+D98*3.3058,-1)</f>
        <v>38770</v>
      </c>
    </row>
    <row r="99" spans="1:7" x14ac:dyDescent="0.3">
      <c r="A99" s="2">
        <v>2</v>
      </c>
      <c r="C99" s="38" t="s">
        <v>40</v>
      </c>
      <c r="D99" s="42">
        <f>TRUNC(6178,-1)</f>
        <v>6170</v>
      </c>
      <c r="E99" s="63">
        <f t="shared" si="3"/>
        <v>20390</v>
      </c>
    </row>
    <row r="100" spans="1:7" x14ac:dyDescent="0.3">
      <c r="A100" s="2">
        <v>3</v>
      </c>
      <c r="C100" s="38" t="s">
        <v>41</v>
      </c>
      <c r="D100" s="42">
        <f>TRUNC(37608,-1)</f>
        <v>37600</v>
      </c>
      <c r="E100" s="63">
        <f t="shared" si="3"/>
        <v>124290</v>
      </c>
    </row>
    <row r="101" spans="1:7" x14ac:dyDescent="0.3">
      <c r="A101" s="2">
        <v>4</v>
      </c>
      <c r="C101" s="38" t="s">
        <v>42</v>
      </c>
      <c r="D101" s="42">
        <f>TRUNC(2987,-1)</f>
        <v>2980</v>
      </c>
      <c r="E101" s="63">
        <f t="shared" si="3"/>
        <v>9850</v>
      </c>
    </row>
    <row r="102" spans="1:7" x14ac:dyDescent="0.3">
      <c r="A102" s="2">
        <v>5</v>
      </c>
      <c r="C102" s="38" t="s">
        <v>43</v>
      </c>
      <c r="D102" s="42">
        <f>TRUNC(11755,-1)</f>
        <v>11750</v>
      </c>
      <c r="E102" s="63">
        <f t="shared" si="3"/>
        <v>38840</v>
      </c>
    </row>
    <row r="103" spans="1:7" x14ac:dyDescent="0.3">
      <c r="A103" s="2">
        <v>6</v>
      </c>
      <c r="C103" s="38" t="s">
        <v>44</v>
      </c>
      <c r="D103" s="42">
        <f>TRUNC(5471,-1)</f>
        <v>5470</v>
      </c>
      <c r="E103" s="63">
        <f t="shared" si="3"/>
        <v>18080</v>
      </c>
    </row>
    <row r="104" spans="1:7" x14ac:dyDescent="0.3">
      <c r="A104" s="2">
        <v>7</v>
      </c>
      <c r="C104" s="38" t="s">
        <v>45</v>
      </c>
      <c r="D104" s="42">
        <f>TRUNC(7989,-1)</f>
        <v>7980</v>
      </c>
      <c r="E104" s="63">
        <f t="shared" si="3"/>
        <v>26380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TRUNC(1709,-1)</f>
        <v>1700</v>
      </c>
      <c r="E114" s="63">
        <f t="shared" si="3"/>
        <v>5610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TRUNC(6777,-1)</f>
        <v>6770</v>
      </c>
      <c r="E116" s="63">
        <f t="shared" si="3"/>
        <v>22380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TRUNC(127981,-1)</f>
        <v>127980</v>
      </c>
      <c r="E117" s="63">
        <f t="shared" si="3"/>
        <v>423070</v>
      </c>
    </row>
    <row r="118" spans="1:7" ht="17.25" thickBot="1" x14ac:dyDescent="0.35">
      <c r="A118" s="2">
        <v>21</v>
      </c>
      <c r="C118" s="38" t="s">
        <v>47</v>
      </c>
      <c r="D118" s="43">
        <f>TRUNC(1969,-1)</f>
        <v>1960</v>
      </c>
      <c r="E118" s="64">
        <f t="shared" si="3"/>
        <v>6470</v>
      </c>
    </row>
    <row r="119" spans="1:7" x14ac:dyDescent="0.3">
      <c r="A119" s="2">
        <v>22</v>
      </c>
      <c r="C119" s="27" t="s">
        <v>112</v>
      </c>
      <c r="D119" s="39">
        <f>SUM(D98:D118)</f>
        <v>222090</v>
      </c>
      <c r="E119" s="39">
        <f>SUM(E98:E118)</f>
        <v>734130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TRUNC(3164,-1)</f>
        <v>3160</v>
      </c>
      <c r="E122" s="62">
        <f t="shared" ref="E122:E132" si="4">TRUNC(+D122*3.3058,-1)</f>
        <v>10440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TRUNC(3434,-1)</f>
        <v>3430</v>
      </c>
      <c r="E124" s="63">
        <f t="shared" si="4"/>
        <v>11330</v>
      </c>
    </row>
    <row r="125" spans="1:7" x14ac:dyDescent="0.3">
      <c r="A125" s="2">
        <v>4</v>
      </c>
      <c r="C125" s="38" t="s">
        <v>138</v>
      </c>
      <c r="D125" s="42">
        <f>TRUNC(8292,-1)</f>
        <v>8290</v>
      </c>
      <c r="E125" s="63">
        <f t="shared" si="4"/>
        <v>27400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TRUNC(495,-1)</f>
        <v>490</v>
      </c>
      <c r="E127" s="63">
        <f t="shared" si="4"/>
        <v>1610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TRUNC(36287,-1)</f>
        <v>36280</v>
      </c>
      <c r="E130" s="63">
        <f t="shared" si="4"/>
        <v>119930</v>
      </c>
    </row>
    <row r="131" spans="1:7" x14ac:dyDescent="0.3">
      <c r="A131" s="2">
        <v>10</v>
      </c>
      <c r="C131" s="38" t="s">
        <v>148</v>
      </c>
      <c r="D131" s="42">
        <f>TRUNC(91577,-1)</f>
        <v>91570</v>
      </c>
      <c r="E131" s="63">
        <f t="shared" si="4"/>
        <v>302710</v>
      </c>
    </row>
    <row r="132" spans="1:7" ht="18" thickBot="1" x14ac:dyDescent="0.35">
      <c r="A132" s="2">
        <v>11</v>
      </c>
      <c r="C132" s="38" t="s">
        <v>47</v>
      </c>
      <c r="D132" s="43">
        <f>TRUNC(1247,-1)</f>
        <v>1240</v>
      </c>
      <c r="E132" s="64">
        <f t="shared" si="4"/>
        <v>4090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144460</v>
      </c>
      <c r="E133" s="39">
        <f>SUM(E122:E132)</f>
        <v>477510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TRUNC(277,-1)</f>
        <v>270</v>
      </c>
      <c r="E137" s="63">
        <f t="shared" si="5"/>
        <v>890</v>
      </c>
    </row>
    <row r="138" spans="1:7" x14ac:dyDescent="0.3">
      <c r="A138" s="2">
        <v>3</v>
      </c>
      <c r="C138" s="38" t="s">
        <v>60</v>
      </c>
      <c r="D138" s="42">
        <f>TRUNC(5042,-1)</f>
        <v>5040</v>
      </c>
      <c r="E138" s="63">
        <f t="shared" si="5"/>
        <v>16660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TRUNC(1947,-1)</f>
        <v>1940</v>
      </c>
      <c r="E141" s="63">
        <f t="shared" si="5"/>
        <v>6410</v>
      </c>
    </row>
    <row r="142" spans="1:7" x14ac:dyDescent="0.3">
      <c r="A142" s="2">
        <v>7</v>
      </c>
      <c r="C142" s="38" t="s">
        <v>58</v>
      </c>
      <c r="D142" s="42">
        <f>TRUNC(807,-1)</f>
        <v>800</v>
      </c>
      <c r="E142" s="63">
        <f t="shared" si="5"/>
        <v>2640</v>
      </c>
    </row>
    <row r="143" spans="1:7" x14ac:dyDescent="0.3">
      <c r="A143" s="2">
        <v>8</v>
      </c>
      <c r="C143" s="38" t="s">
        <v>62</v>
      </c>
      <c r="D143" s="42">
        <f>TRUNC(4619,-1)</f>
        <v>4610</v>
      </c>
      <c r="E143" s="63">
        <f t="shared" si="5"/>
        <v>15230</v>
      </c>
    </row>
    <row r="144" spans="1:7" x14ac:dyDescent="0.3">
      <c r="A144" s="2">
        <v>9</v>
      </c>
      <c r="C144" s="38" t="s">
        <v>63</v>
      </c>
      <c r="D144" s="42">
        <f>TRUNC(14204,-1)</f>
        <v>14200</v>
      </c>
      <c r="E144" s="63">
        <f t="shared" si="5"/>
        <v>46940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26860</v>
      </c>
      <c r="E146" s="39">
        <f>SUM(E136:E145)</f>
        <v>88770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TRUNC(2901+1433,-1)</f>
        <v>4330</v>
      </c>
      <c r="E149" s="62">
        <f>TRUNC(+D149*3.3058,-1)</f>
        <v>14310</v>
      </c>
    </row>
    <row r="150" spans="1:7" x14ac:dyDescent="0.3">
      <c r="A150" s="2">
        <v>2</v>
      </c>
      <c r="C150" s="38" t="s">
        <v>49</v>
      </c>
      <c r="D150" s="42">
        <f>TRUNC(2809,-1)</f>
        <v>2800</v>
      </c>
      <c r="E150" s="63">
        <f>TRUNC(+D150*3.3058,-1)</f>
        <v>9250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TRUNC(5949+549+6510,-1)</f>
        <v>13000</v>
      </c>
      <c r="E152" s="63">
        <f>TRUNC(+D152*3.3058,-1)</f>
        <v>42970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TRUNC(469,-1)</f>
        <v>460</v>
      </c>
      <c r="E153" s="64">
        <f>TRUNC(+D153*3.3058,-1)</f>
        <v>1520</v>
      </c>
    </row>
    <row r="154" spans="1:7" x14ac:dyDescent="0.3">
      <c r="A154" s="2">
        <v>6</v>
      </c>
      <c r="C154" s="27" t="s">
        <v>112</v>
      </c>
      <c r="D154" s="39">
        <f>SUM(D149:D153)</f>
        <v>20590</v>
      </c>
      <c r="E154" s="39">
        <f>SUM(E149:E153)</f>
        <v>68050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TRUNC(12812,-1)</f>
        <v>12810</v>
      </c>
      <c r="E157" s="62">
        <f>TRUNC(+D157*3.3058,-1)</f>
        <v>42340</v>
      </c>
    </row>
    <row r="158" spans="1:7" x14ac:dyDescent="0.3">
      <c r="A158" s="2">
        <v>2</v>
      </c>
      <c r="C158" s="38" t="s">
        <v>52</v>
      </c>
      <c r="D158" s="42">
        <f>TRUNC(23156,-1)</f>
        <v>23150</v>
      </c>
      <c r="E158" s="63">
        <f>TRUNC(+D158*3.3058,-1)</f>
        <v>76520</v>
      </c>
    </row>
    <row r="159" spans="1:7" x14ac:dyDescent="0.3">
      <c r="A159" s="2">
        <v>3</v>
      </c>
      <c r="C159" s="38" t="s">
        <v>47</v>
      </c>
      <c r="D159" s="42">
        <f>TRUNC(8785+4832,-1)</f>
        <v>13610</v>
      </c>
      <c r="E159" s="63">
        <f>TRUNC(+D159*3.3058,-1)</f>
        <v>44990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TRUNC(14788,-1)</f>
        <v>14780</v>
      </c>
      <c r="E160" s="64">
        <f>TRUNC(+D160*3.3058,-1)</f>
        <v>48850</v>
      </c>
    </row>
    <row r="161" spans="1:5" x14ac:dyDescent="0.3">
      <c r="A161" s="2">
        <v>5</v>
      </c>
      <c r="C161" s="27" t="s">
        <v>112</v>
      </c>
      <c r="D161" s="39">
        <f>SUM(D157:D160)</f>
        <v>64350</v>
      </c>
      <c r="E161" s="39">
        <f>SUM(E157:E160)</f>
        <v>212700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2020-12-08T02:17:11Z</dcterms:modified>
</cp:coreProperties>
</file>