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117" i="4"/>
  <c r="D152" i="4"/>
  <c r="D149" i="4"/>
  <c r="D144" i="4"/>
  <c r="D143" i="4"/>
  <c r="D141" i="4"/>
  <c r="D142" i="4"/>
  <c r="D137" i="4"/>
  <c r="D132" i="4"/>
  <c r="D128" i="4"/>
  <c r="D124" i="4"/>
  <c r="D125" i="4"/>
  <c r="D122" i="4"/>
  <c r="D130" i="4"/>
  <c r="D105" i="4"/>
  <c r="D104" i="4"/>
  <c r="D102" i="4"/>
  <c r="D100" i="4"/>
  <c r="D99" i="4"/>
  <c r="D98" i="4"/>
  <c r="D94" i="4"/>
  <c r="D92" i="4"/>
  <c r="D91" i="4"/>
  <c r="D90" i="4"/>
  <c r="D89" i="4"/>
  <c r="D73" i="4"/>
  <c r="D72" i="4"/>
  <c r="D71" i="4"/>
  <c r="D70" i="4"/>
  <c r="D69" i="4"/>
  <c r="D44" i="4"/>
  <c r="D58" i="4"/>
  <c r="D52" i="4"/>
  <c r="D53" i="4"/>
  <c r="D50" i="4"/>
  <c r="D49" i="4"/>
  <c r="D48" i="4"/>
  <c r="D46" i="4"/>
  <c r="D45" i="4"/>
  <c r="D43" i="4"/>
  <c r="D41" i="4"/>
  <c r="D40" i="4"/>
  <c r="D65" i="4"/>
  <c r="D63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33" i="4"/>
  <c r="E154" i="4"/>
  <c r="E146" i="4"/>
  <c r="E119" i="4"/>
  <c r="E95" i="4"/>
  <c r="E60" i="4"/>
  <c r="E66" i="4"/>
  <c r="D161" i="4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<sst xmlns="http://schemas.openxmlformats.org/spreadsheetml/2006/main" count="391" uniqueCount="266">
  <si>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</si>
  <si>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</si>
  <si>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</si>
  <si>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</si>
  <si>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</si>
  <si>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</si>
  <si>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</si>
  <si>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</si>
  <si>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</si>
  <si>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</si>
  <si>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</si>
  <si>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</si>
  <si>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</si>
  <si>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</si>
  <si>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</si>
  <si>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</si>
  <si>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</si>
  <si>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</si>
  <si>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</si>
  <si>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</si>
  <si>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</si>
  <si>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</si>
  <si>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</si>
  <si>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</si>
  <si>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</si>
  <si>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</si>
  <si>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</si>
  <si>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</si>
  <si>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</si>
  <si>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</si>
  <si>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</si>
  <si>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</si>
  <si>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</si>
  <si>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</si>
  <si>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</si>
  <si>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</si>
  <si>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</si>
  <si>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</si>
  <si>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</si>
  <si>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</si>
  <si>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</si>
  <si>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</si>
  <si>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</si>
  <si>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</si>
  <si>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</si>
  <si>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</si>
  <si>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</si>
  <si>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</si>
  <si>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</si>
  <si>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</si>
  <si>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</si>
  <si>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</si>
  <si>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</si>
  <si>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</si>
  <si>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</si>
  <si>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</si>
  <si>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</si>
  <si>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</si>
  <si>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</si>
  <si>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</si>
  <si>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</si>
  <si>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</si>
  <si>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</si>
  <si>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</si>
  <si>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</si>
  <si>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</si>
  <si>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</si>
  <si>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</si>
  <si>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</si>
  <si>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</si>
  <si>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</si>
  <si>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</si>
  <si>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</si>
  <si>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</si>
  <si>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</si>
  <si>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</si>
  <si>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</si>
  <si>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</si>
  <si>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</si>
  <si>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</si>
  <si>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</si>
  <si>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</si>
  <si>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</si>
  <si>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</si>
  <si>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</si>
  <si>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</si>
  <si>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</si>
  <si>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</si>
  <si>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</si>
  <si>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</si>
  <si>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</si>
  <si>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</si>
  <si>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</si>
  <si>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</si>
  <si>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</si>
  <si>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</si>
  <si>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</si>
  <si>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</si>
  <si>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</si>
  <si>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</si>
  <si>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</si>
  <si>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</si>
  <si>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</si>
  <si>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</si>
  <si>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</si>
  <si>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</si>
  <si>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</si>
  <si>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</si>
  <si>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</si>
  <si>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</si>
  <si>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</si>
  <si>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</si>
  <si>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</si>
  <si>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</si>
  <si>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</si>
  <si>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</si>
  <si>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</si>
  <si>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</si>
  <si>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</si>
  <si>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</si>
  <si>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</si>
  <si>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</si>
  <si>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</si>
  <si>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</si>
  <si>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</si>
  <si>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</si>
  <si>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</si>
  <si>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</si>
  <si>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</si>
  <si>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</si>
  <si>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</si>
  <si>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</si>
  <si>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</si>
  <si>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</si>
  <si>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</si>
  <si>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</si>
  <si>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</si>
  <si>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</si>
  <si>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</si>
  <si>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</si>
  <si>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</si>
  <si>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</si>
  <si>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</si>
  <si>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</si>
  <si>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</si>
  <si>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</si>
  <si>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</si>
  <si>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</si>
  <si>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</si>
  <si>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</si>
  <si>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</si>
  <si>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</si>
  <si>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</si>
  <si>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</si>
  <si>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</si>
  <si>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</si>
  <si>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</si>
  <si>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</si>
  <si>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</si>
  <si>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</si>
  <si>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</si>
  <si>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</si>
  <si>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</si>
  <si>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</si>
  <si>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</si>
  <si>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</si>
  <si>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</si>
  <si>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</si>
  <si>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</si>
  <si>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</si>
  <si>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</si>
  <si>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</si>
  <si>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</si>
  <si>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</si>
  <si>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</si>
  <si>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</si>
  <si>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</si>
  <si>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</si>
  <si>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</si>
  <si>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</si>
  <si>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</si>
  <si>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</si>
  <si>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</si>
  <si>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</si>
  <si>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</si>
  <si>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</si>
  <si>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</si>
  <si>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</si>
  <si>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</si>
  <si>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</si>
  <si>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</si>
  <si>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</si>
  <si>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</si>
  <si>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</si>
  <si>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</si>
  <si>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</si>
  <si>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</si>
  <si>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</si>
  <si>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</si>
  <si>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</si>
  <si>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</si>
  <si>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</si>
  <si>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</si>
  <si>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</si>
  <si>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</si>
  <si>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</si>
  <si>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</si>
  <si>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</si>
  <si>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</si>
  <si>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</si>
  <si>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</si>
  <si>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</si>
  <si>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</si>
  <si>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</si>
  <si>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</si>
  <si>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</si>
  <si>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</si>
  <si>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</si>
  <si>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</si>
  <si>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</si>
  <si>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</si>
  <si>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</si>
  <si>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</si>
  <si>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</si>
  <si>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</si>
  <si>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</si>
  <si>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</si>
  <si>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</si>
  <si>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</si>
  <si>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</si>
  <si>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</si>
  <si>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</si>
  <si>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</si>
  <si>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</si>
  <si>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</si>
  <si>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</si>
  <si>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</si>
  <si>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</si>
  <si>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</si>
  <si>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</si>
  <si>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</si>
  <si>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</si>
  <si>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</si>
  <si>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</si>
  <si>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</si>
  <si>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</si>
  <si>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</si>
  <si>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</si>
  <si>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김천소년교도소 수용동 증축공사</t>
    <phoneticPr fontId="2" type="noConversion"/>
  </si>
  <si>
    <t>기타</t>
  </si>
  <si>
    <t>경상도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</si>
  <si>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</si>
  <si>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</si>
  <si>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</si>
  <si>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</t>
    <phoneticPr fontId="2" type="noConversion"/>
  </si>
  <si>
    <t>난방배관공사,기타공사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</si>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</sst>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994.25</v>
      </c>
      <c r="D7" s="36">
        <f>+C7/3.3058</f>
        <v>300.75927158327789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1364990</v>
      </c>
      <c r="E25" s="59">
        <f t="shared" si="0"/>
        <v>4512380</v>
      </c>
    </row>
    <row r="26" spans="1:5" x14ac:dyDescent="0.3">
      <c r="B26" s="2">
        <v>3</v>
      </c>
      <c r="C26" s="35" t="s">
        <v>95</v>
      </c>
      <c r="D26" s="45">
        <f>+D66</f>
        <v>87400</v>
      </c>
      <c r="E26" s="59">
        <f t="shared" si="0"/>
        <v>288920</v>
      </c>
    </row>
    <row r="27" spans="1:5" x14ac:dyDescent="0.3">
      <c r="B27" s="2">
        <v>4</v>
      </c>
      <c r="C27" s="35" t="s">
        <v>96</v>
      </c>
      <c r="D27" s="45">
        <f>+D95</f>
        <v>236040</v>
      </c>
      <c r="E27" s="59">
        <f t="shared" si="0"/>
        <v>780300</v>
      </c>
    </row>
    <row r="28" spans="1:5" x14ac:dyDescent="0.3">
      <c r="B28" s="2">
        <v>5</v>
      </c>
      <c r="C28" s="35" t="s">
        <v>97</v>
      </c>
      <c r="D28" s="45">
        <f>+D119</f>
        <v>154260</v>
      </c>
      <c r="E28" s="59">
        <f t="shared" si="0"/>
        <v>509950</v>
      </c>
    </row>
    <row r="29" spans="1:5" x14ac:dyDescent="0.3">
      <c r="B29" s="2">
        <v>6</v>
      </c>
      <c r="C29" s="35" t="s">
        <v>98</v>
      </c>
      <c r="D29" s="45">
        <f>+D133</f>
        <v>179190</v>
      </c>
      <c r="E29" s="59">
        <f t="shared" si="0"/>
        <v>592360</v>
      </c>
    </row>
    <row r="30" spans="1:5" x14ac:dyDescent="0.3">
      <c r="B30" s="2">
        <v>7</v>
      </c>
      <c r="C30" s="35" t="s">
        <v>99</v>
      </c>
      <c r="D30" s="45">
        <f>+D146</f>
        <v>84300</v>
      </c>
      <c r="E30" s="59">
        <f t="shared" si="0"/>
        <v>278670</v>
      </c>
    </row>
    <row r="31" spans="1:5" x14ac:dyDescent="0.3">
      <c r="B31" s="2">
        <v>8</v>
      </c>
      <c r="C31" s="35" t="s">
        <v>100</v>
      </c>
      <c r="D31" s="45">
        <f>+D154</f>
        <v>14250</v>
      </c>
      <c r="E31" s="59">
        <f t="shared" si="0"/>
        <v>47100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583110</v>
      </c>
      <c r="E33" s="60">
        <f t="shared" si="0"/>
        <v>1927640</v>
      </c>
    </row>
    <row r="34" spans="1:7" x14ac:dyDescent="0.3">
      <c r="C34" s="35" t="s">
        <v>112</v>
      </c>
      <c r="D34" s="44">
        <f>SUM(D24:D33)</f>
        <v>2703540</v>
      </c>
      <c r="E34" s="44">
        <f>SUM(E24:E33)</f>
        <v>8937320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TRUNC(69399,-1)</f>
        <v>69390</v>
      </c>
      <c r="E40" s="62">
        <f t="shared" ref="E40:E59" si="1">TRUNC(+D40*3.3058,-1)</f>
        <v>229380</v>
      </c>
    </row>
    <row r="41" spans="1:7" x14ac:dyDescent="0.3">
      <c r="A41" s="2">
        <v>2</v>
      </c>
      <c r="C41" s="38" t="s">
        <v>13</v>
      </c>
      <c r="D41" s="42">
        <f>TRUNC(332508,-1)</f>
        <v>332500</v>
      </c>
      <c r="E41" s="63">
        <f t="shared" si="1"/>
        <v>1099170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TRUNC(74257,-1)</f>
        <v>74250</v>
      </c>
      <c r="E43" s="63">
        <f t="shared" si="1"/>
        <v>245450</v>
      </c>
    </row>
    <row r="44" spans="1:7" x14ac:dyDescent="0.3">
      <c r="A44" s="2">
        <v>5</v>
      </c>
      <c r="C44" s="38" t="s">
        <v>17</v>
      </c>
      <c r="D44" s="42">
        <f>TRUNC(69481,-1)</f>
        <v>69480</v>
      </c>
      <c r="E44" s="63">
        <f t="shared" si="1"/>
        <v>229680</v>
      </c>
    </row>
    <row r="45" spans="1:7" x14ac:dyDescent="0.3">
      <c r="A45" s="2">
        <v>6</v>
      </c>
      <c r="C45" s="38" t="s">
        <v>18</v>
      </c>
      <c r="D45" s="42">
        <f>TRUNC(18629,-1)</f>
        <v>18620</v>
      </c>
      <c r="E45" s="63">
        <f t="shared" si="1"/>
        <v>61550</v>
      </c>
    </row>
    <row r="46" spans="1:7" x14ac:dyDescent="0.3">
      <c r="A46" s="2">
        <v>7</v>
      </c>
      <c r="C46" s="38" t="s">
        <v>19</v>
      </c>
      <c r="D46" s="42">
        <f>TRUNC(26956,-1)</f>
        <v>26950</v>
      </c>
      <c r="E46" s="63">
        <f t="shared" si="1"/>
        <v>89090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TRUNC(42802,-1)</f>
        <v>42800</v>
      </c>
      <c r="E48" s="63">
        <f t="shared" si="1"/>
        <v>141480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TRUNC(35475,-1)</f>
        <v>35470</v>
      </c>
      <c r="E49" s="63">
        <f t="shared" si="1"/>
        <v>117250</v>
      </c>
    </row>
    <row r="50" spans="1:7" x14ac:dyDescent="0.3">
      <c r="A50" s="2">
        <v>11</v>
      </c>
      <c r="C50" s="38" t="s">
        <v>155</v>
      </c>
      <c r="D50" s="42">
        <f>TRUNC(201137,-1)</f>
        <v>201130</v>
      </c>
      <c r="E50" s="63">
        <f t="shared" si="1"/>
        <v>664890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TRUNC(28583,-1)</f>
        <v>28580</v>
      </c>
      <c r="E52" s="63">
        <f t="shared" si="1"/>
        <v>94470</v>
      </c>
    </row>
    <row r="53" spans="1:7" x14ac:dyDescent="0.3">
      <c r="A53" s="2">
        <v>14</v>
      </c>
      <c r="C53" s="38" t="s">
        <v>25</v>
      </c>
      <c r="D53" s="42">
        <f>TRUNC(58946,-1)</f>
        <v>58940</v>
      </c>
      <c r="E53" s="63">
        <f t="shared" si="1"/>
        <v>194840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TRUNC(673+9221+7414,-1)</f>
        <v>17300</v>
      </c>
      <c r="E58" s="63">
        <f t="shared" si="1"/>
        <v>57190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TRUNC(389586,-1)</f>
        <v>389580</v>
      </c>
      <c r="E59" s="64">
        <f t="shared" si="1"/>
        <v>1287870</v>
      </c>
    </row>
    <row r="60" spans="1:7" x14ac:dyDescent="0.3">
      <c r="A60" s="2">
        <v>21</v>
      </c>
      <c r="C60" s="27" t="s">
        <v>112</v>
      </c>
      <c r="D60" s="39">
        <f>SUM(D40:D59)</f>
        <v>1364990</v>
      </c>
      <c r="E60" s="39">
        <f>SUM(E40:E59)</f>
        <v>4512310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TRUNC(121,-1)</f>
        <v>120</v>
      </c>
      <c r="E63" s="62">
        <f>TRUNC(+D63*3.3058,-1)</f>
        <v>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TRUNC(87283,-1)</f>
        <v>87280</v>
      </c>
      <c r="E65" s="64">
        <f>TRUNC(+D65*3.3058,-1)</f>
        <v>288530</v>
      </c>
    </row>
    <row r="66" spans="1:7" x14ac:dyDescent="0.3">
      <c r="A66" s="2">
        <v>4</v>
      </c>
      <c r="C66" s="27" t="s">
        <v>112</v>
      </c>
      <c r="D66" s="39">
        <f>SUM(D63:D65)</f>
        <v>87400</v>
      </c>
      <c r="E66" s="65">
        <f>SUM(E63:E65)</f>
        <v>288920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TRUNC(29558,-1)</f>
        <v>29550</v>
      </c>
      <c r="E69" s="62">
        <f t="shared" ref="E69:E94" si="2">TRUNC(+D69*3.3058,-1)</f>
        <v>97680</v>
      </c>
    </row>
    <row r="70" spans="1:7" ht="16.5" customHeight="1" x14ac:dyDescent="0.3">
      <c r="A70" s="2">
        <v>2</v>
      </c>
      <c r="C70" s="38" t="s">
        <v>31</v>
      </c>
      <c r="D70" s="42">
        <f>TRUNC(483,-1)</f>
        <v>480</v>
      </c>
      <c r="E70" s="63">
        <f t="shared" si="2"/>
        <v>1580</v>
      </c>
    </row>
    <row r="71" spans="1:7" x14ac:dyDescent="0.3">
      <c r="A71" s="2">
        <v>3</v>
      </c>
      <c r="C71" s="38" t="s">
        <v>32</v>
      </c>
      <c r="D71" s="42">
        <f>TRUNC(29182,-1)</f>
        <v>29180</v>
      </c>
      <c r="E71" s="63">
        <f t="shared" si="2"/>
        <v>96460</v>
      </c>
    </row>
    <row r="72" spans="1:7" x14ac:dyDescent="0.3">
      <c r="A72" s="2">
        <v>4</v>
      </c>
      <c r="C72" s="38" t="s">
        <v>33</v>
      </c>
      <c r="D72" s="42">
        <f>TRUNC(4367,-1)</f>
        <v>4360</v>
      </c>
      <c r="E72" s="63">
        <f t="shared" si="2"/>
        <v>14410</v>
      </c>
    </row>
    <row r="73" spans="1:7" x14ac:dyDescent="0.3">
      <c r="A73" s="2">
        <v>5</v>
      </c>
      <c r="C73" s="38" t="s">
        <v>34</v>
      </c>
      <c r="D73" s="42">
        <f>TRUNC(33568,-1)</f>
        <v>33560</v>
      </c>
      <c r="E73" s="63">
        <f t="shared" si="2"/>
        <v>110940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TRUNC(50842,-1)</f>
        <v>50840</v>
      </c>
      <c r="E89" s="63">
        <f t="shared" si="2"/>
        <v>168060</v>
      </c>
    </row>
    <row r="90" spans="1:7" x14ac:dyDescent="0.3">
      <c r="A90" s="2">
        <v>22</v>
      </c>
      <c r="C90" s="38" t="s">
        <v>36</v>
      </c>
      <c r="D90" s="42">
        <f>TRUNC(9482,-1)</f>
        <v>9480</v>
      </c>
      <c r="E90" s="63">
        <f t="shared" si="2"/>
        <v>31330</v>
      </c>
    </row>
    <row r="91" spans="1:7" x14ac:dyDescent="0.3">
      <c r="A91" s="2">
        <v>23</v>
      </c>
      <c r="C91" s="38" t="s">
        <v>37</v>
      </c>
      <c r="D91" s="42">
        <f>TRUNC(7223,-1)</f>
        <v>7220</v>
      </c>
      <c r="E91" s="63">
        <f t="shared" si="2"/>
        <v>23860</v>
      </c>
    </row>
    <row r="92" spans="1:7" x14ac:dyDescent="0.3">
      <c r="A92" s="2">
        <v>24</v>
      </c>
      <c r="C92" s="38" t="s">
        <v>38</v>
      </c>
      <c r="D92" s="42">
        <f>TRUNC(20533,-1)</f>
        <v>20530</v>
      </c>
      <c r="E92" s="63">
        <f t="shared" si="2"/>
        <v>67860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TRUNC(41773+9069,-1)</f>
        <v>50840</v>
      </c>
      <c r="E94" s="64">
        <f t="shared" si="2"/>
        <v>168060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236040</v>
      </c>
      <c r="E95" s="39">
        <f>SUM(E69:E94)</f>
        <v>780240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TRUNC(15013,-1)</f>
        <v>15010</v>
      </c>
      <c r="E98" s="62">
        <f t="shared" ref="E98:E118" si="3">TRUNC(+D98*3.3058,-1)</f>
        <v>49620</v>
      </c>
    </row>
    <row r="99" spans="1:7" x14ac:dyDescent="0.3">
      <c r="A99" s="2">
        <v>2</v>
      </c>
      <c r="C99" s="38" t="s">
        <v>40</v>
      </c>
      <c r="D99" s="42">
        <f>TRUNC(8077,-1)</f>
        <v>8070</v>
      </c>
      <c r="E99" s="63">
        <f t="shared" si="3"/>
        <v>26670</v>
      </c>
    </row>
    <row r="100" spans="1:7" x14ac:dyDescent="0.3">
      <c r="A100" s="2">
        <v>3</v>
      </c>
      <c r="C100" s="38" t="s">
        <v>41</v>
      </c>
      <c r="D100" s="42">
        <f>TRUNC(42625,-1)</f>
        <v>42620</v>
      </c>
      <c r="E100" s="63">
        <f t="shared" si="3"/>
        <v>140890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TRUNC(23380,-1)</f>
        <v>23380</v>
      </c>
      <c r="E102" s="63">
        <f t="shared" si="3"/>
        <v>77280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TRUNC(2137,-1)</f>
        <v>2130</v>
      </c>
      <c r="E104" s="63">
        <f t="shared" si="3"/>
        <v>7040</v>
      </c>
    </row>
    <row r="105" spans="1:7" x14ac:dyDescent="0.3">
      <c r="A105" s="2">
        <v>8</v>
      </c>
      <c r="C105" s="38" t="s">
        <v>46</v>
      </c>
      <c r="D105" s="42">
        <f>TRUNC(2172,-1)</f>
        <v>2170</v>
      </c>
      <c r="E105" s="63">
        <f t="shared" si="3"/>
        <v>7170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TRUNC(60882,-1)</f>
        <v>60880</v>
      </c>
      <c r="E117" s="63">
        <f t="shared" si="3"/>
        <v>201250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154260</v>
      </c>
      <c r="E119" s="39">
        <f>SUM(E98:E118)</f>
        <v>509920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TRUNC(16032,-1)</f>
        <v>16030</v>
      </c>
      <c r="E122" s="62">
        <f t="shared" ref="E122:E132" si="4">TRUNC(+D122*3.3058,-1)</f>
        <v>52990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TRUNC(12913,-1)</f>
        <v>12910</v>
      </c>
      <c r="E124" s="63">
        <f t="shared" si="4"/>
        <v>42670</v>
      </c>
    </row>
    <row r="125" spans="1:7" x14ac:dyDescent="0.3">
      <c r="A125" s="2">
        <v>4</v>
      </c>
      <c r="C125" s="38" t="s">
        <v>138</v>
      </c>
      <c r="D125" s="42">
        <f>TRUNC(26568,-1)</f>
        <v>26560</v>
      </c>
      <c r="E125" s="63">
        <f t="shared" si="4"/>
        <v>87800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TRUNC(9734,-1)</f>
        <v>9730</v>
      </c>
      <c r="E128" s="63">
        <f t="shared" si="4"/>
        <v>32160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TRUNC(16247,-1)</f>
        <v>16240</v>
      </c>
      <c r="E130" s="63">
        <f t="shared" si="4"/>
        <v>53680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TRUNC(10246+87475,-1)</f>
        <v>97720</v>
      </c>
      <c r="E132" s="64">
        <f t="shared" si="4"/>
        <v>323040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179190</v>
      </c>
      <c r="E133" s="39">
        <f>SUM(E122:E132)</f>
        <v>592340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TRUNC(1891+257,-1)</f>
        <v>2140</v>
      </c>
      <c r="E137" s="63">
        <f t="shared" si="5"/>
        <v>7070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TRUNC(44650,-1)</f>
        <v>44650</v>
      </c>
      <c r="E141" s="63">
        <f t="shared" si="5"/>
        <v>147600</v>
      </c>
    </row>
    <row r="142" spans="1:7" x14ac:dyDescent="0.3">
      <c r="A142" s="2">
        <v>7</v>
      </c>
      <c r="C142" s="38" t="s">
        <v>58</v>
      </c>
      <c r="D142" s="42">
        <f>TRUNC(3766,-1)</f>
        <v>3760</v>
      </c>
      <c r="E142" s="63">
        <f t="shared" si="5"/>
        <v>12420</v>
      </c>
    </row>
    <row r="143" spans="1:7" x14ac:dyDescent="0.3">
      <c r="A143" s="2">
        <v>8</v>
      </c>
      <c r="C143" s="38" t="s">
        <v>62</v>
      </c>
      <c r="D143" s="42">
        <f>TRUNC(6197,-1)</f>
        <v>6190</v>
      </c>
      <c r="E143" s="63">
        <f t="shared" si="5"/>
        <v>20460</v>
      </c>
    </row>
    <row r="144" spans="1:7" x14ac:dyDescent="0.3">
      <c r="A144" s="2">
        <v>9</v>
      </c>
      <c r="C144" s="38" t="s">
        <v>63</v>
      </c>
      <c r="D144" s="42">
        <f>TRUNC(27566,-1)</f>
        <v>27560</v>
      </c>
      <c r="E144" s="63">
        <f t="shared" si="5"/>
        <v>91100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84300</v>
      </c>
      <c r="E146" s="39">
        <f>SUM(E136:E145)</f>
        <v>278650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TRUNC(10080+2550,-1)</f>
        <v>12630</v>
      </c>
      <c r="E149" s="62">
        <f>TRUNC(+D149*3.3058,-1)</f>
        <v>41750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TRUNC(186+1442,-1)</f>
        <v>1620</v>
      </c>
      <c r="E152" s="63">
        <f>TRUNC(+D152*3.3058,-1)</f>
        <v>5350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14250</v>
      </c>
      <c r="E154" s="39">
        <f>SUM(E149:E153)</f>
        <v>47100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2020-12-08T04:06:19Z</dcterms:modified>
</cp:coreProperties>
</file>