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3" i="4"/>
  <c r="D52" i="4"/>
  <c r="D50" i="4"/>
  <c r="D49" i="4"/>
  <c r="D48" i="4"/>
  <c r="D46" i="4"/>
  <c r="D45" i="4"/>
  <c r="D44" i="4"/>
  <c r="D43" i="4"/>
  <c r="D41" i="4"/>
  <c r="D40" i="4"/>
  <c r="D65" i="4"/>
  <c r="D63" i="4"/>
  <c r="D94" i="4"/>
  <c r="D92" i="4"/>
  <c r="D91" i="4"/>
  <c r="D89" i="4"/>
  <c r="D72" i="4"/>
  <c r="D73" i="4"/>
  <c r="D71" i="4"/>
  <c r="D70" i="4"/>
  <c r="D69" i="4"/>
  <c r="D118" i="4"/>
  <c r="D116" i="4"/>
  <c r="D114" i="4"/>
  <c r="D105" i="4"/>
  <c r="D104" i="4"/>
  <c r="D102" i="4"/>
  <c r="D100" i="4"/>
  <c r="D99" i="4"/>
  <c r="D98" i="4"/>
  <c r="D132" i="4"/>
  <c r="D130" i="4"/>
  <c r="D128" i="4"/>
  <c r="D125" i="4"/>
  <c r="D124" i="4"/>
  <c r="D122" i="4"/>
  <c r="D144" i="4"/>
  <c r="D143" i="4"/>
  <c r="D142" i="4"/>
  <c r="D141" i="4"/>
  <c r="D140" i="4"/>
  <c r="D137" i="4"/>
  <c r="D152" i="4"/>
  <c r="D151" i="4"/>
  <c r="D150" i="4"/>
  <c r="D149" i="4"/>
  <c r="D158" i="4"/>
  <c r="D157" i="4"/>
  <c r="D131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<sst xmlns="http://schemas.openxmlformats.org/spreadsheetml/2006/main" count="393" uniqueCount="268">
  <si>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</si>
  <si>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</si>
  <si>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</si>
  <si>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</si>
  <si>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</si>
  <si>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</si>
  <si>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</si>
  <si>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</si>
  <si>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</si>
  <si>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</si>
  <si>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</si>
  <si>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</si>
  <si>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</si>
  <si>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</si>
  <si>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</si>
  <si>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</si>
  <si>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</si>
  <si>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</si>
  <si>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</si>
  <si>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</si>
  <si>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</si>
  <si>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</si>
  <si>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</si>
  <si>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</si>
  <si>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</si>
  <si>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</si>
  <si>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</si>
  <si>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</si>
  <si>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</si>
  <si>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</si>
  <si>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</si>
  <si>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</si>
  <si>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</si>
  <si>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</si>
  <si>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</si>
  <si>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</si>
  <si>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</si>
  <si>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</si>
  <si>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</si>
  <si>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</si>
  <si>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</si>
  <si>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</si>
  <si>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</si>
  <si>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</si>
  <si>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</si>
  <si>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</si>
  <si>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</si>
  <si>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</si>
  <si>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</si>
  <si>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</si>
  <si>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</si>
  <si>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</si>
  <si>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</si>
  <si>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</si>
  <si>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</si>
  <si>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</si>
  <si>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</si>
  <si>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</si>
  <si>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</si>
  <si>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</si>
  <si>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</si>
  <si>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</si>
  <si>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</si>
  <si>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</si>
  <si>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</si>
  <si>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</si>
  <si>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</si>
  <si>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</si>
  <si>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</si>
  <si>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</si>
  <si>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</si>
  <si>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</si>
  <si>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</si>
  <si>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</si>
  <si>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</si>
  <si>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</si>
  <si>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</si>
  <si>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</si>
  <si>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</si>
  <si>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</si>
  <si>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</si>
  <si>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</si>
  <si>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</si>
  <si>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</si>
  <si>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</si>
  <si>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</si>
  <si>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</si>
  <si>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</si>
  <si>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</si>
  <si>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</si>
  <si>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</si>
  <si>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</si>
  <si>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</si>
  <si>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</si>
  <si>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</si>
  <si>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</si>
  <si>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</si>
  <si>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</si>
  <si>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</si>
  <si>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</si>
  <si>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</si>
  <si>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</si>
  <si>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</si>
  <si>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</si>
  <si>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</si>
  <si>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</si>
  <si>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</si>
  <si>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</si>
  <si>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</si>
  <si>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</si>
  <si>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</si>
  <si>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</si>
  <si>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</si>
  <si>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</si>
  <si>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</si>
  <si>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</si>
  <si>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</si>
  <si>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</si>
  <si>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</si>
  <si>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</si>
  <si>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</si>
  <si>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</si>
  <si>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</si>
  <si>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</si>
  <si>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</si>
  <si>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</si>
  <si>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</si>
  <si>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</si>
  <si>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</si>
  <si>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</si>
  <si>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</si>
  <si>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</si>
  <si>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</si>
  <si>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</si>
  <si>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</si>
  <si>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</si>
  <si>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</si>
  <si>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</si>
  <si>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</si>
  <si>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</si>
  <si>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</si>
  <si>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</si>
  <si>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</si>
  <si>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</si>
  <si>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</si>
  <si>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</si>
  <si>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</si>
  <si>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</si>
  <si>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</si>
  <si>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</si>
  <si>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</si>
  <si>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</si>
  <si>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</si>
  <si>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</si>
  <si>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</si>
  <si>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</si>
  <si>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</si>
  <si>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</si>
  <si>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</si>
  <si>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</si>
  <si>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</si>
  <si>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</si>
  <si>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</si>
  <si>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</si>
  <si>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</si>
  <si>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</si>
  <si>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</si>
  <si>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</si>
  <si>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</si>
  <si>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</si>
  <si>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</si>
  <si>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</si>
  <si>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</si>
  <si>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</si>
  <si>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</si>
  <si>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</si>
  <si>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</si>
  <si>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</si>
  <si>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</si>
  <si>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</si>
  <si>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</si>
  <si>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</si>
  <si>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</si>
  <si>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</si>
  <si>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</si>
  <si>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</si>
  <si>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</si>
  <si>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</si>
  <si>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</si>
  <si>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</si>
  <si>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</si>
  <si>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</si>
  <si>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</si>
  <si>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</si>
  <si>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</si>
  <si>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</si>
  <si>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</si>
  <si>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</si>
  <si>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</si>
  <si>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</si>
  <si>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</si>
  <si>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</si>
  <si>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</si>
  <si>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</si>
  <si>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</si>
  <si>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</si>
  <si>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</si>
  <si>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</si>
  <si>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</si>
  <si>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</si>
  <si>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</si>
  <si>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</si>
  <si>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</si>
  <si>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</si>
  <si>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</si>
  <si>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</si>
  <si>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</si>
  <si>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</si>
  <si>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</si>
  <si>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</si>
  <si>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</si>
  <si>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</si>
  <si>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</si>
  <si>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</si>
  <si>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</si>
  <si>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</si>
  <si>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</si>
  <si>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</si>
  <si>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</si>
  <si>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</si>
  <si>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</si>
  <si>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</si>
  <si>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</si>
  <si>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</si>
  <si>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</si>
  <si>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</si>
  <si>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</si>
  <si>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</si>
  <si>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</si>
  <si>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</si>
  <si>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</si>
  <si>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</si>
  <si>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</si>
  <si>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</si>
  <si>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</si>
  <si>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</si>
  <si>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</si>
  <si>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</si>
  <si>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서울동부지사 상설검정장 겸 청사 신축공사</t>
    <phoneticPr fontId="2" type="noConversion"/>
  </si>
  <si>
    <t>업무</t>
  </si>
  <si>
    <t>서울</t>
  </si>
  <si>
    <t>기초공사,골재비및운반비,작업부산물,품질시험비,기타공사</t>
    <phoneticPr fontId="2" type="noConversion"/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</si>
  <si>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</si>
  <si>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</si>
  <si>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</si>
  <si>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기타공사</t>
    <phoneticPr fontId="2" type="noConversion"/>
  </si>
  <si>
    <t>전기인입 및 수변전 설비공사</t>
    <phoneticPr fontId="2" type="noConversion"/>
  </si>
  <si>
    <t xml:space="preserve">원격검침 설비공사,기타공사 </t>
    <phoneticPr fontId="2" type="noConversion"/>
  </si>
  <si>
    <t>CCTV설비공사,주차관제설비공사</t>
    <phoneticPr fontId="2" type="noConversion"/>
  </si>
  <si>
    <t>펌프실배관공사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</si>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</sst>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2966.18</v>
      </c>
      <c r="D7" s="36">
        <f>+C7/3.3058</f>
        <v>897.26541230564453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905250</v>
      </c>
      <c r="E25" s="59">
        <f t="shared" si="0"/>
        <v>2992570</v>
      </c>
    </row>
    <row r="26" spans="1:5" x14ac:dyDescent="0.3">
      <c r="B26" s="2">
        <v>3</v>
      </c>
      <c r="C26" s="35" t="s">
        <v>95</v>
      </c>
      <c r="D26" s="45">
        <f>+D66</f>
        <v>21380</v>
      </c>
      <c r="E26" s="59">
        <f t="shared" si="0"/>
        <v>70670</v>
      </c>
    </row>
    <row r="27" spans="1:5" x14ac:dyDescent="0.3">
      <c r="B27" s="2">
        <v>4</v>
      </c>
      <c r="C27" s="35" t="s">
        <v>96</v>
      </c>
      <c r="D27" s="45">
        <f>+D95</f>
        <v>70860</v>
      </c>
      <c r="E27" s="59">
        <f t="shared" si="0"/>
        <v>234240</v>
      </c>
    </row>
    <row r="28" spans="1:5" x14ac:dyDescent="0.3">
      <c r="B28" s="2">
        <v>5</v>
      </c>
      <c r="C28" s="35" t="s">
        <v>97</v>
      </c>
      <c r="D28" s="45">
        <f>+D119</f>
        <v>167900</v>
      </c>
      <c r="E28" s="59">
        <f t="shared" si="0"/>
        <v>555040</v>
      </c>
    </row>
    <row r="29" spans="1:5" x14ac:dyDescent="0.3">
      <c r="B29" s="2">
        <v>6</v>
      </c>
      <c r="C29" s="35" t="s">
        <v>98</v>
      </c>
      <c r="D29" s="45">
        <f>+D133</f>
        <v>101470</v>
      </c>
      <c r="E29" s="59">
        <f t="shared" si="0"/>
        <v>335430</v>
      </c>
    </row>
    <row r="30" spans="1:5" x14ac:dyDescent="0.3">
      <c r="B30" s="2">
        <v>7</v>
      </c>
      <c r="C30" s="35" t="s">
        <v>99</v>
      </c>
      <c r="D30" s="45">
        <f>+D146</f>
        <v>38740</v>
      </c>
      <c r="E30" s="59">
        <f t="shared" si="0"/>
        <v>128060</v>
      </c>
    </row>
    <row r="31" spans="1:5" x14ac:dyDescent="0.3">
      <c r="B31" s="2">
        <v>8</v>
      </c>
      <c r="C31" s="35" t="s">
        <v>100</v>
      </c>
      <c r="D31" s="45">
        <f>+D154</f>
        <v>58960</v>
      </c>
      <c r="E31" s="59">
        <f t="shared" si="0"/>
        <v>194900</v>
      </c>
    </row>
    <row r="32" spans="1:5" x14ac:dyDescent="0.3">
      <c r="B32" s="2">
        <v>9</v>
      </c>
      <c r="C32" s="35" t="s">
        <v>101</v>
      </c>
      <c r="D32" s="45">
        <f>+D161</f>
        <v>29110</v>
      </c>
      <c r="E32" s="59">
        <f t="shared" si="0"/>
        <v>96230</v>
      </c>
    </row>
    <row r="33" spans="1:7" x14ac:dyDescent="0.3">
      <c r="B33" s="2">
        <v>10</v>
      </c>
      <c r="C33" s="35" t="s">
        <v>154</v>
      </c>
      <c r="D33" s="53">
        <f>TRUNC(SUM(D24:D32)*0.275,-1)</f>
        <v>383250</v>
      </c>
      <c r="E33" s="60">
        <f t="shared" si="0"/>
        <v>1266940</v>
      </c>
    </row>
    <row r="34" spans="1:7" x14ac:dyDescent="0.3">
      <c r="C34" s="35" t="s">
        <v>112</v>
      </c>
      <c r="D34" s="44">
        <f>SUM(D24:D33)</f>
        <v>1776920</v>
      </c>
      <c r="E34" s="44">
        <f>SUM(E24:E33)</f>
        <v>5874080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TRUNC(66383,-1)</f>
        <v>66380</v>
      </c>
      <c r="E40" s="62">
        <f t="shared" ref="E40:E59" si="1">TRUNC(+D40*3.3058,-1)</f>
        <v>219430</v>
      </c>
    </row>
    <row r="41" spans="1:7" x14ac:dyDescent="0.3">
      <c r="A41" s="2">
        <v>2</v>
      </c>
      <c r="C41" s="38" t="s">
        <v>13</v>
      </c>
      <c r="D41" s="42">
        <f>TRUNC(176678,-1)</f>
        <v>176670</v>
      </c>
      <c r="E41" s="63">
        <f t="shared" si="1"/>
        <v>584030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TRUNC(12799,-1)</f>
        <v>12790</v>
      </c>
      <c r="E43" s="63">
        <f t="shared" si="1"/>
        <v>42280</v>
      </c>
    </row>
    <row r="44" spans="1:7" x14ac:dyDescent="0.3">
      <c r="A44" s="2">
        <v>5</v>
      </c>
      <c r="C44" s="38" t="s">
        <v>17</v>
      </c>
      <c r="D44" s="42">
        <f>TRUNC(24709,-1)</f>
        <v>24700</v>
      </c>
      <c r="E44" s="63">
        <f t="shared" si="1"/>
        <v>81650</v>
      </c>
    </row>
    <row r="45" spans="1:7" x14ac:dyDescent="0.3">
      <c r="A45" s="2">
        <v>6</v>
      </c>
      <c r="C45" s="38" t="s">
        <v>18</v>
      </c>
      <c r="D45" s="42">
        <f>TRUNC(27479,-1)</f>
        <v>27470</v>
      </c>
      <c r="E45" s="63">
        <f t="shared" si="1"/>
        <v>90810</v>
      </c>
    </row>
    <row r="46" spans="1:7" x14ac:dyDescent="0.3">
      <c r="A46" s="2">
        <v>7</v>
      </c>
      <c r="C46" s="38" t="s">
        <v>19</v>
      </c>
      <c r="D46" s="42">
        <f>TRUNC(71768,-1)</f>
        <v>71760</v>
      </c>
      <c r="E46" s="63">
        <f t="shared" si="1"/>
        <v>237220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TRUNC(23123,-1)</f>
        <v>23120</v>
      </c>
      <c r="E48" s="63">
        <f t="shared" si="1"/>
        <v>76430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TRUNC(23031,-1)</f>
        <v>23030</v>
      </c>
      <c r="E49" s="63">
        <f t="shared" si="1"/>
        <v>76130</v>
      </c>
    </row>
    <row r="50" spans="1:7" x14ac:dyDescent="0.3">
      <c r="A50" s="2">
        <v>11</v>
      </c>
      <c r="C50" s="38" t="s">
        <v>155</v>
      </c>
      <c r="D50" s="42">
        <f>TRUNC(41177,-1)</f>
        <v>41170</v>
      </c>
      <c r="E50" s="63">
        <f t="shared" si="1"/>
        <v>136090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TRUNC(18526,-1)</f>
        <v>18520</v>
      </c>
      <c r="E52" s="63">
        <f t="shared" si="1"/>
        <v>61220</v>
      </c>
    </row>
    <row r="53" spans="1:7" x14ac:dyDescent="0.3">
      <c r="A53" s="2">
        <v>14</v>
      </c>
      <c r="C53" s="38" t="s">
        <v>25</v>
      </c>
      <c r="D53" s="42">
        <f>TRUNC(88424,-1)</f>
        <v>88420</v>
      </c>
      <c r="E53" s="63">
        <f t="shared" si="1"/>
        <v>292290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TRUNC(347+4040-629+7421+16071,-1)</f>
        <v>27250</v>
      </c>
      <c r="E58" s="63">
        <f t="shared" si="1"/>
        <v>90080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TRUNC(303976,-1)</f>
        <v>303970</v>
      </c>
      <c r="E59" s="64">
        <f t="shared" si="1"/>
        <v>1004860</v>
      </c>
    </row>
    <row r="60" spans="1:7" x14ac:dyDescent="0.3">
      <c r="A60" s="2">
        <v>21</v>
      </c>
      <c r="C60" s="27" t="s">
        <v>112</v>
      </c>
      <c r="D60" s="39">
        <f>SUM(D40:D59)</f>
        <v>905250</v>
      </c>
      <c r="E60" s="39">
        <f>SUM(E40:E59)</f>
        <v>2992520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TRUNC(8666,-1)</f>
        <v>8660</v>
      </c>
      <c r="E63" s="62">
        <f>TRUNC(+D63*3.3058,-1)</f>
        <v>28620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TRUNC(12722,-1)</f>
        <v>12720</v>
      </c>
      <c r="E65" s="64">
        <f>TRUNC(+D65*3.3058,-1)</f>
        <v>42040</v>
      </c>
    </row>
    <row r="66" spans="1:7" x14ac:dyDescent="0.3">
      <c r="A66" s="2">
        <v>4</v>
      </c>
      <c r="C66" s="27" t="s">
        <v>112</v>
      </c>
      <c r="D66" s="39">
        <f>SUM(D63:D65)</f>
        <v>21380</v>
      </c>
      <c r="E66" s="65">
        <f>SUM(E63:E65)</f>
        <v>70660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TRUNC(6747,-1)</f>
        <v>6740</v>
      </c>
      <c r="E69" s="62">
        <f t="shared" ref="E69:E94" si="2">TRUNC(+D69*3.3058,-1)</f>
        <v>22280</v>
      </c>
    </row>
    <row r="70" spans="1:7" ht="16.5" customHeight="1" x14ac:dyDescent="0.3">
      <c r="A70" s="2">
        <v>2</v>
      </c>
      <c r="C70" s="38" t="s">
        <v>31</v>
      </c>
      <c r="D70" s="42">
        <f>TRUNC(266,-1)</f>
        <v>260</v>
      </c>
      <c r="E70" s="63">
        <f t="shared" si="2"/>
        <v>850</v>
      </c>
    </row>
    <row r="71" spans="1:7" x14ac:dyDescent="0.3">
      <c r="A71" s="2">
        <v>3</v>
      </c>
      <c r="C71" s="38" t="s">
        <v>32</v>
      </c>
      <c r="D71" s="42">
        <f>TRUNC(8411,-1)</f>
        <v>8410</v>
      </c>
      <c r="E71" s="63">
        <f t="shared" si="2"/>
        <v>27800</v>
      </c>
    </row>
    <row r="72" spans="1:7" x14ac:dyDescent="0.3">
      <c r="A72" s="2">
        <v>4</v>
      </c>
      <c r="C72" s="38" t="s">
        <v>33</v>
      </c>
      <c r="D72" s="42">
        <f>TRUNC(2433,-1)</f>
        <v>2430</v>
      </c>
      <c r="E72" s="63">
        <f t="shared" si="2"/>
        <v>8030</v>
      </c>
    </row>
    <row r="73" spans="1:7" x14ac:dyDescent="0.3">
      <c r="A73" s="2">
        <v>5</v>
      </c>
      <c r="C73" s="38" t="s">
        <v>34</v>
      </c>
      <c r="D73" s="42">
        <f>TRUNC(16294,-1)</f>
        <v>16290</v>
      </c>
      <c r="E73" s="63">
        <f t="shared" si="2"/>
        <v>53850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TRUNC(11467,-1)</f>
        <v>11460</v>
      </c>
      <c r="E89" s="63">
        <f t="shared" si="2"/>
        <v>37880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TRUNC(14831,-1)</f>
        <v>14830</v>
      </c>
      <c r="E91" s="63">
        <f t="shared" si="2"/>
        <v>49020</v>
      </c>
    </row>
    <row r="92" spans="1:7" x14ac:dyDescent="0.3">
      <c r="A92" s="2">
        <v>24</v>
      </c>
      <c r="C92" s="38" t="s">
        <v>38</v>
      </c>
      <c r="D92" s="42">
        <f>TRUNC(8493,-1)</f>
        <v>8490</v>
      </c>
      <c r="E92" s="63">
        <f t="shared" si="2"/>
        <v>28060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TRUNC(1955,-1)</f>
        <v>1950</v>
      </c>
      <c r="E94" s="64">
        <f t="shared" si="2"/>
        <v>6440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70860</v>
      </c>
      <c r="E95" s="39">
        <f>SUM(E69:E94)</f>
        <v>234210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TRUNC(23492,-1)</f>
        <v>23490</v>
      </c>
      <c r="E98" s="62">
        <f t="shared" ref="E98:E118" si="3">TRUNC(+D98*3.3058,-1)</f>
        <v>77650</v>
      </c>
    </row>
    <row r="99" spans="1:7" x14ac:dyDescent="0.3">
      <c r="A99" s="2">
        <v>2</v>
      </c>
      <c r="C99" s="38" t="s">
        <v>40</v>
      </c>
      <c r="D99" s="42">
        <f>TRUNC(20542,-1)</f>
        <v>20540</v>
      </c>
      <c r="E99" s="63">
        <f t="shared" si="3"/>
        <v>67900</v>
      </c>
    </row>
    <row r="100" spans="1:7" x14ac:dyDescent="0.3">
      <c r="A100" s="2">
        <v>3</v>
      </c>
      <c r="C100" s="38" t="s">
        <v>41</v>
      </c>
      <c r="D100" s="42">
        <f>TRUNC(32352,-1)</f>
        <v>32350</v>
      </c>
      <c r="E100" s="63">
        <f t="shared" si="3"/>
        <v>106940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TRUNC(24318,-1)</f>
        <v>24310</v>
      </c>
      <c r="E102" s="63">
        <f t="shared" si="3"/>
        <v>80360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TRUNC(9035,-1)</f>
        <v>9030</v>
      </c>
      <c r="E104" s="63">
        <f t="shared" si="3"/>
        <v>29850</v>
      </c>
    </row>
    <row r="105" spans="1:7" x14ac:dyDescent="0.3">
      <c r="A105" s="2">
        <v>8</v>
      </c>
      <c r="C105" s="38" t="s">
        <v>46</v>
      </c>
      <c r="D105" s="42">
        <f>TRUNC(7137,-1)</f>
        <v>7130</v>
      </c>
      <c r="E105" s="63">
        <f t="shared" si="3"/>
        <v>23570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TRUNC(4490,-1)</f>
        <v>4490</v>
      </c>
      <c r="E114" s="63">
        <f t="shared" si="3"/>
        <v>14840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TRUNC(2985,-1)</f>
        <v>2980</v>
      </c>
      <c r="E116" s="63">
        <f t="shared" si="3"/>
        <v>9850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TRUNC(35065,-1)</f>
        <v>35060</v>
      </c>
      <c r="E117" s="63">
        <f t="shared" si="3"/>
        <v>115900</v>
      </c>
    </row>
    <row r="118" spans="1:7" ht="17.25" thickBot="1" x14ac:dyDescent="0.35">
      <c r="A118" s="2">
        <v>21</v>
      </c>
      <c r="C118" s="38" t="s">
        <v>47</v>
      </c>
      <c r="D118" s="43">
        <f>TRUNC(5722+2806,-1)</f>
        <v>8520</v>
      </c>
      <c r="E118" s="64">
        <f t="shared" si="3"/>
        <v>28160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167900</v>
      </c>
      <c r="E119" s="39">
        <f>SUM(E98:E118)</f>
        <v>555020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TRUNC(7329,-1)</f>
        <v>7320</v>
      </c>
      <c r="E122" s="62">
        <f t="shared" ref="E122:E132" si="4">TRUNC(+D122*3.3058,-1)</f>
        <v>24190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TRUNC(5292,-1)</f>
        <v>5290</v>
      </c>
      <c r="E124" s="63">
        <f t="shared" si="4"/>
        <v>17480</v>
      </c>
    </row>
    <row r="125" spans="1:7" x14ac:dyDescent="0.3">
      <c r="A125" s="2">
        <v>4</v>
      </c>
      <c r="C125" s="38" t="s">
        <v>138</v>
      </c>
      <c r="D125" s="42">
        <f>TRUNC(9349,-1)</f>
        <v>9340</v>
      </c>
      <c r="E125" s="63">
        <f t="shared" si="4"/>
        <v>30870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TRUNC(4507,-1)</f>
        <v>4500</v>
      </c>
      <c r="E128" s="63">
        <f t="shared" si="4"/>
        <v>14870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TRUNC(19878,-1)</f>
        <v>19870</v>
      </c>
      <c r="E130" s="63">
        <f t="shared" si="4"/>
        <v>65680</v>
      </c>
    </row>
    <row r="131" spans="1:7" x14ac:dyDescent="0.3">
      <c r="A131" s="2">
        <v>10</v>
      </c>
      <c r="C131" s="38" t="s">
        <v>148</v>
      </c>
      <c r="D131" s="42">
        <f>TRUNC(50526,-1)</f>
        <v>50520</v>
      </c>
      <c r="E131" s="63">
        <f t="shared" si="4"/>
        <v>167000</v>
      </c>
    </row>
    <row r="132" spans="1:7" ht="18" thickBot="1" x14ac:dyDescent="0.35">
      <c r="A132" s="2">
        <v>11</v>
      </c>
      <c r="C132" s="38" t="s">
        <v>47</v>
      </c>
      <c r="D132" s="43">
        <f>TRUNC(2196+2440,-1)</f>
        <v>4630</v>
      </c>
      <c r="E132" s="64">
        <f t="shared" si="4"/>
        <v>15300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101470</v>
      </c>
      <c r="E133" s="39">
        <f>SUM(E122:E132)</f>
        <v>335390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TRUNC(6165,-1)</f>
        <v>6160</v>
      </c>
      <c r="E137" s="63">
        <f t="shared" si="5"/>
        <v>20360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TRUNC(2575,-1)</f>
        <v>2570</v>
      </c>
      <c r="E140" s="63">
        <f t="shared" si="5"/>
        <v>8490</v>
      </c>
    </row>
    <row r="141" spans="1:7" x14ac:dyDescent="0.3">
      <c r="A141" s="2">
        <v>6</v>
      </c>
      <c r="C141" s="38" t="s">
        <v>59</v>
      </c>
      <c r="D141" s="42">
        <f>TRUNC(1246,-1)</f>
        <v>1240</v>
      </c>
      <c r="E141" s="63">
        <f t="shared" si="5"/>
        <v>4090</v>
      </c>
    </row>
    <row r="142" spans="1:7" x14ac:dyDescent="0.3">
      <c r="A142" s="2">
        <v>7</v>
      </c>
      <c r="C142" s="38" t="s">
        <v>58</v>
      </c>
      <c r="D142" s="42">
        <f>TRUNC(5972,-1)</f>
        <v>5970</v>
      </c>
      <c r="E142" s="63">
        <f t="shared" si="5"/>
        <v>19730</v>
      </c>
    </row>
    <row r="143" spans="1:7" x14ac:dyDescent="0.3">
      <c r="A143" s="2">
        <v>8</v>
      </c>
      <c r="C143" s="38" t="s">
        <v>62</v>
      </c>
      <c r="D143" s="42">
        <f>TRUNC(5900,-1)</f>
        <v>5900</v>
      </c>
      <c r="E143" s="63">
        <f t="shared" si="5"/>
        <v>19500</v>
      </c>
    </row>
    <row r="144" spans="1:7" x14ac:dyDescent="0.3">
      <c r="A144" s="2">
        <v>9</v>
      </c>
      <c r="C144" s="38" t="s">
        <v>63</v>
      </c>
      <c r="D144" s="42">
        <f>TRUNC(16901,-1)</f>
        <v>16900</v>
      </c>
      <c r="E144" s="63">
        <f t="shared" si="5"/>
        <v>55860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38740</v>
      </c>
      <c r="E146" s="39">
        <f>SUM(E136:E145)</f>
        <v>128030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TRUNC(7264+1533,-1)</f>
        <v>8790</v>
      </c>
      <c r="E149" s="62">
        <f>TRUNC(+D149*3.3058,-1)</f>
        <v>29050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TRUNC(5773,-1)</f>
        <v>5770</v>
      </c>
      <c r="E150" s="63">
        <f>TRUNC(+D150*3.3058,-1)</f>
        <v>19070</v>
      </c>
    </row>
    <row r="151" spans="1:7" x14ac:dyDescent="0.3">
      <c r="A151" s="2">
        <v>3</v>
      </c>
      <c r="C151" s="38" t="s">
        <v>50</v>
      </c>
      <c r="D151" s="42">
        <f>TRUNC(21895,-1)</f>
        <v>21890</v>
      </c>
      <c r="E151" s="63">
        <f>TRUNC(+D151*3.3058,-1)</f>
        <v>72360</v>
      </c>
    </row>
    <row r="152" spans="1:7" x14ac:dyDescent="0.3">
      <c r="A152" s="2">
        <v>4</v>
      </c>
      <c r="C152" s="38" t="s">
        <v>47</v>
      </c>
      <c r="D152" s="42">
        <f>TRUNC(342+21517+307+350,-1)</f>
        <v>22510</v>
      </c>
      <c r="E152" s="63">
        <f>TRUNC(+D152*3.3058,-1)</f>
        <v>74410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58960</v>
      </c>
      <c r="E154" s="39">
        <f>SUM(E149:E153)</f>
        <v>194890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TRUNC(18872,-1)</f>
        <v>18870</v>
      </c>
      <c r="E157" s="62">
        <f>TRUNC(+D157*3.3058,-1)</f>
        <v>62380</v>
      </c>
    </row>
    <row r="158" spans="1:7" x14ac:dyDescent="0.3">
      <c r="A158" s="2">
        <v>2</v>
      </c>
      <c r="C158" s="38" t="s">
        <v>52</v>
      </c>
      <c r="D158" s="42">
        <f>TRUNC(10246,-1)</f>
        <v>10240</v>
      </c>
      <c r="E158" s="63">
        <f>TRUNC(+D158*3.3058,-1)</f>
        <v>33850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29110</v>
      </c>
      <c r="E161" s="39">
        <f>SUM(E157:E160)</f>
        <v>96230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2020-12-08T02:24:48Z</dcterms:modified>
</cp:coreProperties>
</file>