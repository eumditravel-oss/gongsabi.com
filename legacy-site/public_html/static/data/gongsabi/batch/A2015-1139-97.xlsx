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59" i="4"/>
  <c r="E153" i="4"/>
  <c r="E145" i="4"/>
  <c r="E143" i="4"/>
  <c r="E139" i="4"/>
  <c r="E138" i="4"/>
  <c r="E136" i="4"/>
  <c r="E129" i="4"/>
  <c r="E128" i="4"/>
  <c r="E127" i="4"/>
  <c r="E124" i="4"/>
  <c r="E123" i="4"/>
  <c r="E116" i="4"/>
  <c r="E115" i="4"/>
  <c r="E114" i="4"/>
  <c r="E113" i="4"/>
  <c r="E112" i="4"/>
  <c r="E111" i="4"/>
  <c r="E110" i="4"/>
  <c r="E109" i="4"/>
  <c r="E108" i="4"/>
  <c r="E107" i="4"/>
  <c r="E106" i="4"/>
  <c r="E104" i="4"/>
  <c r="E101" i="4"/>
  <c r="E99" i="4"/>
  <c r="E94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2" i="4"/>
  <c r="E65" i="4"/>
  <c r="E64" i="4"/>
  <c r="E57" i="4"/>
  <c r="E56" i="4"/>
  <c r="E55" i="4"/>
  <c r="E54" i="4"/>
  <c r="E51" i="4"/>
  <c r="E47" i="4"/>
  <c r="E42" i="4"/>
  <c r="E37" i="4"/>
  <c r="D158" i="4" l="1"/>
  <c r="E158" i="4" s="1"/>
  <c r="D157" i="4"/>
  <c r="D152" i="4"/>
  <c r="E152" i="4" s="1"/>
  <c r="D151" i="4"/>
  <c r="E151" i="4" s="1"/>
  <c r="D150" i="4"/>
  <c r="E150" i="4" s="1"/>
  <c r="D149" i="4"/>
  <c r="D144" i="4"/>
  <c r="E144" i="4" s="1"/>
  <c r="D142" i="4"/>
  <c r="E142" i="4" s="1"/>
  <c r="D141" i="4"/>
  <c r="E141" i="4" s="1"/>
  <c r="D140" i="4"/>
  <c r="E140" i="4" s="1"/>
  <c r="D137" i="4"/>
  <c r="D132" i="4"/>
  <c r="E132" i="4" s="1"/>
  <c r="D131" i="4"/>
  <c r="E131" i="4" s="1"/>
  <c r="D130" i="4"/>
  <c r="E130" i="4" s="1"/>
  <c r="D126" i="4"/>
  <c r="E126" i="4" s="1"/>
  <c r="D125" i="4"/>
  <c r="E125" i="4" s="1"/>
  <c r="D122" i="4"/>
  <c r="E122" i="4" s="1"/>
  <c r="D118" i="4"/>
  <c r="E118" i="4" s="1"/>
  <c r="D117" i="4"/>
  <c r="E117" i="4" s="1"/>
  <c r="D105" i="4"/>
  <c r="E105" i="4" s="1"/>
  <c r="D103" i="4"/>
  <c r="E103" i="4" s="1"/>
  <c r="D102" i="4"/>
  <c r="E102" i="4" s="1"/>
  <c r="D100" i="4"/>
  <c r="E100" i="4" s="1"/>
  <c r="D98" i="4"/>
  <c r="D93" i="4"/>
  <c r="E93" i="4" s="1"/>
  <c r="D92" i="4"/>
  <c r="E92" i="4" s="1"/>
  <c r="D91" i="4"/>
  <c r="E91" i="4" s="1"/>
  <c r="D90" i="4"/>
  <c r="E90" i="4" s="1"/>
  <c r="D89" i="4"/>
  <c r="E89" i="4" s="1"/>
  <c r="D73" i="4"/>
  <c r="E73" i="4" s="1"/>
  <c r="D71" i="4"/>
  <c r="E71" i="4" s="1"/>
  <c r="D70" i="4"/>
  <c r="E70" i="4" s="1"/>
  <c r="D69" i="4"/>
  <c r="D63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D24" i="4"/>
  <c r="E24" i="4" s="1"/>
  <c r="D7" i="4"/>
  <c r="D66" i="4" l="1"/>
  <c r="D26" i="4" s="1"/>
  <c r="E26" i="4" s="1"/>
  <c r="E63" i="4"/>
  <c r="E66" i="4" s="1"/>
  <c r="D95" i="4"/>
  <c r="D27" i="4" s="1"/>
  <c r="E27" i="4" s="1"/>
  <c r="E69" i="4"/>
  <c r="E95" i="4" s="1"/>
  <c r="D161" i="4"/>
  <c r="D32" i="4" s="1"/>
  <c r="E32" i="4" s="1"/>
  <c r="E157" i="4"/>
  <c r="E161" i="4" s="1"/>
  <c r="D119" i="4"/>
  <c r="D28" i="4" s="1"/>
  <c r="E28" i="4" s="1"/>
  <c r="E98" i="4"/>
  <c r="E119" i="4" s="1"/>
  <c r="D146" i="4"/>
  <c r="D30" i="4" s="1"/>
  <c r="E30" i="4" s="1"/>
  <c r="E137" i="4"/>
  <c r="E146" i="4" s="1"/>
  <c r="E133" i="4"/>
  <c r="D154" i="4"/>
  <c r="D31" i="4" s="1"/>
  <c r="E31" i="4" s="1"/>
  <c r="E149" i="4"/>
  <c r="E154" i="4" s="1"/>
  <c r="D60" i="4"/>
  <c r="D25" i="4" s="1"/>
  <c r="E25" i="4" s="1"/>
  <c r="E40" i="4"/>
  <c r="E60" i="4" s="1"/>
  <c r="D133" i="4"/>
  <c r="D29" i="4" s="1"/>
  <c r="E29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/>
</calcChain>
</file>

<file path=xl/sharedStrings.xml><?xml version="1.0" encoding="utf-8"?>
<sst xmlns="http://schemas.openxmlformats.org/spreadsheetml/2006/main" count="393" uniqueCount="265">
  <si>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</si>
  <si>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</si>
  <si>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</si>
  <si>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</si>
  <si>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</si>
  <si>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</si>
  <si>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</si>
  <si>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</si>
  <si>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</si>
  <si>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</si>
  <si>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</si>
  <si>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</si>
  <si>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</si>
  <si>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</si>
  <si>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</si>
  <si>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</si>
  <si>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</si>
  <si>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</si>
  <si>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</si>
  <si>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</si>
  <si>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</si>
  <si>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</si>
  <si>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</si>
  <si>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</si>
  <si>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</si>
  <si>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</si>
  <si>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</si>
  <si>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</si>
  <si>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</si>
  <si>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</si>
  <si>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</si>
  <si>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</si>
  <si>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</si>
  <si>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</si>
  <si>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</si>
  <si>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</si>
  <si>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</si>
  <si>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</si>
  <si>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</si>
  <si>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</si>
  <si>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</si>
  <si>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</si>
  <si>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</si>
  <si>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</si>
  <si>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</si>
  <si>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</si>
  <si>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</si>
  <si>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</si>
  <si>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</si>
  <si>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</si>
  <si>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</si>
  <si>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</si>
  <si>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</si>
  <si>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</si>
  <si>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</si>
  <si>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</si>
  <si>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</si>
  <si>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</si>
  <si>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</si>
  <si>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</si>
  <si>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</si>
  <si>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</si>
  <si>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</si>
  <si>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</si>
  <si>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</si>
  <si>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</si>
  <si>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</si>
  <si>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</si>
  <si>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</si>
  <si>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</si>
  <si>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</si>
  <si>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</si>
  <si>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</si>
  <si>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</si>
  <si>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</si>
  <si>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</si>
  <si>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</si>
  <si>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</si>
  <si>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</si>
  <si>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</si>
  <si>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</si>
  <si>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</si>
  <si>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</si>
  <si>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</si>
  <si>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</si>
  <si>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</si>
  <si>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</si>
  <si>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</si>
  <si>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</si>
  <si>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</si>
  <si>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</si>
  <si>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</si>
  <si>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</si>
  <si>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</si>
  <si>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</si>
  <si>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</si>
  <si>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</si>
  <si>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</si>
  <si>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</si>
  <si>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</si>
  <si>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</si>
  <si>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</si>
  <si>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</si>
  <si>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</si>
  <si>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</si>
  <si>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</si>
  <si>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</si>
  <si>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</si>
  <si>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</si>
  <si>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</si>
  <si>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</si>
  <si>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</si>
  <si>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</si>
  <si>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</si>
  <si>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</si>
  <si>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</si>
  <si>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</si>
  <si>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</si>
  <si>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</si>
  <si>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</si>
  <si>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</si>
  <si>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</si>
  <si>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</si>
  <si>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</si>
  <si>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</si>
  <si>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</si>
  <si>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</si>
  <si>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</si>
  <si>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</si>
  <si>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</si>
  <si>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</si>
  <si>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</si>
  <si>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</si>
  <si>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</si>
  <si>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</si>
  <si>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</si>
  <si>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</si>
  <si>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</si>
  <si>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</si>
  <si>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</si>
  <si>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</si>
  <si>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</si>
  <si>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</si>
  <si>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</si>
  <si>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</si>
  <si>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</si>
  <si>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</si>
  <si>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</si>
  <si>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</si>
  <si>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</si>
  <si>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</si>
  <si>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</si>
  <si>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</si>
  <si>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</si>
  <si>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</si>
  <si>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</si>
  <si>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</si>
  <si>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</si>
  <si>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</si>
  <si>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</si>
  <si>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</si>
  <si>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</si>
  <si>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</si>
  <si>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</si>
  <si>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</si>
  <si>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</si>
  <si>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</si>
  <si>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</si>
  <si>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</si>
  <si>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</si>
  <si>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</si>
  <si>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</si>
  <si>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</si>
  <si>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</si>
  <si>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</si>
  <si>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</si>
  <si>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</si>
  <si>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</si>
  <si>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</si>
  <si>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</si>
  <si>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</si>
  <si>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</si>
  <si>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</si>
  <si>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</si>
  <si>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</si>
  <si>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</si>
  <si>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</si>
  <si>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</si>
  <si>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</si>
  <si>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</si>
  <si>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</si>
  <si>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</si>
  <si>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</si>
  <si>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</si>
  <si>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</si>
  <si>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</si>
  <si>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</si>
  <si>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</si>
  <si>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</si>
  <si>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</si>
  <si>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</si>
  <si>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</si>
  <si>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</si>
  <si>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</si>
  <si>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</si>
  <si>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</si>
  <si>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</si>
  <si>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</si>
  <si>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</si>
  <si>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</si>
  <si>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</si>
  <si>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</si>
  <si>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</si>
  <si>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</si>
  <si>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</si>
  <si>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</si>
  <si>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</si>
  <si>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</si>
  <si>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</si>
  <si>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</si>
  <si>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</si>
  <si>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</si>
  <si>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</si>
  <si>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</si>
  <si>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</si>
  <si>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</si>
  <si>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</si>
  <si>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</si>
  <si>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</si>
  <si>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</si>
  <si>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</si>
  <si>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</si>
  <si>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</si>
  <si>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</si>
  <si>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</si>
  <si>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</si>
  <si>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</si>
  <si>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</si>
  <si>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</si>
  <si>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</si>
  <si>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</si>
  <si>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</si>
  <si>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</si>
  <si>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</si>
  <si>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</si>
  <si>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</si>
  <si>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지원초 교사신축공사</t>
  </si>
  <si>
    <t>교육연구</t>
  </si>
  <si>
    <t>광주시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</si>
  <si>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</si>
  <si>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</si>
  <si>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</si>
  <si>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</si>
  <si>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 작업부산물, 품질시험비, 기타공사</t>
    <phoneticPr fontId="2" type="noConversion"/>
  </si>
  <si>
    <t>CCTV설비공사,기타공사</t>
    <phoneticPr fontId="2" type="noConversion"/>
  </si>
  <si>
    <t>기타공사</t>
    <phoneticPr fontId="2" type="noConversion"/>
  </si>
  <si>
    <t>토목</t>
    <phoneticPr fontId="2" type="noConversion"/>
  </si>
  <si>
    <t>토목 운반비, 기타공사</t>
    <phoneticPr fontId="2" type="noConversion"/>
  </si>
  <si>
    <t>원/ m2</t>
    <phoneticPr fontId="2" type="noConversion"/>
  </si>
  <si>
    <t>원/ m2</t>
  </si>
  <si>
    <t>원 /평</t>
  </si>
  <si>
    <t>기타공사, 난방배관공사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</si>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</sst>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8165.17</v>
      </c>
      <c r="D7" s="36">
        <f>+C7/3.3058</f>
        <v>2469.9528102123541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913570</v>
      </c>
      <c r="E25" s="59">
        <f t="shared" si="0"/>
        <v>3020070</v>
      </c>
    </row>
    <row r="26" spans="1:5" x14ac:dyDescent="0.3">
      <c r="B26" s="2">
        <v>3</v>
      </c>
      <c r="C26" s="35" t="s">
        <v>95</v>
      </c>
      <c r="D26" s="45">
        <f>+D66</f>
        <v>1730</v>
      </c>
      <c r="E26" s="59">
        <f t="shared" si="0"/>
        <v>5710</v>
      </c>
    </row>
    <row r="27" spans="1:5" x14ac:dyDescent="0.3">
      <c r="B27" s="2">
        <v>4</v>
      </c>
      <c r="C27" s="35" t="s">
        <v>96</v>
      </c>
      <c r="D27" s="45">
        <f>+D95</f>
        <v>214590</v>
      </c>
      <c r="E27" s="59">
        <f t="shared" si="0"/>
        <v>709390</v>
      </c>
    </row>
    <row r="28" spans="1:5" x14ac:dyDescent="0.3">
      <c r="B28" s="2">
        <v>5</v>
      </c>
      <c r="C28" s="35" t="s">
        <v>97</v>
      </c>
      <c r="D28" s="45">
        <f>+D119</f>
        <v>156890</v>
      </c>
      <c r="E28" s="59">
        <f t="shared" si="0"/>
        <v>518640</v>
      </c>
    </row>
    <row r="29" spans="1:5" x14ac:dyDescent="0.3">
      <c r="B29" s="2">
        <v>6</v>
      </c>
      <c r="C29" s="35" t="s">
        <v>98</v>
      </c>
      <c r="D29" s="45">
        <f>+D133</f>
        <v>81850</v>
      </c>
      <c r="E29" s="59">
        <f t="shared" si="0"/>
        <v>270570</v>
      </c>
    </row>
    <row r="30" spans="1:5" x14ac:dyDescent="0.3">
      <c r="B30" s="2">
        <v>7</v>
      </c>
      <c r="C30" s="35" t="s">
        <v>99</v>
      </c>
      <c r="D30" s="45">
        <f>+D146</f>
        <v>34320</v>
      </c>
      <c r="E30" s="59">
        <f t="shared" si="0"/>
        <v>113450</v>
      </c>
    </row>
    <row r="31" spans="1:5" x14ac:dyDescent="0.3">
      <c r="B31" s="2">
        <v>8</v>
      </c>
      <c r="C31" s="35" t="s">
        <v>100</v>
      </c>
      <c r="D31" s="45">
        <f>+D154</f>
        <v>90430</v>
      </c>
      <c r="E31" s="59">
        <f t="shared" si="0"/>
        <v>298940</v>
      </c>
    </row>
    <row r="32" spans="1:5" x14ac:dyDescent="0.3">
      <c r="B32" s="2">
        <v>9</v>
      </c>
      <c r="C32" s="35" t="s">
        <v>101</v>
      </c>
      <c r="D32" s="45">
        <f>+D161</f>
        <v>24280</v>
      </c>
      <c r="E32" s="59">
        <f t="shared" si="0"/>
        <v>80260</v>
      </c>
    </row>
    <row r="33" spans="1:7" x14ac:dyDescent="0.3">
      <c r="B33" s="2">
        <v>10</v>
      </c>
      <c r="C33" s="35" t="s">
        <v>154</v>
      </c>
      <c r="D33" s="53">
        <f>TRUNC(SUM(D24:D32)*0.275,-1)</f>
        <v>417350</v>
      </c>
      <c r="E33" s="60">
        <f t="shared" si="0"/>
        <v>1379670</v>
      </c>
    </row>
    <row r="34" spans="1:7" x14ac:dyDescent="0.3">
      <c r="C34" s="35" t="s">
        <v>112</v>
      </c>
      <c r="D34" s="44">
        <f>SUM(D24:D33)</f>
        <v>1935010</v>
      </c>
      <c r="E34" s="44">
        <f>SUM(E24:E33)</f>
        <v>6396700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258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259</v>
      </c>
      <c r="E39" s="66" t="s">
        <v>260</v>
      </c>
      <c r="G39" s="67"/>
    </row>
    <row r="40" spans="1:7" x14ac:dyDescent="0.3">
      <c r="A40" s="2">
        <v>1</v>
      </c>
      <c r="C40" s="38" t="s">
        <v>15</v>
      </c>
      <c r="D40" s="40">
        <f>TRUNC(48609,-1)</f>
        <v>48600</v>
      </c>
      <c r="E40" s="62">
        <f t="shared" ref="E40:E59" si="1">TRUNC(+D40*3.3058,-1)</f>
        <v>160660</v>
      </c>
    </row>
    <row r="41" spans="1:7" x14ac:dyDescent="0.3">
      <c r="A41" s="2">
        <v>2</v>
      </c>
      <c r="C41" s="38" t="s">
        <v>13</v>
      </c>
      <c r="D41" s="42">
        <f>TRUNC(174166,-1)</f>
        <v>174160</v>
      </c>
      <c r="E41" s="63">
        <f t="shared" si="1"/>
        <v>575730</v>
      </c>
    </row>
    <row r="42" spans="1:7" x14ac:dyDescent="0.3">
      <c r="A42" s="2">
        <v>3</v>
      </c>
      <c r="C42" s="38" t="s">
        <v>14</v>
      </c>
      <c r="D42" s="42">
        <v>6720</v>
      </c>
      <c r="E42" s="63">
        <f t="shared" si="1"/>
        <v>22210</v>
      </c>
    </row>
    <row r="43" spans="1:7" x14ac:dyDescent="0.3">
      <c r="A43" s="2">
        <v>4</v>
      </c>
      <c r="C43" s="38" t="s">
        <v>16</v>
      </c>
      <c r="D43" s="42">
        <f>TRUNC(28057,-1)</f>
        <v>28050</v>
      </c>
      <c r="E43" s="63">
        <f t="shared" si="1"/>
        <v>92720</v>
      </c>
    </row>
    <row r="44" spans="1:7" x14ac:dyDescent="0.3">
      <c r="A44" s="2">
        <v>5</v>
      </c>
      <c r="C44" s="38" t="s">
        <v>17</v>
      </c>
      <c r="D44" s="42">
        <f>TRUNC(24777,-1)</f>
        <v>24770</v>
      </c>
      <c r="E44" s="63">
        <f t="shared" si="1"/>
        <v>81880</v>
      </c>
    </row>
    <row r="45" spans="1:7" x14ac:dyDescent="0.3">
      <c r="A45" s="2">
        <v>6</v>
      </c>
      <c r="C45" s="38" t="s">
        <v>18</v>
      </c>
      <c r="D45" s="42">
        <f>TRUNC(6131,-1)</f>
        <v>6130</v>
      </c>
      <c r="E45" s="63">
        <f t="shared" si="1"/>
        <v>20260</v>
      </c>
    </row>
    <row r="46" spans="1:7" x14ac:dyDescent="0.3">
      <c r="A46" s="2">
        <v>7</v>
      </c>
      <c r="C46" s="38" t="s">
        <v>19</v>
      </c>
      <c r="D46" s="42">
        <f>TRUNC(5831,-1)</f>
        <v>5830</v>
      </c>
      <c r="E46" s="63">
        <f t="shared" si="1"/>
        <v>19270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TRUNC(102756,-1)</f>
        <v>102750</v>
      </c>
      <c r="E48" s="63">
        <f t="shared" si="1"/>
        <v>339670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TRUNC(23359,-1)</f>
        <v>23350</v>
      </c>
      <c r="E49" s="63">
        <f t="shared" si="1"/>
        <v>77190</v>
      </c>
    </row>
    <row r="50" spans="1:7" x14ac:dyDescent="0.3">
      <c r="A50" s="2">
        <v>11</v>
      </c>
      <c r="C50" s="38" t="s">
        <v>155</v>
      </c>
      <c r="D50" s="42">
        <f>TRUNC(49226,-1)</f>
        <v>49220</v>
      </c>
      <c r="E50" s="63">
        <f t="shared" si="1"/>
        <v>162710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TRUNC(7698,-1)</f>
        <v>7690</v>
      </c>
      <c r="E52" s="63">
        <f t="shared" si="1"/>
        <v>25420</v>
      </c>
    </row>
    <row r="53" spans="1:7" x14ac:dyDescent="0.3">
      <c r="A53" s="2">
        <v>14</v>
      </c>
      <c r="C53" s="38" t="s">
        <v>25</v>
      </c>
      <c r="D53" s="42">
        <f>TRUNC(124934,-1)</f>
        <v>124930</v>
      </c>
      <c r="E53" s="63">
        <f t="shared" si="1"/>
        <v>412990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TRUNC(14984+6690-495+323+8253,-1)</f>
        <v>29750</v>
      </c>
      <c r="E58" s="63">
        <f t="shared" si="1"/>
        <v>98340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TRUNC(281625,-1)</f>
        <v>281620</v>
      </c>
      <c r="E59" s="64">
        <f t="shared" si="1"/>
        <v>930970</v>
      </c>
    </row>
    <row r="60" spans="1:7" x14ac:dyDescent="0.3">
      <c r="A60" s="2">
        <v>21</v>
      </c>
      <c r="C60" s="27" t="s">
        <v>112</v>
      </c>
      <c r="D60" s="39">
        <f>SUM(D40:D59)</f>
        <v>913570</v>
      </c>
      <c r="E60" s="39">
        <f>SUM(E40:E59)</f>
        <v>3020020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258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TRUNC(1738,-1)</f>
        <v>1730</v>
      </c>
      <c r="E63" s="62">
        <f>TRUNC(+D63*3.3058,-1)</f>
        <v>5710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1730</v>
      </c>
      <c r="E66" s="57">
        <f>SUM(E63:E65)</f>
        <v>5710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258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TRUNC(12905,-1)</f>
        <v>12900</v>
      </c>
      <c r="E69" s="62">
        <f t="shared" ref="E69:E94" si="2">TRUNC(+D69*3.3058,-1)</f>
        <v>42640</v>
      </c>
    </row>
    <row r="70" spans="1:7" ht="16.5" customHeight="1" x14ac:dyDescent="0.3">
      <c r="A70" s="2">
        <v>2</v>
      </c>
      <c r="C70" s="38" t="s">
        <v>31</v>
      </c>
      <c r="D70" s="42">
        <f>TRUNC(1155,-1)</f>
        <v>1150</v>
      </c>
      <c r="E70" s="63">
        <f t="shared" si="2"/>
        <v>3800</v>
      </c>
    </row>
    <row r="71" spans="1:7" x14ac:dyDescent="0.3">
      <c r="A71" s="2">
        <v>3</v>
      </c>
      <c r="C71" s="38" t="s">
        <v>32</v>
      </c>
      <c r="D71" s="42">
        <f>TRUNC(11936,-1)</f>
        <v>11930</v>
      </c>
      <c r="E71" s="63">
        <f t="shared" si="2"/>
        <v>39430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TRUNC(23403,-1)</f>
        <v>23400</v>
      </c>
      <c r="E73" s="63">
        <f t="shared" si="2"/>
        <v>77350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TRUNC(6926,-1)</f>
        <v>6920</v>
      </c>
      <c r="E89" s="63">
        <f t="shared" si="2"/>
        <v>22870</v>
      </c>
    </row>
    <row r="90" spans="1:7" x14ac:dyDescent="0.3">
      <c r="A90" s="2">
        <v>22</v>
      </c>
      <c r="C90" s="38" t="s">
        <v>36</v>
      </c>
      <c r="D90" s="42">
        <f>TRUNC(694,-1)</f>
        <v>690</v>
      </c>
      <c r="E90" s="63">
        <f t="shared" si="2"/>
        <v>2280</v>
      </c>
    </row>
    <row r="91" spans="1:7" x14ac:dyDescent="0.3">
      <c r="A91" s="2">
        <v>23</v>
      </c>
      <c r="C91" s="38" t="s">
        <v>37</v>
      </c>
      <c r="D91" s="42">
        <f>TRUNC(7814,-1)</f>
        <v>7810</v>
      </c>
      <c r="E91" s="63">
        <f t="shared" si="2"/>
        <v>25810</v>
      </c>
    </row>
    <row r="92" spans="1:7" x14ac:dyDescent="0.3">
      <c r="A92" s="2">
        <v>24</v>
      </c>
      <c r="C92" s="38" t="s">
        <v>38</v>
      </c>
      <c r="D92" s="42">
        <f>TRUNC(15369,-1)</f>
        <v>15360</v>
      </c>
      <c r="E92" s="63">
        <f t="shared" si="2"/>
        <v>50770</v>
      </c>
    </row>
    <row r="93" spans="1:7" x14ac:dyDescent="0.3">
      <c r="A93" s="2">
        <v>25</v>
      </c>
      <c r="C93" s="38" t="s">
        <v>148</v>
      </c>
      <c r="D93" s="42">
        <f>TRUNC(123772,-1)</f>
        <v>123770</v>
      </c>
      <c r="E93" s="63">
        <f t="shared" si="2"/>
        <v>409150</v>
      </c>
    </row>
    <row r="94" spans="1:7" ht="17.25" thickBot="1" x14ac:dyDescent="0.35">
      <c r="A94" s="2">
        <v>26</v>
      </c>
      <c r="C94" s="38" t="s">
        <v>47</v>
      </c>
      <c r="D94" s="43">
        <f>TRUNC(8587+2080,-1)</f>
        <v>10660</v>
      </c>
      <c r="E94" s="64">
        <f t="shared" si="2"/>
        <v>35230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214590</v>
      </c>
      <c r="E95" s="39">
        <f>SUM(E69:E94)</f>
        <v>709330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258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TRUNC(26703,-1)</f>
        <v>26700</v>
      </c>
      <c r="E98" s="62">
        <f t="shared" ref="E98:E118" si="3">TRUNC(+D98*3.3058,-1)</f>
        <v>88260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TRUNC(2505,-1)</f>
        <v>2500</v>
      </c>
      <c r="E100" s="63">
        <f t="shared" si="3"/>
        <v>8260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TRUNC(13105,-1)</f>
        <v>13100</v>
      </c>
      <c r="E102" s="63">
        <f t="shared" si="3"/>
        <v>43300</v>
      </c>
    </row>
    <row r="103" spans="1:7" x14ac:dyDescent="0.3">
      <c r="A103" s="2">
        <v>6</v>
      </c>
      <c r="C103" s="38" t="s">
        <v>44</v>
      </c>
      <c r="D103" s="42">
        <f>TRUNC(6107,-1)</f>
        <v>6100</v>
      </c>
      <c r="E103" s="63">
        <f t="shared" si="3"/>
        <v>20160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TRUNC(28108,-1)</f>
        <v>28100</v>
      </c>
      <c r="E105" s="63">
        <f t="shared" si="3"/>
        <v>92890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TRUNC(74368,-1)</f>
        <v>74360</v>
      </c>
      <c r="E117" s="63">
        <f t="shared" si="3"/>
        <v>245810</v>
      </c>
    </row>
    <row r="118" spans="1:7" ht="17.25" thickBot="1" x14ac:dyDescent="0.35">
      <c r="A118" s="2">
        <v>21</v>
      </c>
      <c r="C118" s="38" t="s">
        <v>47</v>
      </c>
      <c r="D118" s="43">
        <f>TRUNC(6033,-1)</f>
        <v>6030</v>
      </c>
      <c r="E118" s="64">
        <f t="shared" si="3"/>
        <v>19930</v>
      </c>
    </row>
    <row r="119" spans="1:7" x14ac:dyDescent="0.3">
      <c r="A119" s="2">
        <v>22</v>
      </c>
      <c r="C119" s="27" t="s">
        <v>112</v>
      </c>
      <c r="D119" s="39">
        <f>SUM(D98:D118)</f>
        <v>156890</v>
      </c>
      <c r="E119" s="39">
        <f>SUM(E98:E118)</f>
        <v>518610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258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TRUNC(4355,-1)</f>
        <v>4350</v>
      </c>
      <c r="E122" s="62">
        <f t="shared" ref="E122:E132" si="4">TRUNC(+D122*3.3058,-1)</f>
        <v>14380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970</v>
      </c>
      <c r="E124" s="63">
        <f t="shared" si="4"/>
        <v>3200</v>
      </c>
    </row>
    <row r="125" spans="1:7" x14ac:dyDescent="0.3">
      <c r="A125" s="2">
        <v>4</v>
      </c>
      <c r="C125" s="38" t="s">
        <v>138</v>
      </c>
      <c r="D125" s="42">
        <f>TRUNC(7025,-1)</f>
        <v>7020</v>
      </c>
      <c r="E125" s="63">
        <f t="shared" si="4"/>
        <v>23200</v>
      </c>
    </row>
    <row r="126" spans="1:7" x14ac:dyDescent="0.3">
      <c r="A126" s="2">
        <v>5</v>
      </c>
      <c r="C126" s="38" t="s">
        <v>53</v>
      </c>
      <c r="D126" s="42">
        <f>TRUNC(3163,-1)</f>
        <v>3160</v>
      </c>
      <c r="E126" s="63">
        <f t="shared" si="4"/>
        <v>10440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4990</v>
      </c>
      <c r="E128" s="63">
        <f t="shared" si="4"/>
        <v>16490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TRUNC(14034,-1)</f>
        <v>14030</v>
      </c>
      <c r="E130" s="63">
        <f t="shared" si="4"/>
        <v>46380</v>
      </c>
    </row>
    <row r="131" spans="1:7" x14ac:dyDescent="0.3">
      <c r="A131" s="2">
        <v>10</v>
      </c>
      <c r="C131" s="38" t="s">
        <v>148</v>
      </c>
      <c r="D131" s="42">
        <f>TRUNC(42287,-1)</f>
        <v>42280</v>
      </c>
      <c r="E131" s="63">
        <f t="shared" si="4"/>
        <v>139760</v>
      </c>
    </row>
    <row r="132" spans="1:7" ht="17.25" thickBot="1" x14ac:dyDescent="0.35">
      <c r="A132" s="2">
        <v>11</v>
      </c>
      <c r="C132" s="38" t="s">
        <v>47</v>
      </c>
      <c r="D132" s="43">
        <f>TRUNC(5054,-1)</f>
        <v>5050</v>
      </c>
      <c r="E132" s="64">
        <f t="shared" si="4"/>
        <v>16690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81850</v>
      </c>
      <c r="E133" s="39">
        <f>SUM(E122:E132)</f>
        <v>270540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258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TRUNC(2921,-1)</f>
        <v>2920</v>
      </c>
      <c r="E137" s="63">
        <f t="shared" si="5"/>
        <v>9650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TRUNC(5973,-1)</f>
        <v>5970</v>
      </c>
      <c r="E140" s="63">
        <f t="shared" si="5"/>
        <v>19730</v>
      </c>
    </row>
    <row r="141" spans="1:7" x14ac:dyDescent="0.3">
      <c r="A141" s="2">
        <v>6</v>
      </c>
      <c r="C141" s="38" t="s">
        <v>59</v>
      </c>
      <c r="D141" s="42">
        <f>TRUNC(5725,-1)</f>
        <v>5720</v>
      </c>
      <c r="E141" s="63">
        <f t="shared" si="5"/>
        <v>18900</v>
      </c>
    </row>
    <row r="142" spans="1:7" x14ac:dyDescent="0.3">
      <c r="A142" s="2">
        <v>7</v>
      </c>
      <c r="C142" s="38" t="s">
        <v>58</v>
      </c>
      <c r="D142" s="42">
        <f>TRUNC(6634,-1)</f>
        <v>6630</v>
      </c>
      <c r="E142" s="63">
        <f t="shared" si="5"/>
        <v>21910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TRUNC(13089,-1)</f>
        <v>13080</v>
      </c>
      <c r="E144" s="63">
        <f t="shared" si="5"/>
        <v>43230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34320</v>
      </c>
      <c r="E146" s="39">
        <f>SUM(E136:E145)</f>
        <v>113420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258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TRUNC(19109+3705,-1)</f>
        <v>22810</v>
      </c>
      <c r="E149" s="62">
        <f>TRUNC(+D149*3.3058,-1)</f>
        <v>75400</v>
      </c>
      <c r="F149" s="2" t="s">
        <v>256</v>
      </c>
    </row>
    <row r="150" spans="1:7" x14ac:dyDescent="0.3">
      <c r="A150" s="2">
        <v>2</v>
      </c>
      <c r="C150" s="38" t="s">
        <v>49</v>
      </c>
      <c r="D150" s="42">
        <f>TRUNC(11101,-1)</f>
        <v>11100</v>
      </c>
      <c r="E150" s="63">
        <f>TRUNC(+D150*3.3058,-1)</f>
        <v>36690</v>
      </c>
      <c r="F150" s="2" t="s">
        <v>256</v>
      </c>
    </row>
    <row r="151" spans="1:7" x14ac:dyDescent="0.3">
      <c r="A151" s="2">
        <v>3</v>
      </c>
      <c r="C151" s="38" t="s">
        <v>50</v>
      </c>
      <c r="D151" s="42">
        <f>TRUNC(50409,-1)</f>
        <v>50400</v>
      </c>
      <c r="E151" s="63">
        <f>TRUNC(+D151*3.3058,-1)</f>
        <v>166610</v>
      </c>
      <c r="F151" s="2" t="s">
        <v>256</v>
      </c>
    </row>
    <row r="152" spans="1:7" x14ac:dyDescent="0.3">
      <c r="A152" s="2">
        <v>4</v>
      </c>
      <c r="C152" s="38" t="s">
        <v>47</v>
      </c>
      <c r="D152" s="42">
        <f>TRUNC(329+5798,-1)</f>
        <v>6120</v>
      </c>
      <c r="E152" s="63">
        <f>TRUNC(+D152*3.3058,-1)</f>
        <v>20230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  <c r="F153" s="2" t="s">
        <v>256</v>
      </c>
    </row>
    <row r="154" spans="1:7" x14ac:dyDescent="0.3">
      <c r="A154" s="2">
        <v>6</v>
      </c>
      <c r="C154" s="27" t="s">
        <v>112</v>
      </c>
      <c r="D154" s="39">
        <f>SUM(D149:D153)</f>
        <v>90430</v>
      </c>
      <c r="E154" s="39">
        <f>SUM(E149:E153)</f>
        <v>298930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258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TRUNC(20295,-1)</f>
        <v>20290</v>
      </c>
      <c r="E157" s="62">
        <f>TRUNC(+D157*3.3058,-1)</f>
        <v>67070</v>
      </c>
    </row>
    <row r="158" spans="1:7" x14ac:dyDescent="0.3">
      <c r="A158" s="2">
        <v>2</v>
      </c>
      <c r="C158" s="38" t="s">
        <v>52</v>
      </c>
      <c r="D158" s="42">
        <f>TRUNC(3994,-1)</f>
        <v>3990</v>
      </c>
      <c r="E158" s="63">
        <f>TRUNC(+D158*3.3058,-1)</f>
        <v>13190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24280</v>
      </c>
      <c r="E161" s="39">
        <f>SUM(E157:E160)</f>
        <v>80260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2020-12-07T09:56:14Z</dcterms:modified>
</cp:coreProperties>
</file>