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93" i="4"/>
  <c r="D59" i="4"/>
  <c r="D40" i="4"/>
  <c r="D159" i="4"/>
  <c r="D158" i="4"/>
  <c r="D157" i="4"/>
  <c r="D152" i="4"/>
  <c r="D151" i="4"/>
  <c r="D150" i="4"/>
  <c r="D149" i="4"/>
  <c r="D144" i="4"/>
  <c r="D143" i="4"/>
  <c r="D142" i="4"/>
  <c r="D141" i="4"/>
  <c r="D140" i="4"/>
  <c r="D137" i="4"/>
  <c r="D132" i="4"/>
  <c r="D130" i="4"/>
  <c r="D125" i="4"/>
  <c r="D122" i="4"/>
  <c r="D118" i="4"/>
  <c r="D116" i="4"/>
  <c r="D114" i="4"/>
  <c r="D105" i="4"/>
  <c r="D103" i="4"/>
  <c r="D102" i="4"/>
  <c r="D100" i="4"/>
  <c r="D99" i="4"/>
  <c r="D94" i="4"/>
  <c r="D92" i="4"/>
  <c r="D91" i="4"/>
  <c r="D89" i="4"/>
  <c r="D71" i="4"/>
  <c r="D73" i="4"/>
  <c r="D70" i="4"/>
  <c r="D69" i="4"/>
  <c r="D63" i="4"/>
  <c r="D58" i="4"/>
  <c r="D52" i="4"/>
  <c r="D50" i="4"/>
  <c r="D49" i="4"/>
  <c r="D48" i="4"/>
  <c r="D46" i="4"/>
  <c r="D45" i="4"/>
  <c r="D44" i="4"/>
  <c r="D43" i="4"/>
  <c r="D42" i="4"/>
  <c r="D41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<sst xmlns="http://schemas.openxmlformats.org/spreadsheetml/2006/main" count="391" uniqueCount="268">
  <si>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</si>
  <si>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</si>
  <si>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</si>
  <si>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</si>
  <si>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</si>
  <si>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</si>
  <si>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</si>
  <si>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</si>
  <si>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</si>
  <si>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</si>
  <si>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</si>
  <si>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</si>
  <si>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</si>
  <si>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</si>
  <si>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</si>
  <si>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</si>
  <si>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</si>
  <si>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</si>
  <si>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</si>
  <si>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</si>
  <si>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</si>
  <si>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</si>
  <si>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</si>
  <si>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</si>
  <si>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</si>
  <si>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</si>
  <si>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</si>
  <si>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</si>
  <si>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</si>
  <si>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</si>
  <si>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</si>
  <si>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</si>
  <si>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</si>
  <si>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</si>
  <si>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</si>
  <si>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</si>
  <si>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</si>
  <si>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</si>
  <si>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</si>
  <si>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</si>
  <si>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</si>
  <si>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</si>
  <si>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</si>
  <si>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</si>
  <si>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</si>
  <si>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</si>
  <si>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</si>
  <si>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</si>
  <si>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</si>
  <si>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</si>
  <si>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</si>
  <si>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</si>
  <si>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</si>
  <si>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</si>
  <si>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</si>
  <si>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</si>
  <si>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</si>
  <si>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</si>
  <si>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</si>
  <si>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</si>
  <si>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</si>
  <si>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</si>
  <si>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</si>
  <si>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</si>
  <si>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</si>
  <si>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</si>
  <si>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</si>
  <si>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</si>
  <si>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</si>
  <si>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</si>
  <si>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</si>
  <si>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</si>
  <si>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</si>
  <si>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</si>
  <si>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</si>
  <si>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</si>
  <si>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</si>
  <si>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</si>
  <si>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</si>
  <si>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</si>
  <si>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</si>
  <si>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</si>
  <si>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</si>
  <si>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</si>
  <si>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</si>
  <si>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</si>
  <si>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</si>
  <si>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</si>
  <si>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</si>
  <si>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</si>
  <si>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</si>
  <si>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</si>
  <si>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</si>
  <si>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</si>
  <si>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</si>
  <si>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</si>
  <si>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</si>
  <si>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</si>
  <si>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</si>
  <si>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</si>
  <si>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</si>
  <si>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</si>
  <si>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</si>
  <si>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</si>
  <si>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</si>
  <si>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</si>
  <si>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</si>
  <si>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</si>
  <si>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</si>
  <si>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</si>
  <si>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</si>
  <si>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</si>
  <si>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</si>
  <si>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</si>
  <si>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</si>
  <si>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</si>
  <si>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</si>
  <si>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</si>
  <si>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</si>
  <si>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</si>
  <si>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</si>
  <si>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</si>
  <si>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</si>
  <si>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</si>
  <si>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</si>
  <si>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</si>
  <si>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</si>
  <si>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</si>
  <si>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</si>
  <si>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</si>
  <si>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</si>
  <si>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</si>
  <si>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</si>
  <si>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</si>
  <si>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</si>
  <si>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</si>
  <si>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</si>
  <si>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</si>
  <si>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</si>
  <si>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</si>
  <si>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</si>
  <si>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</si>
  <si>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</si>
  <si>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</si>
  <si>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</si>
  <si>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</si>
  <si>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</si>
  <si>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</si>
  <si>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</si>
  <si>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</si>
  <si>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</si>
  <si>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</si>
  <si>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</si>
  <si>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</si>
  <si>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</si>
  <si>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</si>
  <si>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</si>
  <si>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</si>
  <si>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</si>
  <si>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</si>
  <si>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</si>
  <si>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</si>
  <si>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</si>
  <si>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</si>
  <si>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</si>
  <si>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</si>
  <si>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</si>
  <si>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</si>
  <si>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</si>
  <si>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</si>
  <si>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</si>
  <si>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</si>
  <si>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</si>
  <si>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</si>
  <si>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</si>
  <si>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</si>
  <si>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</si>
  <si>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</si>
  <si>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</si>
  <si>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</si>
  <si>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</si>
  <si>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</si>
  <si>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</si>
  <si>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</si>
  <si>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</si>
  <si>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</si>
  <si>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</si>
  <si>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</si>
  <si>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</si>
  <si>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</si>
  <si>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</si>
  <si>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</si>
  <si>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</si>
  <si>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</si>
  <si>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</si>
  <si>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</si>
  <si>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</si>
  <si>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</si>
  <si>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</si>
  <si>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</si>
  <si>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</si>
  <si>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</si>
  <si>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</si>
  <si>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</si>
  <si>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</si>
  <si>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</si>
  <si>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</si>
  <si>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</si>
  <si>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</si>
  <si>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</si>
  <si>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</si>
  <si>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</si>
  <si>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</si>
  <si>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</si>
  <si>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</si>
  <si>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</si>
  <si>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</si>
  <si>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</si>
  <si>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</si>
  <si>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</si>
  <si>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</si>
  <si>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</si>
  <si>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</si>
  <si>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</si>
  <si>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</si>
  <si>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</si>
  <si>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</si>
  <si>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</si>
  <si>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</si>
  <si>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</si>
  <si>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</si>
  <si>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</si>
  <si>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</si>
  <si>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</si>
  <si>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</si>
  <si>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</si>
  <si>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</si>
  <si>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</si>
  <si>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</si>
  <si>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</si>
  <si>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</si>
  <si>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</si>
  <si>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</si>
  <si>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</si>
  <si>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</si>
  <si>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</si>
  <si>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</si>
  <si>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</si>
  <si>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</si>
  <si>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</si>
  <si>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</si>
  <si>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</si>
  <si>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</si>
  <si>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</si>
  <si>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</si>
  <si>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>가칭)효천1초 교사 신축공사</t>
    <phoneticPr fontId="2" type="noConversion"/>
  </si>
  <si>
    <t>광주시</t>
  </si>
  <si>
    <t>기초공사, 골재비및운반비, 품질시험비, 기타공사</t>
    <phoneticPr fontId="2" type="noConversion"/>
  </si>
  <si>
    <t>공조배관공사, 난방배관공사, 기타공사</t>
    <phoneticPr fontId="2" type="noConversion"/>
  </si>
  <si>
    <t>옥외소화배관공사, 기타공사</t>
    <phoneticPr fontId="2" type="noConversion"/>
  </si>
  <si>
    <t>운반비, 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</si>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</sst>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9714.34</v>
      </c>
      <c r="D7" s="36">
        <f>+C7/3.3058</f>
        <v>2938.5746264141812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908850</v>
      </c>
      <c r="E25" s="59">
        <f t="shared" si="0"/>
        <v>3004470</v>
      </c>
    </row>
    <row r="26" spans="1:5" x14ac:dyDescent="0.3">
      <c r="B26" s="2">
        <v>3</v>
      </c>
      <c r="C26" s="35" t="s">
        <v>95</v>
      </c>
      <c r="D26" s="45">
        <f>+D66</f>
        <v>6520</v>
      </c>
      <c r="E26" s="59">
        <f t="shared" si="0"/>
        <v>21550</v>
      </c>
    </row>
    <row r="27" spans="1:5" x14ac:dyDescent="0.3">
      <c r="B27" s="2">
        <v>4</v>
      </c>
      <c r="C27" s="35" t="s">
        <v>96</v>
      </c>
      <c r="D27" s="45">
        <f>+D95</f>
        <v>165510</v>
      </c>
      <c r="E27" s="59">
        <f t="shared" si="0"/>
        <v>547140</v>
      </c>
    </row>
    <row r="28" spans="1:5" x14ac:dyDescent="0.3">
      <c r="B28" s="2">
        <v>5</v>
      </c>
      <c r="C28" s="35" t="s">
        <v>97</v>
      </c>
      <c r="D28" s="45">
        <f>+D119</f>
        <v>125350</v>
      </c>
      <c r="E28" s="59">
        <f t="shared" si="0"/>
        <v>414380</v>
      </c>
    </row>
    <row r="29" spans="1:5" x14ac:dyDescent="0.3">
      <c r="B29" s="2">
        <v>6</v>
      </c>
      <c r="C29" s="35" t="s">
        <v>98</v>
      </c>
      <c r="D29" s="45">
        <f>+D133</f>
        <v>77080</v>
      </c>
      <c r="E29" s="59">
        <f t="shared" si="0"/>
        <v>254810</v>
      </c>
    </row>
    <row r="30" spans="1:5" x14ac:dyDescent="0.3">
      <c r="B30" s="2">
        <v>7</v>
      </c>
      <c r="C30" s="35" t="s">
        <v>99</v>
      </c>
      <c r="D30" s="45">
        <f>+D146</f>
        <v>39160</v>
      </c>
      <c r="E30" s="59">
        <f t="shared" si="0"/>
        <v>129450</v>
      </c>
    </row>
    <row r="31" spans="1:5" x14ac:dyDescent="0.3">
      <c r="B31" s="2">
        <v>8</v>
      </c>
      <c r="C31" s="35" t="s">
        <v>100</v>
      </c>
      <c r="D31" s="45">
        <f>+D154</f>
        <v>46990</v>
      </c>
      <c r="E31" s="59">
        <f t="shared" si="0"/>
        <v>155330</v>
      </c>
    </row>
    <row r="32" spans="1:5" x14ac:dyDescent="0.3">
      <c r="B32" s="2">
        <v>9</v>
      </c>
      <c r="C32" s="35" t="s">
        <v>101</v>
      </c>
      <c r="D32" s="45">
        <f>+D161</f>
        <v>18550</v>
      </c>
      <c r="E32" s="59">
        <f t="shared" si="0"/>
        <v>61320</v>
      </c>
    </row>
    <row r="33" spans="1:7" x14ac:dyDescent="0.3">
      <c r="B33" s="2">
        <v>10</v>
      </c>
      <c r="C33" s="35" t="s">
        <v>154</v>
      </c>
      <c r="D33" s="53">
        <f>TRUNC(SUM(D24:D32)*0.275,-1)</f>
        <v>381700</v>
      </c>
      <c r="E33" s="60">
        <f t="shared" si="0"/>
        <v>1261820</v>
      </c>
    </row>
    <row r="34" spans="1:7" x14ac:dyDescent="0.3">
      <c r="C34" s="35" t="s">
        <v>112</v>
      </c>
      <c r="D34" s="44">
        <f>SUM(D24:D33)</f>
        <v>1769710</v>
      </c>
      <c r="E34" s="44">
        <f>SUM(E24:E33)</f>
        <v>5850270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261</v>
      </c>
      <c r="C39" s="56" t="s">
        <v>262</v>
      </c>
      <c r="D39" s="57" t="s">
        <v>263</v>
      </c>
      <c r="E39" s="57" t="s">
        <v>264</v>
      </c>
      <c r="G39" s="55"/>
    </row>
    <row r="40" spans="1:7" x14ac:dyDescent="0.3">
      <c r="A40" s="2">
        <v>1</v>
      </c>
      <c r="C40" s="38" t="s">
        <v>15</v>
      </c>
      <c r="D40" s="40">
        <f>TRUNC(55873,-1)</f>
        <v>55870</v>
      </c>
      <c r="E40" s="62">
        <f t="shared" ref="E40:E59" si="1">TRUNC(+D40*3.3058,-1)</f>
        <v>184690</v>
      </c>
    </row>
    <row r="41" spans="1:7" x14ac:dyDescent="0.3">
      <c r="A41" s="2">
        <v>2</v>
      </c>
      <c r="C41" s="38" t="s">
        <v>13</v>
      </c>
      <c r="D41" s="42">
        <f>TRUNC(174242,-1)</f>
        <v>174240</v>
      </c>
      <c r="E41" s="63">
        <f t="shared" si="1"/>
        <v>576000</v>
      </c>
    </row>
    <row r="42" spans="1:7" x14ac:dyDescent="0.3">
      <c r="A42" s="2">
        <v>3</v>
      </c>
      <c r="C42" s="38" t="s">
        <v>14</v>
      </c>
      <c r="D42" s="42">
        <f>TRUNC(10226,-1)</f>
        <v>10220</v>
      </c>
      <c r="E42" s="63">
        <f t="shared" si="1"/>
        <v>33780</v>
      </c>
    </row>
    <row r="43" spans="1:7" x14ac:dyDescent="0.3">
      <c r="A43" s="2">
        <v>4</v>
      </c>
      <c r="C43" s="38" t="s">
        <v>16</v>
      </c>
      <c r="D43" s="42">
        <f>TRUNC(35136,-1)</f>
        <v>35130</v>
      </c>
      <c r="E43" s="63">
        <f t="shared" si="1"/>
        <v>116130</v>
      </c>
    </row>
    <row r="44" spans="1:7" x14ac:dyDescent="0.3">
      <c r="A44" s="2">
        <v>5</v>
      </c>
      <c r="C44" s="38" t="s">
        <v>17</v>
      </c>
      <c r="D44" s="42">
        <f>TRUNC(19822,-1)</f>
        <v>19820</v>
      </c>
      <c r="E44" s="63">
        <f t="shared" si="1"/>
        <v>65520</v>
      </c>
    </row>
    <row r="45" spans="1:7" x14ac:dyDescent="0.3">
      <c r="A45" s="2">
        <v>6</v>
      </c>
      <c r="C45" s="38" t="s">
        <v>18</v>
      </c>
      <c r="D45" s="42">
        <f>TRUNC(12036,-1)</f>
        <v>12030</v>
      </c>
      <c r="E45" s="63">
        <f t="shared" si="1"/>
        <v>39760</v>
      </c>
    </row>
    <row r="46" spans="1:7" x14ac:dyDescent="0.3">
      <c r="A46" s="2">
        <v>7</v>
      </c>
      <c r="C46" s="38" t="s">
        <v>19</v>
      </c>
      <c r="D46" s="42">
        <f>TRUNC(18723,-1)</f>
        <v>18720</v>
      </c>
      <c r="E46" s="63">
        <f t="shared" si="1"/>
        <v>61880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TRUNC(43913,-1)</f>
        <v>43910</v>
      </c>
      <c r="E48" s="63">
        <f t="shared" si="1"/>
        <v>145150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TRUNC(22871,-1)</f>
        <v>22870</v>
      </c>
      <c r="E49" s="63">
        <f t="shared" si="1"/>
        <v>75600</v>
      </c>
    </row>
    <row r="50" spans="1:7" x14ac:dyDescent="0.3">
      <c r="A50" s="2">
        <v>11</v>
      </c>
      <c r="C50" s="38" t="s">
        <v>155</v>
      </c>
      <c r="D50" s="42">
        <f>TRUNC(52992,-1)</f>
        <v>52990</v>
      </c>
      <c r="E50" s="63">
        <f t="shared" si="1"/>
        <v>175170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TRUNC(6529,-1)</f>
        <v>6520</v>
      </c>
      <c r="E52" s="63">
        <f t="shared" si="1"/>
        <v>21550</v>
      </c>
    </row>
    <row r="53" spans="1:7" x14ac:dyDescent="0.3">
      <c r="A53" s="2">
        <v>14</v>
      </c>
      <c r="C53" s="38" t="s">
        <v>25</v>
      </c>
      <c r="D53" s="42">
        <v>107430</v>
      </c>
      <c r="E53" s="63">
        <f t="shared" si="1"/>
        <v>355140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TRUNC(12822+3348+605+5836,-1)</f>
        <v>22610</v>
      </c>
      <c r="E58" s="63">
        <f t="shared" si="1"/>
        <v>74740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TRUNC(326499,-1)</f>
        <v>326490</v>
      </c>
      <c r="E59" s="64">
        <f t="shared" si="1"/>
        <v>1079310</v>
      </c>
    </row>
    <row r="60" spans="1:7" x14ac:dyDescent="0.3">
      <c r="A60" s="2">
        <v>21</v>
      </c>
      <c r="C60" s="27" t="s">
        <v>112</v>
      </c>
      <c r="D60" s="39">
        <f>SUM(D40:D59)</f>
        <v>908850</v>
      </c>
      <c r="E60" s="39">
        <f>SUM(E40:E59)</f>
        <v>3004420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TRUNC(6521,-1)</f>
        <v>6520</v>
      </c>
      <c r="E63" s="62">
        <f>TRUNC(+D63*3.3058,-1)</f>
        <v>21550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6520</v>
      </c>
      <c r="E66" s="65">
        <f>SUM(E63:E65)</f>
        <v>21550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TRUNC(9388,-1)</f>
        <v>9380</v>
      </c>
      <c r="E69" s="62">
        <f t="shared" ref="E69:E94" si="2">TRUNC(+D69*3.3058,-1)</f>
        <v>31000</v>
      </c>
    </row>
    <row r="70" spans="1:7" ht="16.5" customHeight="1" x14ac:dyDescent="0.3">
      <c r="A70" s="2">
        <v>2</v>
      </c>
      <c r="C70" s="38" t="s">
        <v>31</v>
      </c>
      <c r="D70" s="42">
        <f>TRUNC(1461,-1)</f>
        <v>1460</v>
      </c>
      <c r="E70" s="63">
        <f t="shared" si="2"/>
        <v>4820</v>
      </c>
    </row>
    <row r="71" spans="1:7" x14ac:dyDescent="0.3">
      <c r="A71" s="2">
        <v>3</v>
      </c>
      <c r="C71" s="38" t="s">
        <v>32</v>
      </c>
      <c r="D71" s="42">
        <f>TRUNC(5939,-1)</f>
        <v>5930</v>
      </c>
      <c r="E71" s="63">
        <f t="shared" si="2"/>
        <v>19600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TRUNC(21858,-1)</f>
        <v>21850</v>
      </c>
      <c r="E73" s="63">
        <f t="shared" si="2"/>
        <v>72230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TRUNC(8966,-1)</f>
        <v>8960</v>
      </c>
      <c r="E89" s="63">
        <f t="shared" si="2"/>
        <v>29610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TRUNC(14446,-1)</f>
        <v>14440</v>
      </c>
      <c r="E91" s="63">
        <f t="shared" si="2"/>
        <v>47730</v>
      </c>
    </row>
    <row r="92" spans="1:7" x14ac:dyDescent="0.3">
      <c r="A92" s="2">
        <v>24</v>
      </c>
      <c r="C92" s="38" t="s">
        <v>38</v>
      </c>
      <c r="D92" s="42">
        <f>TRUNC(11335,-1)</f>
        <v>11330</v>
      </c>
      <c r="E92" s="63">
        <f t="shared" si="2"/>
        <v>37450</v>
      </c>
    </row>
    <row r="93" spans="1:7" x14ac:dyDescent="0.3">
      <c r="A93" s="2">
        <v>25</v>
      </c>
      <c r="C93" s="38" t="s">
        <v>148</v>
      </c>
      <c r="D93" s="42">
        <f>TRUNC(77394,-1)</f>
        <v>77390</v>
      </c>
      <c r="E93" s="63">
        <f t="shared" si="2"/>
        <v>255830</v>
      </c>
    </row>
    <row r="94" spans="1:7" ht="17.25" thickBot="1" x14ac:dyDescent="0.35">
      <c r="A94" s="2">
        <v>26</v>
      </c>
      <c r="C94" s="38" t="s">
        <v>47</v>
      </c>
      <c r="D94" s="43">
        <f>TRUNC(4264+2924+7584,-1)</f>
        <v>14770</v>
      </c>
      <c r="E94" s="64">
        <f t="shared" si="2"/>
        <v>48820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165510</v>
      </c>
      <c r="E95" s="39">
        <f>SUM(E69:E94)</f>
        <v>547090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14350</v>
      </c>
      <c r="E98" s="62">
        <f t="shared" ref="E98:E118" si="3">TRUNC(+D98*3.3058,-1)</f>
        <v>47430</v>
      </c>
    </row>
    <row r="99" spans="1:7" x14ac:dyDescent="0.3">
      <c r="A99" s="2">
        <v>2</v>
      </c>
      <c r="C99" s="38" t="s">
        <v>40</v>
      </c>
      <c r="D99" s="42">
        <f>TRUNC(1189,-1)</f>
        <v>1180</v>
      </c>
      <c r="E99" s="63">
        <f t="shared" si="3"/>
        <v>3900</v>
      </c>
    </row>
    <row r="100" spans="1:7" x14ac:dyDescent="0.3">
      <c r="A100" s="2">
        <v>3</v>
      </c>
      <c r="C100" s="38" t="s">
        <v>41</v>
      </c>
      <c r="D100" s="42">
        <f>TRUNC(27107,-1)</f>
        <v>27100</v>
      </c>
      <c r="E100" s="63">
        <f t="shared" si="3"/>
        <v>89580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TRUNC(11351,-1)</f>
        <v>11350</v>
      </c>
      <c r="E102" s="63">
        <f t="shared" si="3"/>
        <v>37520</v>
      </c>
    </row>
    <row r="103" spans="1:7" x14ac:dyDescent="0.3">
      <c r="A103" s="2">
        <v>6</v>
      </c>
      <c r="C103" s="38" t="s">
        <v>44</v>
      </c>
      <c r="D103" s="42">
        <f>TRUNC(5654,-1)</f>
        <v>5650</v>
      </c>
      <c r="E103" s="63">
        <f t="shared" si="3"/>
        <v>18670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TRUNC(2611,-1)</f>
        <v>2610</v>
      </c>
      <c r="E105" s="63">
        <f t="shared" si="3"/>
        <v>8620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TRUNC(4123,-1)</f>
        <v>4120</v>
      </c>
      <c r="E114" s="63">
        <f t="shared" si="3"/>
        <v>13610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TRUNC(1014,-1)</f>
        <v>1010</v>
      </c>
      <c r="E116" s="63">
        <f t="shared" si="3"/>
        <v>3330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TRUNC(54589,-1)</f>
        <v>54580</v>
      </c>
      <c r="E117" s="63">
        <f t="shared" si="3"/>
        <v>180430</v>
      </c>
    </row>
    <row r="118" spans="1:7" ht="17.25" thickBot="1" x14ac:dyDescent="0.35">
      <c r="A118" s="2">
        <v>21</v>
      </c>
      <c r="C118" s="38" t="s">
        <v>47</v>
      </c>
      <c r="D118" s="43">
        <f>TRUNC(3404,-1)</f>
        <v>3400</v>
      </c>
      <c r="E118" s="64">
        <f t="shared" si="3"/>
        <v>11230</v>
      </c>
    </row>
    <row r="119" spans="1:7" x14ac:dyDescent="0.3">
      <c r="A119" s="2">
        <v>22</v>
      </c>
      <c r="C119" s="27" t="s">
        <v>112</v>
      </c>
      <c r="D119" s="39">
        <f>SUM(D98:D118)</f>
        <v>125350</v>
      </c>
      <c r="E119" s="39">
        <f>SUM(E98:E118)</f>
        <v>414320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TRUNC(2381,-1)</f>
        <v>2380</v>
      </c>
      <c r="E122" s="62">
        <f t="shared" ref="E122:E132" si="4">TRUNC(+D122*3.3058,-1)</f>
        <v>7860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TRUNC(8767,-1)</f>
        <v>8760</v>
      </c>
      <c r="E125" s="63">
        <f t="shared" si="4"/>
        <v>28950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TRUNC(22678,-1)</f>
        <v>22670</v>
      </c>
      <c r="E130" s="63">
        <f t="shared" si="4"/>
        <v>74940</v>
      </c>
    </row>
    <row r="131" spans="1:7" x14ac:dyDescent="0.3">
      <c r="A131" s="2">
        <v>10</v>
      </c>
      <c r="C131" s="38" t="s">
        <v>148</v>
      </c>
      <c r="D131" s="42">
        <f>TRUNC(40456,-1)</f>
        <v>40450</v>
      </c>
      <c r="E131" s="63">
        <f t="shared" si="4"/>
        <v>133710</v>
      </c>
    </row>
    <row r="132" spans="1:7" ht="18" thickBot="1" x14ac:dyDescent="0.35">
      <c r="A132" s="2">
        <v>11</v>
      </c>
      <c r="C132" s="38" t="s">
        <v>47</v>
      </c>
      <c r="D132" s="43">
        <f>TRUNC(2825,-1)</f>
        <v>2820</v>
      </c>
      <c r="E132" s="64">
        <f t="shared" si="4"/>
        <v>9320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77080</v>
      </c>
      <c r="E133" s="39">
        <f>SUM(E122:E132)</f>
        <v>254780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TRUNC(819+162,-1)</f>
        <v>980</v>
      </c>
      <c r="E137" s="63">
        <f t="shared" si="5"/>
        <v>3230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1520</v>
      </c>
      <c r="E139" s="63">
        <f t="shared" si="5"/>
        <v>5020</v>
      </c>
    </row>
    <row r="140" spans="1:7" x14ac:dyDescent="0.3">
      <c r="A140" s="2">
        <v>5</v>
      </c>
      <c r="C140" s="38" t="s">
        <v>57</v>
      </c>
      <c r="D140" s="42">
        <f>TRUNC(6518,-1)</f>
        <v>6510</v>
      </c>
      <c r="E140" s="63">
        <f t="shared" si="5"/>
        <v>21520</v>
      </c>
    </row>
    <row r="141" spans="1:7" x14ac:dyDescent="0.3">
      <c r="A141" s="2">
        <v>6</v>
      </c>
      <c r="C141" s="38" t="s">
        <v>59</v>
      </c>
      <c r="D141" s="42">
        <f>TRUNC(6564,-1)</f>
        <v>6560</v>
      </c>
      <c r="E141" s="63">
        <f t="shared" si="5"/>
        <v>21680</v>
      </c>
    </row>
    <row r="142" spans="1:7" x14ac:dyDescent="0.3">
      <c r="A142" s="2">
        <v>7</v>
      </c>
      <c r="C142" s="38" t="s">
        <v>58</v>
      </c>
      <c r="D142" s="42">
        <f>TRUNC(5172,-1)</f>
        <v>5170</v>
      </c>
      <c r="E142" s="63">
        <f t="shared" si="5"/>
        <v>17090</v>
      </c>
    </row>
    <row r="143" spans="1:7" x14ac:dyDescent="0.3">
      <c r="A143" s="2">
        <v>8</v>
      </c>
      <c r="C143" s="38" t="s">
        <v>62</v>
      </c>
      <c r="D143" s="42">
        <f>TRUNC(4951,-1)</f>
        <v>4950</v>
      </c>
      <c r="E143" s="63">
        <f t="shared" si="5"/>
        <v>16360</v>
      </c>
    </row>
    <row r="144" spans="1:7" x14ac:dyDescent="0.3">
      <c r="A144" s="2">
        <v>9</v>
      </c>
      <c r="C144" s="38" t="s">
        <v>63</v>
      </c>
      <c r="D144" s="42">
        <f>TRUNC(13476,-1)</f>
        <v>13470</v>
      </c>
      <c r="E144" s="63">
        <f t="shared" si="5"/>
        <v>44520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39160</v>
      </c>
      <c r="E146" s="39">
        <f>SUM(E136:E145)</f>
        <v>129420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TRUNC(18932,-1)</f>
        <v>18930</v>
      </c>
      <c r="E149" s="62">
        <f>TRUNC(+D149*3.3058,-1)</f>
        <v>62570</v>
      </c>
    </row>
    <row r="150" spans="1:7" x14ac:dyDescent="0.3">
      <c r="A150" s="2">
        <v>2</v>
      </c>
      <c r="C150" s="38" t="s">
        <v>49</v>
      </c>
      <c r="D150" s="42">
        <f>TRUNC(8963,-1)</f>
        <v>8960</v>
      </c>
      <c r="E150" s="63">
        <f>TRUNC(+D150*3.3058,-1)</f>
        <v>29610</v>
      </c>
    </row>
    <row r="151" spans="1:7" x14ac:dyDescent="0.3">
      <c r="A151" s="2">
        <v>3</v>
      </c>
      <c r="C151" s="38" t="s">
        <v>50</v>
      </c>
      <c r="D151" s="42">
        <f>TRUNC(17967,-1)</f>
        <v>17960</v>
      </c>
      <c r="E151" s="63">
        <f>TRUNC(+D151*3.3058,-1)</f>
        <v>59370</v>
      </c>
    </row>
    <row r="152" spans="1:7" x14ac:dyDescent="0.3">
      <c r="A152" s="2">
        <v>4</v>
      </c>
      <c r="C152" s="38" t="s">
        <v>47</v>
      </c>
      <c r="D152" s="42">
        <f>TRUNC(263+881,-1)</f>
        <v>1140</v>
      </c>
      <c r="E152" s="63">
        <f>TRUNC(+D152*3.3058,-1)</f>
        <v>3760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46990</v>
      </c>
      <c r="E154" s="39">
        <f>SUM(E149:E153)</f>
        <v>155310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TRUNC(17085,-1)</f>
        <v>17080</v>
      </c>
      <c r="E157" s="62">
        <f>TRUNC(+D157*3.3058,-1)</f>
        <v>56460</v>
      </c>
    </row>
    <row r="158" spans="1:7" x14ac:dyDescent="0.3">
      <c r="A158" s="2">
        <v>2</v>
      </c>
      <c r="C158" s="38" t="s">
        <v>52</v>
      </c>
      <c r="D158" s="42">
        <f>TRUNC(843,-1)</f>
        <v>840</v>
      </c>
      <c r="E158" s="63">
        <f>TRUNC(+D158*3.3058,-1)</f>
        <v>2770</v>
      </c>
    </row>
    <row r="159" spans="1:7" x14ac:dyDescent="0.3">
      <c r="A159" s="2">
        <v>3</v>
      </c>
      <c r="C159" s="38" t="s">
        <v>47</v>
      </c>
      <c r="D159" s="42">
        <f>TRUNC(637,-1)</f>
        <v>630</v>
      </c>
      <c r="E159" s="63">
        <f>TRUNC(+D159*3.3058,-1)</f>
        <v>2080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18550</v>
      </c>
      <c r="E161" s="39">
        <f>SUM(E157:E160)</f>
        <v>61310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2020-12-08T01:38:47Z</dcterms:modified>
</cp:coreProperties>
</file>