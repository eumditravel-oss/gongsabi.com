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45" i="4"/>
  <c r="E141" i="4"/>
  <c r="E139" i="4"/>
  <c r="E138" i="4"/>
  <c r="E137" i="4"/>
  <c r="E136" i="4"/>
  <c r="E129" i="4"/>
  <c r="E127" i="4"/>
  <c r="E123" i="4"/>
  <c r="E118" i="4"/>
  <c r="E115" i="4"/>
  <c r="E114" i="4"/>
  <c r="E113" i="4"/>
  <c r="E112" i="4"/>
  <c r="E111" i="4"/>
  <c r="E110" i="4"/>
  <c r="E109" i="4"/>
  <c r="E108" i="4"/>
  <c r="E107" i="4"/>
  <c r="E106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5" i="4"/>
  <c r="E74" i="4"/>
  <c r="E71" i="4"/>
  <c r="E70" i="4"/>
  <c r="E65" i="4"/>
  <c r="E64" i="4"/>
  <c r="E57" i="4"/>
  <c r="E56" i="4"/>
  <c r="E55" i="4"/>
  <c r="E54" i="4"/>
  <c r="E50" i="4"/>
  <c r="E47" i="4"/>
  <c r="E40" i="4"/>
  <c r="E37" i="4"/>
  <c r="D159" i="4" l="1"/>
  <c r="E159" i="4" s="1"/>
  <c r="D158" i="4"/>
  <c r="E158" i="4" s="1"/>
  <c r="D157" i="4"/>
  <c r="E157" i="4" s="1"/>
  <c r="D153" i="4"/>
  <c r="E153" i="4" s="1"/>
  <c r="D152" i="4"/>
  <c r="E152" i="4" s="1"/>
  <c r="D151" i="4"/>
  <c r="E151" i="4" s="1"/>
  <c r="D150" i="4"/>
  <c r="D149" i="4"/>
  <c r="E149" i="4" s="1"/>
  <c r="D144" i="4"/>
  <c r="E144" i="4" s="1"/>
  <c r="D143" i="4"/>
  <c r="E143" i="4" s="1"/>
  <c r="D142" i="4"/>
  <c r="E142" i="4" s="1"/>
  <c r="D140" i="4"/>
  <c r="D132" i="4"/>
  <c r="E132" i="4" s="1"/>
  <c r="D131" i="4"/>
  <c r="E131" i="4" s="1"/>
  <c r="D130" i="4"/>
  <c r="E130" i="4" s="1"/>
  <c r="D128" i="4"/>
  <c r="E128" i="4" s="1"/>
  <c r="D126" i="4"/>
  <c r="E126" i="4" s="1"/>
  <c r="D125" i="4"/>
  <c r="E125" i="4" s="1"/>
  <c r="D124" i="4"/>
  <c r="E124" i="4" s="1"/>
  <c r="D122" i="4"/>
  <c r="D117" i="4"/>
  <c r="E117" i="4" s="1"/>
  <c r="D116" i="4"/>
  <c r="E116" i="4" s="1"/>
  <c r="D105" i="4"/>
  <c r="E105" i="4" s="1"/>
  <c r="D104" i="4"/>
  <c r="E104" i="4" s="1"/>
  <c r="D103" i="4"/>
  <c r="E103" i="4" s="1"/>
  <c r="D102" i="4"/>
  <c r="E102" i="4" s="1"/>
  <c r="D101" i="4"/>
  <c r="E101" i="4" s="1"/>
  <c r="D100" i="4"/>
  <c r="D99" i="4"/>
  <c r="E99" i="4" s="1"/>
  <c r="D98" i="4"/>
  <c r="E98" i="4" s="1"/>
  <c r="D94" i="4"/>
  <c r="E94" i="4" s="1"/>
  <c r="D93" i="4"/>
  <c r="E93" i="4" s="1"/>
  <c r="D92" i="4"/>
  <c r="E92" i="4" s="1"/>
  <c r="D91" i="4"/>
  <c r="E91" i="4" s="1"/>
  <c r="D89" i="4"/>
  <c r="E89" i="4" s="1"/>
  <c r="D76" i="4"/>
  <c r="E76" i="4" s="1"/>
  <c r="D73" i="4"/>
  <c r="E73" i="4" s="1"/>
  <c r="D72" i="4"/>
  <c r="E72" i="4" s="1"/>
  <c r="D69" i="4"/>
  <c r="D63" i="4"/>
  <c r="D59" i="4"/>
  <c r="E59" i="4" s="1"/>
  <c r="D58" i="4"/>
  <c r="E58" i="4" s="1"/>
  <c r="D53" i="4"/>
  <c r="E53" i="4" s="1"/>
  <c r="D52" i="4"/>
  <c r="E52" i="4" s="1"/>
  <c r="D51" i="4"/>
  <c r="E51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D24" i="4"/>
  <c r="E24" i="4" s="1"/>
  <c r="D7" i="4"/>
  <c r="D66" i="4" l="1"/>
  <c r="D26" i="4" s="1"/>
  <c r="E26" i="4" s="1"/>
  <c r="E63" i="4"/>
  <c r="E66" i="4" s="1"/>
  <c r="D119" i="4"/>
  <c r="D28" i="4" s="1"/>
  <c r="E28" i="4" s="1"/>
  <c r="E100" i="4"/>
  <c r="E119" i="4" s="1"/>
  <c r="D133" i="4"/>
  <c r="D29" i="4" s="1"/>
  <c r="E29" i="4" s="1"/>
  <c r="E122" i="4"/>
  <c r="D146" i="4"/>
  <c r="D30" i="4" s="1"/>
  <c r="E30" i="4" s="1"/>
  <c r="E140" i="4"/>
  <c r="E146" i="4" s="1"/>
  <c r="D161" i="4"/>
  <c r="D32" i="4" s="1"/>
  <c r="E32" i="4" s="1"/>
  <c r="E133" i="4"/>
  <c r="D60" i="4"/>
  <c r="D25" i="4" s="1"/>
  <c r="E25" i="4" s="1"/>
  <c r="E41" i="4"/>
  <c r="E60" i="4" s="1"/>
  <c r="D95" i="4"/>
  <c r="D27" i="4" s="1"/>
  <c r="E27" i="4" s="1"/>
  <c r="E69" i="4"/>
  <c r="E95" i="4" s="1"/>
  <c r="D154" i="4"/>
  <c r="D31" i="4" s="1"/>
  <c r="E31" i="4" s="1"/>
  <c r="E150" i="4"/>
  <c r="E154" i="4" s="1"/>
  <c r="E161" i="4"/>
  <c r="D33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  <c r="E33" i="4"/>
  <c r="E34" i="4" s="1"/>
</calcChain>
</file>

<file path=xl/sharedStrings.xml><?xml version="1.0" encoding="utf-8"?>
<sst xmlns="http://schemas.openxmlformats.org/spreadsheetml/2006/main" count="393" uniqueCount="264">
  <si>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</si>
  <si>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</si>
  <si>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</si>
  <si>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</si>
  <si>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</si>
  <si>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</si>
  <si>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</si>
  <si>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</si>
  <si>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</si>
  <si>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</si>
  <si>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</si>
  <si>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</si>
  <si>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</si>
  <si>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</si>
  <si>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</si>
  <si>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</si>
  <si>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</si>
  <si>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</si>
  <si>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</si>
  <si>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</si>
  <si>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</si>
  <si>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</si>
  <si>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</si>
  <si>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</si>
  <si>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</si>
  <si>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</si>
  <si>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</si>
  <si>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</si>
  <si>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</si>
  <si>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</si>
  <si>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</si>
  <si>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</si>
  <si>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</si>
  <si>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</si>
  <si>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</si>
  <si>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</si>
  <si>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</si>
  <si>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</si>
  <si>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</si>
  <si>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</si>
  <si>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</si>
  <si>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</si>
  <si>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</si>
  <si>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</si>
  <si>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</si>
  <si>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</si>
  <si>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</si>
  <si>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</si>
  <si>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</si>
  <si>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</si>
  <si>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</si>
  <si>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</si>
  <si>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</si>
  <si>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</si>
  <si>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</si>
  <si>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</si>
  <si>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</si>
  <si>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</si>
  <si>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</si>
  <si>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</si>
  <si>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</si>
  <si>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</si>
  <si>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</si>
  <si>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</si>
  <si>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</si>
  <si>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</si>
  <si>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</si>
  <si>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</si>
  <si>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</si>
  <si>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</si>
  <si>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</si>
  <si>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</si>
  <si>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</si>
  <si>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</si>
  <si>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</si>
  <si>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</si>
  <si>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</si>
  <si>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</si>
  <si>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</si>
  <si>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</si>
  <si>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</si>
  <si>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</si>
  <si>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</si>
  <si>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</si>
  <si>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</si>
  <si>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</si>
  <si>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</si>
  <si>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</si>
  <si>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</si>
  <si>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</si>
  <si>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</si>
  <si>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</si>
  <si>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</si>
  <si>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</si>
  <si>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</si>
  <si>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</si>
  <si>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</si>
  <si>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</si>
  <si>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</si>
  <si>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</si>
  <si>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</si>
  <si>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</si>
  <si>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</si>
  <si>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</si>
  <si>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</si>
  <si>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</si>
  <si>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</si>
  <si>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</si>
  <si>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</si>
  <si>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</si>
  <si>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</si>
  <si>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</si>
  <si>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</si>
  <si>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</si>
  <si>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</si>
  <si>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</si>
  <si>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</si>
  <si>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</si>
  <si>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</si>
  <si>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</si>
  <si>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</si>
  <si>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</si>
  <si>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</si>
  <si>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</si>
  <si>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</si>
  <si>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</si>
  <si>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</si>
  <si>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</si>
  <si>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</si>
  <si>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</si>
  <si>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</si>
  <si>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</si>
  <si>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</si>
  <si>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</si>
  <si>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</si>
  <si>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</si>
  <si>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</si>
  <si>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</si>
  <si>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</si>
  <si>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</si>
  <si>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</si>
  <si>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</si>
  <si>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</si>
  <si>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</si>
  <si>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</si>
  <si>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</si>
  <si>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</si>
  <si>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</si>
  <si>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</si>
  <si>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</si>
  <si>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</si>
  <si>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</si>
  <si>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</si>
  <si>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</si>
  <si>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</si>
  <si>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</si>
  <si>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</si>
  <si>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</si>
  <si>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</si>
  <si>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</si>
  <si>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</si>
  <si>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</si>
  <si>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</si>
  <si>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</si>
  <si>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</si>
  <si>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</si>
  <si>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</si>
  <si>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</si>
  <si>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</si>
  <si>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</si>
  <si>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</si>
  <si>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</si>
  <si>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</si>
  <si>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</si>
  <si>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</si>
  <si>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</si>
  <si>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</si>
  <si>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</si>
  <si>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</si>
  <si>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</si>
  <si>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</si>
  <si>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</si>
  <si>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</si>
  <si>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</si>
  <si>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</si>
  <si>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</si>
  <si>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</si>
  <si>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</si>
  <si>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</si>
  <si>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</si>
  <si>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</si>
  <si>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</si>
  <si>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</si>
  <si>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</si>
  <si>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</si>
  <si>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</si>
  <si>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</si>
  <si>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</si>
  <si>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</si>
  <si>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</si>
  <si>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</si>
  <si>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</si>
  <si>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</si>
  <si>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</si>
  <si>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</si>
  <si>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</si>
  <si>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</si>
  <si>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</si>
  <si>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</si>
  <si>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</si>
  <si>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</si>
  <si>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</si>
  <si>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</si>
  <si>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</si>
  <si>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</si>
  <si>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</si>
  <si>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</si>
  <si>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</si>
  <si>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</si>
  <si>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</si>
  <si>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</si>
  <si>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</si>
  <si>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</si>
  <si>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</si>
  <si>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</si>
  <si>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</si>
  <si>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</si>
  <si>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</si>
  <si>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</si>
  <si>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</si>
  <si>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</si>
  <si>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</si>
  <si>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</si>
  <si>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</si>
  <si>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</si>
  <si>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</si>
  <si>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</si>
  <si>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</si>
  <si>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</si>
  <si>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</si>
  <si>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</si>
  <si>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</si>
  <si>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</si>
  <si>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</si>
  <si>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</si>
  <si>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</si>
  <si>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가칭 아산초등학교 교사 신축공사</t>
  </si>
  <si>
    <t>교육연구</t>
  </si>
  <si>
    <t>충청도</t>
  </si>
  <si>
    <t>평</t>
    <phoneticPr fontId="2" type="noConversion"/>
  </si>
  <si>
    <t>원/ m2</t>
    <phoneticPr fontId="2" type="noConversion"/>
  </si>
  <si>
    <t>지붕및홈통공사 포함</t>
    <phoneticPr fontId="2" type="noConversion"/>
  </si>
  <si>
    <t>목공사, 인테리어공사 포함</t>
    <phoneticPr fontId="2" type="noConversion"/>
  </si>
  <si>
    <t>기초공사,해체및철거공사,골재비및운반비,작업부산물,기타공사</t>
    <phoneticPr fontId="2" type="noConversion"/>
  </si>
  <si>
    <t xml:space="preserve">공조배관공사 </t>
    <phoneticPr fontId="2" type="noConversion"/>
  </si>
  <si>
    <t xml:space="preserve"> 전기인입 및 수변전 설비공사</t>
    <phoneticPr fontId="2" type="noConversion"/>
  </si>
  <si>
    <t>CCTV설비공사,주차관제설비공사</t>
    <phoneticPr fontId="2" type="noConversion"/>
  </si>
  <si>
    <t>토목</t>
    <phoneticPr fontId="2" type="noConversion"/>
  </si>
  <si>
    <t>포장공사,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</si>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</sst>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14426.17</v>
      </c>
      <c r="D7" s="36">
        <f>+C7/3.3058</f>
        <v>4363.8967874644559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250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644720</v>
      </c>
      <c r="E25" s="59">
        <f t="shared" si="0"/>
        <v>2131310</v>
      </c>
    </row>
    <row r="26" spans="1:5" x14ac:dyDescent="0.3">
      <c r="B26" s="2">
        <v>3</v>
      </c>
      <c r="C26" s="35" t="s">
        <v>95</v>
      </c>
      <c r="D26" s="45">
        <f>+D66</f>
        <v>31140</v>
      </c>
      <c r="E26" s="59">
        <f t="shared" si="0"/>
        <v>102940</v>
      </c>
    </row>
    <row r="27" spans="1:5" x14ac:dyDescent="0.3">
      <c r="B27" s="2">
        <v>4</v>
      </c>
      <c r="C27" s="35" t="s">
        <v>96</v>
      </c>
      <c r="D27" s="45">
        <f>+D95</f>
        <v>170690</v>
      </c>
      <c r="E27" s="59">
        <f t="shared" si="0"/>
        <v>564260</v>
      </c>
    </row>
    <row r="28" spans="1:5" x14ac:dyDescent="0.3">
      <c r="B28" s="2">
        <v>5</v>
      </c>
      <c r="C28" s="35" t="s">
        <v>97</v>
      </c>
      <c r="D28" s="45">
        <f>+D119</f>
        <v>106250</v>
      </c>
      <c r="E28" s="59">
        <f t="shared" si="0"/>
        <v>351240</v>
      </c>
    </row>
    <row r="29" spans="1:5" x14ac:dyDescent="0.3">
      <c r="B29" s="2">
        <v>6</v>
      </c>
      <c r="C29" s="35" t="s">
        <v>98</v>
      </c>
      <c r="D29" s="45">
        <f>+D133</f>
        <v>51550</v>
      </c>
      <c r="E29" s="59">
        <f t="shared" si="0"/>
        <v>170410</v>
      </c>
    </row>
    <row r="30" spans="1:5" x14ac:dyDescent="0.3">
      <c r="B30" s="2">
        <v>7</v>
      </c>
      <c r="C30" s="35" t="s">
        <v>99</v>
      </c>
      <c r="D30" s="45">
        <f>+D146</f>
        <v>32990</v>
      </c>
      <c r="E30" s="59">
        <f t="shared" si="0"/>
        <v>109050</v>
      </c>
    </row>
    <row r="31" spans="1:5" x14ac:dyDescent="0.3">
      <c r="B31" s="2">
        <v>8</v>
      </c>
      <c r="C31" s="35" t="s">
        <v>100</v>
      </c>
      <c r="D31" s="45">
        <f>+D154</f>
        <v>69130</v>
      </c>
      <c r="E31" s="59">
        <f t="shared" si="0"/>
        <v>228520</v>
      </c>
    </row>
    <row r="32" spans="1:5" x14ac:dyDescent="0.3">
      <c r="B32" s="2">
        <v>9</v>
      </c>
      <c r="C32" s="35" t="s">
        <v>101</v>
      </c>
      <c r="D32" s="45">
        <f>+D161</f>
        <v>22120</v>
      </c>
      <c r="E32" s="59">
        <f t="shared" si="0"/>
        <v>73120</v>
      </c>
    </row>
    <row r="33" spans="1:7" x14ac:dyDescent="0.3">
      <c r="B33" s="2">
        <v>10</v>
      </c>
      <c r="C33" s="35" t="s">
        <v>154</v>
      </c>
      <c r="D33" s="53">
        <f>TRUNC(SUM(D24:D32)*0.275,-1)</f>
        <v>310360</v>
      </c>
      <c r="E33" s="60">
        <f t="shared" si="0"/>
        <v>1025980</v>
      </c>
    </row>
    <row r="34" spans="1:7" x14ac:dyDescent="0.3">
      <c r="C34" s="35" t="s">
        <v>112</v>
      </c>
      <c r="D34" s="44">
        <f>SUM(D24:D33)</f>
        <v>1438950</v>
      </c>
      <c r="E34" s="44">
        <f>SUM(E24:E33)</f>
        <v>4756830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240</v>
      </c>
      <c r="D39" s="66" t="s">
        <v>259</v>
      </c>
      <c r="E39" s="66" t="s">
        <v>260</v>
      </c>
      <c r="G39" s="67"/>
    </row>
    <row r="40" spans="1:7" x14ac:dyDescent="0.3">
      <c r="A40" s="2">
        <v>1</v>
      </c>
      <c r="C40" s="38" t="s">
        <v>15</v>
      </c>
      <c r="D40" s="40">
        <v>23190</v>
      </c>
      <c r="E40" s="62">
        <f t="shared" ref="E40:E59" si="1">TRUNC(+D40*3.3058,-1)</f>
        <v>76660</v>
      </c>
    </row>
    <row r="41" spans="1:7" x14ac:dyDescent="0.3">
      <c r="A41" s="2">
        <v>2</v>
      </c>
      <c r="C41" s="38" t="s">
        <v>13</v>
      </c>
      <c r="D41" s="42">
        <f>TRUNC(151467,-1)</f>
        <v>151460</v>
      </c>
      <c r="E41" s="63">
        <f t="shared" si="1"/>
        <v>500690</v>
      </c>
    </row>
    <row r="42" spans="1:7" x14ac:dyDescent="0.3">
      <c r="A42" s="2">
        <v>3</v>
      </c>
      <c r="C42" s="38" t="s">
        <v>14</v>
      </c>
      <c r="D42" s="42">
        <f>TRUNC(7427,-1)</f>
        <v>7420</v>
      </c>
      <c r="E42" s="63">
        <f t="shared" si="1"/>
        <v>24520</v>
      </c>
    </row>
    <row r="43" spans="1:7" x14ac:dyDescent="0.3">
      <c r="A43" s="2">
        <v>4</v>
      </c>
      <c r="C43" s="38" t="s">
        <v>16</v>
      </c>
      <c r="D43" s="42">
        <f>TRUNC(32546,-1)</f>
        <v>32540</v>
      </c>
      <c r="E43" s="63">
        <f t="shared" si="1"/>
        <v>107570</v>
      </c>
    </row>
    <row r="44" spans="1:7" x14ac:dyDescent="0.3">
      <c r="A44" s="2">
        <v>5</v>
      </c>
      <c r="C44" s="38" t="s">
        <v>17</v>
      </c>
      <c r="D44" s="42">
        <f>TRUNC(20347,-1)</f>
        <v>20340</v>
      </c>
      <c r="E44" s="63">
        <f t="shared" si="1"/>
        <v>67230</v>
      </c>
    </row>
    <row r="45" spans="1:7" x14ac:dyDescent="0.3">
      <c r="A45" s="2">
        <v>6</v>
      </c>
      <c r="C45" s="38" t="s">
        <v>18</v>
      </c>
      <c r="D45" s="42">
        <f>TRUNC(7196,-1)</f>
        <v>7190</v>
      </c>
      <c r="E45" s="63">
        <f t="shared" si="1"/>
        <v>23760</v>
      </c>
    </row>
    <row r="46" spans="1:7" x14ac:dyDescent="0.3">
      <c r="A46" s="2">
        <v>7</v>
      </c>
      <c r="C46" s="38" t="s">
        <v>19</v>
      </c>
      <c r="D46" s="42">
        <f>TRUNC(17289,-1)</f>
        <v>17280</v>
      </c>
      <c r="E46" s="63">
        <f t="shared" si="1"/>
        <v>57120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TRUNC(39522,-1)</f>
        <v>39520</v>
      </c>
      <c r="E48" s="63">
        <f t="shared" si="1"/>
        <v>130640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TRUNC(13804,-1)</f>
        <v>13800</v>
      </c>
      <c r="E49" s="63">
        <f t="shared" si="1"/>
        <v>45620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f>TRUNC(32548,-1)</f>
        <v>32540</v>
      </c>
      <c r="E51" s="63">
        <f t="shared" si="1"/>
        <v>107570</v>
      </c>
    </row>
    <row r="52" spans="1:7" x14ac:dyDescent="0.3">
      <c r="A52" s="2">
        <v>13</v>
      </c>
      <c r="C52" s="38" t="s">
        <v>24</v>
      </c>
      <c r="D52" s="42">
        <f>TRUNC(8897,-1)</f>
        <v>8890</v>
      </c>
      <c r="E52" s="63">
        <f t="shared" si="1"/>
        <v>29380</v>
      </c>
    </row>
    <row r="53" spans="1:7" x14ac:dyDescent="0.3">
      <c r="A53" s="2">
        <v>14</v>
      </c>
      <c r="C53" s="38" t="s">
        <v>25</v>
      </c>
      <c r="D53" s="42">
        <f>TRUNC(56613,-1)</f>
        <v>56610</v>
      </c>
      <c r="E53" s="63">
        <f t="shared" si="1"/>
        <v>187140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TRUNC(6640+272+3297-608+4535,-1)</f>
        <v>14130</v>
      </c>
      <c r="E58" s="63">
        <f t="shared" si="1"/>
        <v>46710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TRUNC(219811,-1)</f>
        <v>219810</v>
      </c>
      <c r="E59" s="64">
        <f t="shared" si="1"/>
        <v>726640</v>
      </c>
    </row>
    <row r="60" spans="1:7" x14ac:dyDescent="0.3">
      <c r="A60" s="2">
        <v>21</v>
      </c>
      <c r="C60" s="27" t="s">
        <v>112</v>
      </c>
      <c r="D60" s="39">
        <f>SUM(D40:D59)</f>
        <v>644720</v>
      </c>
      <c r="E60" s="39">
        <f>SUM(E40:E59)</f>
        <v>2131250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235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TRUNC(9308,-1)</f>
        <v>9300</v>
      </c>
      <c r="E63" s="62">
        <f>TRUNC(+D63*3.3058,-1)</f>
        <v>30740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21840</v>
      </c>
      <c r="E65" s="64">
        <f>TRUNC(+D65*3.3058,-1)</f>
        <v>72190</v>
      </c>
    </row>
    <row r="66" spans="1:7" x14ac:dyDescent="0.3">
      <c r="A66" s="2">
        <v>4</v>
      </c>
      <c r="C66" s="27" t="s">
        <v>112</v>
      </c>
      <c r="D66" s="57">
        <f>SUM(D63:D65)</f>
        <v>31140</v>
      </c>
      <c r="E66" s="57">
        <f>SUM(E63:E65)</f>
        <v>102930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235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TRUNC(4007,-1)</f>
        <v>4000</v>
      </c>
      <c r="E69" s="62">
        <f t="shared" ref="E69:E94" si="2">TRUNC(+D69*3.3058,-1)</f>
        <v>13220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TRUNC(2605,-1)</f>
        <v>2600</v>
      </c>
      <c r="E72" s="63">
        <f t="shared" si="2"/>
        <v>8590</v>
      </c>
    </row>
    <row r="73" spans="1:7" x14ac:dyDescent="0.3">
      <c r="A73" s="2">
        <v>5</v>
      </c>
      <c r="C73" s="38" t="s">
        <v>34</v>
      </c>
      <c r="D73" s="42">
        <f>TRUNC(7564,-1)</f>
        <v>7560</v>
      </c>
      <c r="E73" s="63">
        <f t="shared" si="2"/>
        <v>24990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TRUNC(57089,-1)</f>
        <v>57080</v>
      </c>
      <c r="E76" s="63">
        <f t="shared" si="2"/>
        <v>188690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TRUNC(7374,-1)</f>
        <v>7370</v>
      </c>
      <c r="E89" s="63">
        <f t="shared" si="2"/>
        <v>24360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TRUNC(3913,-1)</f>
        <v>3910</v>
      </c>
      <c r="E91" s="63">
        <f t="shared" si="2"/>
        <v>12920</v>
      </c>
    </row>
    <row r="92" spans="1:7" x14ac:dyDescent="0.3">
      <c r="A92" s="2">
        <v>24</v>
      </c>
      <c r="C92" s="38" t="s">
        <v>38</v>
      </c>
      <c r="D92" s="42">
        <f>TRUNC(5678,-1)</f>
        <v>5670</v>
      </c>
      <c r="E92" s="63">
        <f t="shared" si="2"/>
        <v>18740</v>
      </c>
    </row>
    <row r="93" spans="1:7" x14ac:dyDescent="0.3">
      <c r="A93" s="2">
        <v>25</v>
      </c>
      <c r="C93" s="38" t="s">
        <v>148</v>
      </c>
      <c r="D93" s="42">
        <f>TRUNC(79715,-1)</f>
        <v>79710</v>
      </c>
      <c r="E93" s="63">
        <f t="shared" si="2"/>
        <v>263500</v>
      </c>
    </row>
    <row r="94" spans="1:7" ht="17.25" thickBot="1" x14ac:dyDescent="0.35">
      <c r="A94" s="2">
        <v>26</v>
      </c>
      <c r="C94" s="38" t="s">
        <v>47</v>
      </c>
      <c r="D94" s="43">
        <f>TRUNC(613+2182,-1)</f>
        <v>2790</v>
      </c>
      <c r="E94" s="64">
        <f t="shared" si="2"/>
        <v>9220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170690</v>
      </c>
      <c r="E95" s="39">
        <f>SUM(E69:E94)</f>
        <v>564230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235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TRUNC(10146,-1)</f>
        <v>10140</v>
      </c>
      <c r="E98" s="62">
        <f t="shared" ref="E98:E118" si="3">TRUNC(+D98*3.3058,-1)</f>
        <v>33520</v>
      </c>
    </row>
    <row r="99" spans="1:7" x14ac:dyDescent="0.3">
      <c r="A99" s="2">
        <v>2</v>
      </c>
      <c r="C99" s="38" t="s">
        <v>40</v>
      </c>
      <c r="D99" s="42">
        <f>TRUNC(4837,-1)</f>
        <v>4830</v>
      </c>
      <c r="E99" s="63">
        <f t="shared" si="3"/>
        <v>15960</v>
      </c>
    </row>
    <row r="100" spans="1:7" x14ac:dyDescent="0.3">
      <c r="A100" s="2">
        <v>3</v>
      </c>
      <c r="C100" s="38" t="s">
        <v>41</v>
      </c>
      <c r="D100" s="42">
        <f>TRUNC(22715,-1)</f>
        <v>22710</v>
      </c>
      <c r="E100" s="63">
        <f t="shared" si="3"/>
        <v>75070</v>
      </c>
    </row>
    <row r="101" spans="1:7" x14ac:dyDescent="0.3">
      <c r="A101" s="2">
        <v>4</v>
      </c>
      <c r="C101" s="38" t="s">
        <v>42</v>
      </c>
      <c r="D101" s="42">
        <f>TRUNC(686,-1)</f>
        <v>680</v>
      </c>
      <c r="E101" s="63">
        <f t="shared" si="3"/>
        <v>2240</v>
      </c>
    </row>
    <row r="102" spans="1:7" x14ac:dyDescent="0.3">
      <c r="A102" s="2">
        <v>5</v>
      </c>
      <c r="C102" s="38" t="s">
        <v>43</v>
      </c>
      <c r="D102" s="42">
        <f>TRUNC(12813,-1)</f>
        <v>12810</v>
      </c>
      <c r="E102" s="63">
        <f t="shared" si="3"/>
        <v>42340</v>
      </c>
    </row>
    <row r="103" spans="1:7" x14ac:dyDescent="0.3">
      <c r="A103" s="2">
        <v>6</v>
      </c>
      <c r="C103" s="38" t="s">
        <v>44</v>
      </c>
      <c r="D103" s="42">
        <f>TRUNC(4295,-1)</f>
        <v>4290</v>
      </c>
      <c r="E103" s="63">
        <f t="shared" si="3"/>
        <v>14180</v>
      </c>
    </row>
    <row r="104" spans="1:7" x14ac:dyDescent="0.3">
      <c r="A104" s="2">
        <v>7</v>
      </c>
      <c r="C104" s="38" t="s">
        <v>45</v>
      </c>
      <c r="D104" s="42">
        <f>TRUNC(1674,-1)</f>
        <v>1670</v>
      </c>
      <c r="E104" s="63">
        <f t="shared" si="3"/>
        <v>5520</v>
      </c>
    </row>
    <row r="105" spans="1:7" x14ac:dyDescent="0.3">
      <c r="A105" s="2">
        <v>8</v>
      </c>
      <c r="C105" s="38" t="s">
        <v>46</v>
      </c>
      <c r="D105" s="42">
        <f>TRUNC(5478,-1)</f>
        <v>5470</v>
      </c>
      <c r="E105" s="63">
        <f t="shared" si="3"/>
        <v>18080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TRUNC(4975,-1)</f>
        <v>4970</v>
      </c>
      <c r="E116" s="63">
        <f t="shared" si="3"/>
        <v>16420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TRUNC(33921,-1)</f>
        <v>33920</v>
      </c>
      <c r="E117" s="63">
        <f t="shared" si="3"/>
        <v>112130</v>
      </c>
    </row>
    <row r="118" spans="1:7" ht="17.25" thickBot="1" x14ac:dyDescent="0.35">
      <c r="A118" s="2">
        <v>21</v>
      </c>
      <c r="C118" s="38" t="s">
        <v>47</v>
      </c>
      <c r="D118" s="43">
        <v>4760</v>
      </c>
      <c r="E118" s="64">
        <f t="shared" si="3"/>
        <v>15730</v>
      </c>
    </row>
    <row r="119" spans="1:7" x14ac:dyDescent="0.3">
      <c r="A119" s="2">
        <v>22</v>
      </c>
      <c r="C119" s="27" t="s">
        <v>112</v>
      </c>
      <c r="D119" s="39">
        <f>SUM(D98:D118)</f>
        <v>106250</v>
      </c>
      <c r="E119" s="39">
        <f>SUM(E98:E118)</f>
        <v>351190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235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TRUNC(2968,-1)</f>
        <v>2960</v>
      </c>
      <c r="E122" s="62">
        <f t="shared" ref="E122:E132" si="4">TRUNC(+D122*3.3058,-1)</f>
        <v>9780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TRUNC(1475,-1)</f>
        <v>1470</v>
      </c>
      <c r="E124" s="63">
        <f t="shared" si="4"/>
        <v>4850</v>
      </c>
    </row>
    <row r="125" spans="1:7" x14ac:dyDescent="0.3">
      <c r="A125" s="2">
        <v>4</v>
      </c>
      <c r="C125" s="38" t="s">
        <v>138</v>
      </c>
      <c r="D125" s="42">
        <f>TRUNC(7111,-1)</f>
        <v>7110</v>
      </c>
      <c r="E125" s="63">
        <f t="shared" si="4"/>
        <v>23500</v>
      </c>
    </row>
    <row r="126" spans="1:7" x14ac:dyDescent="0.3">
      <c r="A126" s="2">
        <v>5</v>
      </c>
      <c r="C126" s="38" t="s">
        <v>53</v>
      </c>
      <c r="D126" s="42">
        <f>TRUNC(787,-1)</f>
        <v>780</v>
      </c>
      <c r="E126" s="63">
        <f t="shared" si="4"/>
        <v>2570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TRUNC(6395,-1)</f>
        <v>6390</v>
      </c>
      <c r="E128" s="63">
        <f t="shared" si="4"/>
        <v>21120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TRUNC(11123,-1)</f>
        <v>11120</v>
      </c>
      <c r="E130" s="63">
        <f t="shared" si="4"/>
        <v>36760</v>
      </c>
    </row>
    <row r="131" spans="1:7" x14ac:dyDescent="0.3">
      <c r="A131" s="2">
        <v>10</v>
      </c>
      <c r="C131" s="38" t="s">
        <v>148</v>
      </c>
      <c r="D131" s="42">
        <f>TRUNC(18675,-1)</f>
        <v>18670</v>
      </c>
      <c r="E131" s="63">
        <f t="shared" si="4"/>
        <v>61710</v>
      </c>
    </row>
    <row r="132" spans="1:7" ht="17.25" thickBot="1" x14ac:dyDescent="0.35">
      <c r="A132" s="2">
        <v>11</v>
      </c>
      <c r="C132" s="38" t="s">
        <v>47</v>
      </c>
      <c r="D132" s="43">
        <f>TRUNC(2081+975,-1)</f>
        <v>3050</v>
      </c>
      <c r="E132" s="64">
        <f t="shared" si="4"/>
        <v>10080</v>
      </c>
      <c r="F132" s="2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51550</v>
      </c>
      <c r="E133" s="39">
        <f>SUM(E122:E132)</f>
        <v>170370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235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TRUNC(5262,-1)</f>
        <v>5260</v>
      </c>
      <c r="E140" s="63">
        <f t="shared" si="5"/>
        <v>17380</v>
      </c>
    </row>
    <row r="141" spans="1:7" x14ac:dyDescent="0.3">
      <c r="A141" s="2">
        <v>6</v>
      </c>
      <c r="C141" s="38" t="s">
        <v>59</v>
      </c>
      <c r="D141" s="42">
        <v>8310</v>
      </c>
      <c r="E141" s="63">
        <f t="shared" si="5"/>
        <v>27470</v>
      </c>
    </row>
    <row r="142" spans="1:7" x14ac:dyDescent="0.3">
      <c r="A142" s="2">
        <v>7</v>
      </c>
      <c r="C142" s="38" t="s">
        <v>58</v>
      </c>
      <c r="D142" s="42">
        <f>TRUNC(2839,-1)</f>
        <v>2830</v>
      </c>
      <c r="E142" s="63">
        <f t="shared" si="5"/>
        <v>9350</v>
      </c>
    </row>
    <row r="143" spans="1:7" x14ac:dyDescent="0.3">
      <c r="A143" s="2">
        <v>8</v>
      </c>
      <c r="C143" s="38" t="s">
        <v>62</v>
      </c>
      <c r="D143" s="42">
        <f>TRUNC(3659,-1)</f>
        <v>3650</v>
      </c>
      <c r="E143" s="63">
        <f t="shared" si="5"/>
        <v>12060</v>
      </c>
    </row>
    <row r="144" spans="1:7" x14ac:dyDescent="0.3">
      <c r="A144" s="2">
        <v>9</v>
      </c>
      <c r="C144" s="38" t="s">
        <v>63</v>
      </c>
      <c r="D144" s="42">
        <f>TRUNC(12941,-1)</f>
        <v>12940</v>
      </c>
      <c r="E144" s="63">
        <f t="shared" si="5"/>
        <v>42770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32990</v>
      </c>
      <c r="E146" s="39">
        <f>SUM(E136:E145)</f>
        <v>109030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235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TRUNC(6554+1542,-1)</f>
        <v>8090</v>
      </c>
      <c r="E149" s="62">
        <f>TRUNC(+D149*3.3058,-1)</f>
        <v>26740</v>
      </c>
      <c r="F149" s="2" t="s">
        <v>257</v>
      </c>
    </row>
    <row r="150" spans="1:7" x14ac:dyDescent="0.3">
      <c r="A150" s="2">
        <v>2</v>
      </c>
      <c r="C150" s="38" t="s">
        <v>49</v>
      </c>
      <c r="D150" s="42">
        <f>TRUNC(6969,-1)</f>
        <v>6960</v>
      </c>
      <c r="E150" s="63">
        <f>TRUNC(+D150*3.3058,-1)</f>
        <v>23000</v>
      </c>
      <c r="F150" s="2" t="s">
        <v>257</v>
      </c>
    </row>
    <row r="151" spans="1:7" x14ac:dyDescent="0.3">
      <c r="A151" s="2">
        <v>3</v>
      </c>
      <c r="C151" s="38" t="s">
        <v>50</v>
      </c>
      <c r="D151" s="42">
        <f>TRUNC(22303,-1)</f>
        <v>22300</v>
      </c>
      <c r="E151" s="63">
        <f>TRUNC(+D151*3.3058,-1)</f>
        <v>73710</v>
      </c>
      <c r="F151" s="2" t="s">
        <v>257</v>
      </c>
    </row>
    <row r="152" spans="1:7" x14ac:dyDescent="0.3">
      <c r="A152" s="2">
        <v>4</v>
      </c>
      <c r="C152" s="38" t="s">
        <v>47</v>
      </c>
      <c r="D152" s="42">
        <f>TRUNC(96,-1)</f>
        <v>90</v>
      </c>
      <c r="E152" s="63">
        <f>TRUNC(+D152*3.3058,-1)</f>
        <v>290</v>
      </c>
      <c r="F152" s="2" t="s">
        <v>257</v>
      </c>
    </row>
    <row r="153" spans="1:7" ht="17.25" thickBot="1" x14ac:dyDescent="0.35">
      <c r="A153" s="2">
        <v>5</v>
      </c>
      <c r="C153" s="38" t="s">
        <v>148</v>
      </c>
      <c r="D153" s="43">
        <f>TRUNC(31696,-1)</f>
        <v>31690</v>
      </c>
      <c r="E153" s="64">
        <f>TRUNC(+D153*3.3058,-1)</f>
        <v>104760</v>
      </c>
      <c r="F153" s="2" t="s">
        <v>257</v>
      </c>
    </row>
    <row r="154" spans="1:7" x14ac:dyDescent="0.3">
      <c r="A154" s="2">
        <v>6</v>
      </c>
      <c r="C154" s="27" t="s">
        <v>112</v>
      </c>
      <c r="D154" s="39">
        <f>SUM(D149:D153)</f>
        <v>69130</v>
      </c>
      <c r="E154" s="39">
        <f>SUM(E149:E153)</f>
        <v>228500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235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TRUNC(19448,-1)</f>
        <v>19440</v>
      </c>
      <c r="E157" s="62">
        <f>TRUNC(+D157*3.3058,-1)</f>
        <v>64260</v>
      </c>
    </row>
    <row r="158" spans="1:7" x14ac:dyDescent="0.3">
      <c r="A158" s="2">
        <v>2</v>
      </c>
      <c r="C158" s="38" t="s">
        <v>52</v>
      </c>
      <c r="D158" s="42">
        <f>TRUNC(346,-1)</f>
        <v>340</v>
      </c>
      <c r="E158" s="63">
        <f>TRUNC(+D158*3.3058,-1)</f>
        <v>1120</v>
      </c>
    </row>
    <row r="159" spans="1:7" x14ac:dyDescent="0.3">
      <c r="A159" s="2">
        <v>3</v>
      </c>
      <c r="C159" s="38" t="s">
        <v>47</v>
      </c>
      <c r="D159" s="42">
        <f>TRUNC(2346,-1)</f>
        <v>2340</v>
      </c>
      <c r="E159" s="63">
        <f>TRUNC(+D159*3.3058,-1)</f>
        <v>7730</v>
      </c>
      <c r="F159" s="2" t="s">
        <v>258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22120</v>
      </c>
      <c r="E161" s="39">
        <f>SUM(E157:E160)</f>
        <v>73110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2020-12-07T10:13:50Z</dcterms:modified>
</cp:coreProperties>
</file>