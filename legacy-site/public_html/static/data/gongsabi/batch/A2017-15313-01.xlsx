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17" i="4"/>
  <c r="D131" i="4"/>
  <c r="D159" i="4"/>
  <c r="D158" i="4"/>
  <c r="D157" i="4"/>
  <c r="D152" i="4"/>
  <c r="D151" i="4"/>
  <c r="D150" i="4"/>
  <c r="D149" i="4"/>
  <c r="D145" i="4"/>
  <c r="D143" i="4"/>
  <c r="D142" i="4"/>
  <c r="D140" i="4"/>
  <c r="D132" i="4"/>
  <c r="D128" i="4"/>
  <c r="D125" i="4"/>
  <c r="D122" i="4"/>
  <c r="D130" i="4"/>
  <c r="D126" i="4"/>
  <c r="D118" i="4"/>
  <c r="D105" i="4"/>
  <c r="D104" i="4"/>
  <c r="D103" i="4"/>
  <c r="D102" i="4"/>
  <c r="D100" i="4"/>
  <c r="D99" i="4"/>
  <c r="D114" i="4"/>
  <c r="D98" i="4"/>
  <c r="D116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<sst xmlns="http://schemas.openxmlformats.org/spreadsheetml/2006/main" count="394" uniqueCount="267">
  <si>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</si>
  <si>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</si>
  <si>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</si>
  <si>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</si>
  <si>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</si>
  <si>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</si>
  <si>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</si>
  <si>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</si>
  <si>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</si>
  <si>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</si>
  <si>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</si>
  <si>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</si>
  <si>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</si>
  <si>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</si>
  <si>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</si>
  <si>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</si>
  <si>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</si>
  <si>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</si>
  <si>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</si>
  <si>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</si>
  <si>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</si>
  <si>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</si>
  <si>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</si>
  <si>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</si>
  <si>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</si>
  <si>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</si>
  <si>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</si>
  <si>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</si>
  <si>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</si>
  <si>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</si>
  <si>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</si>
  <si>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</si>
  <si>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</si>
  <si>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</si>
  <si>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</si>
  <si>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</si>
  <si>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</si>
  <si>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</si>
  <si>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</si>
  <si>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</si>
  <si>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</si>
  <si>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</si>
  <si>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</si>
  <si>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</si>
  <si>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</si>
  <si>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</si>
  <si>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</si>
  <si>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</si>
  <si>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</si>
  <si>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</si>
  <si>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</si>
  <si>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</si>
  <si>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</si>
  <si>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</si>
  <si>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</si>
  <si>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</si>
  <si>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</si>
  <si>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</si>
  <si>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</si>
  <si>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</si>
  <si>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</si>
  <si>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</si>
  <si>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</si>
  <si>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</si>
  <si>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</si>
  <si>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</si>
  <si>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</si>
  <si>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</si>
  <si>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</si>
  <si>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</si>
  <si>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</si>
  <si>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</si>
  <si>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</si>
  <si>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</si>
  <si>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</si>
  <si>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</si>
  <si>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</si>
  <si>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</si>
  <si>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</si>
  <si>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</si>
  <si>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</si>
  <si>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</si>
  <si>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</si>
  <si>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</si>
  <si>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</si>
  <si>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</si>
  <si>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</si>
  <si>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</si>
  <si>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</si>
  <si>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</si>
  <si>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</si>
  <si>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</si>
  <si>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</si>
  <si>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</si>
  <si>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</si>
  <si>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</si>
  <si>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</si>
  <si>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</si>
  <si>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</si>
  <si>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</si>
  <si>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</si>
  <si>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</si>
  <si>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</si>
  <si>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</si>
  <si>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</si>
  <si>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</si>
  <si>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</si>
  <si>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</si>
  <si>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</si>
  <si>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</si>
  <si>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</si>
  <si>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</si>
  <si>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</si>
  <si>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</si>
  <si>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</si>
  <si>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</si>
  <si>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</si>
  <si>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</si>
  <si>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</si>
  <si>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</si>
  <si>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</si>
  <si>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</si>
  <si>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</si>
  <si>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</si>
  <si>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</si>
  <si>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</si>
  <si>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</si>
  <si>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</si>
  <si>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</si>
  <si>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</si>
  <si>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</si>
  <si>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</si>
  <si>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</si>
  <si>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</si>
  <si>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</si>
  <si>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</si>
  <si>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</si>
  <si>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</si>
  <si>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</si>
  <si>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</si>
  <si>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</si>
  <si>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</si>
  <si>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</si>
  <si>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</si>
  <si>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</si>
  <si>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</si>
  <si>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</si>
  <si>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</si>
  <si>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</si>
  <si>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</si>
  <si>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</si>
  <si>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</si>
  <si>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</si>
  <si>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</si>
  <si>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</si>
  <si>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</si>
  <si>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</si>
  <si>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</si>
  <si>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</si>
  <si>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</si>
  <si>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</si>
  <si>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</si>
  <si>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</si>
  <si>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</si>
  <si>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</si>
  <si>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</si>
  <si>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</si>
  <si>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</si>
  <si>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</si>
  <si>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</si>
  <si>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</si>
  <si>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</si>
  <si>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</si>
  <si>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</si>
  <si>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</si>
  <si>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</si>
  <si>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</si>
  <si>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</si>
  <si>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</si>
  <si>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</si>
  <si>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</si>
  <si>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</si>
  <si>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</si>
  <si>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</si>
  <si>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</si>
  <si>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</si>
  <si>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</si>
  <si>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</si>
  <si>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</si>
  <si>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</si>
  <si>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</si>
  <si>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</si>
  <si>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</si>
  <si>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</si>
  <si>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</si>
  <si>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</si>
  <si>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</si>
  <si>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</si>
  <si>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</si>
  <si>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</si>
  <si>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</si>
  <si>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</si>
  <si>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</si>
  <si>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</si>
  <si>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</si>
  <si>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</si>
  <si>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</si>
  <si>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</si>
  <si>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</si>
  <si>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</si>
  <si>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</si>
  <si>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</si>
  <si>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</si>
  <si>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</si>
  <si>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</si>
  <si>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</si>
  <si>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</si>
  <si>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</si>
  <si>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</si>
  <si>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</si>
  <si>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</si>
  <si>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</si>
  <si>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</si>
  <si>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</si>
  <si>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</si>
  <si>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</si>
  <si>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</si>
  <si>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</si>
  <si>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</si>
  <si>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</si>
  <si>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</si>
  <si>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</si>
  <si>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</si>
  <si>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</si>
  <si>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</si>
  <si>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</si>
  <si>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</si>
  <si>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</si>
  <si>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</si>
  <si>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</si>
  <si>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</si>
  <si>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</si>
  <si>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</si>
  <si>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</si>
  <si>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</si>
  <si>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</si>
  <si>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</si>
  <si>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</si>
  <si>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</si>
  <si>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전남 제2정선센터 신축사업</t>
    <phoneticPr fontId="2" type="noConversion"/>
  </si>
  <si>
    <t>공장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</si>
  <si>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</si>
  <si>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</si>
  <si>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</si>
  <si>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</si>
  <si>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</si>
  <si>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공조배관공사,난방배관공사,기타공사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</si>
  <si>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</si>
  <si>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</si>
  <si>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</si>
  <si>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</si>
  <si>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</si>
  <si>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기타공사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</si>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</sst>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7001.84</v>
      </c>
      <c r="D7" s="36">
        <f>+C7/3.3058</f>
        <v>2118.0470687881902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2041870</v>
      </c>
      <c r="E25" s="59">
        <f t="shared" si="0"/>
        <v>6750010</v>
      </c>
    </row>
    <row r="26" spans="1:5" x14ac:dyDescent="0.3">
      <c r="B26" s="2">
        <v>3</v>
      </c>
      <c r="C26" s="35" t="s">
        <v>95</v>
      </c>
      <c r="D26" s="45">
        <f>+D66</f>
        <v>26000</v>
      </c>
      <c r="E26" s="59">
        <f t="shared" si="0"/>
        <v>85950</v>
      </c>
    </row>
    <row r="27" spans="1:5" x14ac:dyDescent="0.3">
      <c r="B27" s="2">
        <v>4</v>
      </c>
      <c r="C27" s="35" t="s">
        <v>96</v>
      </c>
      <c r="D27" s="45">
        <f>+D95</f>
        <v>66210</v>
      </c>
      <c r="E27" s="59">
        <f t="shared" si="0"/>
        <v>218870</v>
      </c>
    </row>
    <row r="28" spans="1:5" x14ac:dyDescent="0.3">
      <c r="B28" s="2">
        <v>5</v>
      </c>
      <c r="C28" s="35" t="s">
        <v>97</v>
      </c>
      <c r="D28" s="45">
        <f>+D119</f>
        <v>240440</v>
      </c>
      <c r="E28" s="59">
        <f t="shared" si="0"/>
        <v>794840</v>
      </c>
    </row>
    <row r="29" spans="1:5" x14ac:dyDescent="0.3">
      <c r="B29" s="2">
        <v>6</v>
      </c>
      <c r="C29" s="35" t="s">
        <v>98</v>
      </c>
      <c r="D29" s="45">
        <f>+D133</f>
        <v>79570</v>
      </c>
      <c r="E29" s="59">
        <f t="shared" si="0"/>
        <v>263040</v>
      </c>
    </row>
    <row r="30" spans="1:5" x14ac:dyDescent="0.3">
      <c r="B30" s="2">
        <v>7</v>
      </c>
      <c r="C30" s="35" t="s">
        <v>99</v>
      </c>
      <c r="D30" s="45">
        <f>+D146</f>
        <v>37380</v>
      </c>
      <c r="E30" s="59">
        <f t="shared" si="0"/>
        <v>123570</v>
      </c>
    </row>
    <row r="31" spans="1:5" x14ac:dyDescent="0.3">
      <c r="B31" s="2">
        <v>8</v>
      </c>
      <c r="C31" s="35" t="s">
        <v>100</v>
      </c>
      <c r="D31" s="45">
        <f>+D154</f>
        <v>40810</v>
      </c>
      <c r="E31" s="59">
        <f t="shared" si="0"/>
        <v>134900</v>
      </c>
    </row>
    <row r="32" spans="1:5" x14ac:dyDescent="0.3">
      <c r="B32" s="2">
        <v>9</v>
      </c>
      <c r="C32" s="35" t="s">
        <v>101</v>
      </c>
      <c r="D32" s="45">
        <f>+D161</f>
        <v>17430</v>
      </c>
      <c r="E32" s="59">
        <f t="shared" si="0"/>
        <v>57620</v>
      </c>
    </row>
    <row r="33" spans="1:7" x14ac:dyDescent="0.3">
      <c r="B33" s="2">
        <v>10</v>
      </c>
      <c r="C33" s="35" t="s">
        <v>155</v>
      </c>
      <c r="D33" s="53">
        <f>TRUNC(SUM(D24:D32)*0.275,-1)</f>
        <v>701170</v>
      </c>
      <c r="E33" s="60">
        <f t="shared" si="0"/>
        <v>2317920</v>
      </c>
    </row>
    <row r="34" spans="1:7" x14ac:dyDescent="0.3">
      <c r="C34" s="35" t="s">
        <v>112</v>
      </c>
      <c r="D34" s="44">
        <f>SUM(D24:D33)</f>
        <v>3250880</v>
      </c>
      <c r="E34" s="44">
        <f>SUM(E24:E33)</f>
        <v>10746720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TRUNC(22955,-1)</f>
        <v>22950</v>
      </c>
      <c r="E40" s="62">
        <f t="shared" ref="E40:E59" si="1">TRUNC(+D40*3.3058,-1)</f>
        <v>75860</v>
      </c>
    </row>
    <row r="41" spans="1:7" x14ac:dyDescent="0.3">
      <c r="A41" s="2">
        <v>2</v>
      </c>
      <c r="C41" s="38" t="s">
        <v>13</v>
      </c>
      <c r="D41" s="42">
        <f>TRUNC(150662,-1)</f>
        <v>150660</v>
      </c>
      <c r="E41" s="63">
        <f t="shared" si="1"/>
        <v>498050</v>
      </c>
    </row>
    <row r="42" spans="1:7" x14ac:dyDescent="0.3">
      <c r="A42" s="2">
        <v>3</v>
      </c>
      <c r="C42" s="38" t="s">
        <v>14</v>
      </c>
      <c r="D42" s="42">
        <f>TRUNC(330969,-1)</f>
        <v>330960</v>
      </c>
      <c r="E42" s="63">
        <f t="shared" si="1"/>
        <v>1094080</v>
      </c>
    </row>
    <row r="43" spans="1:7" x14ac:dyDescent="0.3">
      <c r="A43" s="2">
        <v>4</v>
      </c>
      <c r="C43" s="38" t="s">
        <v>16</v>
      </c>
      <c r="D43" s="42">
        <f>TRUNC(4569,-1)</f>
        <v>4560</v>
      </c>
      <c r="E43" s="63">
        <f t="shared" si="1"/>
        <v>15070</v>
      </c>
    </row>
    <row r="44" spans="1:7" x14ac:dyDescent="0.3">
      <c r="A44" s="2">
        <v>5</v>
      </c>
      <c r="C44" s="38" t="s">
        <v>17</v>
      </c>
      <c r="D44" s="42">
        <f>TRUNC(19195,-1)</f>
        <v>19190</v>
      </c>
      <c r="E44" s="63">
        <f t="shared" si="1"/>
        <v>63430</v>
      </c>
    </row>
    <row r="45" spans="1:7" x14ac:dyDescent="0.3">
      <c r="A45" s="2">
        <v>6</v>
      </c>
      <c r="C45" s="38" t="s">
        <v>18</v>
      </c>
      <c r="D45" s="42">
        <f>TRUNC(5537,-1)</f>
        <v>5530</v>
      </c>
      <c r="E45" s="63">
        <f t="shared" si="1"/>
        <v>18280</v>
      </c>
    </row>
    <row r="46" spans="1:7" x14ac:dyDescent="0.3">
      <c r="A46" s="2">
        <v>7</v>
      </c>
      <c r="C46" s="38" t="s">
        <v>19</v>
      </c>
      <c r="D46" s="42">
        <f>TRUNC(37093,-1)</f>
        <v>37090</v>
      </c>
      <c r="E46" s="63">
        <f t="shared" si="1"/>
        <v>122610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TRUNC(217682,-1)</f>
        <v>217680</v>
      </c>
      <c r="E48" s="63">
        <f t="shared" si="1"/>
        <v>719600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TRUNC(8347,-1)</f>
        <v>8340</v>
      </c>
      <c r="E49" s="63">
        <f t="shared" si="1"/>
        <v>27570</v>
      </c>
    </row>
    <row r="50" spans="1:7" x14ac:dyDescent="0.3">
      <c r="A50" s="2">
        <v>11</v>
      </c>
      <c r="C50" s="38" t="s">
        <v>156</v>
      </c>
      <c r="D50" s="42">
        <f>TRUNC(35156,-1)</f>
        <v>35150</v>
      </c>
      <c r="E50" s="63">
        <f t="shared" si="1"/>
        <v>116190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TRUNC(39331,-1)</f>
        <v>39330</v>
      </c>
      <c r="E52" s="63">
        <f t="shared" si="1"/>
        <v>130010</v>
      </c>
    </row>
    <row r="53" spans="1:7" x14ac:dyDescent="0.3">
      <c r="A53" s="2">
        <v>14</v>
      </c>
      <c r="C53" s="38" t="s">
        <v>25</v>
      </c>
      <c r="D53" s="42">
        <f>TRUNC(38239,-1)</f>
        <v>38230</v>
      </c>
      <c r="E53" s="63">
        <f t="shared" si="1"/>
        <v>126380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TRUNC(14847+7266-723+863+27511,-1)</f>
        <v>49760</v>
      </c>
      <c r="E58" s="63">
        <f t="shared" si="1"/>
        <v>164490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TRUNC(1082441,-1)</f>
        <v>1082440</v>
      </c>
      <c r="E59" s="64">
        <f t="shared" si="1"/>
        <v>3578330</v>
      </c>
    </row>
    <row r="60" spans="1:7" x14ac:dyDescent="0.3">
      <c r="A60" s="2">
        <v>21</v>
      </c>
      <c r="C60" s="27" t="s">
        <v>112</v>
      </c>
      <c r="D60" s="39">
        <f>SUM(D40:D59)</f>
        <v>2041870</v>
      </c>
      <c r="E60" s="39">
        <f>SUM(E40:E59)</f>
        <v>6749950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TRUNC(26006,-1)</f>
        <v>26000</v>
      </c>
      <c r="E63" s="62">
        <f>TRUNC(+D63*3.3058,-1)</f>
        <v>85950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26000</v>
      </c>
      <c r="E66" s="65">
        <f>SUM(E63:E65)</f>
        <v>85950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TRUNC(11137,-1)</f>
        <v>11130</v>
      </c>
      <c r="E69" s="62">
        <f t="shared" ref="E69:E94" si="2">TRUNC(+D69*3.3058,-1)</f>
        <v>36790</v>
      </c>
    </row>
    <row r="70" spans="1:7" ht="16.5" customHeight="1" x14ac:dyDescent="0.3">
      <c r="A70" s="2">
        <v>2</v>
      </c>
      <c r="C70" s="38" t="s">
        <v>31</v>
      </c>
      <c r="D70" s="42">
        <f>TRUNC(14769,-1)</f>
        <v>14760</v>
      </c>
      <c r="E70" s="63">
        <f t="shared" si="2"/>
        <v>48790</v>
      </c>
    </row>
    <row r="71" spans="1:7" x14ac:dyDescent="0.3">
      <c r="A71" s="2">
        <v>3</v>
      </c>
      <c r="C71" s="38" t="s">
        <v>32</v>
      </c>
      <c r="D71" s="42">
        <f>TRUNC(2499,-1)</f>
        <v>2490</v>
      </c>
      <c r="E71" s="63">
        <f t="shared" si="2"/>
        <v>8230</v>
      </c>
    </row>
    <row r="72" spans="1:7" x14ac:dyDescent="0.3">
      <c r="A72" s="2">
        <v>4</v>
      </c>
      <c r="C72" s="38" t="s">
        <v>33</v>
      </c>
      <c r="D72" s="42">
        <f>TRUNC(1288,-1)</f>
        <v>1280</v>
      </c>
      <c r="E72" s="63">
        <f t="shared" si="2"/>
        <v>4230</v>
      </c>
    </row>
    <row r="73" spans="1:7" x14ac:dyDescent="0.3">
      <c r="A73" s="2">
        <v>5</v>
      </c>
      <c r="C73" s="38" t="s">
        <v>34</v>
      </c>
      <c r="D73" s="42">
        <f>TRUNC(5792,-1)</f>
        <v>5790</v>
      </c>
      <c r="E73" s="63">
        <f t="shared" si="2"/>
        <v>19140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TRUNC(7634,-1)</f>
        <v>7630</v>
      </c>
      <c r="E89" s="63">
        <f t="shared" si="2"/>
        <v>25220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TRUNC(2750,-1)</f>
        <v>2750</v>
      </c>
      <c r="E91" s="63">
        <f t="shared" si="2"/>
        <v>9090</v>
      </c>
    </row>
    <row r="92" spans="1:7" x14ac:dyDescent="0.3">
      <c r="A92" s="2">
        <v>24</v>
      </c>
      <c r="C92" s="38" t="s">
        <v>38</v>
      </c>
      <c r="D92" s="42">
        <f>TRUNC(4673,-1)</f>
        <v>4670</v>
      </c>
      <c r="E92" s="63">
        <f t="shared" si="2"/>
        <v>15430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TRUNC(133+1615+13970,-1)</f>
        <v>15710</v>
      </c>
      <c r="E94" s="64">
        <f t="shared" si="2"/>
        <v>51930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66210</v>
      </c>
      <c r="E95" s="39">
        <f>SUM(E69:E94)</f>
        <v>218850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TRUNC(32627,-1)</f>
        <v>32620</v>
      </c>
      <c r="E98" s="62">
        <f t="shared" ref="E98:E118" si="3">TRUNC(+D98*3.3058,-1)</f>
        <v>107830</v>
      </c>
    </row>
    <row r="99" spans="1:7" x14ac:dyDescent="0.3">
      <c r="A99" s="2">
        <v>2</v>
      </c>
      <c r="C99" s="38" t="s">
        <v>40</v>
      </c>
      <c r="D99" s="42">
        <f>TRUNC(12492,-1)</f>
        <v>12490</v>
      </c>
      <c r="E99" s="63">
        <f t="shared" si="3"/>
        <v>41280</v>
      </c>
    </row>
    <row r="100" spans="1:7" x14ac:dyDescent="0.3">
      <c r="A100" s="2">
        <v>3</v>
      </c>
      <c r="C100" s="38" t="s">
        <v>41</v>
      </c>
      <c r="D100" s="42">
        <f>TRUNC(36744,-1)</f>
        <v>36740</v>
      </c>
      <c r="E100" s="63">
        <f t="shared" si="3"/>
        <v>121450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TRUNC(13830,-1)</f>
        <v>13830</v>
      </c>
      <c r="E102" s="63">
        <f t="shared" si="3"/>
        <v>45710</v>
      </c>
    </row>
    <row r="103" spans="1:7" x14ac:dyDescent="0.3">
      <c r="A103" s="2">
        <v>6</v>
      </c>
      <c r="C103" s="38" t="s">
        <v>44</v>
      </c>
      <c r="D103" s="42">
        <f>TRUNC(2637,-1)</f>
        <v>2630</v>
      </c>
      <c r="E103" s="63">
        <f t="shared" si="3"/>
        <v>8690</v>
      </c>
    </row>
    <row r="104" spans="1:7" x14ac:dyDescent="0.3">
      <c r="A104" s="2">
        <v>7</v>
      </c>
      <c r="C104" s="38" t="s">
        <v>45</v>
      </c>
      <c r="D104" s="42">
        <f>TRUNC(4189,-1)</f>
        <v>4180</v>
      </c>
      <c r="E104" s="63">
        <f t="shared" si="3"/>
        <v>13810</v>
      </c>
    </row>
    <row r="105" spans="1:7" x14ac:dyDescent="0.3">
      <c r="A105" s="2">
        <v>8</v>
      </c>
      <c r="C105" s="38" t="s">
        <v>46</v>
      </c>
      <c r="D105" s="42">
        <f>TRUNC(8330,-1)</f>
        <v>8330</v>
      </c>
      <c r="E105" s="63">
        <f t="shared" si="3"/>
        <v>27530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TRUNC(3996,-1)</f>
        <v>3990</v>
      </c>
      <c r="E114" s="63">
        <f t="shared" si="3"/>
        <v>13190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TRUNC(6153,-1)</f>
        <v>6150</v>
      </c>
      <c r="E116" s="63">
        <f t="shared" si="3"/>
        <v>20330</v>
      </c>
      <c r="F116" s="2" t="s">
        <v>257</v>
      </c>
    </row>
    <row r="117" spans="1:7" x14ac:dyDescent="0.3">
      <c r="A117" s="2">
        <v>20</v>
      </c>
      <c r="C117" s="38" t="s">
        <v>149</v>
      </c>
      <c r="D117" s="42">
        <f>TRUNC(119195,-1)</f>
        <v>119190</v>
      </c>
      <c r="E117" s="63">
        <f t="shared" si="3"/>
        <v>394010</v>
      </c>
    </row>
    <row r="118" spans="1:7" ht="17.25" thickBot="1" x14ac:dyDescent="0.35">
      <c r="A118" s="2">
        <v>21</v>
      </c>
      <c r="C118" s="38" t="s">
        <v>47</v>
      </c>
      <c r="D118" s="43">
        <f>TRUNC(298,-1)</f>
        <v>290</v>
      </c>
      <c r="E118" s="64">
        <f t="shared" si="3"/>
        <v>950</v>
      </c>
    </row>
    <row r="119" spans="1:7" x14ac:dyDescent="0.3">
      <c r="A119" s="2">
        <v>22</v>
      </c>
      <c r="C119" s="27" t="s">
        <v>112</v>
      </c>
      <c r="D119" s="39">
        <f>SUM(D98:D118)</f>
        <v>240440</v>
      </c>
      <c r="E119" s="39">
        <f>SUM(E98:E118)</f>
        <v>794780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TRUNC(2717,-1)</f>
        <v>2710</v>
      </c>
      <c r="E122" s="62">
        <f t="shared" ref="E122:E132" si="4">TRUNC(+D122*3.3058,-1)</f>
        <v>8950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TRUNC(9354,-1)</f>
        <v>9350</v>
      </c>
      <c r="E125" s="63">
        <f t="shared" si="4"/>
        <v>30900</v>
      </c>
    </row>
    <row r="126" spans="1:7" x14ac:dyDescent="0.3">
      <c r="A126" s="2">
        <v>5</v>
      </c>
      <c r="C126" s="38" t="s">
        <v>53</v>
      </c>
      <c r="D126" s="42">
        <f>TRUNC(1370,-1)</f>
        <v>1370</v>
      </c>
      <c r="E126" s="63">
        <f t="shared" si="4"/>
        <v>4520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TRUNC(2688,-1)</f>
        <v>2680</v>
      </c>
      <c r="E128" s="63">
        <f t="shared" si="4"/>
        <v>8850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TRUNC(11759,-1)</f>
        <v>11750</v>
      </c>
      <c r="E130" s="63">
        <f t="shared" si="4"/>
        <v>38840</v>
      </c>
    </row>
    <row r="131" spans="1:7" x14ac:dyDescent="0.3">
      <c r="A131" s="2">
        <v>10</v>
      </c>
      <c r="C131" s="38" t="s">
        <v>149</v>
      </c>
      <c r="D131" s="42">
        <f>TRUNC(44898,-1)</f>
        <v>44890</v>
      </c>
      <c r="E131" s="63">
        <f t="shared" si="4"/>
        <v>148390</v>
      </c>
    </row>
    <row r="132" spans="1:7" ht="18" thickBot="1" x14ac:dyDescent="0.35">
      <c r="A132" s="2">
        <v>11</v>
      </c>
      <c r="C132" s="38" t="s">
        <v>47</v>
      </c>
      <c r="D132" s="43">
        <f>TRUNC(5082+1739,-1)</f>
        <v>6820</v>
      </c>
      <c r="E132" s="64">
        <f t="shared" si="4"/>
        <v>22540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79570</v>
      </c>
      <c r="E133" s="39">
        <f>SUM(E122:E132)</f>
        <v>262990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TRUNC(2314,-1)</f>
        <v>2310</v>
      </c>
      <c r="E140" s="63">
        <f t="shared" si="5"/>
        <v>7630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TRUNC(6417,-1)</f>
        <v>6410</v>
      </c>
      <c r="E142" s="63">
        <f t="shared" si="5"/>
        <v>21190</v>
      </c>
    </row>
    <row r="143" spans="1:7" x14ac:dyDescent="0.3">
      <c r="A143" s="2">
        <v>8</v>
      </c>
      <c r="C143" s="38" t="s">
        <v>62</v>
      </c>
      <c r="D143" s="42">
        <f>TRUNC(6212,-1)</f>
        <v>6210</v>
      </c>
      <c r="E143" s="63">
        <f t="shared" si="5"/>
        <v>20520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f>TRUNC(279+2041+20138,-1)</f>
        <v>22450</v>
      </c>
      <c r="E145" s="64">
        <f t="shared" si="5"/>
        <v>74210</v>
      </c>
      <c r="F145" s="2" t="s">
        <v>260</v>
      </c>
    </row>
    <row r="146" spans="1:7" x14ac:dyDescent="0.3">
      <c r="A146" s="2">
        <v>11</v>
      </c>
      <c r="C146" s="27" t="s">
        <v>112</v>
      </c>
      <c r="D146" s="39">
        <f>SUM(D136:D145)</f>
        <v>37380</v>
      </c>
      <c r="E146" s="39">
        <f>SUM(E136:E145)</f>
        <v>123550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TRUNC(13560+5418,-1)</f>
        <v>18970</v>
      </c>
      <c r="E149" s="62">
        <f>TRUNC(+D149*3.3058,-1)</f>
        <v>62710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TRUNC(18447,-1)</f>
        <v>18440</v>
      </c>
      <c r="E150" s="63">
        <f>TRUNC(+D150*3.3058,-1)</f>
        <v>60950</v>
      </c>
    </row>
    <row r="151" spans="1:7" x14ac:dyDescent="0.3">
      <c r="A151" s="2">
        <v>3</v>
      </c>
      <c r="C151" s="38" t="s">
        <v>50</v>
      </c>
      <c r="D151" s="42">
        <f>TRUNC(2562,-1)</f>
        <v>2560</v>
      </c>
      <c r="E151" s="63">
        <f>TRUNC(+D151*3.3058,-1)</f>
        <v>8460</v>
      </c>
    </row>
    <row r="152" spans="1:7" x14ac:dyDescent="0.3">
      <c r="A152" s="2">
        <v>4</v>
      </c>
      <c r="C152" s="38" t="s">
        <v>47</v>
      </c>
      <c r="D152" s="42">
        <f>TRUNC(842,-1)</f>
        <v>840</v>
      </c>
      <c r="E152" s="63">
        <f>TRUNC(+D152*3.3058,-1)</f>
        <v>2770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40810</v>
      </c>
      <c r="E154" s="39">
        <f>SUM(E149:E153)</f>
        <v>134890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TRUNC(13411,-1)</f>
        <v>13410</v>
      </c>
      <c r="E157" s="62">
        <f>TRUNC(+D157*3.3058,-1)</f>
        <v>44330</v>
      </c>
    </row>
    <row r="158" spans="1:7" x14ac:dyDescent="0.3">
      <c r="A158" s="2">
        <v>2</v>
      </c>
      <c r="C158" s="38" t="s">
        <v>52</v>
      </c>
      <c r="D158" s="42">
        <f>TRUNC(4025,-1)</f>
        <v>4020</v>
      </c>
      <c r="E158" s="63">
        <f>TRUNC(+D158*3.3058,-1)</f>
        <v>13280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TRUNC(3,-1)</f>
        <v>0</v>
      </c>
      <c r="E159" s="63">
        <f>TRUNC(+D159*3.3058,-1)</f>
        <v>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17430</v>
      </c>
      <c r="E161" s="39">
        <f>SUM(E157:E160)</f>
        <v>57610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2020-12-08T02:07:00Z</dcterms:modified>
</cp:coreProperties>
</file>