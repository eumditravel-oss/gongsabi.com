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8" i="4"/>
  <c r="D157" i="4"/>
  <c r="D153" i="4"/>
  <c r="D152" i="4"/>
  <c r="D150" i="4"/>
  <c r="D145" i="4"/>
  <c r="D144" i="4"/>
  <c r="D143" i="4"/>
  <c r="D142" i="4"/>
  <c r="D141" i="4"/>
  <c r="D140" i="4"/>
  <c r="D139" i="4"/>
  <c r="D138" i="4"/>
  <c r="D132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0" i="4"/>
  <c r="D99" i="4"/>
  <c r="D98" i="4"/>
  <c r="D94" i="4"/>
  <c r="D92" i="4"/>
  <c r="D91" i="4"/>
  <c r="D90" i="4"/>
  <c r="D89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4" i="4"/>
  <c r="D43" i="4"/>
  <c r="D42" i="4"/>
  <c r="D41" i="4"/>
  <c r="D40" i="4"/>
  <c r="D149" i="4" l="1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24" i="4"/>
  <c r="E34" i="4" l="1"/>
  <c r="D34" i="4"/>
</calcChain>
</file>

<file path=xl/sharedStrings.xml><?xml version="1.0" encoding="utf-8"?>
<sst xmlns="http://schemas.openxmlformats.org/spreadsheetml/2006/main" count="395" uniqueCount="271">
  <si>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</si>
  <si>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</si>
  <si>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</si>
  <si>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</si>
  <si>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</si>
  <si>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</si>
  <si>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</si>
  <si>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</si>
  <si>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</si>
  <si>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</si>
  <si>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</si>
  <si>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</si>
  <si>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</si>
  <si>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</si>
  <si>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</si>
  <si>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</si>
  <si>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</si>
  <si>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</si>
  <si>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</si>
  <si>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</si>
  <si>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</si>
  <si>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</si>
  <si>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</si>
  <si>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</si>
  <si>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</si>
  <si>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</si>
  <si>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</si>
  <si>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</si>
  <si>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</si>
  <si>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</si>
  <si>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</si>
  <si>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</si>
  <si>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</si>
  <si>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</si>
  <si>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</si>
  <si>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</si>
  <si>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</si>
  <si>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</si>
  <si>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</si>
  <si>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</si>
  <si>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</si>
  <si>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</si>
  <si>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</si>
  <si>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</si>
  <si>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</si>
  <si>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</si>
  <si>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</si>
  <si>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</si>
  <si>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</si>
  <si>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</si>
  <si>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</si>
  <si>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</si>
  <si>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</si>
  <si>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</si>
  <si>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</si>
  <si>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</si>
  <si>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</si>
  <si>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</si>
  <si>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</si>
  <si>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</si>
  <si>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</si>
  <si>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</si>
  <si>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</si>
  <si>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</si>
  <si>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</si>
  <si>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</si>
  <si>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</si>
  <si>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</si>
  <si>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</si>
  <si>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</si>
  <si>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</si>
  <si>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</si>
  <si>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</si>
  <si>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</si>
  <si>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</si>
  <si>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</si>
  <si>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</si>
  <si>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</si>
  <si>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</si>
  <si>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</si>
  <si>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</si>
  <si>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</si>
  <si>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</si>
  <si>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</si>
  <si>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</si>
  <si>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</si>
  <si>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</si>
  <si>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</si>
  <si>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</si>
  <si>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</si>
  <si>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</si>
  <si>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</si>
  <si>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</si>
  <si>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</si>
  <si>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</si>
  <si>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</si>
  <si>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</si>
  <si>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</si>
  <si>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</si>
  <si>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</si>
  <si>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</si>
  <si>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</si>
  <si>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</si>
  <si>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</si>
  <si>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</si>
  <si>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</si>
  <si>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</si>
  <si>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</si>
  <si>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</si>
  <si>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</si>
  <si>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</si>
  <si>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</si>
  <si>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</si>
  <si>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</si>
  <si>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</si>
  <si>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</si>
  <si>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</si>
  <si>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</si>
  <si>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</si>
  <si>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</si>
  <si>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</si>
  <si>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</si>
  <si>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</si>
  <si>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</si>
  <si>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</si>
  <si>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</si>
  <si>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</si>
  <si>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</si>
  <si>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</si>
  <si>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</si>
  <si>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</si>
  <si>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</si>
  <si>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</si>
  <si>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</si>
  <si>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</si>
  <si>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</si>
  <si>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</si>
  <si>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</si>
  <si>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</si>
  <si>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</si>
  <si>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</si>
  <si>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</si>
  <si>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</si>
  <si>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</si>
  <si>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</si>
  <si>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</si>
  <si>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</si>
  <si>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</si>
  <si>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</si>
  <si>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</si>
  <si>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</si>
  <si>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</si>
  <si>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</si>
  <si>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</si>
  <si>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</si>
  <si>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</si>
  <si>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</si>
  <si>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</si>
  <si>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</si>
  <si>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</si>
  <si>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</si>
  <si>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</si>
  <si>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</si>
  <si>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</si>
  <si>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</si>
  <si>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</si>
  <si>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</si>
  <si>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</si>
  <si>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</si>
  <si>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</si>
  <si>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</si>
  <si>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</si>
  <si>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</si>
  <si>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</si>
  <si>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</si>
  <si>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</si>
  <si>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</si>
  <si>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</si>
  <si>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</si>
  <si>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</si>
  <si>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</si>
  <si>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</si>
  <si>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</si>
  <si>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</si>
  <si>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</si>
  <si>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</si>
  <si>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</si>
  <si>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</si>
  <si>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</si>
  <si>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</si>
  <si>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</si>
  <si>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</si>
  <si>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</si>
  <si>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</si>
  <si>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</si>
  <si>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</si>
  <si>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</si>
  <si>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</si>
  <si>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</si>
  <si>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</si>
  <si>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</si>
  <si>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</si>
  <si>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</si>
  <si>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</si>
  <si>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</si>
  <si>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</si>
  <si>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</si>
  <si>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</si>
  <si>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</si>
  <si>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</si>
  <si>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</si>
  <si>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</si>
  <si>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</si>
  <si>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</si>
  <si>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</si>
  <si>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</si>
  <si>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</si>
  <si>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</si>
  <si>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</si>
  <si>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</si>
  <si>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</si>
  <si>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</si>
  <si>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</si>
  <si>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</si>
  <si>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</si>
  <si>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</si>
  <si>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</si>
  <si>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</si>
  <si>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</si>
  <si>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</si>
  <si>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</si>
  <si>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</si>
  <si>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</si>
  <si>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</si>
  <si>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</si>
  <si>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</si>
  <si>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</si>
  <si>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</si>
  <si>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</si>
  <si>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</si>
  <si>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</si>
  <si>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</si>
  <si>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</si>
  <si>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</si>
  <si>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</si>
  <si>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</si>
  <si>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</si>
  <si>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</si>
  <si>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</si>
  <si>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세종세무서 건립사업 건축공사</t>
    <phoneticPr fontId="2" type="noConversion"/>
  </si>
  <si>
    <t>세종시</t>
  </si>
  <si>
    <t xml:space="preserve">(지붕및홈통공사 포함)  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</si>
  <si>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</si>
  <si>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</si>
  <si>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</si>
  <si>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공조배관공사,난방배관공사,기타공사</t>
    <phoneticPr fontId="2" type="noConversion"/>
  </si>
  <si>
    <t xml:space="preserve">전기인입 및 수변전 설비공사  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</si>
  <si>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</si>
  <si>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</si>
  <si>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</si>
  <si>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옥외소화배관공사,펌프실배관공사,무선통신보조설비공사,기타공사</t>
    <phoneticPr fontId="2" type="noConversion"/>
  </si>
  <si>
    <t>우수공사,오수공사</t>
    <phoneticPr fontId="2" type="noConversion"/>
  </si>
  <si>
    <t>사급자재비,운반비,운반비</t>
    <phoneticPr fontId="2" type="noConversion"/>
  </si>
  <si>
    <t>포장공사</t>
    <phoneticPr fontId="2" type="noConversion"/>
  </si>
  <si>
    <t>조경시설물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</si>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</sst>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11162.56</v>
      </c>
      <c r="D7" s="36">
        <f>+C7/3.3058</f>
        <v>3376.6592050335771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785590</v>
      </c>
      <c r="E25" s="59">
        <f t="shared" si="0"/>
        <v>2597000</v>
      </c>
    </row>
    <row r="26" spans="1:5" x14ac:dyDescent="0.3">
      <c r="B26" s="2">
        <v>3</v>
      </c>
      <c r="C26" s="35" t="s">
        <v>95</v>
      </c>
      <c r="D26" s="45">
        <f>+D66</f>
        <v>29640</v>
      </c>
      <c r="E26" s="59">
        <f t="shared" si="0"/>
        <v>97980</v>
      </c>
    </row>
    <row r="27" spans="1:5" x14ac:dyDescent="0.3">
      <c r="B27" s="2">
        <v>4</v>
      </c>
      <c r="C27" s="35" t="s">
        <v>96</v>
      </c>
      <c r="D27" s="45">
        <f>+D95</f>
        <v>407350</v>
      </c>
      <c r="E27" s="59">
        <f t="shared" si="0"/>
        <v>1346610</v>
      </c>
    </row>
    <row r="28" spans="1:5" x14ac:dyDescent="0.3">
      <c r="B28" s="2">
        <v>5</v>
      </c>
      <c r="C28" s="35" t="s">
        <v>97</v>
      </c>
      <c r="D28" s="45">
        <f>+D119</f>
        <v>210950</v>
      </c>
      <c r="E28" s="59">
        <f t="shared" si="0"/>
        <v>697350</v>
      </c>
    </row>
    <row r="29" spans="1:5" x14ac:dyDescent="0.3">
      <c r="B29" s="2">
        <v>6</v>
      </c>
      <c r="C29" s="35" t="s">
        <v>98</v>
      </c>
      <c r="D29" s="45">
        <f>+D133</f>
        <v>131730</v>
      </c>
      <c r="E29" s="59">
        <f t="shared" si="0"/>
        <v>435470</v>
      </c>
    </row>
    <row r="30" spans="1:5" x14ac:dyDescent="0.3">
      <c r="B30" s="2">
        <v>7</v>
      </c>
      <c r="C30" s="35" t="s">
        <v>99</v>
      </c>
      <c r="D30" s="45">
        <f>+D146</f>
        <v>53100</v>
      </c>
      <c r="E30" s="59">
        <f t="shared" si="0"/>
        <v>175530</v>
      </c>
    </row>
    <row r="31" spans="1:5" x14ac:dyDescent="0.3">
      <c r="B31" s="2">
        <v>8</v>
      </c>
      <c r="C31" s="35" t="s">
        <v>100</v>
      </c>
      <c r="D31" s="45">
        <f>+D154</f>
        <v>29140</v>
      </c>
      <c r="E31" s="59">
        <f t="shared" si="0"/>
        <v>96330</v>
      </c>
    </row>
    <row r="32" spans="1:5" x14ac:dyDescent="0.3">
      <c r="B32" s="2">
        <v>9</v>
      </c>
      <c r="C32" s="35" t="s">
        <v>101</v>
      </c>
      <c r="D32" s="45">
        <f>+D161</f>
        <v>38840</v>
      </c>
      <c r="E32" s="59">
        <f t="shared" si="0"/>
        <v>128390</v>
      </c>
    </row>
    <row r="33" spans="1:7" x14ac:dyDescent="0.3">
      <c r="B33" s="2">
        <v>10</v>
      </c>
      <c r="C33" s="35" t="s">
        <v>154</v>
      </c>
      <c r="D33" s="53">
        <f>TRUNC(SUM(D24:D32)*0.275,-1)</f>
        <v>463740</v>
      </c>
      <c r="E33" s="60">
        <f t="shared" si="0"/>
        <v>1533030</v>
      </c>
    </row>
    <row r="34" spans="1:7" x14ac:dyDescent="0.3">
      <c r="C34" s="35" t="s">
        <v>112</v>
      </c>
      <c r="D34" s="44">
        <f>SUM(D24:D33)</f>
        <v>2150080</v>
      </c>
      <c r="E34" s="44">
        <f>SUM(E24:E33)</f>
        <v>7107690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TRUNC(61052,-1)</f>
        <v>61050</v>
      </c>
      <c r="E40" s="62">
        <f t="shared" ref="E40:E59" si="1">TRUNC(+D40*3.3058,-1)</f>
        <v>201810</v>
      </c>
    </row>
    <row r="41" spans="1:7" x14ac:dyDescent="0.3">
      <c r="A41" s="2">
        <v>2</v>
      </c>
      <c r="C41" s="38" t="s">
        <v>13</v>
      </c>
      <c r="D41" s="42">
        <f>TRUNC(146876,-1)</f>
        <v>146870</v>
      </c>
      <c r="E41" s="63">
        <f t="shared" si="1"/>
        <v>485520</v>
      </c>
    </row>
    <row r="42" spans="1:7" x14ac:dyDescent="0.3">
      <c r="A42" s="2">
        <v>3</v>
      </c>
      <c r="C42" s="38" t="s">
        <v>14</v>
      </c>
      <c r="D42" s="42">
        <f>TRUNC(46276,-1)</f>
        <v>46270</v>
      </c>
      <c r="E42" s="63">
        <f t="shared" si="1"/>
        <v>152950</v>
      </c>
    </row>
    <row r="43" spans="1:7" x14ac:dyDescent="0.3">
      <c r="A43" s="2">
        <v>4</v>
      </c>
      <c r="C43" s="38" t="s">
        <v>16</v>
      </c>
      <c r="D43" s="42">
        <f>TRUNC(2847,-1)</f>
        <v>2840</v>
      </c>
      <c r="E43" s="63">
        <f t="shared" si="1"/>
        <v>9380</v>
      </c>
    </row>
    <row r="44" spans="1:7" x14ac:dyDescent="0.3">
      <c r="A44" s="2">
        <v>5</v>
      </c>
      <c r="C44" s="38" t="s">
        <v>17</v>
      </c>
      <c r="D44" s="42">
        <f>TRUNC(25594,-1)</f>
        <v>25590</v>
      </c>
      <c r="E44" s="63">
        <f t="shared" si="1"/>
        <v>84590</v>
      </c>
    </row>
    <row r="45" spans="1:7" x14ac:dyDescent="0.3">
      <c r="A45" s="2">
        <v>6</v>
      </c>
      <c r="C45" s="38" t="s">
        <v>18</v>
      </c>
      <c r="D45" s="42">
        <v>3340</v>
      </c>
      <c r="E45" s="63">
        <f t="shared" si="1"/>
        <v>11040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TRUNC(28019,-1)</f>
        <v>28010</v>
      </c>
      <c r="E48" s="63">
        <f t="shared" si="1"/>
        <v>92590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TRUNC(6416,-1)</f>
        <v>6410</v>
      </c>
      <c r="E49" s="63">
        <f t="shared" si="1"/>
        <v>21190</v>
      </c>
    </row>
    <row r="50" spans="1:7" x14ac:dyDescent="0.3">
      <c r="A50" s="2">
        <v>11</v>
      </c>
      <c r="C50" s="38" t="s">
        <v>155</v>
      </c>
      <c r="D50" s="42">
        <f>TRUNC(47668,-1)</f>
        <v>47660</v>
      </c>
      <c r="E50" s="63">
        <f t="shared" si="1"/>
        <v>157550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TRUNC(16644,-1)</f>
        <v>16640</v>
      </c>
      <c r="E52" s="63">
        <f t="shared" si="1"/>
        <v>55000</v>
      </c>
    </row>
    <row r="53" spans="1:7" x14ac:dyDescent="0.3">
      <c r="A53" s="2">
        <v>14</v>
      </c>
      <c r="C53" s="38" t="s">
        <v>25</v>
      </c>
      <c r="D53" s="42">
        <f>TRUNC(65639,-1)</f>
        <v>65630</v>
      </c>
      <c r="E53" s="63">
        <f t="shared" si="1"/>
        <v>216950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TRUNC(37861+4197-1020+2261+14584,-1)</f>
        <v>57880</v>
      </c>
      <c r="E58" s="63">
        <f t="shared" si="1"/>
        <v>191330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TRUNC(277402,-1)</f>
        <v>277400</v>
      </c>
      <c r="E59" s="64">
        <f t="shared" si="1"/>
        <v>917020</v>
      </c>
    </row>
    <row r="60" spans="1:7" x14ac:dyDescent="0.3">
      <c r="A60" s="2">
        <v>21</v>
      </c>
      <c r="C60" s="27" t="s">
        <v>112</v>
      </c>
      <c r="D60" s="39">
        <f>SUM(D40:D59)</f>
        <v>785590</v>
      </c>
      <c r="E60" s="39">
        <f>SUM(E40:E59)</f>
        <v>2596920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TRUNC(6622,-1)</f>
        <v>6620</v>
      </c>
      <c r="E63" s="62">
        <f>TRUNC(+D63*3.3058,-1)</f>
        <v>21880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TRUNC(23023,-1)</f>
        <v>23020</v>
      </c>
      <c r="E65" s="64">
        <f>TRUNC(+D65*3.3058,-1)</f>
        <v>76090</v>
      </c>
    </row>
    <row r="66" spans="1:7" x14ac:dyDescent="0.3">
      <c r="A66" s="2">
        <v>4</v>
      </c>
      <c r="C66" s="27" t="s">
        <v>112</v>
      </c>
      <c r="D66" s="39">
        <f>SUM(D63:D65)</f>
        <v>29640</v>
      </c>
      <c r="E66" s="65">
        <f>SUM(E63:E65)</f>
        <v>97970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TRUNC(14354,-1)</f>
        <v>14350</v>
      </c>
      <c r="E69" s="62">
        <f t="shared" ref="E69:E94" si="2">TRUNC(+D69*3.3058,-1)</f>
        <v>47430</v>
      </c>
    </row>
    <row r="70" spans="1:7" ht="16.5" customHeight="1" x14ac:dyDescent="0.3">
      <c r="A70" s="2">
        <v>2</v>
      </c>
      <c r="C70" s="38" t="s">
        <v>31</v>
      </c>
      <c r="D70" s="42">
        <v>2760</v>
      </c>
      <c r="E70" s="63">
        <f t="shared" si="2"/>
        <v>9120</v>
      </c>
    </row>
    <row r="71" spans="1:7" x14ac:dyDescent="0.3">
      <c r="A71" s="2">
        <v>3</v>
      </c>
      <c r="C71" s="38" t="s">
        <v>32</v>
      </c>
      <c r="D71" s="42">
        <f>TRUNC(21774,-1)</f>
        <v>21770</v>
      </c>
      <c r="E71" s="63">
        <f t="shared" si="2"/>
        <v>71960</v>
      </c>
    </row>
    <row r="72" spans="1:7" x14ac:dyDescent="0.3">
      <c r="A72" s="2">
        <v>4</v>
      </c>
      <c r="C72" s="38" t="s">
        <v>33</v>
      </c>
      <c r="D72" s="42">
        <f>TRUNC(774,-1)</f>
        <v>770</v>
      </c>
      <c r="E72" s="63">
        <f t="shared" si="2"/>
        <v>2540</v>
      </c>
    </row>
    <row r="73" spans="1:7" x14ac:dyDescent="0.3">
      <c r="A73" s="2">
        <v>5</v>
      </c>
      <c r="C73" s="38" t="s">
        <v>34</v>
      </c>
      <c r="D73" s="42">
        <f>TRUNC(4593,-1)</f>
        <v>4590</v>
      </c>
      <c r="E73" s="63">
        <f t="shared" si="2"/>
        <v>15170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TRUNC(11537,-1)</f>
        <v>11530</v>
      </c>
      <c r="E89" s="63">
        <f t="shared" si="2"/>
        <v>38110</v>
      </c>
    </row>
    <row r="90" spans="1:7" x14ac:dyDescent="0.3">
      <c r="A90" s="2">
        <v>22</v>
      </c>
      <c r="C90" s="38" t="s">
        <v>36</v>
      </c>
      <c r="D90" s="42">
        <f>TRUNC(882,-1)</f>
        <v>880</v>
      </c>
      <c r="E90" s="63">
        <f t="shared" si="2"/>
        <v>2900</v>
      </c>
    </row>
    <row r="91" spans="1:7" x14ac:dyDescent="0.3">
      <c r="A91" s="2">
        <v>23</v>
      </c>
      <c r="C91" s="38" t="s">
        <v>37</v>
      </c>
      <c r="D91" s="42">
        <f>TRUNC(30354,-1)</f>
        <v>30350</v>
      </c>
      <c r="E91" s="63">
        <f t="shared" si="2"/>
        <v>100330</v>
      </c>
    </row>
    <row r="92" spans="1:7" x14ac:dyDescent="0.3">
      <c r="A92" s="2">
        <v>24</v>
      </c>
      <c r="C92" s="38" t="s">
        <v>38</v>
      </c>
      <c r="D92" s="42">
        <f>TRUNC(2588,-1)</f>
        <v>2580</v>
      </c>
      <c r="E92" s="63">
        <f t="shared" si="2"/>
        <v>8520</v>
      </c>
    </row>
    <row r="93" spans="1:7" x14ac:dyDescent="0.3">
      <c r="A93" s="2">
        <v>25</v>
      </c>
      <c r="C93" s="38" t="s">
        <v>148</v>
      </c>
      <c r="D93" s="42">
        <v>281980</v>
      </c>
      <c r="E93" s="63">
        <f t="shared" si="2"/>
        <v>932160</v>
      </c>
    </row>
    <row r="94" spans="1:7" ht="17.25" thickBot="1" x14ac:dyDescent="0.35">
      <c r="A94" s="2">
        <v>26</v>
      </c>
      <c r="C94" s="38" t="s">
        <v>47</v>
      </c>
      <c r="D94" s="43">
        <f>TRUNC(12859+1866+21074,-1)</f>
        <v>35790</v>
      </c>
      <c r="E94" s="64">
        <f t="shared" si="2"/>
        <v>118310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407350</v>
      </c>
      <c r="E95" s="39">
        <f>SUM(E69:E94)</f>
        <v>1346550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TRUNC(16218,-1)</f>
        <v>16210</v>
      </c>
      <c r="E98" s="62">
        <f t="shared" ref="E98:E118" si="3">TRUNC(+D98*3.3058,-1)</f>
        <v>53580</v>
      </c>
    </row>
    <row r="99" spans="1:7" x14ac:dyDescent="0.3">
      <c r="A99" s="2">
        <v>2</v>
      </c>
      <c r="C99" s="38" t="s">
        <v>40</v>
      </c>
      <c r="D99" s="42">
        <f>TRUNC(13182,-1)</f>
        <v>13180</v>
      </c>
      <c r="E99" s="63">
        <f t="shared" si="3"/>
        <v>43570</v>
      </c>
    </row>
    <row r="100" spans="1:7" x14ac:dyDescent="0.3">
      <c r="A100" s="2">
        <v>3</v>
      </c>
      <c r="C100" s="38" t="s">
        <v>41</v>
      </c>
      <c r="D100" s="42">
        <f>TRUNC(19531,-1)</f>
        <v>19530</v>
      </c>
      <c r="E100" s="63">
        <f t="shared" si="3"/>
        <v>64560</v>
      </c>
    </row>
    <row r="101" spans="1:7" x14ac:dyDescent="0.3">
      <c r="A101" s="2">
        <v>4</v>
      </c>
      <c r="C101" s="38" t="s">
        <v>42</v>
      </c>
      <c r="D101" s="42">
        <v>2630</v>
      </c>
      <c r="E101" s="63">
        <f t="shared" si="3"/>
        <v>8690</v>
      </c>
    </row>
    <row r="102" spans="1:7" x14ac:dyDescent="0.3">
      <c r="A102" s="2">
        <v>5</v>
      </c>
      <c r="C102" s="38" t="s">
        <v>43</v>
      </c>
      <c r="D102" s="42">
        <f>TRUNC(13927,-1)</f>
        <v>13920</v>
      </c>
      <c r="E102" s="63">
        <f t="shared" si="3"/>
        <v>46010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TRUNC(5043,-1)</f>
        <v>5040</v>
      </c>
      <c r="E104" s="63">
        <f t="shared" si="3"/>
        <v>16660</v>
      </c>
    </row>
    <row r="105" spans="1:7" x14ac:dyDescent="0.3">
      <c r="A105" s="2">
        <v>8</v>
      </c>
      <c r="C105" s="38" t="s">
        <v>46</v>
      </c>
      <c r="D105" s="42">
        <f>TRUNC(11934,-1)</f>
        <v>11930</v>
      </c>
      <c r="E105" s="63">
        <f t="shared" si="3"/>
        <v>39430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TRUNC(4059,-1)</f>
        <v>4050</v>
      </c>
      <c r="E114" s="63">
        <f t="shared" si="3"/>
        <v>13380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TRUNC(2046,-1)</f>
        <v>2040</v>
      </c>
      <c r="E116" s="63">
        <f t="shared" si="3"/>
        <v>6740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TRUNC(115408,-1)</f>
        <v>115400</v>
      </c>
      <c r="E117" s="63">
        <f t="shared" si="3"/>
        <v>381480</v>
      </c>
    </row>
    <row r="118" spans="1:7" ht="17.25" thickBot="1" x14ac:dyDescent="0.35">
      <c r="A118" s="2">
        <v>21</v>
      </c>
      <c r="C118" s="38" t="s">
        <v>47</v>
      </c>
      <c r="D118" s="43">
        <f>TRUNC(1162+5858,-1)</f>
        <v>7020</v>
      </c>
      <c r="E118" s="64">
        <f t="shared" si="3"/>
        <v>23200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210950</v>
      </c>
      <c r="E119" s="39">
        <f>SUM(E98:E118)</f>
        <v>697300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TRUNC(3959,-1)</f>
        <v>3950</v>
      </c>
      <c r="E122" s="62">
        <f t="shared" ref="E122:E132" si="4">TRUNC(+D122*3.3058,-1)</f>
        <v>13050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TRUNC(1086,-1)</f>
        <v>1080</v>
      </c>
      <c r="E124" s="63">
        <f t="shared" si="4"/>
        <v>3570</v>
      </c>
    </row>
    <row r="125" spans="1:7" x14ac:dyDescent="0.3">
      <c r="A125" s="2">
        <v>4</v>
      </c>
      <c r="C125" s="38" t="s">
        <v>138</v>
      </c>
      <c r="D125" s="42">
        <f>TRUNC(6669,-1)</f>
        <v>6660</v>
      </c>
      <c r="E125" s="63">
        <f t="shared" si="4"/>
        <v>22010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TRUNC(9393,-1)</f>
        <v>9390</v>
      </c>
      <c r="E127" s="63">
        <f t="shared" si="4"/>
        <v>31040</v>
      </c>
    </row>
    <row r="128" spans="1:7" x14ac:dyDescent="0.3">
      <c r="A128" s="2">
        <v>7</v>
      </c>
      <c r="C128" s="38" t="s">
        <v>46</v>
      </c>
      <c r="D128" s="42">
        <f>TRUNC(13459,-1)</f>
        <v>13450</v>
      </c>
      <c r="E128" s="63">
        <f t="shared" si="4"/>
        <v>44460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TRUNC(20925,-1)</f>
        <v>20920</v>
      </c>
      <c r="E130" s="63">
        <f t="shared" si="4"/>
        <v>69150</v>
      </c>
    </row>
    <row r="131" spans="1:7" x14ac:dyDescent="0.3">
      <c r="A131" s="2">
        <v>10</v>
      </c>
      <c r="C131" s="38" t="s">
        <v>148</v>
      </c>
      <c r="D131" s="42">
        <v>68360</v>
      </c>
      <c r="E131" s="63">
        <f t="shared" si="4"/>
        <v>225980</v>
      </c>
    </row>
    <row r="132" spans="1:7" ht="18" thickBot="1" x14ac:dyDescent="0.35">
      <c r="A132" s="2">
        <v>11</v>
      </c>
      <c r="C132" s="38" t="s">
        <v>47</v>
      </c>
      <c r="D132" s="43">
        <f>TRUNC(5082+1276+1569,-1)</f>
        <v>7920</v>
      </c>
      <c r="E132" s="64">
        <f t="shared" si="4"/>
        <v>26180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131730</v>
      </c>
      <c r="E133" s="39">
        <f>SUM(E122:E132)</f>
        <v>435440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150+2480+5329+1651</f>
        <v>9610</v>
      </c>
      <c r="E137" s="63">
        <f t="shared" si="5"/>
        <v>31760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TRUNC(1804,-1)</f>
        <v>1800</v>
      </c>
      <c r="E138" s="63">
        <f t="shared" si="5"/>
        <v>5950</v>
      </c>
    </row>
    <row r="139" spans="1:7" x14ac:dyDescent="0.3">
      <c r="A139" s="2">
        <v>4</v>
      </c>
      <c r="C139" s="38" t="s">
        <v>61</v>
      </c>
      <c r="D139" s="42">
        <f>TRUNC(1602,-1)</f>
        <v>1600</v>
      </c>
      <c r="E139" s="63">
        <f t="shared" si="5"/>
        <v>5280</v>
      </c>
    </row>
    <row r="140" spans="1:7" x14ac:dyDescent="0.3">
      <c r="A140" s="2">
        <v>5</v>
      </c>
      <c r="C140" s="38" t="s">
        <v>57</v>
      </c>
      <c r="D140" s="42">
        <f>TRUNC(1108,-1)</f>
        <v>1100</v>
      </c>
      <c r="E140" s="63">
        <f t="shared" si="5"/>
        <v>3630</v>
      </c>
    </row>
    <row r="141" spans="1:7" x14ac:dyDescent="0.3">
      <c r="A141" s="2">
        <v>6</v>
      </c>
      <c r="C141" s="38" t="s">
        <v>59</v>
      </c>
      <c r="D141" s="42">
        <f>TRUNC(9021,-1)</f>
        <v>9020</v>
      </c>
      <c r="E141" s="63">
        <f t="shared" si="5"/>
        <v>29810</v>
      </c>
    </row>
    <row r="142" spans="1:7" x14ac:dyDescent="0.3">
      <c r="A142" s="2">
        <v>7</v>
      </c>
      <c r="C142" s="38" t="s">
        <v>58</v>
      </c>
      <c r="D142" s="42">
        <f>TRUNC(3292,-1)</f>
        <v>3290</v>
      </c>
      <c r="E142" s="63">
        <f t="shared" si="5"/>
        <v>10870</v>
      </c>
    </row>
    <row r="143" spans="1:7" x14ac:dyDescent="0.3">
      <c r="A143" s="2">
        <v>8</v>
      </c>
      <c r="C143" s="38" t="s">
        <v>62</v>
      </c>
      <c r="D143" s="42">
        <f>TRUNC(5031,-1)</f>
        <v>5030</v>
      </c>
      <c r="E143" s="63">
        <f t="shared" si="5"/>
        <v>16620</v>
      </c>
    </row>
    <row r="144" spans="1:7" x14ac:dyDescent="0.3">
      <c r="A144" s="2">
        <v>9</v>
      </c>
      <c r="C144" s="38" t="s">
        <v>63</v>
      </c>
      <c r="D144" s="42">
        <f>TRUNC(20707,-1)</f>
        <v>20700</v>
      </c>
      <c r="E144" s="63">
        <f t="shared" si="5"/>
        <v>68430</v>
      </c>
    </row>
    <row r="145" spans="1:7" ht="17.25" thickBot="1" x14ac:dyDescent="0.35">
      <c r="A145" s="2">
        <v>10</v>
      </c>
      <c r="C145" s="38" t="s">
        <v>148</v>
      </c>
      <c r="D145" s="43">
        <f>TRUNC(953,-1)</f>
        <v>950</v>
      </c>
      <c r="E145" s="64">
        <f t="shared" si="5"/>
        <v>3140</v>
      </c>
    </row>
    <row r="146" spans="1:7" x14ac:dyDescent="0.3">
      <c r="A146" s="2">
        <v>11</v>
      </c>
      <c r="C146" s="27" t="s">
        <v>112</v>
      </c>
      <c r="D146" s="39">
        <f>SUM(D136:D145)</f>
        <v>53100</v>
      </c>
      <c r="E146" s="39">
        <f>SUM(E136:E145)</f>
        <v>175490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3626+794</f>
        <v>4420</v>
      </c>
      <c r="E149" s="62">
        <f>TRUNC(+D149*3.3058,-1)</f>
        <v>14610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TRUNC(8995,-1)</f>
        <v>8990</v>
      </c>
      <c r="E150" s="63">
        <f>TRUNC(+D150*3.3058,-1)</f>
        <v>29710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TRUNC(548+61+4540,-1)</f>
        <v>5140</v>
      </c>
      <c r="E152" s="63">
        <f>TRUNC(+D152*3.3058,-1)</f>
        <v>16990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TRUNC(10591,-1)</f>
        <v>10590</v>
      </c>
      <c r="E153" s="64">
        <f>TRUNC(+D153*3.3058,-1)</f>
        <v>35000</v>
      </c>
    </row>
    <row r="154" spans="1:7" x14ac:dyDescent="0.3">
      <c r="A154" s="2">
        <v>6</v>
      </c>
      <c r="C154" s="27" t="s">
        <v>112</v>
      </c>
      <c r="D154" s="39">
        <f>SUM(D149:D153)</f>
        <v>29140</v>
      </c>
      <c r="E154" s="39">
        <f>SUM(E149:E153)</f>
        <v>96310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TRUNC(24085,-1)</f>
        <v>24080</v>
      </c>
      <c r="E157" s="62">
        <f>TRUNC(+D157*3.3058,-1)</f>
        <v>79600</v>
      </c>
    </row>
    <row r="158" spans="1:7" x14ac:dyDescent="0.3">
      <c r="A158" s="2">
        <v>2</v>
      </c>
      <c r="C158" s="38" t="s">
        <v>52</v>
      </c>
      <c r="D158" s="42">
        <f>TRUNC(6217,-1)</f>
        <v>6210</v>
      </c>
      <c r="E158" s="63">
        <f>TRUNC(+D158*3.3058,-1)</f>
        <v>20520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v>7470</v>
      </c>
      <c r="E159" s="63">
        <f>TRUNC(+D159*3.3058,-1)</f>
        <v>24690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TRUNC(1082,-1)</f>
        <v>1080</v>
      </c>
      <c r="E160" s="64">
        <f>TRUNC(+D160*3.3058,-1)</f>
        <v>3570</v>
      </c>
    </row>
    <row r="161" spans="1:5" x14ac:dyDescent="0.3">
      <c r="A161" s="2">
        <v>5</v>
      </c>
      <c r="C161" s="27" t="s">
        <v>112</v>
      </c>
      <c r="D161" s="39">
        <f>SUM(D157:D160)</f>
        <v>38840</v>
      </c>
      <c r="E161" s="39">
        <f>SUM(E157:E160)</f>
        <v>128380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2020-12-08T04:29:59Z</dcterms:modified>
</cp:coreProperties>
</file>