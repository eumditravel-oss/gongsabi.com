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0" i="4"/>
  <c r="D144" i="4"/>
  <c r="D143" i="4"/>
  <c r="D142" i="4"/>
  <c r="D139" i="4"/>
  <c r="D137" i="4"/>
  <c r="D132" i="4"/>
  <c r="D131" i="4"/>
  <c r="D130" i="4"/>
  <c r="D128" i="4"/>
  <c r="D127" i="4"/>
  <c r="D125" i="4"/>
  <c r="D124" i="4"/>
  <c r="D117" i="4"/>
  <c r="D116" i="4"/>
  <c r="D114" i="4"/>
  <c r="D105" i="4"/>
  <c r="D99" i="4"/>
  <c r="D98" i="4"/>
  <c r="D94" i="4"/>
  <c r="D92" i="4"/>
  <c r="D89" i="4"/>
  <c r="D73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<sst xmlns="http://schemas.openxmlformats.org/spreadsheetml/2006/main" count="390" uniqueCount="267">
  <si>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</si>
  <si>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</si>
  <si>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</si>
  <si>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</si>
  <si>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</si>
  <si>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</si>
  <si>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</si>
  <si>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</si>
  <si>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</si>
  <si>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</si>
  <si>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</si>
  <si>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</si>
  <si>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</si>
  <si>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</si>
  <si>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</si>
  <si>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</si>
  <si>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</si>
  <si>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</si>
  <si>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</si>
  <si>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</si>
  <si>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</si>
  <si>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</si>
  <si>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</si>
  <si>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</si>
  <si>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</si>
  <si>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</si>
  <si>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</si>
  <si>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</si>
  <si>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</si>
  <si>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</si>
  <si>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</si>
  <si>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</si>
  <si>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</si>
  <si>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</si>
  <si>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</si>
  <si>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</si>
  <si>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</si>
  <si>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</si>
  <si>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</si>
  <si>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</si>
  <si>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</si>
  <si>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</si>
  <si>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</si>
  <si>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</si>
  <si>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</si>
  <si>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</si>
  <si>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</si>
  <si>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</si>
  <si>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</si>
  <si>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</si>
  <si>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</si>
  <si>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</si>
  <si>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</si>
  <si>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</si>
  <si>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</si>
  <si>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</si>
  <si>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</si>
  <si>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</si>
  <si>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</si>
  <si>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</si>
  <si>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</si>
  <si>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</si>
  <si>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</si>
  <si>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</si>
  <si>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</si>
  <si>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</si>
  <si>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</si>
  <si>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</si>
  <si>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</si>
  <si>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</si>
  <si>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</si>
  <si>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</si>
  <si>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</si>
  <si>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</si>
  <si>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</si>
  <si>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</si>
  <si>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</si>
  <si>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</si>
  <si>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</si>
  <si>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</si>
  <si>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</si>
  <si>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</si>
  <si>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</si>
  <si>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</si>
  <si>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</si>
  <si>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</si>
  <si>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</si>
  <si>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</si>
  <si>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</si>
  <si>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</si>
  <si>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</si>
  <si>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</si>
  <si>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</si>
  <si>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</si>
  <si>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</si>
  <si>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</si>
  <si>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</si>
  <si>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</si>
  <si>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</si>
  <si>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</si>
  <si>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</si>
  <si>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</si>
  <si>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</si>
  <si>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</si>
  <si>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</si>
  <si>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</si>
  <si>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</si>
  <si>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</si>
  <si>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</si>
  <si>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</si>
  <si>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</si>
  <si>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</si>
  <si>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</si>
  <si>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</si>
  <si>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</si>
  <si>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</si>
  <si>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</si>
  <si>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</si>
  <si>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</si>
  <si>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</si>
  <si>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</si>
  <si>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</si>
  <si>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</si>
  <si>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</si>
  <si>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</si>
  <si>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</si>
  <si>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</si>
  <si>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</si>
  <si>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</si>
  <si>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</si>
  <si>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</si>
  <si>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</si>
  <si>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</si>
  <si>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</si>
  <si>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</si>
  <si>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</si>
  <si>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</si>
  <si>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</si>
  <si>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</si>
  <si>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</si>
  <si>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</si>
  <si>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</si>
  <si>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</si>
  <si>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</si>
  <si>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</si>
  <si>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</si>
  <si>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</si>
  <si>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</si>
  <si>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</si>
  <si>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</si>
  <si>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</si>
  <si>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</si>
  <si>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</si>
  <si>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</si>
  <si>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</si>
  <si>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</si>
  <si>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</si>
  <si>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</si>
  <si>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</si>
  <si>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</si>
  <si>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</si>
  <si>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</si>
  <si>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</si>
  <si>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</si>
  <si>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</si>
  <si>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</si>
  <si>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</si>
  <si>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</si>
  <si>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</si>
  <si>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</si>
  <si>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</si>
  <si>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</si>
  <si>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</si>
  <si>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</si>
  <si>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</si>
  <si>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</si>
  <si>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</si>
  <si>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</si>
  <si>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</si>
  <si>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</si>
  <si>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</si>
  <si>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</si>
  <si>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</si>
  <si>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</si>
  <si>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</si>
  <si>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</si>
  <si>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</si>
  <si>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</si>
  <si>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</si>
  <si>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</si>
  <si>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</si>
  <si>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</si>
  <si>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</si>
  <si>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</si>
  <si>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</si>
  <si>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</si>
  <si>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</si>
  <si>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</si>
  <si>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</si>
  <si>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</si>
  <si>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</si>
  <si>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</si>
  <si>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</si>
  <si>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</si>
  <si>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</si>
  <si>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</si>
  <si>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</si>
  <si>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</si>
  <si>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</si>
  <si>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</si>
  <si>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</si>
  <si>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</si>
  <si>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</si>
  <si>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</si>
  <si>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</si>
  <si>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</si>
  <si>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</si>
  <si>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</si>
  <si>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</si>
  <si>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</si>
  <si>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</si>
  <si>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</si>
  <si>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</si>
  <si>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</si>
  <si>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</si>
  <si>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</si>
  <si>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</si>
  <si>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</si>
  <si>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</si>
  <si>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</si>
  <si>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</si>
  <si>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</si>
  <si>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</si>
  <si>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</si>
  <si>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</si>
  <si>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</si>
  <si>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</si>
  <si>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</si>
  <si>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</si>
  <si>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</si>
  <si>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</si>
  <si>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</si>
  <si>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</si>
  <si>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</si>
  <si>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</si>
  <si>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</si>
  <si>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</si>
  <si>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</si>
  <si>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</si>
  <si>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</si>
  <si>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</si>
  <si>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</si>
  <si>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</si>
  <si>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</si>
  <si>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</si>
  <si>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 xml:space="preserve"> 한국국토정보공사 제주지역본부 사옥 신축공사</t>
    <phoneticPr fontId="2" type="noConversion"/>
  </si>
  <si>
    <t>제주도</t>
  </si>
  <si>
    <t>해체및철거공사, 골재비및운반비, 작업부산물, 기타공사</t>
    <phoneticPr fontId="2" type="noConversion"/>
  </si>
  <si>
    <t>CCTV설비공사</t>
    <phoneticPr fontId="2" type="noConversion"/>
  </si>
  <si>
    <t>공조배관공사, 난방배관공사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</si>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</sst>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6" sqref="G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4210.91</v>
      </c>
      <c r="D7" s="36">
        <f>+C7/3.3058</f>
        <v>1273.7945429245567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1023680</v>
      </c>
      <c r="E25" s="59">
        <f t="shared" si="0"/>
        <v>3384080</v>
      </c>
    </row>
    <row r="26" spans="1:5" x14ac:dyDescent="0.3">
      <c r="B26" s="2">
        <v>3</v>
      </c>
      <c r="C26" s="35" t="s">
        <v>95</v>
      </c>
      <c r="D26" s="45">
        <f>+D66</f>
        <v>212140</v>
      </c>
      <c r="E26" s="59">
        <f t="shared" si="0"/>
        <v>701290</v>
      </c>
    </row>
    <row r="27" spans="1:5" x14ac:dyDescent="0.3">
      <c r="B27" s="2">
        <v>4</v>
      </c>
      <c r="C27" s="35" t="s">
        <v>96</v>
      </c>
      <c r="D27" s="45">
        <f>+D95</f>
        <v>48320</v>
      </c>
      <c r="E27" s="59">
        <f t="shared" si="0"/>
        <v>159730</v>
      </c>
    </row>
    <row r="28" spans="1:5" x14ac:dyDescent="0.3">
      <c r="B28" s="2">
        <v>5</v>
      </c>
      <c r="C28" s="35" t="s">
        <v>97</v>
      </c>
      <c r="D28" s="45">
        <f>+D119</f>
        <v>200190</v>
      </c>
      <c r="E28" s="59">
        <f t="shared" si="0"/>
        <v>661780</v>
      </c>
    </row>
    <row r="29" spans="1:5" x14ac:dyDescent="0.3">
      <c r="B29" s="2">
        <v>6</v>
      </c>
      <c r="C29" s="35" t="s">
        <v>98</v>
      </c>
      <c r="D29" s="45">
        <f>+D133</f>
        <v>109590</v>
      </c>
      <c r="E29" s="59">
        <f t="shared" si="0"/>
        <v>362280</v>
      </c>
    </row>
    <row r="30" spans="1:5" x14ac:dyDescent="0.3">
      <c r="B30" s="2">
        <v>7</v>
      </c>
      <c r="C30" s="35" t="s">
        <v>99</v>
      </c>
      <c r="D30" s="45">
        <f>+D146</f>
        <v>58510</v>
      </c>
      <c r="E30" s="59">
        <f t="shared" si="0"/>
        <v>193420</v>
      </c>
    </row>
    <row r="31" spans="1:5" x14ac:dyDescent="0.3">
      <c r="B31" s="2">
        <v>8</v>
      </c>
      <c r="C31" s="35" t="s">
        <v>100</v>
      </c>
      <c r="D31" s="45">
        <f>+D154</f>
        <v>4050</v>
      </c>
      <c r="E31" s="59">
        <f t="shared" si="0"/>
        <v>13380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455530</v>
      </c>
      <c r="E33" s="60">
        <f t="shared" si="0"/>
        <v>1505890</v>
      </c>
    </row>
    <row r="34" spans="1:7" x14ac:dyDescent="0.3">
      <c r="C34" s="35" t="s">
        <v>112</v>
      </c>
      <c r="D34" s="44">
        <f>SUM(D24:D33)</f>
        <v>2112010</v>
      </c>
      <c r="E34" s="44">
        <f>SUM(E24:E33)</f>
        <v>6981850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260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TRUNC(70143,-1)</f>
        <v>70140</v>
      </c>
      <c r="E40" s="62">
        <f t="shared" ref="E40:E59" si="1">TRUNC(+D40*3.3058,-1)</f>
        <v>231860</v>
      </c>
    </row>
    <row r="41" spans="1:7" x14ac:dyDescent="0.3">
      <c r="A41" s="2">
        <v>2</v>
      </c>
      <c r="C41" s="38" t="s">
        <v>13</v>
      </c>
      <c r="D41" s="42">
        <f>TRUNC(212725,-1)</f>
        <v>212720</v>
      </c>
      <c r="E41" s="63">
        <f t="shared" si="1"/>
        <v>703200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TRUNC(21737,-1)</f>
        <v>21730</v>
      </c>
      <c r="E43" s="63">
        <f t="shared" si="1"/>
        <v>71830</v>
      </c>
    </row>
    <row r="44" spans="1:7" x14ac:dyDescent="0.3">
      <c r="A44" s="2">
        <v>5</v>
      </c>
      <c r="C44" s="38" t="s">
        <v>17</v>
      </c>
      <c r="D44" s="42">
        <f>TRUNC(27454,-1)</f>
        <v>27450</v>
      </c>
      <c r="E44" s="63">
        <f t="shared" si="1"/>
        <v>90740</v>
      </c>
    </row>
    <row r="45" spans="1:7" x14ac:dyDescent="0.3">
      <c r="A45" s="2">
        <v>6</v>
      </c>
      <c r="C45" s="38" t="s">
        <v>18</v>
      </c>
      <c r="D45" s="42">
        <f>TRUNC(16715,-1)</f>
        <v>16710</v>
      </c>
      <c r="E45" s="63">
        <f t="shared" si="1"/>
        <v>55230</v>
      </c>
    </row>
    <row r="46" spans="1:7" x14ac:dyDescent="0.3">
      <c r="A46" s="2">
        <v>7</v>
      </c>
      <c r="C46" s="38" t="s">
        <v>19</v>
      </c>
      <c r="D46" s="42">
        <f>TRUNC(68336,-1)</f>
        <v>68330</v>
      </c>
      <c r="E46" s="63">
        <f t="shared" si="1"/>
        <v>225880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TRUNC(42514,-1)</f>
        <v>42510</v>
      </c>
      <c r="E48" s="63">
        <f t="shared" si="1"/>
        <v>140520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TRUNC(22829,-1)</f>
        <v>22820</v>
      </c>
      <c r="E49" s="63">
        <f t="shared" si="1"/>
        <v>75430</v>
      </c>
    </row>
    <row r="50" spans="1:7" x14ac:dyDescent="0.3">
      <c r="A50" s="2">
        <v>11</v>
      </c>
      <c r="C50" s="38" t="s">
        <v>155</v>
      </c>
      <c r="D50" s="42">
        <f>TRUNC(56941,-1)</f>
        <v>56940</v>
      </c>
      <c r="E50" s="63">
        <f t="shared" si="1"/>
        <v>188230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TRUNC(12549,-1)</f>
        <v>12540</v>
      </c>
      <c r="E52" s="63">
        <f t="shared" si="1"/>
        <v>41450</v>
      </c>
    </row>
    <row r="53" spans="1:7" x14ac:dyDescent="0.3">
      <c r="A53" s="2">
        <v>14</v>
      </c>
      <c r="C53" s="38" t="s">
        <v>25</v>
      </c>
      <c r="D53" s="42">
        <f>TRUNC(99133,-1)</f>
        <v>99130</v>
      </c>
      <c r="E53" s="63">
        <f t="shared" si="1"/>
        <v>327700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TRUNC(17191+5462-5184+8888,-1)</f>
        <v>26350</v>
      </c>
      <c r="E58" s="63">
        <f t="shared" si="1"/>
        <v>87100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TRUNC(346311,-1)</f>
        <v>346310</v>
      </c>
      <c r="E59" s="64">
        <f t="shared" si="1"/>
        <v>1144830</v>
      </c>
    </row>
    <row r="60" spans="1:7" x14ac:dyDescent="0.3">
      <c r="A60" s="2">
        <v>21</v>
      </c>
      <c r="C60" s="27" t="s">
        <v>112</v>
      </c>
      <c r="D60" s="39">
        <f>SUM(D40:D59)</f>
        <v>1023680</v>
      </c>
      <c r="E60" s="39">
        <f>SUM(E40:E59)</f>
        <v>3384000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TRUNC(76092,-1)</f>
        <v>76090</v>
      </c>
      <c r="E63" s="62">
        <f>TRUNC(+D63*3.3058,-1)</f>
        <v>251530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TRUNC(136056,-1)</f>
        <v>136050</v>
      </c>
      <c r="E65" s="64">
        <f>TRUNC(+D65*3.3058,-1)</f>
        <v>449750</v>
      </c>
    </row>
    <row r="66" spans="1:7" x14ac:dyDescent="0.3">
      <c r="A66" s="2">
        <v>4</v>
      </c>
      <c r="C66" s="27" t="s">
        <v>112</v>
      </c>
      <c r="D66" s="39">
        <f>SUM(D63:D65)</f>
        <v>212140</v>
      </c>
      <c r="E66" s="65">
        <f>SUM(E63:E65)</f>
        <v>701280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TRUNC(11429,-1)</f>
        <v>11420</v>
      </c>
      <c r="E73" s="63">
        <f t="shared" si="2"/>
        <v>37750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TRUNC(15196,-1)</f>
        <v>15190</v>
      </c>
      <c r="E89" s="63">
        <f t="shared" si="2"/>
        <v>50210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TRUNC(17843,-1)</f>
        <v>17840</v>
      </c>
      <c r="E92" s="63">
        <f t="shared" si="2"/>
        <v>58970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TRUNC(3287+587,-1)</f>
        <v>3870</v>
      </c>
      <c r="E94" s="64">
        <f t="shared" si="2"/>
        <v>12790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48320</v>
      </c>
      <c r="E95" s="39">
        <f>SUM(E69:E94)</f>
        <v>159720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TRUNC(8371,-1)</f>
        <v>8370</v>
      </c>
      <c r="E98" s="62">
        <f t="shared" ref="E98:E118" si="3">TRUNC(+D98*3.3058,-1)</f>
        <v>27660</v>
      </c>
    </row>
    <row r="99" spans="1:7" x14ac:dyDescent="0.3">
      <c r="A99" s="2">
        <v>2</v>
      </c>
      <c r="C99" s="38" t="s">
        <v>40</v>
      </c>
      <c r="D99" s="42">
        <f>TRUNC(5992,-1)</f>
        <v>5990</v>
      </c>
      <c r="E99" s="63">
        <f t="shared" si="3"/>
        <v>19800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15600</v>
      </c>
      <c r="E102" s="63">
        <f t="shared" si="3"/>
        <v>51570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TRUNC(10371,-1)</f>
        <v>10370</v>
      </c>
      <c r="E105" s="63">
        <f t="shared" si="3"/>
        <v>34280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TRUNC(35202,-1)</f>
        <v>35200</v>
      </c>
      <c r="E114" s="63">
        <f t="shared" si="3"/>
        <v>116360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TRUNC(5953,-1)</f>
        <v>5950</v>
      </c>
      <c r="E116" s="63">
        <f t="shared" si="3"/>
        <v>19660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TRUNC(107715,-1)</f>
        <v>107710</v>
      </c>
      <c r="E117" s="63">
        <f t="shared" si="3"/>
        <v>356060</v>
      </c>
    </row>
    <row r="118" spans="1:7" ht="17.25" thickBot="1" x14ac:dyDescent="0.35">
      <c r="A118" s="2">
        <v>21</v>
      </c>
      <c r="C118" s="38" t="s">
        <v>47</v>
      </c>
      <c r="D118" s="43">
        <v>11000</v>
      </c>
      <c r="E118" s="64">
        <f t="shared" si="3"/>
        <v>36360</v>
      </c>
    </row>
    <row r="119" spans="1:7" x14ac:dyDescent="0.3">
      <c r="A119" s="2">
        <v>22</v>
      </c>
      <c r="C119" s="27" t="s">
        <v>112</v>
      </c>
      <c r="D119" s="39">
        <f>SUM(D98:D118)</f>
        <v>200190</v>
      </c>
      <c r="E119" s="39">
        <f>SUM(E98:E118)</f>
        <v>661750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3330</v>
      </c>
      <c r="E122" s="62">
        <f t="shared" ref="E122:E132" si="4">TRUNC(+D122*3.3058,-1)</f>
        <v>11000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TRUNC(3197,-1)</f>
        <v>3190</v>
      </c>
      <c r="E124" s="63">
        <f t="shared" si="4"/>
        <v>10540</v>
      </c>
    </row>
    <row r="125" spans="1:7" x14ac:dyDescent="0.3">
      <c r="A125" s="2">
        <v>4</v>
      </c>
      <c r="C125" s="38" t="s">
        <v>138</v>
      </c>
      <c r="D125" s="42">
        <f>TRUNC(6073,-1)</f>
        <v>6070</v>
      </c>
      <c r="E125" s="63">
        <f t="shared" si="4"/>
        <v>20060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TRUNC(84,-1)</f>
        <v>80</v>
      </c>
      <c r="E127" s="63">
        <f t="shared" si="4"/>
        <v>260</v>
      </c>
    </row>
    <row r="128" spans="1:7" x14ac:dyDescent="0.3">
      <c r="A128" s="2">
        <v>7</v>
      </c>
      <c r="C128" s="38" t="s">
        <v>46</v>
      </c>
      <c r="D128" s="42">
        <f>TRUNC(5614,-1)</f>
        <v>5610</v>
      </c>
      <c r="E128" s="63">
        <f t="shared" si="4"/>
        <v>18540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TRUNC(29565,-1)</f>
        <v>29560</v>
      </c>
      <c r="E130" s="63">
        <f t="shared" si="4"/>
        <v>97710</v>
      </c>
    </row>
    <row r="131" spans="1:7" x14ac:dyDescent="0.3">
      <c r="A131" s="2">
        <v>10</v>
      </c>
      <c r="C131" s="38" t="s">
        <v>148</v>
      </c>
      <c r="D131" s="42">
        <f>TRUNC(59638,-1)</f>
        <v>59630</v>
      </c>
      <c r="E131" s="63">
        <f t="shared" si="4"/>
        <v>197120</v>
      </c>
    </row>
    <row r="132" spans="1:7" ht="18" thickBot="1" x14ac:dyDescent="0.35">
      <c r="A132" s="2">
        <v>11</v>
      </c>
      <c r="C132" s="38" t="s">
        <v>47</v>
      </c>
      <c r="D132" s="43">
        <f>TRUNC(2126,-1)</f>
        <v>2120</v>
      </c>
      <c r="E132" s="64">
        <f t="shared" si="4"/>
        <v>7000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109590</v>
      </c>
      <c r="E133" s="39">
        <f>SUM(E122:E132)</f>
        <v>362230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TRUNC(8565,-1)</f>
        <v>8560</v>
      </c>
      <c r="E137" s="63">
        <f t="shared" si="5"/>
        <v>28290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TRUNC(1865,-1)</f>
        <v>1860</v>
      </c>
      <c r="E139" s="63">
        <f t="shared" si="5"/>
        <v>6140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TRUNC(30625,-1)</f>
        <v>30620</v>
      </c>
      <c r="E142" s="63">
        <f t="shared" si="5"/>
        <v>101220</v>
      </c>
    </row>
    <row r="143" spans="1:7" x14ac:dyDescent="0.3">
      <c r="A143" s="2">
        <v>8</v>
      </c>
      <c r="C143" s="38" t="s">
        <v>62</v>
      </c>
      <c r="D143" s="42">
        <f>TRUNC(6795,-1)</f>
        <v>6790</v>
      </c>
      <c r="E143" s="63">
        <f t="shared" si="5"/>
        <v>22440</v>
      </c>
    </row>
    <row r="144" spans="1:7" x14ac:dyDescent="0.3">
      <c r="A144" s="2">
        <v>9</v>
      </c>
      <c r="C144" s="38" t="s">
        <v>63</v>
      </c>
      <c r="D144" s="42">
        <f>TRUNC(10681,-1)</f>
        <v>10680</v>
      </c>
      <c r="E144" s="63">
        <f t="shared" si="5"/>
        <v>35300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58510</v>
      </c>
      <c r="E146" s="39">
        <f>SUM(E136:E145)</f>
        <v>193390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TRUNC(2458,-1)</f>
        <v>2450</v>
      </c>
      <c r="E150" s="63">
        <f>TRUNC(+D150*3.3058,-1)</f>
        <v>8090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TRUNC(1602,-1)</f>
        <v>1600</v>
      </c>
      <c r="E152" s="63">
        <f>TRUNC(+D152*3.3058,-1)</f>
        <v>5280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4050</v>
      </c>
      <c r="E154" s="39">
        <f>SUM(E149:E153)</f>
        <v>13370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2020-12-08T02:08:39Z</dcterms:modified>
</cp:coreProperties>
</file>