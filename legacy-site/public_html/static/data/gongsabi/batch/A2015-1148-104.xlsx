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0" i="4"/>
  <c r="D137" i="4"/>
  <c r="D132" i="4"/>
  <c r="D131" i="4"/>
  <c r="D130" i="4"/>
  <c r="D128" i="4"/>
  <c r="D126" i="4"/>
  <c r="D125" i="4"/>
  <c r="D122" i="4"/>
  <c r="D118" i="4"/>
  <c r="D117" i="4"/>
  <c r="D116" i="4"/>
  <c r="D114" i="4"/>
  <c r="D105" i="4"/>
  <c r="D102" i="4"/>
  <c r="D100" i="4"/>
  <c r="D99" i="4"/>
  <c r="D98" i="4"/>
  <c r="D94" i="4"/>
  <c r="D93" i="4"/>
  <c r="D92" i="4"/>
  <c r="D91" i="4"/>
  <c r="D90" i="4"/>
  <c r="D89" i="4"/>
  <c r="D76" i="4"/>
  <c r="D73" i="4"/>
  <c r="D72" i="4"/>
  <c r="D69" i="4"/>
  <c r="D63" i="4"/>
  <c r="D59" i="4"/>
  <c r="D52" i="4"/>
  <c r="D50" i="4"/>
  <c r="D49" i="4"/>
  <c r="D48" i="4"/>
  <c r="D46" i="4"/>
  <c r="D45" i="4"/>
  <c r="D44" i="4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<sst xmlns="http://schemas.openxmlformats.org/spreadsheetml/2006/main" count="394" uniqueCount="269">
  <si>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</si>
  <si>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</si>
  <si>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</si>
  <si>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</si>
  <si>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</si>
  <si>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</si>
  <si>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</si>
  <si>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</si>
  <si>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</si>
  <si>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</si>
  <si>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</si>
  <si>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</si>
  <si>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</si>
  <si>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</si>
  <si>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</si>
  <si>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</si>
  <si>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</si>
  <si>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</si>
  <si>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</si>
  <si>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</si>
  <si>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</si>
  <si>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</si>
  <si>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</si>
  <si>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</si>
  <si>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</si>
  <si>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</si>
  <si>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</si>
  <si>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</si>
  <si>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</si>
  <si>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</si>
  <si>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</si>
  <si>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</si>
  <si>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</si>
  <si>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</si>
  <si>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</si>
  <si>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</si>
  <si>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</si>
  <si>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</si>
  <si>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</si>
  <si>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</si>
  <si>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</si>
  <si>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</si>
  <si>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</si>
  <si>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</si>
  <si>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</si>
  <si>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</si>
  <si>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</si>
  <si>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</si>
  <si>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</si>
  <si>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</si>
  <si>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</si>
  <si>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</si>
  <si>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</si>
  <si>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</si>
  <si>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</si>
  <si>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</si>
  <si>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</si>
  <si>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</si>
  <si>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</si>
  <si>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</si>
  <si>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</si>
  <si>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</si>
  <si>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</si>
  <si>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</si>
  <si>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</si>
  <si>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</si>
  <si>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</si>
  <si>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</si>
  <si>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</si>
  <si>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</si>
  <si>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</si>
  <si>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</si>
  <si>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</si>
  <si>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</si>
  <si>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</si>
  <si>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</si>
  <si>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</si>
  <si>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</si>
  <si>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</si>
  <si>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</si>
  <si>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</si>
  <si>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</si>
  <si>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</si>
  <si>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</si>
  <si>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</si>
  <si>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</si>
  <si>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</si>
  <si>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</si>
  <si>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</si>
  <si>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</si>
  <si>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</si>
  <si>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</si>
  <si>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</si>
  <si>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</si>
  <si>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</si>
  <si>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</si>
  <si>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</si>
  <si>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</si>
  <si>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</si>
  <si>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</si>
  <si>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</si>
  <si>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</si>
  <si>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</si>
  <si>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</si>
  <si>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</si>
  <si>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</si>
  <si>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</si>
  <si>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</si>
  <si>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</si>
  <si>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</si>
  <si>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</si>
  <si>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</si>
  <si>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</si>
  <si>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</si>
  <si>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</si>
  <si>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</si>
  <si>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</si>
  <si>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</si>
  <si>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</si>
  <si>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</si>
  <si>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</si>
  <si>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</si>
  <si>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</si>
  <si>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</si>
  <si>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</si>
  <si>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</si>
  <si>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</si>
  <si>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</si>
  <si>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</si>
  <si>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</si>
  <si>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</si>
  <si>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</si>
  <si>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</si>
  <si>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</si>
  <si>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</si>
  <si>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</si>
  <si>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</si>
  <si>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</si>
  <si>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</si>
  <si>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</si>
  <si>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</si>
  <si>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</si>
  <si>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</si>
  <si>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</si>
  <si>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</si>
  <si>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</si>
  <si>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</si>
  <si>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</si>
  <si>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</si>
  <si>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</si>
  <si>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</si>
  <si>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</si>
  <si>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</si>
  <si>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</si>
  <si>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</si>
  <si>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</si>
  <si>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</si>
  <si>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</si>
  <si>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</si>
  <si>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</si>
  <si>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</si>
  <si>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</si>
  <si>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</si>
  <si>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</si>
  <si>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</si>
  <si>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</si>
  <si>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</si>
  <si>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</si>
  <si>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</si>
  <si>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</si>
  <si>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</si>
  <si>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</si>
  <si>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</si>
  <si>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</si>
  <si>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</si>
  <si>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</si>
  <si>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</si>
  <si>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</si>
  <si>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</si>
  <si>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</si>
  <si>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</si>
  <si>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</si>
  <si>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</si>
  <si>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</si>
  <si>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</si>
  <si>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</si>
  <si>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</si>
  <si>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</si>
  <si>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</si>
  <si>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</si>
  <si>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</si>
  <si>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</si>
  <si>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</si>
  <si>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</si>
  <si>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</si>
  <si>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</si>
  <si>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</si>
  <si>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</si>
  <si>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</si>
  <si>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</si>
  <si>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</si>
  <si>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</si>
  <si>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</si>
  <si>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</si>
  <si>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</si>
  <si>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</si>
  <si>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</si>
  <si>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</si>
  <si>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</si>
  <si>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</si>
  <si>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</si>
  <si>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</si>
  <si>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</si>
  <si>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</si>
  <si>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</si>
  <si>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</si>
  <si>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</si>
  <si>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</si>
  <si>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</si>
  <si>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</si>
  <si>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</si>
  <si>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</si>
  <si>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</si>
  <si>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</si>
  <si>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</si>
  <si>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</si>
  <si>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</si>
  <si>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</si>
  <si>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</si>
  <si>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</si>
  <si>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</si>
  <si>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</si>
  <si>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</si>
  <si>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</si>
  <si>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</si>
  <si>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</si>
  <si>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</si>
  <si>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</si>
  <si>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</si>
  <si>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</si>
  <si>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</si>
  <si>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</si>
  <si>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</si>
  <si>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</si>
  <si>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</si>
  <si>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</si>
  <si>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</si>
  <si>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</si>
  <si>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</si>
  <si>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</si>
  <si>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</si>
  <si>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</si>
  <si>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</si>
  <si>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</si>
  <si>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</si>
  <si>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</si>
  <si>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</si>
  <si>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</si>
  <si>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</si>
  <si>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소담고등학교 신축공사</t>
    <phoneticPr fontId="2" type="noConversion"/>
  </si>
  <si>
    <t>세종시</t>
  </si>
  <si>
    <t>기초공사, 골재비및운반비,작업부산물, 기타공사</t>
    <phoneticPr fontId="2" type="noConversion"/>
  </si>
  <si>
    <t>골조배관공사,바닥난방공사,기타공사</t>
    <phoneticPr fontId="2" type="noConversion"/>
  </si>
  <si>
    <t>옥외보안등설비공사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</si>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</sst>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16362.08</v>
      </c>
      <c r="D7" s="36">
        <f>+C7/3.3058</f>
        <v>4949.5069272188275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721150</v>
      </c>
      <c r="E25" s="59">
        <f t="shared" si="0"/>
        <v>2383970</v>
      </c>
    </row>
    <row r="26" spans="1:5" x14ac:dyDescent="0.3">
      <c r="B26" s="2">
        <v>3</v>
      </c>
      <c r="C26" s="35" t="s">
        <v>95</v>
      </c>
      <c r="D26" s="45">
        <f>+D66</f>
        <v>4770</v>
      </c>
      <c r="E26" s="59">
        <f t="shared" si="0"/>
        <v>15760</v>
      </c>
    </row>
    <row r="27" spans="1:5" x14ac:dyDescent="0.3">
      <c r="B27" s="2">
        <v>4</v>
      </c>
      <c r="C27" s="35" t="s">
        <v>96</v>
      </c>
      <c r="D27" s="45">
        <f>+D95</f>
        <v>186910</v>
      </c>
      <c r="E27" s="59">
        <f t="shared" si="0"/>
        <v>617880</v>
      </c>
    </row>
    <row r="28" spans="1:5" x14ac:dyDescent="0.3">
      <c r="B28" s="2">
        <v>5</v>
      </c>
      <c r="C28" s="35" t="s">
        <v>97</v>
      </c>
      <c r="D28" s="45">
        <f>+D119</f>
        <v>125120</v>
      </c>
      <c r="E28" s="59">
        <f t="shared" si="0"/>
        <v>413620</v>
      </c>
    </row>
    <row r="29" spans="1:5" x14ac:dyDescent="0.3">
      <c r="B29" s="2">
        <v>6</v>
      </c>
      <c r="C29" s="35" t="s">
        <v>98</v>
      </c>
      <c r="D29" s="45">
        <f>+D133</f>
        <v>43760</v>
      </c>
      <c r="E29" s="59">
        <f t="shared" si="0"/>
        <v>144660</v>
      </c>
    </row>
    <row r="30" spans="1:5" x14ac:dyDescent="0.3">
      <c r="B30" s="2">
        <v>7</v>
      </c>
      <c r="C30" s="35" t="s">
        <v>99</v>
      </c>
      <c r="D30" s="45">
        <f>+D146</f>
        <v>35300</v>
      </c>
      <c r="E30" s="59">
        <f t="shared" si="0"/>
        <v>116690</v>
      </c>
    </row>
    <row r="31" spans="1:5" x14ac:dyDescent="0.3">
      <c r="B31" s="2">
        <v>8</v>
      </c>
      <c r="C31" s="35" t="s">
        <v>100</v>
      </c>
      <c r="D31" s="45">
        <f>+D154</f>
        <v>19400</v>
      </c>
      <c r="E31" s="59">
        <f t="shared" si="0"/>
        <v>64130</v>
      </c>
    </row>
    <row r="32" spans="1:5" x14ac:dyDescent="0.3">
      <c r="B32" s="2">
        <v>9</v>
      </c>
      <c r="C32" s="35" t="s">
        <v>101</v>
      </c>
      <c r="D32" s="45">
        <f>+D161</f>
        <v>19130</v>
      </c>
      <c r="E32" s="59">
        <f t="shared" si="0"/>
        <v>63230</v>
      </c>
    </row>
    <row r="33" spans="1:7" x14ac:dyDescent="0.3">
      <c r="B33" s="2">
        <v>10</v>
      </c>
      <c r="C33" s="35" t="s">
        <v>154</v>
      </c>
      <c r="D33" s="53">
        <f>TRUNC(SUM(D24:D32)*0.275,-1)</f>
        <v>317770</v>
      </c>
      <c r="E33" s="60">
        <f t="shared" si="0"/>
        <v>1050480</v>
      </c>
    </row>
    <row r="34" spans="1:7" x14ac:dyDescent="0.3">
      <c r="C34" s="35" t="s">
        <v>112</v>
      </c>
      <c r="D34" s="44">
        <f>SUM(D24:D33)</f>
        <v>1473310</v>
      </c>
      <c r="E34" s="44">
        <f>SUM(E24:E33)</f>
        <v>4870420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TRUNC(46812,-1)</f>
        <v>46810</v>
      </c>
      <c r="E40" s="62">
        <f t="shared" ref="E40:E59" si="1">TRUNC(+D40*3.3058,-1)</f>
        <v>154740</v>
      </c>
    </row>
    <row r="41" spans="1:7" x14ac:dyDescent="0.3">
      <c r="A41" s="2">
        <v>2</v>
      </c>
      <c r="C41" s="38" t="s">
        <v>13</v>
      </c>
      <c r="D41" s="42">
        <f>TRUNC(116472,-1)</f>
        <v>116470</v>
      </c>
      <c r="E41" s="63">
        <f t="shared" si="1"/>
        <v>385020</v>
      </c>
    </row>
    <row r="42" spans="1:7" x14ac:dyDescent="0.3">
      <c r="A42" s="2">
        <v>3</v>
      </c>
      <c r="C42" s="38" t="s">
        <v>14</v>
      </c>
      <c r="D42" s="42">
        <f>TRUNC(9319,-1)</f>
        <v>9310</v>
      </c>
      <c r="E42" s="63">
        <f t="shared" si="1"/>
        <v>30770</v>
      </c>
    </row>
    <row r="43" spans="1:7" x14ac:dyDescent="0.3">
      <c r="A43" s="2">
        <v>4</v>
      </c>
      <c r="C43" s="38" t="s">
        <v>16</v>
      </c>
      <c r="D43" s="42">
        <f>TRUNC(21462,-1)</f>
        <v>21460</v>
      </c>
      <c r="E43" s="63">
        <f t="shared" si="1"/>
        <v>70940</v>
      </c>
    </row>
    <row r="44" spans="1:7" x14ac:dyDescent="0.3">
      <c r="A44" s="2">
        <v>5</v>
      </c>
      <c r="C44" s="38" t="s">
        <v>17</v>
      </c>
      <c r="D44" s="42">
        <f>TRUNC(18953,-1)</f>
        <v>18950</v>
      </c>
      <c r="E44" s="63">
        <f t="shared" si="1"/>
        <v>62640</v>
      </c>
    </row>
    <row r="45" spans="1:7" x14ac:dyDescent="0.3">
      <c r="A45" s="2">
        <v>6</v>
      </c>
      <c r="C45" s="38" t="s">
        <v>18</v>
      </c>
      <c r="D45" s="42">
        <f>TRUNC(8346,-1)</f>
        <v>8340</v>
      </c>
      <c r="E45" s="63">
        <f t="shared" si="1"/>
        <v>27570</v>
      </c>
    </row>
    <row r="46" spans="1:7" x14ac:dyDescent="0.3">
      <c r="A46" s="2">
        <v>7</v>
      </c>
      <c r="C46" s="38" t="s">
        <v>19</v>
      </c>
      <c r="D46" s="42">
        <f>TRUNC(24558,-1)</f>
        <v>24550</v>
      </c>
      <c r="E46" s="63">
        <f t="shared" si="1"/>
        <v>81150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TRUNC(81893,-1)</f>
        <v>81890</v>
      </c>
      <c r="E48" s="63">
        <f t="shared" si="1"/>
        <v>270710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TRUNC(15945,-1)</f>
        <v>15940</v>
      </c>
      <c r="E49" s="63">
        <f t="shared" si="1"/>
        <v>52690</v>
      </c>
    </row>
    <row r="50" spans="1:7" x14ac:dyDescent="0.3">
      <c r="A50" s="2">
        <v>11</v>
      </c>
      <c r="C50" s="38" t="s">
        <v>155</v>
      </c>
      <c r="D50" s="42">
        <f>TRUNC(31986,-1)</f>
        <v>31980</v>
      </c>
      <c r="E50" s="63">
        <f t="shared" si="1"/>
        <v>105710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TRUNC(7937,-1)</f>
        <v>7930</v>
      </c>
      <c r="E52" s="63">
        <f t="shared" si="1"/>
        <v>26210</v>
      </c>
    </row>
    <row r="53" spans="1:7" x14ac:dyDescent="0.3">
      <c r="A53" s="2">
        <v>14</v>
      </c>
      <c r="C53" s="38" t="s">
        <v>25</v>
      </c>
      <c r="D53" s="42">
        <v>62010</v>
      </c>
      <c r="E53" s="63">
        <f t="shared" si="1"/>
        <v>204990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13793+4964-456+8559</f>
        <v>26860</v>
      </c>
      <c r="E58" s="63">
        <f t="shared" si="1"/>
        <v>88790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TRUNC(248659,-1)</f>
        <v>248650</v>
      </c>
      <c r="E59" s="64">
        <f t="shared" si="1"/>
        <v>821980</v>
      </c>
    </row>
    <row r="60" spans="1:7" x14ac:dyDescent="0.3">
      <c r="A60" s="2">
        <v>21</v>
      </c>
      <c r="C60" s="27" t="s">
        <v>112</v>
      </c>
      <c r="D60" s="39">
        <f>SUM(D40:D59)</f>
        <v>721150</v>
      </c>
      <c r="E60" s="39">
        <f>SUM(E40:E59)</f>
        <v>2383910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TRUNC(4771,-1)</f>
        <v>4770</v>
      </c>
      <c r="E63" s="62">
        <f>TRUNC(+D63*3.3058,-1)</f>
        <v>15760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4770</v>
      </c>
      <c r="E66" s="65">
        <f>SUM(E63:E65)</f>
        <v>15760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TRUNC(9308,-1)</f>
        <v>9300</v>
      </c>
      <c r="E69" s="62">
        <f t="shared" ref="E69:E94" si="2">TRUNC(+D69*3.3058,-1)</f>
        <v>30740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TRUNC(2556,-1)</f>
        <v>2550</v>
      </c>
      <c r="E72" s="63">
        <f t="shared" si="2"/>
        <v>8420</v>
      </c>
    </row>
    <row r="73" spans="1:7" x14ac:dyDescent="0.3">
      <c r="A73" s="2">
        <v>5</v>
      </c>
      <c r="C73" s="38" t="s">
        <v>34</v>
      </c>
      <c r="D73" s="42">
        <f>TRUNC(16786,-1)</f>
        <v>16780</v>
      </c>
      <c r="E73" s="63">
        <f t="shared" si="2"/>
        <v>55470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TRUNC(36007,-1)</f>
        <v>36000</v>
      </c>
      <c r="E76" s="63">
        <f t="shared" si="2"/>
        <v>119000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TRUNC(7554,-1)</f>
        <v>7550</v>
      </c>
      <c r="E89" s="63">
        <f t="shared" si="2"/>
        <v>24950</v>
      </c>
    </row>
    <row r="90" spans="1:7" x14ac:dyDescent="0.3">
      <c r="A90" s="2">
        <v>22</v>
      </c>
      <c r="C90" s="38" t="s">
        <v>36</v>
      </c>
      <c r="D90" s="42">
        <f>TRUNC(321,-1)</f>
        <v>320</v>
      </c>
      <c r="E90" s="63">
        <f t="shared" si="2"/>
        <v>1050</v>
      </c>
    </row>
    <row r="91" spans="1:7" x14ac:dyDescent="0.3">
      <c r="A91" s="2">
        <v>23</v>
      </c>
      <c r="C91" s="38" t="s">
        <v>37</v>
      </c>
      <c r="D91" s="42">
        <f>TRUNC(5701,-1)</f>
        <v>5700</v>
      </c>
      <c r="E91" s="63">
        <f t="shared" si="2"/>
        <v>18840</v>
      </c>
    </row>
    <row r="92" spans="1:7" x14ac:dyDescent="0.3">
      <c r="A92" s="2">
        <v>24</v>
      </c>
      <c r="C92" s="38" t="s">
        <v>38</v>
      </c>
      <c r="D92" s="42">
        <f>TRUNC(8809,-1)</f>
        <v>8800</v>
      </c>
      <c r="E92" s="63">
        <f t="shared" si="2"/>
        <v>29090</v>
      </c>
    </row>
    <row r="93" spans="1:7" x14ac:dyDescent="0.3">
      <c r="A93" s="2">
        <v>25</v>
      </c>
      <c r="C93" s="38" t="s">
        <v>148</v>
      </c>
      <c r="D93" s="42">
        <f>TRUNC(85138,-1)</f>
        <v>85130</v>
      </c>
      <c r="E93" s="63">
        <f t="shared" si="2"/>
        <v>281420</v>
      </c>
    </row>
    <row r="94" spans="1:7" ht="17.25" thickBot="1" x14ac:dyDescent="0.35">
      <c r="A94" s="2">
        <v>26</v>
      </c>
      <c r="C94" s="38" t="s">
        <v>47</v>
      </c>
      <c r="D94" s="43">
        <f>TRUNC(503+611+13673,-1)</f>
        <v>14780</v>
      </c>
      <c r="E94" s="64">
        <f t="shared" si="2"/>
        <v>48850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186910</v>
      </c>
      <c r="E95" s="39">
        <f>SUM(E69:E94)</f>
        <v>617830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TRUNC(14597,-1)</f>
        <v>14590</v>
      </c>
      <c r="E98" s="62">
        <f t="shared" ref="E98:E118" si="3">TRUNC(+D98*3.3058,-1)</f>
        <v>48230</v>
      </c>
    </row>
    <row r="99" spans="1:7" x14ac:dyDescent="0.3">
      <c r="A99" s="2">
        <v>2</v>
      </c>
      <c r="C99" s="38" t="s">
        <v>40</v>
      </c>
      <c r="D99" s="42">
        <f>TRUNC(4238,-1)</f>
        <v>4230</v>
      </c>
      <c r="E99" s="63">
        <f t="shared" si="3"/>
        <v>13980</v>
      </c>
    </row>
    <row r="100" spans="1:7" x14ac:dyDescent="0.3">
      <c r="A100" s="2">
        <v>3</v>
      </c>
      <c r="C100" s="38" t="s">
        <v>41</v>
      </c>
      <c r="D100" s="42">
        <f>TRUNC(23751,-1)</f>
        <v>23750</v>
      </c>
      <c r="E100" s="63">
        <f t="shared" si="3"/>
        <v>78510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TRUNC(10139,-1)</f>
        <v>10130</v>
      </c>
      <c r="E102" s="63">
        <f t="shared" si="3"/>
        <v>33480</v>
      </c>
    </row>
    <row r="103" spans="1:7" x14ac:dyDescent="0.3">
      <c r="A103" s="2">
        <v>6</v>
      </c>
      <c r="C103" s="38" t="s">
        <v>44</v>
      </c>
      <c r="D103" s="42">
        <v>4020</v>
      </c>
      <c r="E103" s="63">
        <f t="shared" si="3"/>
        <v>13280</v>
      </c>
    </row>
    <row r="104" spans="1:7" x14ac:dyDescent="0.3">
      <c r="A104" s="2">
        <v>7</v>
      </c>
      <c r="C104" s="38" t="s">
        <v>45</v>
      </c>
      <c r="D104" s="42">
        <v>1840</v>
      </c>
      <c r="E104" s="63">
        <f t="shared" si="3"/>
        <v>6080</v>
      </c>
    </row>
    <row r="105" spans="1:7" x14ac:dyDescent="0.3">
      <c r="A105" s="2">
        <v>8</v>
      </c>
      <c r="C105" s="38" t="s">
        <v>46</v>
      </c>
      <c r="D105" s="42">
        <f>TRUNC(6264,-1)</f>
        <v>6260</v>
      </c>
      <c r="E105" s="63">
        <f t="shared" si="3"/>
        <v>20690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TRUNC(2715,-1)</f>
        <v>2710</v>
      </c>
      <c r="E114" s="63">
        <f t="shared" si="3"/>
        <v>8950</v>
      </c>
      <c r="F114" s="2" t="s">
        <v>263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TRUNC(2656,-1)</f>
        <v>2650</v>
      </c>
      <c r="E116" s="63">
        <f t="shared" si="3"/>
        <v>8760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TRUNC(49351,-1)</f>
        <v>49350</v>
      </c>
      <c r="E117" s="63">
        <f t="shared" si="3"/>
        <v>163140</v>
      </c>
    </row>
    <row r="118" spans="1:7" ht="17.25" thickBot="1" x14ac:dyDescent="0.35">
      <c r="A118" s="2">
        <v>21</v>
      </c>
      <c r="C118" s="38" t="s">
        <v>47</v>
      </c>
      <c r="D118" s="43">
        <f>TRUNC(5591,-1)</f>
        <v>5590</v>
      </c>
      <c r="E118" s="64">
        <f t="shared" si="3"/>
        <v>18470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125120</v>
      </c>
      <c r="E119" s="39">
        <f>SUM(E98:E118)</f>
        <v>413570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TRUNC(2543,-1)</f>
        <v>2540</v>
      </c>
      <c r="E122" s="62">
        <f t="shared" ref="E122:E132" si="4">TRUNC(+D122*3.3058,-1)</f>
        <v>8390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TRUNC(7598,-1)</f>
        <v>7590</v>
      </c>
      <c r="E125" s="63">
        <f t="shared" si="4"/>
        <v>25090</v>
      </c>
    </row>
    <row r="126" spans="1:7" x14ac:dyDescent="0.3">
      <c r="A126" s="2">
        <v>5</v>
      </c>
      <c r="C126" s="38" t="s">
        <v>53</v>
      </c>
      <c r="D126" s="42">
        <f>TRUNC(1647,-1)</f>
        <v>1640</v>
      </c>
      <c r="E126" s="63">
        <f t="shared" si="4"/>
        <v>5420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TRUNC(4217,-1)</f>
        <v>4210</v>
      </c>
      <c r="E128" s="63">
        <f t="shared" si="4"/>
        <v>13910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TRUNC(13759,-1)</f>
        <v>13750</v>
      </c>
      <c r="E130" s="63">
        <f t="shared" si="4"/>
        <v>45450</v>
      </c>
    </row>
    <row r="131" spans="1:7" x14ac:dyDescent="0.3">
      <c r="A131" s="2">
        <v>10</v>
      </c>
      <c r="C131" s="38" t="s">
        <v>148</v>
      </c>
      <c r="D131" s="42">
        <f>TRUNC(12155,-1)</f>
        <v>12150</v>
      </c>
      <c r="E131" s="63">
        <f t="shared" si="4"/>
        <v>40160</v>
      </c>
    </row>
    <row r="132" spans="1:7" ht="18" thickBot="1" x14ac:dyDescent="0.35">
      <c r="A132" s="2">
        <v>11</v>
      </c>
      <c r="C132" s="38" t="s">
        <v>47</v>
      </c>
      <c r="D132" s="43">
        <f>TRUNC(1888,-1)</f>
        <v>1880</v>
      </c>
      <c r="E132" s="64">
        <f t="shared" si="4"/>
        <v>6210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43760</v>
      </c>
      <c r="E133" s="39">
        <f>SUM(E122:E132)</f>
        <v>144630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TRUNC(9147,-1)</f>
        <v>9140</v>
      </c>
      <c r="E137" s="63">
        <f t="shared" si="5"/>
        <v>30210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TRUNC(826,-1)</f>
        <v>820</v>
      </c>
      <c r="E140" s="63">
        <f t="shared" si="5"/>
        <v>2710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16350</v>
      </c>
      <c r="E142" s="63">
        <f t="shared" si="5"/>
        <v>54040</v>
      </c>
    </row>
    <row r="143" spans="1:7" x14ac:dyDescent="0.3">
      <c r="A143" s="2">
        <v>8</v>
      </c>
      <c r="C143" s="38" t="s">
        <v>62</v>
      </c>
      <c r="D143" s="42">
        <f>TRUNC(2921,-1)</f>
        <v>2920</v>
      </c>
      <c r="E143" s="63">
        <f t="shared" si="5"/>
        <v>9650</v>
      </c>
    </row>
    <row r="144" spans="1:7" x14ac:dyDescent="0.3">
      <c r="A144" s="2">
        <v>9</v>
      </c>
      <c r="C144" s="38" t="s">
        <v>63</v>
      </c>
      <c r="D144" s="42">
        <f>TRUNC(6078,-1)</f>
        <v>6070</v>
      </c>
      <c r="E144" s="63">
        <f t="shared" si="5"/>
        <v>20060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35300</v>
      </c>
      <c r="E146" s="39">
        <f>SUM(E136:E145)</f>
        <v>116670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TRUNC(3703+905,-1)</f>
        <v>4600</v>
      </c>
      <c r="E149" s="62">
        <f>TRUNC(+D149*3.3058,-1)</f>
        <v>15200</v>
      </c>
    </row>
    <row r="150" spans="1:7" x14ac:dyDescent="0.3">
      <c r="A150" s="2">
        <v>2</v>
      </c>
      <c r="C150" s="38" t="s">
        <v>49</v>
      </c>
      <c r="D150" s="42">
        <f>TRUNC(5011,-1)</f>
        <v>5010</v>
      </c>
      <c r="E150" s="63">
        <f>TRUNC(+D150*3.3058,-1)</f>
        <v>16560</v>
      </c>
    </row>
    <row r="151" spans="1:7" x14ac:dyDescent="0.3">
      <c r="A151" s="2">
        <v>3</v>
      </c>
      <c r="C151" s="38" t="s">
        <v>50</v>
      </c>
      <c r="D151" s="42">
        <f>TRUNC(3937,-1)</f>
        <v>3930</v>
      </c>
      <c r="E151" s="63">
        <f>TRUNC(+D151*3.3058,-1)</f>
        <v>12990</v>
      </c>
    </row>
    <row r="152" spans="1:7" x14ac:dyDescent="0.3">
      <c r="A152" s="2">
        <v>4</v>
      </c>
      <c r="C152" s="38" t="s">
        <v>47</v>
      </c>
      <c r="D152" s="42">
        <f>TRUNC(4559+1309,-1)</f>
        <v>5860</v>
      </c>
      <c r="E152" s="63">
        <f>TRUNC(+D152*3.3058,-1)</f>
        <v>19370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19400</v>
      </c>
      <c r="E154" s="39">
        <f>SUM(E149:E153)</f>
        <v>64120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TRUNC(15612,-1)</f>
        <v>15610</v>
      </c>
      <c r="E157" s="62">
        <f>TRUNC(+D157*3.3058,-1)</f>
        <v>51600</v>
      </c>
    </row>
    <row r="158" spans="1:7" x14ac:dyDescent="0.3">
      <c r="A158" s="2">
        <v>2</v>
      </c>
      <c r="C158" s="38" t="s">
        <v>52</v>
      </c>
      <c r="D158" s="42">
        <f>TRUNC(1261,-1)</f>
        <v>1260</v>
      </c>
      <c r="E158" s="63">
        <f>TRUNC(+D158*3.3058,-1)</f>
        <v>4160</v>
      </c>
    </row>
    <row r="159" spans="1:7" x14ac:dyDescent="0.3">
      <c r="A159" s="2">
        <v>3</v>
      </c>
      <c r="C159" s="38" t="s">
        <v>47</v>
      </c>
      <c r="D159" s="42">
        <f>TRUNC(2264,-1)</f>
        <v>2260</v>
      </c>
      <c r="E159" s="63">
        <f>TRUNC(+D159*3.3058,-1)</f>
        <v>7470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19130</v>
      </c>
      <c r="E161" s="39">
        <f>SUM(E157:E160)</f>
        <v>63230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2020-12-07T10:03:42Z</dcterms:modified>
</cp:coreProperties>
</file>