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2" i="4"/>
  <c r="D150" i="4"/>
  <c r="D149" i="4"/>
  <c r="D145" i="4"/>
  <c r="D144" i="4"/>
  <c r="D143" i="4"/>
  <c r="D142" i="4"/>
  <c r="D141" i="4"/>
  <c r="D140" i="4"/>
  <c r="D139" i="4"/>
  <c r="D137" i="4"/>
  <c r="D132" i="4"/>
  <c r="D131" i="4"/>
  <c r="D130" i="4"/>
  <c r="D128" i="4"/>
  <c r="D125" i="4"/>
  <c r="D122" i="4"/>
  <c r="D118" i="4"/>
  <c r="D117" i="4"/>
  <c r="D116" i="4"/>
  <c r="D114" i="4"/>
  <c r="D105" i="4"/>
  <c r="D104" i="4"/>
  <c r="D102" i="4"/>
  <c r="D101" i="4"/>
  <c r="D99" i="4"/>
  <c r="D98" i="4"/>
  <c r="D93" i="4"/>
  <c r="D92" i="4"/>
  <c r="D91" i="4"/>
  <c r="D90" i="4"/>
  <c r="D75" i="4"/>
  <c r="D89" i="4"/>
  <c r="D73" i="4"/>
  <c r="D71" i="4"/>
  <c r="D70" i="4"/>
  <c r="D69" i="4"/>
  <c r="D65" i="4"/>
  <c r="D63" i="4"/>
  <c r="D59" i="4"/>
  <c r="D58" i="4"/>
  <c r="D52" i="4"/>
  <c r="D50" i="4"/>
  <c r="D49" i="4"/>
  <c r="D48" i="4"/>
  <c r="D47" i="4"/>
  <c r="D46" i="4"/>
  <c r="D45" i="4"/>
  <c r="D44" i="4"/>
  <c r="D43" i="4"/>
  <c r="D41" i="4"/>
  <c r="D40" i="4"/>
  <c r="D94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<sst xmlns="http://schemas.openxmlformats.org/spreadsheetml/2006/main" count="390" uniqueCount="265">
  <si>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</si>
  <si>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</si>
  <si>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</si>
  <si>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</si>
  <si>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</si>
  <si>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</si>
  <si>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</si>
  <si>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</si>
  <si>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</si>
  <si>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</si>
  <si>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</si>
  <si>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</si>
  <si>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</si>
  <si>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</si>
  <si>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</si>
  <si>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</si>
  <si>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</si>
  <si>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</si>
  <si>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</si>
  <si>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</si>
  <si>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</si>
  <si>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</si>
  <si>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</si>
  <si>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</si>
  <si>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</si>
  <si>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</si>
  <si>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</si>
  <si>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</si>
  <si>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</si>
  <si>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</si>
  <si>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</si>
  <si>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</si>
  <si>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</si>
  <si>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</si>
  <si>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</si>
  <si>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</si>
  <si>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</si>
  <si>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</si>
  <si>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</si>
  <si>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</si>
  <si>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</si>
  <si>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</si>
  <si>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</si>
  <si>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</si>
  <si>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</si>
  <si>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</si>
  <si>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</si>
  <si>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</si>
  <si>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</si>
  <si>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</si>
  <si>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</si>
  <si>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</si>
  <si>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</si>
  <si>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</si>
  <si>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</si>
  <si>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</si>
  <si>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</si>
  <si>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</si>
  <si>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</si>
  <si>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</si>
  <si>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</si>
  <si>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</si>
  <si>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</si>
  <si>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</si>
  <si>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</si>
  <si>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</si>
  <si>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</si>
  <si>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</si>
  <si>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</si>
  <si>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</si>
  <si>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</si>
  <si>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</si>
  <si>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</si>
  <si>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</si>
  <si>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</si>
  <si>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</si>
  <si>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</si>
  <si>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</si>
  <si>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</si>
  <si>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</si>
  <si>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</si>
  <si>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</si>
  <si>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</si>
  <si>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</si>
  <si>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</si>
  <si>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</si>
  <si>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</si>
  <si>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</si>
  <si>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</si>
  <si>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</si>
  <si>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</si>
  <si>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</si>
  <si>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</si>
  <si>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</si>
  <si>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</si>
  <si>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</si>
  <si>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</si>
  <si>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</si>
  <si>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</si>
  <si>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</si>
  <si>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</si>
  <si>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</si>
  <si>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</si>
  <si>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</si>
  <si>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</si>
  <si>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</si>
  <si>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</si>
  <si>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</si>
  <si>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</si>
  <si>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</si>
  <si>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</si>
  <si>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</si>
  <si>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</si>
  <si>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</si>
  <si>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</si>
  <si>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</si>
  <si>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</si>
  <si>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</si>
  <si>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</si>
  <si>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</si>
  <si>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</si>
  <si>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</si>
  <si>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</si>
  <si>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</si>
  <si>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</si>
  <si>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</si>
  <si>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</si>
  <si>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</si>
  <si>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</si>
  <si>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</si>
  <si>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</si>
  <si>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</si>
  <si>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</si>
  <si>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</si>
  <si>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</si>
  <si>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</si>
  <si>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</si>
  <si>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</si>
  <si>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</si>
  <si>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</si>
  <si>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</si>
  <si>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</si>
  <si>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</si>
  <si>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</si>
  <si>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</si>
  <si>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</si>
  <si>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</si>
  <si>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</si>
  <si>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</si>
  <si>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</si>
  <si>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</si>
  <si>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</si>
  <si>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</si>
  <si>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</si>
  <si>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</si>
  <si>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</si>
  <si>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</si>
  <si>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</si>
  <si>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</si>
  <si>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</si>
  <si>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</si>
  <si>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</si>
  <si>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</si>
  <si>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</si>
  <si>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</si>
  <si>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</si>
  <si>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</si>
  <si>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</si>
  <si>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</si>
  <si>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</si>
  <si>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</si>
  <si>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</si>
  <si>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</si>
  <si>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</si>
  <si>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</si>
  <si>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</si>
  <si>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</si>
  <si>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</si>
  <si>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</si>
  <si>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</si>
  <si>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</si>
  <si>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</si>
  <si>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</si>
  <si>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</si>
  <si>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</si>
  <si>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</si>
  <si>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</si>
  <si>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</si>
  <si>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</si>
  <si>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</si>
  <si>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</si>
  <si>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</si>
  <si>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</si>
  <si>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</si>
  <si>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</si>
  <si>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</si>
  <si>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</si>
  <si>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</si>
  <si>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</si>
  <si>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</si>
  <si>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</si>
  <si>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</si>
  <si>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</si>
  <si>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</si>
  <si>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</si>
  <si>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</si>
  <si>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</si>
  <si>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</si>
  <si>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</si>
  <si>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</si>
  <si>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</si>
  <si>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</si>
  <si>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</si>
  <si>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</si>
  <si>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</si>
  <si>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</si>
  <si>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</si>
  <si>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</si>
  <si>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</si>
  <si>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</si>
  <si>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</si>
  <si>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</si>
  <si>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</si>
  <si>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</si>
  <si>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</si>
  <si>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</si>
  <si>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</si>
  <si>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</si>
  <si>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</si>
  <si>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</si>
  <si>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</si>
  <si>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</si>
  <si>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</si>
  <si>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</si>
  <si>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</si>
  <si>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</si>
  <si>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</si>
  <si>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</si>
  <si>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</si>
  <si>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</si>
  <si>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</si>
  <si>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</si>
  <si>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</si>
  <si>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</si>
  <si>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</si>
  <si>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</si>
  <si>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</si>
  <si>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</si>
  <si>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충청남도 서울학생기숙사 건축공사</t>
    <phoneticPr fontId="2" type="noConversion"/>
  </si>
  <si>
    <t>서울</t>
  </si>
  <si>
    <t>숙박</t>
  </si>
  <si>
    <t>기초공사, 해체및철거공사, 골재비및운반비, 기타공사</t>
    <phoneticPr fontId="2" type="noConversion"/>
  </si>
  <si>
    <t>난방배관공사, 우수처리시설공사, 기타공사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</si>
  <si>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</si>
  <si>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</si>
  <si>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</si>
  <si>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CCTV설비공사, 주차관제설비공사, 기타공사</t>
    <phoneticPr fontId="2" type="noConversion"/>
  </si>
  <si>
    <t>옥외소화배관공사, 펌프실배관공사</t>
    <phoneticPr fontId="2" type="noConversion"/>
  </si>
  <si>
    <t>상수도공사, 사급자재비, 운반비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</si>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</sst>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6374.89</v>
      </c>
      <c r="D7" s="36">
        <f>+C7/3.3058</f>
        <v>1928.3955472200375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1087410</v>
      </c>
      <c r="E25" s="59">
        <f t="shared" si="0"/>
        <v>3594750</v>
      </c>
    </row>
    <row r="26" spans="1:5" x14ac:dyDescent="0.3">
      <c r="B26" s="2">
        <v>3</v>
      </c>
      <c r="C26" s="35" t="s">
        <v>95</v>
      </c>
      <c r="D26" s="45">
        <f>+D66</f>
        <v>104980</v>
      </c>
      <c r="E26" s="59">
        <f t="shared" si="0"/>
        <v>347040</v>
      </c>
    </row>
    <row r="27" spans="1:5" x14ac:dyDescent="0.3">
      <c r="B27" s="2">
        <v>4</v>
      </c>
      <c r="C27" s="35" t="s">
        <v>96</v>
      </c>
      <c r="D27" s="45">
        <f>+D95</f>
        <v>356930</v>
      </c>
      <c r="E27" s="59">
        <f t="shared" si="0"/>
        <v>1179930</v>
      </c>
    </row>
    <row r="28" spans="1:5" x14ac:dyDescent="0.3">
      <c r="B28" s="2">
        <v>5</v>
      </c>
      <c r="C28" s="35" t="s">
        <v>97</v>
      </c>
      <c r="D28" s="45">
        <f>+D119</f>
        <v>290470</v>
      </c>
      <c r="E28" s="59">
        <f t="shared" si="0"/>
        <v>960230</v>
      </c>
    </row>
    <row r="29" spans="1:5" x14ac:dyDescent="0.3">
      <c r="B29" s="2">
        <v>6</v>
      </c>
      <c r="C29" s="35" t="s">
        <v>98</v>
      </c>
      <c r="D29" s="45">
        <f>+D133</f>
        <v>181520</v>
      </c>
      <c r="E29" s="59">
        <f t="shared" si="0"/>
        <v>600060</v>
      </c>
    </row>
    <row r="30" spans="1:5" x14ac:dyDescent="0.3">
      <c r="B30" s="2">
        <v>7</v>
      </c>
      <c r="C30" s="35" t="s">
        <v>99</v>
      </c>
      <c r="D30" s="45">
        <f>+D146</f>
        <v>105640</v>
      </c>
      <c r="E30" s="59">
        <f t="shared" si="0"/>
        <v>349220</v>
      </c>
    </row>
    <row r="31" spans="1:5" x14ac:dyDescent="0.3">
      <c r="B31" s="2">
        <v>8</v>
      </c>
      <c r="C31" s="35" t="s">
        <v>100</v>
      </c>
      <c r="D31" s="45">
        <f>+D154</f>
        <v>25510</v>
      </c>
      <c r="E31" s="59">
        <f t="shared" si="0"/>
        <v>84330</v>
      </c>
    </row>
    <row r="32" spans="1:5" x14ac:dyDescent="0.3">
      <c r="B32" s="2">
        <v>9</v>
      </c>
      <c r="C32" s="35" t="s">
        <v>101</v>
      </c>
      <c r="D32" s="45">
        <f>+D161</f>
        <v>29730</v>
      </c>
      <c r="E32" s="59">
        <f t="shared" si="0"/>
        <v>98280</v>
      </c>
    </row>
    <row r="33" spans="1:7" x14ac:dyDescent="0.3">
      <c r="B33" s="2">
        <v>10</v>
      </c>
      <c r="C33" s="35" t="s">
        <v>154</v>
      </c>
      <c r="D33" s="53">
        <f>TRUNC(SUM(D24:D32)*0.275,-1)</f>
        <v>600100</v>
      </c>
      <c r="E33" s="60">
        <f t="shared" si="0"/>
        <v>1983810</v>
      </c>
    </row>
    <row r="34" spans="1:7" x14ac:dyDescent="0.3">
      <c r="C34" s="35" t="s">
        <v>112</v>
      </c>
      <c r="D34" s="44">
        <f>SUM(D24:D33)</f>
        <v>2782290</v>
      </c>
      <c r="E34" s="44">
        <f>SUM(E24:E33)</f>
        <v>9197650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TRUNC(95247,-1)</f>
        <v>95240</v>
      </c>
      <c r="E40" s="62">
        <f t="shared" ref="E40:E59" si="1">TRUNC(+D40*3.3058,-1)</f>
        <v>314840</v>
      </c>
    </row>
    <row r="41" spans="1:7" x14ac:dyDescent="0.3">
      <c r="A41" s="2">
        <v>2</v>
      </c>
      <c r="C41" s="38" t="s">
        <v>13</v>
      </c>
      <c r="D41" s="42">
        <f>TRUNC(237264,-1)</f>
        <v>237260</v>
      </c>
      <c r="E41" s="63">
        <f t="shared" si="1"/>
        <v>784330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TRUNC(24431,-1)</f>
        <v>24430</v>
      </c>
      <c r="E43" s="63">
        <f t="shared" si="1"/>
        <v>80760</v>
      </c>
    </row>
    <row r="44" spans="1:7" x14ac:dyDescent="0.3">
      <c r="A44" s="2">
        <v>5</v>
      </c>
      <c r="C44" s="38" t="s">
        <v>17</v>
      </c>
      <c r="D44" s="42">
        <f>TRUNC(32378,-1)</f>
        <v>32370</v>
      </c>
      <c r="E44" s="63">
        <f t="shared" si="1"/>
        <v>107000</v>
      </c>
    </row>
    <row r="45" spans="1:7" x14ac:dyDescent="0.3">
      <c r="A45" s="2">
        <v>6</v>
      </c>
      <c r="C45" s="38" t="s">
        <v>18</v>
      </c>
      <c r="D45" s="42">
        <f>TRUNC(26831,-1)</f>
        <v>26830</v>
      </c>
      <c r="E45" s="63">
        <f t="shared" si="1"/>
        <v>88690</v>
      </c>
    </row>
    <row r="46" spans="1:7" x14ac:dyDescent="0.3">
      <c r="A46" s="2">
        <v>7</v>
      </c>
      <c r="C46" s="38" t="s">
        <v>19</v>
      </c>
      <c r="D46" s="42">
        <f>TRUNC(29123,-1)</f>
        <v>29120</v>
      </c>
      <c r="E46" s="63">
        <f t="shared" si="1"/>
        <v>96260</v>
      </c>
    </row>
    <row r="47" spans="1:7" x14ac:dyDescent="0.3">
      <c r="A47" s="2">
        <v>8</v>
      </c>
      <c r="C47" s="38" t="s">
        <v>20</v>
      </c>
      <c r="D47" s="42">
        <f>TRUNC(99998,-1)</f>
        <v>99990</v>
      </c>
      <c r="E47" s="63">
        <f t="shared" si="1"/>
        <v>330540</v>
      </c>
    </row>
    <row r="48" spans="1:7" x14ac:dyDescent="0.3">
      <c r="A48" s="2">
        <v>9</v>
      </c>
      <c r="C48" s="38" t="s">
        <v>21</v>
      </c>
      <c r="D48" s="42">
        <f>TRUNC(46735,-1)</f>
        <v>46730</v>
      </c>
      <c r="E48" s="63">
        <f t="shared" si="1"/>
        <v>154480</v>
      </c>
    </row>
    <row r="49" spans="1:7" x14ac:dyDescent="0.3">
      <c r="A49" s="2">
        <v>10</v>
      </c>
      <c r="C49" s="38" t="s">
        <v>22</v>
      </c>
      <c r="D49" s="42">
        <f>TRUNC(43971,-1)</f>
        <v>43970</v>
      </c>
      <c r="E49" s="63">
        <f t="shared" si="1"/>
        <v>145350</v>
      </c>
    </row>
    <row r="50" spans="1:7" x14ac:dyDescent="0.3">
      <c r="A50" s="2">
        <v>11</v>
      </c>
      <c r="C50" s="38" t="s">
        <v>155</v>
      </c>
      <c r="D50" s="42">
        <f>TRUNC(71432,-1)</f>
        <v>71430</v>
      </c>
      <c r="E50" s="63">
        <f t="shared" si="1"/>
        <v>236130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TRUNC(11265,-1)</f>
        <v>11260</v>
      </c>
      <c r="E52" s="63">
        <f t="shared" si="1"/>
        <v>37220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TRUNC(28975+2512+6783+11592,-1)</f>
        <v>49860</v>
      </c>
      <c r="E58" s="63">
        <f t="shared" si="1"/>
        <v>164820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TRUNC(318922,-1)</f>
        <v>318920</v>
      </c>
      <c r="E59" s="64">
        <f t="shared" si="1"/>
        <v>1054280</v>
      </c>
    </row>
    <row r="60" spans="1:7" x14ac:dyDescent="0.3">
      <c r="A60" s="2">
        <v>21</v>
      </c>
      <c r="C60" s="27" t="s">
        <v>112</v>
      </c>
      <c r="D60" s="39">
        <f>SUM(D40:D59)</f>
        <v>1087410</v>
      </c>
      <c r="E60" s="39">
        <f>SUM(E40:E59)</f>
        <v>3594700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TRUNC(13104,-1)</f>
        <v>13100</v>
      </c>
      <c r="E63" s="62">
        <f>TRUNC(+D63*3.3058,-1)</f>
        <v>43300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TRUNC(91885,-1)</f>
        <v>91880</v>
      </c>
      <c r="E65" s="64">
        <f>TRUNC(+D65*3.3058,-1)</f>
        <v>303730</v>
      </c>
    </row>
    <row r="66" spans="1:7" x14ac:dyDescent="0.3">
      <c r="A66" s="2">
        <v>4</v>
      </c>
      <c r="C66" s="27" t="s">
        <v>112</v>
      </c>
      <c r="D66" s="39">
        <f>SUM(D63:D65)</f>
        <v>104980</v>
      </c>
      <c r="E66" s="65">
        <f>SUM(E63:E65)</f>
        <v>347030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TRUNC(6671,-1)</f>
        <v>6670</v>
      </c>
      <c r="E69" s="62">
        <f t="shared" ref="E69:E94" si="2">TRUNC(+D69*3.3058,-1)</f>
        <v>22040</v>
      </c>
    </row>
    <row r="70" spans="1:7" ht="16.5" customHeight="1" x14ac:dyDescent="0.3">
      <c r="A70" s="2">
        <v>2</v>
      </c>
      <c r="C70" s="38" t="s">
        <v>31</v>
      </c>
      <c r="D70" s="42">
        <f>TRUNC(375,-1)</f>
        <v>370</v>
      </c>
      <c r="E70" s="63">
        <f t="shared" si="2"/>
        <v>1220</v>
      </c>
    </row>
    <row r="71" spans="1:7" x14ac:dyDescent="0.3">
      <c r="A71" s="2">
        <v>3</v>
      </c>
      <c r="C71" s="38" t="s">
        <v>32</v>
      </c>
      <c r="D71" s="42">
        <f>TRUNC(10157,-1)</f>
        <v>10150</v>
      </c>
      <c r="E71" s="63">
        <f t="shared" si="2"/>
        <v>33550</v>
      </c>
    </row>
    <row r="72" spans="1:7" x14ac:dyDescent="0.3">
      <c r="A72" s="2">
        <v>4</v>
      </c>
      <c r="C72" s="38" t="s">
        <v>33</v>
      </c>
      <c r="D72" s="42">
        <v>2750</v>
      </c>
      <c r="E72" s="63">
        <f t="shared" si="2"/>
        <v>9090</v>
      </c>
    </row>
    <row r="73" spans="1:7" x14ac:dyDescent="0.3">
      <c r="A73" s="2">
        <v>5</v>
      </c>
      <c r="C73" s="38" t="s">
        <v>34</v>
      </c>
      <c r="D73" s="42">
        <f>TRUNC(26728,-1)</f>
        <v>26720</v>
      </c>
      <c r="E73" s="63">
        <f t="shared" si="2"/>
        <v>88330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TRUNC(172,-1)</f>
        <v>170</v>
      </c>
      <c r="E75" s="63">
        <f t="shared" si="2"/>
        <v>560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TRUNC(22019,-1)</f>
        <v>22010</v>
      </c>
      <c r="E89" s="63">
        <f t="shared" si="2"/>
        <v>72760</v>
      </c>
    </row>
    <row r="90" spans="1:7" x14ac:dyDescent="0.3">
      <c r="A90" s="2">
        <v>22</v>
      </c>
      <c r="C90" s="38" t="s">
        <v>36</v>
      </c>
      <c r="D90" s="42">
        <f>TRUNC(6673,-1)</f>
        <v>6670</v>
      </c>
      <c r="E90" s="63">
        <f t="shared" si="2"/>
        <v>22040</v>
      </c>
    </row>
    <row r="91" spans="1:7" x14ac:dyDescent="0.3">
      <c r="A91" s="2">
        <v>23</v>
      </c>
      <c r="C91" s="38" t="s">
        <v>37</v>
      </c>
      <c r="D91" s="42">
        <f>TRUNC(20678,-1)</f>
        <v>20670</v>
      </c>
      <c r="E91" s="63">
        <f t="shared" si="2"/>
        <v>68330</v>
      </c>
    </row>
    <row r="92" spans="1:7" x14ac:dyDescent="0.3">
      <c r="A92" s="2">
        <v>24</v>
      </c>
      <c r="C92" s="38" t="s">
        <v>38</v>
      </c>
      <c r="D92" s="42">
        <f>TRUNC(22874,-1)</f>
        <v>22870</v>
      </c>
      <c r="E92" s="63">
        <f t="shared" si="2"/>
        <v>75600</v>
      </c>
    </row>
    <row r="93" spans="1:7" x14ac:dyDescent="0.3">
      <c r="A93" s="2">
        <v>25</v>
      </c>
      <c r="C93" s="38" t="s">
        <v>148</v>
      </c>
      <c r="D93" s="42">
        <f>TRUNC(197528,-1)</f>
        <v>197520</v>
      </c>
      <c r="E93" s="63">
        <f t="shared" si="2"/>
        <v>652960</v>
      </c>
    </row>
    <row r="94" spans="1:7" ht="17.25" thickBot="1" x14ac:dyDescent="0.35">
      <c r="A94" s="2">
        <v>26</v>
      </c>
      <c r="C94" s="38" t="s">
        <v>47</v>
      </c>
      <c r="D94" s="43">
        <f>593+3683+36084</f>
        <v>40360</v>
      </c>
      <c r="E94" s="64">
        <f t="shared" si="2"/>
        <v>133420</v>
      </c>
      <c r="F94" s="2" t="s">
        <v>252</v>
      </c>
    </row>
    <row r="95" spans="1:7" x14ac:dyDescent="0.3">
      <c r="A95" s="2">
        <v>27</v>
      </c>
      <c r="C95" s="27" t="s">
        <v>112</v>
      </c>
      <c r="D95" s="39">
        <f>SUM(D69:D94)</f>
        <v>356930</v>
      </c>
      <c r="E95" s="39">
        <f>SUM(E69:E94)</f>
        <v>1179900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TRUNC(22365,-1)</f>
        <v>22360</v>
      </c>
      <c r="E98" s="62">
        <f t="shared" ref="E98:E118" si="3">TRUNC(+D98*3.3058,-1)</f>
        <v>73910</v>
      </c>
    </row>
    <row r="99" spans="1:7" x14ac:dyDescent="0.3">
      <c r="A99" s="2">
        <v>2</v>
      </c>
      <c r="C99" s="38" t="s">
        <v>40</v>
      </c>
      <c r="D99" s="42">
        <f>TRUNC(61633,-1)</f>
        <v>61630</v>
      </c>
      <c r="E99" s="63">
        <f t="shared" si="3"/>
        <v>203730</v>
      </c>
    </row>
    <row r="100" spans="1:7" x14ac:dyDescent="0.3">
      <c r="A100" s="2">
        <v>3</v>
      </c>
      <c r="C100" s="38" t="s">
        <v>41</v>
      </c>
      <c r="D100" s="42">
        <v>25650</v>
      </c>
      <c r="E100" s="63">
        <f t="shared" si="3"/>
        <v>84790</v>
      </c>
    </row>
    <row r="101" spans="1:7" x14ac:dyDescent="0.3">
      <c r="A101" s="2">
        <v>4</v>
      </c>
      <c r="C101" s="38" t="s">
        <v>42</v>
      </c>
      <c r="D101" s="42">
        <f>TRUNC(2066,-1)</f>
        <v>2060</v>
      </c>
      <c r="E101" s="63">
        <f t="shared" si="3"/>
        <v>6800</v>
      </c>
    </row>
    <row r="102" spans="1:7" x14ac:dyDescent="0.3">
      <c r="A102" s="2">
        <v>5</v>
      </c>
      <c r="C102" s="38" t="s">
        <v>43</v>
      </c>
      <c r="D102" s="42">
        <f>TRUNC(15473,-1)</f>
        <v>15470</v>
      </c>
      <c r="E102" s="63">
        <f t="shared" si="3"/>
        <v>51140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TRUNC(4898,-1)</f>
        <v>4890</v>
      </c>
      <c r="E104" s="63">
        <f t="shared" si="3"/>
        <v>16160</v>
      </c>
    </row>
    <row r="105" spans="1:7" x14ac:dyDescent="0.3">
      <c r="A105" s="2">
        <v>8</v>
      </c>
      <c r="C105" s="38" t="s">
        <v>46</v>
      </c>
      <c r="D105" s="42">
        <f>TRUNC(14962,-1)</f>
        <v>14960</v>
      </c>
      <c r="E105" s="63">
        <f t="shared" si="3"/>
        <v>49450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TRUNC(1004,-1)</f>
        <v>1000</v>
      </c>
      <c r="E114" s="63">
        <f t="shared" si="3"/>
        <v>3300</v>
      </c>
      <c r="F114" s="2" t="s">
        <v>254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TRUNC(4846,-1)</f>
        <v>4840</v>
      </c>
      <c r="E116" s="63">
        <f t="shared" si="3"/>
        <v>16000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TRUNC(137023,-1)</f>
        <v>137020</v>
      </c>
      <c r="E117" s="63">
        <f t="shared" si="3"/>
        <v>452960</v>
      </c>
    </row>
    <row r="118" spans="1:7" ht="17.25" thickBot="1" x14ac:dyDescent="0.35">
      <c r="A118" s="2">
        <v>21</v>
      </c>
      <c r="C118" s="38" t="s">
        <v>47</v>
      </c>
      <c r="D118" s="43">
        <f>TRUNC(592,-1)</f>
        <v>590</v>
      </c>
      <c r="E118" s="64">
        <f t="shared" si="3"/>
        <v>1950</v>
      </c>
    </row>
    <row r="119" spans="1:7" x14ac:dyDescent="0.3">
      <c r="A119" s="2">
        <v>22</v>
      </c>
      <c r="C119" s="27" t="s">
        <v>112</v>
      </c>
      <c r="D119" s="39">
        <f>SUM(D98:D118)</f>
        <v>290470</v>
      </c>
      <c r="E119" s="39">
        <f>SUM(E98:E118)</f>
        <v>960190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TRUNC(13674,-1)</f>
        <v>13670</v>
      </c>
      <c r="E122" s="62">
        <f t="shared" ref="E122:E132" si="4">TRUNC(+D122*3.3058,-1)</f>
        <v>45190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660</v>
      </c>
      <c r="E124" s="63">
        <f t="shared" si="4"/>
        <v>2180</v>
      </c>
    </row>
    <row r="125" spans="1:7" x14ac:dyDescent="0.3">
      <c r="A125" s="2">
        <v>4</v>
      </c>
      <c r="C125" s="38" t="s">
        <v>138</v>
      </c>
      <c r="D125" s="42">
        <f>TRUNC(8438,-1)</f>
        <v>8430</v>
      </c>
      <c r="E125" s="63">
        <f t="shared" si="4"/>
        <v>27860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10910</v>
      </c>
      <c r="E127" s="63">
        <f t="shared" si="4"/>
        <v>36060</v>
      </c>
    </row>
    <row r="128" spans="1:7" x14ac:dyDescent="0.3">
      <c r="A128" s="2">
        <v>7</v>
      </c>
      <c r="C128" s="38" t="s">
        <v>46</v>
      </c>
      <c r="D128" s="42">
        <f>TRUNC(12468,-1)</f>
        <v>12460</v>
      </c>
      <c r="E128" s="63">
        <f t="shared" si="4"/>
        <v>41190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TRUNC(27876,-1)</f>
        <v>27870</v>
      </c>
      <c r="E130" s="63">
        <f t="shared" si="4"/>
        <v>92130</v>
      </c>
    </row>
    <row r="131" spans="1:7" x14ac:dyDescent="0.3">
      <c r="A131" s="2">
        <v>10</v>
      </c>
      <c r="C131" s="38" t="s">
        <v>148</v>
      </c>
      <c r="D131" s="42">
        <f>TRUNC(96299,-1)</f>
        <v>96290</v>
      </c>
      <c r="E131" s="63">
        <f t="shared" si="4"/>
        <v>318310</v>
      </c>
    </row>
    <row r="132" spans="1:7" ht="18" thickBot="1" x14ac:dyDescent="0.35">
      <c r="A132" s="2">
        <v>11</v>
      </c>
      <c r="C132" s="38" t="s">
        <v>47</v>
      </c>
      <c r="D132" s="43">
        <f>TRUNC(3517+867+6851,-1)</f>
        <v>11230</v>
      </c>
      <c r="E132" s="64">
        <f t="shared" si="4"/>
        <v>37120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181520</v>
      </c>
      <c r="E133" s="39">
        <f>SUM(E122:E132)</f>
        <v>600040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TRUNC(336+6795,-1)</f>
        <v>7130</v>
      </c>
      <c r="E137" s="63">
        <f t="shared" si="5"/>
        <v>23570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TRUNC(3936,-1)</f>
        <v>3930</v>
      </c>
      <c r="E139" s="63">
        <f t="shared" si="5"/>
        <v>12990</v>
      </c>
    </row>
    <row r="140" spans="1:7" x14ac:dyDescent="0.3">
      <c r="A140" s="2">
        <v>5</v>
      </c>
      <c r="C140" s="38" t="s">
        <v>57</v>
      </c>
      <c r="D140" s="42">
        <f>TRUNC(4409,-1)</f>
        <v>4400</v>
      </c>
      <c r="E140" s="63">
        <f t="shared" si="5"/>
        <v>14540</v>
      </c>
    </row>
    <row r="141" spans="1:7" x14ac:dyDescent="0.3">
      <c r="A141" s="2">
        <v>6</v>
      </c>
      <c r="C141" s="38" t="s">
        <v>59</v>
      </c>
      <c r="D141" s="42">
        <f>TRUNC(40982,-1)</f>
        <v>40980</v>
      </c>
      <c r="E141" s="63">
        <f t="shared" si="5"/>
        <v>135470</v>
      </c>
    </row>
    <row r="142" spans="1:7" x14ac:dyDescent="0.3">
      <c r="A142" s="2">
        <v>7</v>
      </c>
      <c r="C142" s="38" t="s">
        <v>58</v>
      </c>
      <c r="D142" s="42">
        <f>TRUNC(5421,-1)</f>
        <v>5420</v>
      </c>
      <c r="E142" s="63">
        <f t="shared" si="5"/>
        <v>17910</v>
      </c>
    </row>
    <row r="143" spans="1:7" x14ac:dyDescent="0.3">
      <c r="A143" s="2">
        <v>8</v>
      </c>
      <c r="C143" s="38" t="s">
        <v>62</v>
      </c>
      <c r="D143" s="42">
        <f>TRUNC(5395,-1)</f>
        <v>5390</v>
      </c>
      <c r="E143" s="63">
        <f t="shared" si="5"/>
        <v>17810</v>
      </c>
    </row>
    <row r="144" spans="1:7" x14ac:dyDescent="0.3">
      <c r="A144" s="2">
        <v>9</v>
      </c>
      <c r="C144" s="38" t="s">
        <v>63</v>
      </c>
      <c r="D144" s="42">
        <f>TRUNC(27309,-1)</f>
        <v>27300</v>
      </c>
      <c r="E144" s="63">
        <f t="shared" si="5"/>
        <v>90240</v>
      </c>
    </row>
    <row r="145" spans="1:7" ht="17.25" thickBot="1" x14ac:dyDescent="0.35">
      <c r="A145" s="2">
        <v>10</v>
      </c>
      <c r="C145" s="38" t="s">
        <v>148</v>
      </c>
      <c r="D145" s="43">
        <f>TRUNC(11099,-1)</f>
        <v>11090</v>
      </c>
      <c r="E145" s="64">
        <f t="shared" si="5"/>
        <v>36660</v>
      </c>
    </row>
    <row r="146" spans="1:7" x14ac:dyDescent="0.3">
      <c r="A146" s="2">
        <v>11</v>
      </c>
      <c r="C146" s="27" t="s">
        <v>112</v>
      </c>
      <c r="D146" s="39">
        <f>SUM(D136:D145)</f>
        <v>105640</v>
      </c>
      <c r="E146" s="39">
        <f>SUM(E136:E145)</f>
        <v>349190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TRUNC(3675+1109,-1)</f>
        <v>4780</v>
      </c>
      <c r="E149" s="62">
        <f>TRUNC(+D149*3.3058,-1)</f>
        <v>15800</v>
      </c>
    </row>
    <row r="150" spans="1:7" x14ac:dyDescent="0.3">
      <c r="A150" s="2">
        <v>2</v>
      </c>
      <c r="C150" s="38" t="s">
        <v>49</v>
      </c>
      <c r="D150" s="42">
        <f>TRUNC(598,-1)</f>
        <v>590</v>
      </c>
      <c r="E150" s="63">
        <f>TRUNC(+D150*3.3058,-1)</f>
        <v>1950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TRUNC(731+3083+5+6414,-1)</f>
        <v>10230</v>
      </c>
      <c r="E152" s="63">
        <f>TRUNC(+D152*3.3058,-1)</f>
        <v>33810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v>9910</v>
      </c>
      <c r="E153" s="64">
        <f>TRUNC(+D153*3.3058,-1)</f>
        <v>32760</v>
      </c>
    </row>
    <row r="154" spans="1:7" x14ac:dyDescent="0.3">
      <c r="A154" s="2">
        <v>6</v>
      </c>
      <c r="C154" s="27" t="s">
        <v>112</v>
      </c>
      <c r="D154" s="39">
        <f>SUM(D149:D153)</f>
        <v>25510</v>
      </c>
      <c r="E154" s="39">
        <f>SUM(E149:E153)</f>
        <v>84320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9880</v>
      </c>
      <c r="E157" s="62">
        <f>TRUNC(+D157*3.3058,-1)</f>
        <v>32660</v>
      </c>
    </row>
    <row r="158" spans="1:7" x14ac:dyDescent="0.3">
      <c r="A158" s="2">
        <v>2</v>
      </c>
      <c r="C158" s="38" t="s">
        <v>52</v>
      </c>
      <c r="D158" s="42">
        <f>TRUNC(4014,-1)</f>
        <v>4010</v>
      </c>
      <c r="E158" s="63">
        <f>TRUNC(+D158*3.3058,-1)</f>
        <v>13250</v>
      </c>
    </row>
    <row r="159" spans="1:7" x14ac:dyDescent="0.3">
      <c r="A159" s="2">
        <v>3</v>
      </c>
      <c r="C159" s="38" t="s">
        <v>47</v>
      </c>
      <c r="D159" s="42">
        <f>TRUNC(5932,-1)</f>
        <v>5930</v>
      </c>
      <c r="E159" s="63">
        <f>TRUNC(+D159*3.3058,-1)</f>
        <v>19600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9910</v>
      </c>
      <c r="E160" s="64">
        <f>TRUNC(+D160*3.3058,-1)</f>
        <v>32760</v>
      </c>
    </row>
    <row r="161" spans="1:5" x14ac:dyDescent="0.3">
      <c r="A161" s="2">
        <v>5</v>
      </c>
      <c r="C161" s="27" t="s">
        <v>112</v>
      </c>
      <c r="D161" s="39">
        <f>SUM(D157:D160)</f>
        <v>29730</v>
      </c>
      <c r="E161" s="39">
        <f>SUM(E157:E160)</f>
        <v>98270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2020-12-08T02:21:06Z</dcterms:modified>
</cp:coreProperties>
</file>