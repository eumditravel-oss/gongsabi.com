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3" i="4"/>
  <c r="E151" i="4"/>
  <c r="E145" i="4"/>
  <c r="E142" i="4"/>
  <c r="E141" i="4"/>
  <c r="E140" i="4"/>
  <c r="E139" i="4"/>
  <c r="E138" i="4"/>
  <c r="E136" i="4"/>
  <c r="E132" i="4"/>
  <c r="E131" i="4"/>
  <c r="E129" i="4"/>
  <c r="E123" i="4"/>
  <c r="E116" i="4"/>
  <c r="E115" i="4"/>
  <c r="E114" i="4"/>
  <c r="E113" i="4"/>
  <c r="E112" i="4"/>
  <c r="E111" i="4"/>
  <c r="E110" i="4"/>
  <c r="E109" i="4"/>
  <c r="E108" i="4"/>
  <c r="E107" i="4"/>
  <c r="E106" i="4"/>
  <c r="E103" i="4"/>
  <c r="E100" i="4"/>
  <c r="E93" i="4"/>
  <c r="E92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0" i="4"/>
  <c r="E65" i="4"/>
  <c r="E64" i="4"/>
  <c r="E57" i="4"/>
  <c r="E56" i="4"/>
  <c r="E55" i="4"/>
  <c r="E54" i="4"/>
  <c r="E51" i="4"/>
  <c r="E47" i="4"/>
  <c r="E37" i="4"/>
  <c r="D159" i="4" l="1"/>
  <c r="E159" i="4" s="1"/>
  <c r="D157" i="4"/>
  <c r="E157" i="4" s="1"/>
  <c r="D152" i="4"/>
  <c r="E152" i="4" s="1"/>
  <c r="D150" i="4"/>
  <c r="E150" i="4" s="1"/>
  <c r="D149" i="4"/>
  <c r="E149" i="4" s="1"/>
  <c r="D144" i="4"/>
  <c r="E144" i="4" s="1"/>
  <c r="D143" i="4"/>
  <c r="E143" i="4" s="1"/>
  <c r="D137" i="4"/>
  <c r="E137" i="4" s="1"/>
  <c r="E146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E133" i="4" s="1"/>
  <c r="D118" i="4"/>
  <c r="E118" i="4" s="1"/>
  <c r="D117" i="4"/>
  <c r="E117" i="4" s="1"/>
  <c r="D105" i="4"/>
  <c r="E105" i="4" s="1"/>
  <c r="D104" i="4"/>
  <c r="E104" i="4" s="1"/>
  <c r="D102" i="4"/>
  <c r="E102" i="4" s="1"/>
  <c r="D101" i="4"/>
  <c r="E101" i="4" s="1"/>
  <c r="D99" i="4"/>
  <c r="E99" i="4" s="1"/>
  <c r="D98" i="4"/>
  <c r="E98" i="4" s="1"/>
  <c r="E119" i="4" s="1"/>
  <c r="D94" i="4"/>
  <c r="E94" i="4" s="1"/>
  <c r="D91" i="4"/>
  <c r="E91" i="4" s="1"/>
  <c r="D73" i="4"/>
  <c r="E73" i="4" s="1"/>
  <c r="D72" i="4"/>
  <c r="E72" i="4" s="1"/>
  <c r="D71" i="4"/>
  <c r="E71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161" i="4" l="1"/>
  <c r="E95" i="4"/>
  <c r="E60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<sst xmlns="http://schemas.openxmlformats.org/spreadsheetml/2006/main" count="395" uniqueCount="266">
  <si>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</si>
  <si>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</si>
  <si>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</si>
  <si>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</si>
  <si>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</si>
  <si>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</si>
  <si>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</si>
  <si>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</si>
  <si>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</si>
  <si>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</si>
  <si>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</si>
  <si>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</si>
  <si>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</si>
  <si>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</si>
  <si>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</si>
  <si>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</si>
  <si>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</si>
  <si>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</si>
  <si>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</si>
  <si>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</si>
  <si>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</si>
  <si>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</si>
  <si>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</si>
  <si>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</si>
  <si>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</si>
  <si>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</si>
  <si>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</si>
  <si>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</si>
  <si>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</si>
  <si>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</si>
  <si>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</si>
  <si>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</si>
  <si>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</si>
  <si>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</si>
  <si>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</si>
  <si>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</si>
  <si>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</si>
  <si>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</si>
  <si>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</si>
  <si>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</si>
  <si>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</si>
  <si>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</si>
  <si>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</si>
  <si>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</si>
  <si>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</si>
  <si>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</si>
  <si>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</si>
  <si>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</si>
  <si>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</si>
  <si>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</si>
  <si>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</si>
  <si>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</si>
  <si>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</si>
  <si>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</si>
  <si>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</si>
  <si>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</si>
  <si>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</si>
  <si>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</si>
  <si>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</si>
  <si>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</si>
  <si>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</si>
  <si>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</si>
  <si>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</si>
  <si>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</si>
  <si>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</si>
  <si>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</si>
  <si>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</si>
  <si>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</si>
  <si>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</si>
  <si>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</si>
  <si>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</si>
  <si>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</si>
  <si>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</si>
  <si>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</si>
  <si>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</si>
  <si>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</si>
  <si>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</si>
  <si>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</si>
  <si>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</si>
  <si>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</si>
  <si>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</si>
  <si>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</si>
  <si>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</si>
  <si>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</si>
  <si>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</si>
  <si>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</si>
  <si>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</si>
  <si>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</si>
  <si>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</si>
  <si>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</si>
  <si>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</si>
  <si>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</si>
  <si>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</si>
  <si>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</si>
  <si>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</si>
  <si>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</si>
  <si>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</si>
  <si>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</si>
  <si>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</si>
  <si>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</si>
  <si>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</si>
  <si>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</si>
  <si>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</si>
  <si>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</si>
  <si>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</si>
  <si>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</si>
  <si>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</si>
  <si>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</si>
  <si>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</si>
  <si>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</si>
  <si>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</si>
  <si>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</si>
  <si>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</si>
  <si>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</si>
  <si>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</si>
  <si>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</si>
  <si>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</si>
  <si>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</si>
  <si>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</si>
  <si>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</si>
  <si>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</si>
  <si>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</si>
  <si>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</si>
  <si>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</si>
  <si>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</si>
  <si>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</si>
  <si>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</si>
  <si>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</si>
  <si>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</si>
  <si>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</si>
  <si>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</si>
  <si>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</si>
  <si>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</si>
  <si>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</si>
  <si>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</si>
  <si>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</si>
  <si>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</si>
  <si>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</si>
  <si>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</si>
  <si>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</si>
  <si>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</si>
  <si>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</si>
  <si>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</si>
  <si>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</si>
  <si>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</si>
  <si>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</si>
  <si>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</si>
  <si>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</si>
  <si>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</si>
  <si>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</si>
  <si>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</si>
  <si>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</si>
  <si>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</si>
  <si>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</si>
  <si>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</si>
  <si>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</si>
  <si>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</si>
  <si>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</si>
  <si>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</si>
  <si>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</si>
  <si>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</si>
  <si>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</si>
  <si>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</si>
  <si>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</si>
  <si>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</si>
  <si>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</si>
  <si>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</si>
  <si>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</si>
  <si>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</si>
  <si>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</si>
  <si>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</si>
  <si>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</si>
  <si>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</si>
  <si>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</si>
  <si>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</si>
  <si>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</si>
  <si>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</si>
  <si>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</si>
  <si>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</si>
  <si>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</si>
  <si>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</si>
  <si>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</si>
  <si>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</si>
  <si>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</si>
  <si>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</si>
  <si>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</si>
  <si>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</si>
  <si>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</si>
  <si>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</si>
  <si>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</si>
  <si>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</si>
  <si>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</si>
  <si>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</si>
  <si>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</si>
  <si>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</si>
  <si>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</si>
  <si>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</si>
  <si>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</si>
  <si>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</si>
  <si>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</si>
  <si>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</si>
  <si>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</si>
  <si>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</si>
  <si>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</si>
  <si>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</si>
  <si>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</si>
  <si>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</si>
  <si>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</si>
  <si>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</si>
  <si>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</si>
  <si>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</si>
  <si>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</si>
  <si>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</si>
  <si>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</si>
  <si>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</si>
  <si>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</si>
  <si>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</si>
  <si>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</si>
  <si>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</si>
  <si>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</si>
  <si>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</si>
  <si>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</si>
  <si>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</si>
  <si>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</si>
  <si>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</si>
  <si>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</si>
  <si>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</si>
  <si>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</si>
  <si>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</si>
  <si>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</si>
  <si>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</si>
  <si>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</si>
  <si>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</si>
  <si>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</si>
  <si>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</si>
  <si>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</si>
  <si>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</si>
  <si>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</si>
  <si>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</si>
  <si>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</si>
  <si>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</si>
  <si>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</si>
  <si>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</si>
  <si>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</si>
  <si>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</si>
  <si>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</si>
  <si>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</si>
  <si>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</si>
  <si>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</si>
  <si>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</si>
  <si>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</si>
  <si>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</si>
  <si>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</si>
  <si>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기타공사</t>
    <phoneticPr fontId="2" type="noConversion"/>
  </si>
  <si>
    <t>산학기술창조관 신축공사</t>
    <phoneticPr fontId="2" type="noConversion"/>
  </si>
  <si>
    <t>경상도</t>
  </si>
  <si>
    <t>교육연구</t>
  </si>
  <si>
    <t>기초공사,골재비및운반비, 작업부산물, 기타공사</t>
    <phoneticPr fontId="2" type="noConversion"/>
  </si>
  <si>
    <t>우수처리시설공사</t>
    <phoneticPr fontId="2" type="noConversion"/>
  </si>
  <si>
    <t>토목 사급자재비, 운반비,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</si>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</sst>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8236.9</v>
      </c>
      <c r="D7" s="36">
        <f>+C7/3.3058</f>
        <v>2491.6510375703306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842650</v>
      </c>
      <c r="E25" s="58">
        <f t="shared" si="0"/>
        <v>2785630</v>
      </c>
    </row>
    <row r="26" spans="1:5" x14ac:dyDescent="0.3">
      <c r="B26" s="2">
        <v>3</v>
      </c>
      <c r="C26" s="35" t="s">
        <v>95</v>
      </c>
      <c r="D26" s="45">
        <f>+D66</f>
        <v>6250</v>
      </c>
      <c r="E26" s="58">
        <f t="shared" si="0"/>
        <v>20660</v>
      </c>
    </row>
    <row r="27" spans="1:5" x14ac:dyDescent="0.3">
      <c r="B27" s="2">
        <v>4</v>
      </c>
      <c r="C27" s="35" t="s">
        <v>96</v>
      </c>
      <c r="D27" s="45">
        <f>+D95</f>
        <v>34220</v>
      </c>
      <c r="E27" s="58">
        <f t="shared" si="0"/>
        <v>113120</v>
      </c>
    </row>
    <row r="28" spans="1:5" x14ac:dyDescent="0.3">
      <c r="B28" s="2">
        <v>5</v>
      </c>
      <c r="C28" s="35" t="s">
        <v>97</v>
      </c>
      <c r="D28" s="45">
        <f>+D119</f>
        <v>198630</v>
      </c>
      <c r="E28" s="58">
        <f t="shared" si="0"/>
        <v>656630</v>
      </c>
    </row>
    <row r="29" spans="1:5" x14ac:dyDescent="0.3">
      <c r="B29" s="2">
        <v>6</v>
      </c>
      <c r="C29" s="35" t="s">
        <v>98</v>
      </c>
      <c r="D29" s="45">
        <f>+D133</f>
        <v>44820</v>
      </c>
      <c r="E29" s="58">
        <f t="shared" si="0"/>
        <v>148160</v>
      </c>
    </row>
    <row r="30" spans="1:5" x14ac:dyDescent="0.3">
      <c r="B30" s="2">
        <v>7</v>
      </c>
      <c r="C30" s="35" t="s">
        <v>99</v>
      </c>
      <c r="D30" s="45">
        <f>+D146</f>
        <v>32690</v>
      </c>
      <c r="E30" s="58">
        <f t="shared" si="0"/>
        <v>108060</v>
      </c>
    </row>
    <row r="31" spans="1:5" x14ac:dyDescent="0.3">
      <c r="B31" s="2">
        <v>8</v>
      </c>
      <c r="C31" s="35" t="s">
        <v>100</v>
      </c>
      <c r="D31" s="45">
        <f>+D154</f>
        <v>20320</v>
      </c>
      <c r="E31" s="58">
        <f t="shared" si="0"/>
        <v>67170</v>
      </c>
    </row>
    <row r="32" spans="1:5" x14ac:dyDescent="0.3">
      <c r="B32" s="2">
        <v>9</v>
      </c>
      <c r="C32" s="35" t="s">
        <v>101</v>
      </c>
      <c r="D32" s="45">
        <f>+D161</f>
        <v>35960</v>
      </c>
      <c r="E32" s="58">
        <f t="shared" si="0"/>
        <v>118870</v>
      </c>
    </row>
    <row r="33" spans="1:7" x14ac:dyDescent="0.3">
      <c r="B33" s="2">
        <v>10</v>
      </c>
      <c r="C33" s="35" t="s">
        <v>154</v>
      </c>
      <c r="D33" s="53">
        <f>TRUNC(SUM(D24:D32)*0.275,-1)</f>
        <v>334270</v>
      </c>
      <c r="E33" s="59">
        <f t="shared" si="0"/>
        <v>1105020</v>
      </c>
    </row>
    <row r="34" spans="1:7" x14ac:dyDescent="0.3">
      <c r="C34" s="35" t="s">
        <v>112</v>
      </c>
      <c r="D34" s="44">
        <f>SUM(D24:D33)</f>
        <v>1549810</v>
      </c>
      <c r="E34" s="44">
        <f>SUM(E24:E33)</f>
        <v>5123320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261</v>
      </c>
      <c r="E39" s="66" t="s">
        <v>262</v>
      </c>
      <c r="G39" s="67"/>
    </row>
    <row r="40" spans="1:7" x14ac:dyDescent="0.3">
      <c r="A40" s="2">
        <v>1</v>
      </c>
      <c r="C40" s="38" t="s">
        <v>15</v>
      </c>
      <c r="D40" s="40">
        <f>TRUNC(47381,-1)</f>
        <v>47380</v>
      </c>
      <c r="E40" s="61">
        <f t="shared" ref="E40:E59" si="1">TRUNC(+D40*3.3058,-1)</f>
        <v>156620</v>
      </c>
    </row>
    <row r="41" spans="1:7" x14ac:dyDescent="0.3">
      <c r="A41" s="2">
        <v>2</v>
      </c>
      <c r="C41" s="38" t="s">
        <v>13</v>
      </c>
      <c r="D41" s="42">
        <f>TRUNC(118080,-1)</f>
        <v>118080</v>
      </c>
      <c r="E41" s="62">
        <f t="shared" si="1"/>
        <v>390340</v>
      </c>
    </row>
    <row r="42" spans="1:7" x14ac:dyDescent="0.3">
      <c r="A42" s="2">
        <v>3</v>
      </c>
      <c r="C42" s="38" t="s">
        <v>14</v>
      </c>
      <c r="D42" s="42">
        <f>TRUNC(34202,-1)</f>
        <v>34200</v>
      </c>
      <c r="E42" s="62">
        <f t="shared" si="1"/>
        <v>113050</v>
      </c>
    </row>
    <row r="43" spans="1:7" x14ac:dyDescent="0.3">
      <c r="A43" s="2">
        <v>4</v>
      </c>
      <c r="C43" s="38" t="s">
        <v>16</v>
      </c>
      <c r="D43" s="42">
        <f>TRUNC(15755,-1)</f>
        <v>15750</v>
      </c>
      <c r="E43" s="62">
        <f t="shared" si="1"/>
        <v>52060</v>
      </c>
    </row>
    <row r="44" spans="1:7" x14ac:dyDescent="0.3">
      <c r="A44" s="2">
        <v>5</v>
      </c>
      <c r="C44" s="38" t="s">
        <v>17</v>
      </c>
      <c r="D44" s="42">
        <f>TRUNC(29931,-1)</f>
        <v>29930</v>
      </c>
      <c r="E44" s="62">
        <f t="shared" si="1"/>
        <v>98940</v>
      </c>
    </row>
    <row r="45" spans="1:7" x14ac:dyDescent="0.3">
      <c r="A45" s="2">
        <v>6</v>
      </c>
      <c r="C45" s="38" t="s">
        <v>18</v>
      </c>
      <c r="D45" s="42">
        <f>TRUNC(20402,-1)</f>
        <v>20400</v>
      </c>
      <c r="E45" s="62">
        <f t="shared" si="1"/>
        <v>67430</v>
      </c>
    </row>
    <row r="46" spans="1:7" x14ac:dyDescent="0.3">
      <c r="A46" s="2">
        <v>7</v>
      </c>
      <c r="C46" s="38" t="s">
        <v>19</v>
      </c>
      <c r="D46" s="42">
        <f>TRUNC(12981,-1)</f>
        <v>12980</v>
      </c>
      <c r="E46" s="62">
        <f t="shared" si="1"/>
        <v>42900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TRUNC(135427,-1)</f>
        <v>135420</v>
      </c>
      <c r="E48" s="62">
        <f t="shared" si="1"/>
        <v>447670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TRUNC(20255,-1)</f>
        <v>20250</v>
      </c>
      <c r="E49" s="62">
        <f t="shared" si="1"/>
        <v>66940</v>
      </c>
    </row>
    <row r="50" spans="1:7" x14ac:dyDescent="0.3">
      <c r="A50" s="2">
        <v>11</v>
      </c>
      <c r="C50" s="38" t="s">
        <v>155</v>
      </c>
      <c r="D50" s="42">
        <f>TRUNC(70272,-1)</f>
        <v>70270</v>
      </c>
      <c r="E50" s="62">
        <f t="shared" si="1"/>
        <v>232290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TRUNC(12629,-1)</f>
        <v>12620</v>
      </c>
      <c r="E52" s="62">
        <f t="shared" si="1"/>
        <v>41710</v>
      </c>
    </row>
    <row r="53" spans="1:7" x14ac:dyDescent="0.3">
      <c r="A53" s="2">
        <v>14</v>
      </c>
      <c r="C53" s="38" t="s">
        <v>25</v>
      </c>
      <c r="D53" s="42">
        <f>TRUNC(107846,-1)</f>
        <v>107840</v>
      </c>
      <c r="E53" s="62">
        <f t="shared" si="1"/>
        <v>356490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TRUNC(6694+3304-389+259,-1)</f>
        <v>9860</v>
      </c>
      <c r="E58" s="62">
        <f t="shared" si="1"/>
        <v>32590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TRUNC(207676,-1)</f>
        <v>207670</v>
      </c>
      <c r="E59" s="63">
        <f t="shared" si="1"/>
        <v>686510</v>
      </c>
    </row>
    <row r="60" spans="1:7" x14ac:dyDescent="0.3">
      <c r="A60" s="2">
        <v>21</v>
      </c>
      <c r="C60" s="27" t="s">
        <v>112</v>
      </c>
      <c r="D60" s="39">
        <f>SUM(D40:D59)</f>
        <v>842650</v>
      </c>
      <c r="E60" s="39">
        <f>SUM(E40:E59)</f>
        <v>2785540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TRUNC(6256,-1)</f>
        <v>6250</v>
      </c>
      <c r="E63" s="61">
        <f>TRUNC(+D63*3.3058,-1)</f>
        <v>20660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6250</v>
      </c>
      <c r="E66" s="64">
        <f>SUM(E63:E65)</f>
        <v>20660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TRUNC(2082,-1)</f>
        <v>2080</v>
      </c>
      <c r="E69" s="61">
        <f t="shared" ref="E69:E94" si="2">TRUNC(+D69*3.3058,-1)</f>
        <v>6870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2">
        <f t="shared" si="2"/>
        <v>0</v>
      </c>
    </row>
    <row r="71" spans="1:7" x14ac:dyDescent="0.3">
      <c r="A71" s="2">
        <v>3</v>
      </c>
      <c r="C71" s="38" t="s">
        <v>32</v>
      </c>
      <c r="D71" s="42">
        <f>TRUNC(2386,-1)</f>
        <v>2380</v>
      </c>
      <c r="E71" s="62">
        <f t="shared" si="2"/>
        <v>7860</v>
      </c>
    </row>
    <row r="72" spans="1:7" x14ac:dyDescent="0.3">
      <c r="A72" s="2">
        <v>4</v>
      </c>
      <c r="C72" s="38" t="s">
        <v>33</v>
      </c>
      <c r="D72" s="42">
        <f>TRUNC(4488,-1)</f>
        <v>4480</v>
      </c>
      <c r="E72" s="62">
        <f t="shared" si="2"/>
        <v>14800</v>
      </c>
    </row>
    <row r="73" spans="1:7" x14ac:dyDescent="0.3">
      <c r="A73" s="2">
        <v>5</v>
      </c>
      <c r="C73" s="38" t="s">
        <v>34</v>
      </c>
      <c r="D73" s="42">
        <f>TRUNC(5673,-1)</f>
        <v>5670</v>
      </c>
      <c r="E73" s="62">
        <f t="shared" si="2"/>
        <v>18740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v>5000</v>
      </c>
      <c r="E89" s="62">
        <f t="shared" si="2"/>
        <v>16520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TRUNC(3536,-1)</f>
        <v>3530</v>
      </c>
      <c r="E91" s="62">
        <f t="shared" si="2"/>
        <v>11660</v>
      </c>
    </row>
    <row r="92" spans="1:7" x14ac:dyDescent="0.3">
      <c r="A92" s="2">
        <v>24</v>
      </c>
      <c r="C92" s="38" t="s">
        <v>38</v>
      </c>
      <c r="D92" s="42">
        <v>6210</v>
      </c>
      <c r="E92" s="62">
        <f t="shared" si="2"/>
        <v>20520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TRUNC(4877,-1)</f>
        <v>4870</v>
      </c>
      <c r="E94" s="63">
        <f t="shared" si="2"/>
        <v>16090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34220</v>
      </c>
      <c r="E95" s="39">
        <f>SUM(E69:E94)</f>
        <v>113060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TRUNC(13321,-1)</f>
        <v>13320</v>
      </c>
      <c r="E98" s="61">
        <f t="shared" ref="E98:E118" si="3">TRUNC(+D98*3.3058,-1)</f>
        <v>44030</v>
      </c>
    </row>
    <row r="99" spans="1:7" x14ac:dyDescent="0.3">
      <c r="A99" s="2">
        <v>2</v>
      </c>
      <c r="C99" s="38" t="s">
        <v>40</v>
      </c>
      <c r="D99" s="42">
        <f>TRUNC(6954,-1)</f>
        <v>6950</v>
      </c>
      <c r="E99" s="62">
        <f t="shared" si="3"/>
        <v>22970</v>
      </c>
    </row>
    <row r="100" spans="1:7" x14ac:dyDescent="0.3">
      <c r="A100" s="2">
        <v>3</v>
      </c>
      <c r="C100" s="38" t="s">
        <v>41</v>
      </c>
      <c r="D100" s="42">
        <v>28300</v>
      </c>
      <c r="E100" s="62">
        <f t="shared" si="3"/>
        <v>93550</v>
      </c>
    </row>
    <row r="101" spans="1:7" x14ac:dyDescent="0.3">
      <c r="A101" s="2">
        <v>4</v>
      </c>
      <c r="C101" s="38" t="s">
        <v>42</v>
      </c>
      <c r="D101" s="42">
        <f>TRUNC(5306,-1)</f>
        <v>5300</v>
      </c>
      <c r="E101" s="62">
        <f t="shared" si="3"/>
        <v>17520</v>
      </c>
    </row>
    <row r="102" spans="1:7" x14ac:dyDescent="0.3">
      <c r="A102" s="2">
        <v>5</v>
      </c>
      <c r="C102" s="38" t="s">
        <v>43</v>
      </c>
      <c r="D102" s="42">
        <f>TRUNC(12405,-1)</f>
        <v>12400</v>
      </c>
      <c r="E102" s="62">
        <f t="shared" si="3"/>
        <v>40990</v>
      </c>
    </row>
    <row r="103" spans="1:7" x14ac:dyDescent="0.3">
      <c r="A103" s="2">
        <v>6</v>
      </c>
      <c r="C103" s="38" t="s">
        <v>44</v>
      </c>
      <c r="D103" s="42">
        <v>0</v>
      </c>
      <c r="E103" s="62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TRUNC(3938,-1)</f>
        <v>3930</v>
      </c>
      <c r="E104" s="62">
        <f t="shared" si="3"/>
        <v>12990</v>
      </c>
    </row>
    <row r="105" spans="1:7" x14ac:dyDescent="0.3">
      <c r="A105" s="2">
        <v>8</v>
      </c>
      <c r="C105" s="38" t="s">
        <v>46</v>
      </c>
      <c r="D105" s="42">
        <f>TRUNC(5053,-1)</f>
        <v>5050</v>
      </c>
      <c r="E105" s="62">
        <f t="shared" si="3"/>
        <v>16690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4420</v>
      </c>
      <c r="E114" s="62">
        <f t="shared" si="3"/>
        <v>14610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2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TRUNC(116454,-1)</f>
        <v>116450</v>
      </c>
      <c r="E117" s="62">
        <f t="shared" si="3"/>
        <v>384960</v>
      </c>
    </row>
    <row r="118" spans="1:7" ht="17.25" thickBot="1" x14ac:dyDescent="0.35">
      <c r="A118" s="2">
        <v>21</v>
      </c>
      <c r="C118" s="38" t="s">
        <v>47</v>
      </c>
      <c r="D118" s="43">
        <f>TRUNC(2515,-1)</f>
        <v>2510</v>
      </c>
      <c r="E118" s="63">
        <f t="shared" si="3"/>
        <v>8290</v>
      </c>
    </row>
    <row r="119" spans="1:7" x14ac:dyDescent="0.3">
      <c r="A119" s="2">
        <v>22</v>
      </c>
      <c r="C119" s="27" t="s">
        <v>112</v>
      </c>
      <c r="D119" s="39">
        <f>SUM(D98:D118)</f>
        <v>198630</v>
      </c>
      <c r="E119" s="39">
        <f>SUM(E98:E118)</f>
        <v>656600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TRUNC(2492,-1)</f>
        <v>2490</v>
      </c>
      <c r="E122" s="61">
        <f t="shared" ref="E122:E132" si="4">TRUNC(+D122*3.3058,-1)</f>
        <v>8230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TRUNC(2518,-1)</f>
        <v>2510</v>
      </c>
      <c r="E124" s="62">
        <f t="shared" si="4"/>
        <v>8290</v>
      </c>
    </row>
    <row r="125" spans="1:7" x14ac:dyDescent="0.3">
      <c r="A125" s="2">
        <v>4</v>
      </c>
      <c r="C125" s="38" t="s">
        <v>138</v>
      </c>
      <c r="D125" s="42">
        <f>TRUNC(6543,-1)</f>
        <v>6540</v>
      </c>
      <c r="E125" s="62">
        <f t="shared" si="4"/>
        <v>21610</v>
      </c>
    </row>
    <row r="126" spans="1:7" x14ac:dyDescent="0.3">
      <c r="A126" s="2">
        <v>5</v>
      </c>
      <c r="C126" s="38" t="s">
        <v>53</v>
      </c>
      <c r="D126" s="42">
        <f>TRUNC(3878,-1)</f>
        <v>3870</v>
      </c>
      <c r="E126" s="62">
        <f t="shared" si="4"/>
        <v>12790</v>
      </c>
    </row>
    <row r="127" spans="1:7" x14ac:dyDescent="0.3">
      <c r="A127" s="2">
        <v>6</v>
      </c>
      <c r="C127" s="38" t="s">
        <v>56</v>
      </c>
      <c r="D127" s="42">
        <f>TRUNC(756,-1)</f>
        <v>750</v>
      </c>
      <c r="E127" s="62">
        <f t="shared" si="4"/>
        <v>2470</v>
      </c>
    </row>
    <row r="128" spans="1:7" x14ac:dyDescent="0.3">
      <c r="A128" s="2">
        <v>7</v>
      </c>
      <c r="C128" s="38" t="s">
        <v>46</v>
      </c>
      <c r="D128" s="42">
        <f>TRUNC(5568,-1)</f>
        <v>5560</v>
      </c>
      <c r="E128" s="62">
        <f t="shared" si="4"/>
        <v>18380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TRUNC(11349,-1)</f>
        <v>11340</v>
      </c>
      <c r="E130" s="62">
        <f t="shared" si="4"/>
        <v>37480</v>
      </c>
    </row>
    <row r="131" spans="1:7" x14ac:dyDescent="0.3">
      <c r="A131" s="2">
        <v>10</v>
      </c>
      <c r="C131" s="38" t="s">
        <v>148</v>
      </c>
      <c r="D131" s="42">
        <v>11760</v>
      </c>
      <c r="E131" s="62">
        <f t="shared" si="4"/>
        <v>38870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3">
        <f t="shared" si="4"/>
        <v>0</v>
      </c>
    </row>
    <row r="133" spans="1:7" x14ac:dyDescent="0.3">
      <c r="A133" s="2">
        <v>12</v>
      </c>
      <c r="C133" s="27" t="s">
        <v>112</v>
      </c>
      <c r="D133" s="39">
        <f>SUM(D122:D132)</f>
        <v>44820</v>
      </c>
      <c r="E133" s="39">
        <f>SUM(E122:E132)</f>
        <v>148120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TRUNC(24921,-1)</f>
        <v>24920</v>
      </c>
      <c r="E137" s="62">
        <f t="shared" si="5"/>
        <v>82380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2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2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TRUNC(2483,-1)</f>
        <v>2480</v>
      </c>
      <c r="E143" s="62">
        <f t="shared" si="5"/>
        <v>8190</v>
      </c>
    </row>
    <row r="144" spans="1:7" x14ac:dyDescent="0.3">
      <c r="A144" s="2">
        <v>9</v>
      </c>
      <c r="C144" s="38" t="s">
        <v>63</v>
      </c>
      <c r="D144" s="42">
        <f>TRUNC(5291,-1)</f>
        <v>5290</v>
      </c>
      <c r="E144" s="62">
        <f t="shared" si="5"/>
        <v>17480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32690</v>
      </c>
      <c r="E146" s="39">
        <f>SUM(E136:E145)</f>
        <v>108050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TRUNC(5172+924,-1)</f>
        <v>6090</v>
      </c>
      <c r="E149" s="61">
        <f>TRUNC(+D149*3.3058,-1)</f>
        <v>20130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TRUNC(3912,-1)</f>
        <v>3910</v>
      </c>
      <c r="E150" s="62">
        <f>TRUNC(+D150*3.3058,-1)</f>
        <v>12920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TRUNC(4516+18+5790,-1)</f>
        <v>10320</v>
      </c>
      <c r="E152" s="62">
        <f>TRUNC(+D152*3.3058,-1)</f>
        <v>34110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20320</v>
      </c>
      <c r="E154" s="39">
        <f>SUM(E149:E153)</f>
        <v>67160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TRUNC(10526,-1)</f>
        <v>10520</v>
      </c>
      <c r="E157" s="61">
        <f>TRUNC(+D157*3.3058,-1)</f>
        <v>34770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TRUNC(25449,-1)</f>
        <v>25440</v>
      </c>
      <c r="E159" s="62">
        <f>TRUNC(+D159*3.3058,-1)</f>
        <v>84090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35960</v>
      </c>
      <c r="E161" s="39">
        <f>SUM(E157:E160)</f>
        <v>118860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2020-12-07T10:15:06Z</dcterms:modified>
</cp:coreProperties>
</file>