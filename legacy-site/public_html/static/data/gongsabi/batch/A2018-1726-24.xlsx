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2" i="4"/>
  <c r="D151" i="4"/>
  <c r="D150" i="4"/>
  <c r="D149" i="4"/>
  <c r="D144" i="4"/>
  <c r="D143" i="4"/>
  <c r="D141" i="4"/>
  <c r="D140" i="4"/>
  <c r="D137" i="4"/>
  <c r="D132" i="4"/>
  <c r="D131" i="4"/>
  <c r="D128" i="4"/>
  <c r="D127" i="4"/>
  <c r="D126" i="4"/>
  <c r="D122" i="4"/>
  <c r="D118" i="4"/>
  <c r="D117" i="4"/>
  <c r="D116" i="4"/>
  <c r="D111" i="4"/>
  <c r="D104" i="4"/>
  <c r="D102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0" i="4"/>
  <c r="D49" i="4"/>
  <c r="D48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<sst xmlns="http://schemas.openxmlformats.org/spreadsheetml/2006/main" count="391" uniqueCount="266">
  <si>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</si>
  <si>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</si>
  <si>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</si>
  <si>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</si>
  <si>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</si>
  <si>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</si>
  <si>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</si>
  <si>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</si>
  <si>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</si>
  <si>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</si>
  <si>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</si>
  <si>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</si>
  <si>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</si>
  <si>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</si>
  <si>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</si>
  <si>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</si>
  <si>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</si>
  <si>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</si>
  <si>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</si>
  <si>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</si>
  <si>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</si>
  <si>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</si>
  <si>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</si>
  <si>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</si>
  <si>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</si>
  <si>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</si>
  <si>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</si>
  <si>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</si>
  <si>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</si>
  <si>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</si>
  <si>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</si>
  <si>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</si>
  <si>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</si>
  <si>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</si>
  <si>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</si>
  <si>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</si>
  <si>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</si>
  <si>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</si>
  <si>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</si>
  <si>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</si>
  <si>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</si>
  <si>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</si>
  <si>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</si>
  <si>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</si>
  <si>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</si>
  <si>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</si>
  <si>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</si>
  <si>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</si>
  <si>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</si>
  <si>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</si>
  <si>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</si>
  <si>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</si>
  <si>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</si>
  <si>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</si>
  <si>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</si>
  <si>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</si>
  <si>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</si>
  <si>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</si>
  <si>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</si>
  <si>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</si>
  <si>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</si>
  <si>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</si>
  <si>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</si>
  <si>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</si>
  <si>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</si>
  <si>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</si>
  <si>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</si>
  <si>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</si>
  <si>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</si>
  <si>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</si>
  <si>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</si>
  <si>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</si>
  <si>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</si>
  <si>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</si>
  <si>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</si>
  <si>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</si>
  <si>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</si>
  <si>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</si>
  <si>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</si>
  <si>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</si>
  <si>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</si>
  <si>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</si>
  <si>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</si>
  <si>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</si>
  <si>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</si>
  <si>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</si>
  <si>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</si>
  <si>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</si>
  <si>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</si>
  <si>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</si>
  <si>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</si>
  <si>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</si>
  <si>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</si>
  <si>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</si>
  <si>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</si>
  <si>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</si>
  <si>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</si>
  <si>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</si>
  <si>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</si>
  <si>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</si>
  <si>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</si>
  <si>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</si>
  <si>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</si>
  <si>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</si>
  <si>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</si>
  <si>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</si>
  <si>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</si>
  <si>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</si>
  <si>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</si>
  <si>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</si>
  <si>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</si>
  <si>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</si>
  <si>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</si>
  <si>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</si>
  <si>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</si>
  <si>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</si>
  <si>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</si>
  <si>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</si>
  <si>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</si>
  <si>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</si>
  <si>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</si>
  <si>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</si>
  <si>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</si>
  <si>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</si>
  <si>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</si>
  <si>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</si>
  <si>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</si>
  <si>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</si>
  <si>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</si>
  <si>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</si>
  <si>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</si>
  <si>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</si>
  <si>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</si>
  <si>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</si>
  <si>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</si>
  <si>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</si>
  <si>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</si>
  <si>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</si>
  <si>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</si>
  <si>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</si>
  <si>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</si>
  <si>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</si>
  <si>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</si>
  <si>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</si>
  <si>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</si>
  <si>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</si>
  <si>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</si>
  <si>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</si>
  <si>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</si>
  <si>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</si>
  <si>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</si>
  <si>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</si>
  <si>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</si>
  <si>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</si>
  <si>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</si>
  <si>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</si>
  <si>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</si>
  <si>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</si>
  <si>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</si>
  <si>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</si>
  <si>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</si>
  <si>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</si>
  <si>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</si>
  <si>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</si>
  <si>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</si>
  <si>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</si>
  <si>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</si>
  <si>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</si>
  <si>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</si>
  <si>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</si>
  <si>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</si>
  <si>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</si>
  <si>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</si>
  <si>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</si>
  <si>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</si>
  <si>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</si>
  <si>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</si>
  <si>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</si>
  <si>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</si>
  <si>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</si>
  <si>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</si>
  <si>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</si>
  <si>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</si>
  <si>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</si>
  <si>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</si>
  <si>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</si>
  <si>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</si>
  <si>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</si>
  <si>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</si>
  <si>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</si>
  <si>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</si>
  <si>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</si>
  <si>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</si>
  <si>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</si>
  <si>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</si>
  <si>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</si>
  <si>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</si>
  <si>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</si>
  <si>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</si>
  <si>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</si>
  <si>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</si>
  <si>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</si>
  <si>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</si>
  <si>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</si>
  <si>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</si>
  <si>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</si>
  <si>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</si>
  <si>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</si>
  <si>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</si>
  <si>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</si>
  <si>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</si>
  <si>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</si>
  <si>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</si>
  <si>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</si>
  <si>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</si>
  <si>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</si>
  <si>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</si>
  <si>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</si>
  <si>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</si>
  <si>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</si>
  <si>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</si>
  <si>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</si>
  <si>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</si>
  <si>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</si>
  <si>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</si>
  <si>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</si>
  <si>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</si>
  <si>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</si>
  <si>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</si>
  <si>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</si>
  <si>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</si>
  <si>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</si>
  <si>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</si>
  <si>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</si>
  <si>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</si>
  <si>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</si>
  <si>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</si>
  <si>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</si>
  <si>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</si>
  <si>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</si>
  <si>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</si>
  <si>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</si>
  <si>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</si>
  <si>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</si>
  <si>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</si>
  <si>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</si>
  <si>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</si>
  <si>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</si>
  <si>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 경상권 청소년치료재활센터 건립사업(건축)</t>
    <phoneticPr fontId="2" type="noConversion"/>
  </si>
  <si>
    <t>기타</t>
  </si>
  <si>
    <t>대구시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</si>
  <si>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</si>
  <si>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</si>
  <si>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</si>
  <si>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폐기물처리비, 골재비및운반비, 작업부산물, 기타공사</t>
    <phoneticPr fontId="2" type="noConversion"/>
  </si>
  <si>
    <t>바닥난방공사</t>
    <phoneticPr fontId="2" type="noConversion"/>
  </si>
  <si>
    <t>전기인입 및 수변전 설비공사</t>
    <phoneticPr fontId="2" type="noConversion"/>
  </si>
  <si>
    <t>CCTV설비공사, 주차관제설비공사, 기타공사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</si>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</sst>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4152.8500000000004</v>
      </c>
      <c r="D7" s="36">
        <f>+C7/3.3058</f>
        <v>1256.2314719583762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945980</v>
      </c>
      <c r="E25" s="59">
        <f t="shared" si="0"/>
        <v>3127220</v>
      </c>
    </row>
    <row r="26" spans="1:5" x14ac:dyDescent="0.3">
      <c r="B26" s="2">
        <v>3</v>
      </c>
      <c r="C26" s="35" t="s">
        <v>95</v>
      </c>
      <c r="D26" s="45">
        <f>+D66</f>
        <v>223310</v>
      </c>
      <c r="E26" s="59">
        <f t="shared" si="0"/>
        <v>738210</v>
      </c>
    </row>
    <row r="27" spans="1:5" x14ac:dyDescent="0.3">
      <c r="B27" s="2">
        <v>4</v>
      </c>
      <c r="C27" s="35" t="s">
        <v>96</v>
      </c>
      <c r="D27" s="45">
        <f>+D95</f>
        <v>336070</v>
      </c>
      <c r="E27" s="59">
        <f t="shared" si="0"/>
        <v>1110980</v>
      </c>
    </row>
    <row r="28" spans="1:5" x14ac:dyDescent="0.3">
      <c r="B28" s="2">
        <v>5</v>
      </c>
      <c r="C28" s="35" t="s">
        <v>97</v>
      </c>
      <c r="D28" s="45">
        <f>+D119</f>
        <v>204260</v>
      </c>
      <c r="E28" s="59">
        <f t="shared" si="0"/>
        <v>675240</v>
      </c>
    </row>
    <row r="29" spans="1:5" x14ac:dyDescent="0.3">
      <c r="B29" s="2">
        <v>6</v>
      </c>
      <c r="C29" s="35" t="s">
        <v>98</v>
      </c>
      <c r="D29" s="45">
        <f>+D133</f>
        <v>76980</v>
      </c>
      <c r="E29" s="59">
        <f t="shared" si="0"/>
        <v>254480</v>
      </c>
    </row>
    <row r="30" spans="1:5" x14ac:dyDescent="0.3">
      <c r="B30" s="2">
        <v>7</v>
      </c>
      <c r="C30" s="35" t="s">
        <v>99</v>
      </c>
      <c r="D30" s="45">
        <f>+D146</f>
        <v>110290</v>
      </c>
      <c r="E30" s="59">
        <f t="shared" si="0"/>
        <v>364590</v>
      </c>
    </row>
    <row r="31" spans="1:5" x14ac:dyDescent="0.3">
      <c r="B31" s="2">
        <v>8</v>
      </c>
      <c r="C31" s="35" t="s">
        <v>100</v>
      </c>
      <c r="D31" s="45">
        <f>+D154</f>
        <v>144520</v>
      </c>
      <c r="E31" s="59">
        <f t="shared" si="0"/>
        <v>477750</v>
      </c>
    </row>
    <row r="32" spans="1:5" x14ac:dyDescent="0.3">
      <c r="B32" s="2">
        <v>9</v>
      </c>
      <c r="C32" s="35" t="s">
        <v>101</v>
      </c>
      <c r="D32" s="45">
        <f>+D161</f>
        <v>41250</v>
      </c>
      <c r="E32" s="59">
        <f t="shared" si="0"/>
        <v>136360</v>
      </c>
    </row>
    <row r="33" spans="1:7" x14ac:dyDescent="0.3">
      <c r="B33" s="2">
        <v>10</v>
      </c>
      <c r="C33" s="35" t="s">
        <v>154</v>
      </c>
      <c r="D33" s="53">
        <f>TRUNC(SUM(D24:D32)*0.275,-1)</f>
        <v>572730</v>
      </c>
      <c r="E33" s="60">
        <f t="shared" si="0"/>
        <v>1893330</v>
      </c>
    </row>
    <row r="34" spans="1:7" x14ac:dyDescent="0.3">
      <c r="C34" s="35" t="s">
        <v>112</v>
      </c>
      <c r="D34" s="44">
        <f>SUM(D24:D33)</f>
        <v>2655390</v>
      </c>
      <c r="E34" s="44">
        <f>SUM(E24:E33)</f>
        <v>8778160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v>74850</v>
      </c>
      <c r="E40" s="62">
        <f t="shared" ref="E40:E59" si="1">TRUNC(+D40*3.3058,-1)</f>
        <v>247430</v>
      </c>
    </row>
    <row r="41" spans="1:7" x14ac:dyDescent="0.3">
      <c r="A41" s="2">
        <v>2</v>
      </c>
      <c r="C41" s="38" t="s">
        <v>13</v>
      </c>
      <c r="D41" s="42">
        <f>TRUNC(178429,-1)</f>
        <v>178420</v>
      </c>
      <c r="E41" s="63">
        <f t="shared" si="1"/>
        <v>589820</v>
      </c>
    </row>
    <row r="42" spans="1:7" x14ac:dyDescent="0.3">
      <c r="A42" s="2">
        <v>3</v>
      </c>
      <c r="C42" s="38" t="s">
        <v>14</v>
      </c>
      <c r="D42" s="42">
        <f>TRUNC(49764,-1)</f>
        <v>49760</v>
      </c>
      <c r="E42" s="63">
        <f t="shared" si="1"/>
        <v>164490</v>
      </c>
    </row>
    <row r="43" spans="1:7" x14ac:dyDescent="0.3">
      <c r="A43" s="2">
        <v>4</v>
      </c>
      <c r="C43" s="38" t="s">
        <v>16</v>
      </c>
      <c r="D43" s="42">
        <f>TRUNC(28296,-1)</f>
        <v>28290</v>
      </c>
      <c r="E43" s="63">
        <f t="shared" si="1"/>
        <v>93520</v>
      </c>
    </row>
    <row r="44" spans="1:7" x14ac:dyDescent="0.3">
      <c r="A44" s="2">
        <v>5</v>
      </c>
      <c r="C44" s="38" t="s">
        <v>17</v>
      </c>
      <c r="D44" s="42">
        <f>TRUNC(24748,-1)</f>
        <v>24740</v>
      </c>
      <c r="E44" s="63">
        <f t="shared" si="1"/>
        <v>81780</v>
      </c>
    </row>
    <row r="45" spans="1:7" x14ac:dyDescent="0.3">
      <c r="A45" s="2">
        <v>6</v>
      </c>
      <c r="C45" s="38" t="s">
        <v>18</v>
      </c>
      <c r="D45" s="42">
        <f>TRUNC(20587,-1)</f>
        <v>20580</v>
      </c>
      <c r="E45" s="63">
        <f t="shared" si="1"/>
        <v>68030</v>
      </c>
    </row>
    <row r="46" spans="1:7" x14ac:dyDescent="0.3">
      <c r="A46" s="2">
        <v>7</v>
      </c>
      <c r="C46" s="38" t="s">
        <v>19</v>
      </c>
      <c r="D46" s="42">
        <v>7320</v>
      </c>
      <c r="E46" s="63">
        <f t="shared" si="1"/>
        <v>24190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TRUNC(56267,-1)</f>
        <v>56260</v>
      </c>
      <c r="E48" s="63">
        <f t="shared" si="1"/>
        <v>185980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TRUNC(27423,-1)</f>
        <v>27420</v>
      </c>
      <c r="E49" s="63">
        <f t="shared" si="1"/>
        <v>90640</v>
      </c>
    </row>
    <row r="50" spans="1:7" x14ac:dyDescent="0.3">
      <c r="A50" s="2">
        <v>11</v>
      </c>
      <c r="C50" s="38" t="s">
        <v>155</v>
      </c>
      <c r="D50" s="42">
        <f>TRUNC(74584,-1)</f>
        <v>74580</v>
      </c>
      <c r="E50" s="63">
        <f t="shared" si="1"/>
        <v>246540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10490</v>
      </c>
      <c r="E52" s="63">
        <f t="shared" si="1"/>
        <v>34670</v>
      </c>
    </row>
    <row r="53" spans="1:7" x14ac:dyDescent="0.3">
      <c r="A53" s="2">
        <v>14</v>
      </c>
      <c r="C53" s="38" t="s">
        <v>25</v>
      </c>
      <c r="D53" s="42">
        <f>TRUNC(85852,-1)</f>
        <v>85850</v>
      </c>
      <c r="E53" s="63">
        <f t="shared" si="1"/>
        <v>283800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TRUNC(1500+6879-969+23885,-1)</f>
        <v>31290</v>
      </c>
      <c r="E58" s="63">
        <f t="shared" si="1"/>
        <v>103430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TRUNC(276133,-1)</f>
        <v>276130</v>
      </c>
      <c r="E59" s="64">
        <f t="shared" si="1"/>
        <v>912830</v>
      </c>
    </row>
    <row r="60" spans="1:7" x14ac:dyDescent="0.3">
      <c r="A60" s="2">
        <v>21</v>
      </c>
      <c r="C60" s="27" t="s">
        <v>112</v>
      </c>
      <c r="D60" s="39">
        <f>SUM(D40:D59)</f>
        <v>945980</v>
      </c>
      <c r="E60" s="39">
        <f>SUM(E40:E59)</f>
        <v>3127150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TRUNC(223319,-1)</f>
        <v>223310</v>
      </c>
      <c r="E63" s="62">
        <f>TRUNC(+D63*3.3058,-1)</f>
        <v>738210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223310</v>
      </c>
      <c r="E66" s="65">
        <f>SUM(E63:E65)</f>
        <v>738210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TRUNC(16816,-1)</f>
        <v>16810</v>
      </c>
      <c r="E69" s="62">
        <f t="shared" ref="E69:E94" si="2">TRUNC(+D69*3.3058,-1)</f>
        <v>55570</v>
      </c>
    </row>
    <row r="70" spans="1:7" ht="16.5" customHeight="1" x14ac:dyDescent="0.3">
      <c r="A70" s="2">
        <v>2</v>
      </c>
      <c r="C70" s="38" t="s">
        <v>31</v>
      </c>
      <c r="D70" s="42">
        <f>TRUNC(4572,-1)</f>
        <v>4570</v>
      </c>
      <c r="E70" s="63">
        <f t="shared" si="2"/>
        <v>15100</v>
      </c>
    </row>
    <row r="71" spans="1:7" x14ac:dyDescent="0.3">
      <c r="A71" s="2">
        <v>3</v>
      </c>
      <c r="C71" s="38" t="s">
        <v>32</v>
      </c>
      <c r="D71" s="42">
        <f>TRUNC(9858,-1)</f>
        <v>9850</v>
      </c>
      <c r="E71" s="63">
        <f t="shared" si="2"/>
        <v>32560</v>
      </c>
    </row>
    <row r="72" spans="1:7" x14ac:dyDescent="0.3">
      <c r="A72" s="2">
        <v>4</v>
      </c>
      <c r="C72" s="38" t="s">
        <v>33</v>
      </c>
      <c r="D72" s="42">
        <f>TRUNC(2218,-1)</f>
        <v>2210</v>
      </c>
      <c r="E72" s="63">
        <f t="shared" si="2"/>
        <v>7300</v>
      </c>
    </row>
    <row r="73" spans="1:7" x14ac:dyDescent="0.3">
      <c r="A73" s="2">
        <v>5</v>
      </c>
      <c r="C73" s="38" t="s">
        <v>34</v>
      </c>
      <c r="D73" s="42">
        <f>TRUNC(15908,-1)</f>
        <v>15900</v>
      </c>
      <c r="E73" s="63">
        <f t="shared" si="2"/>
        <v>52560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TRUNC(16585,-1)</f>
        <v>16580</v>
      </c>
      <c r="E89" s="63">
        <f t="shared" si="2"/>
        <v>54810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TRUNC(12004,-1)</f>
        <v>12000</v>
      </c>
      <c r="E91" s="63">
        <f t="shared" si="2"/>
        <v>39660</v>
      </c>
    </row>
    <row r="92" spans="1:7" x14ac:dyDescent="0.3">
      <c r="A92" s="2">
        <v>24</v>
      </c>
      <c r="C92" s="38" t="s">
        <v>38</v>
      </c>
      <c r="D92" s="42">
        <f>TRUNC(8077,-1)</f>
        <v>8070</v>
      </c>
      <c r="E92" s="63">
        <f t="shared" si="2"/>
        <v>26670</v>
      </c>
    </row>
    <row r="93" spans="1:7" x14ac:dyDescent="0.3">
      <c r="A93" s="2">
        <v>25</v>
      </c>
      <c r="C93" s="38" t="s">
        <v>148</v>
      </c>
      <c r="D93" s="42">
        <f>TRUNC(243586,-1)</f>
        <v>243580</v>
      </c>
      <c r="E93" s="63">
        <f t="shared" si="2"/>
        <v>805220</v>
      </c>
    </row>
    <row r="94" spans="1:7" ht="17.25" thickBot="1" x14ac:dyDescent="0.35">
      <c r="A94" s="2">
        <v>26</v>
      </c>
      <c r="C94" s="38" t="s">
        <v>47</v>
      </c>
      <c r="D94" s="43">
        <f>TRUNC(6504,-1)</f>
        <v>6500</v>
      </c>
      <c r="E94" s="64">
        <f t="shared" si="2"/>
        <v>21480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336070</v>
      </c>
      <c r="E95" s="39">
        <f>SUM(E69:E94)</f>
        <v>1110930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TRUNC(16866,-1)</f>
        <v>16860</v>
      </c>
      <c r="E98" s="62">
        <f t="shared" ref="E98:E118" si="3">TRUNC(+D98*3.3058,-1)</f>
        <v>55730</v>
      </c>
    </row>
    <row r="99" spans="1:7" x14ac:dyDescent="0.3">
      <c r="A99" s="2">
        <v>2</v>
      </c>
      <c r="C99" s="38" t="s">
        <v>40</v>
      </c>
      <c r="D99" s="42">
        <f>TRUNC(23145,-1)</f>
        <v>23140</v>
      </c>
      <c r="E99" s="63">
        <f t="shared" si="3"/>
        <v>76490</v>
      </c>
    </row>
    <row r="100" spans="1:7" x14ac:dyDescent="0.3">
      <c r="A100" s="2">
        <v>3</v>
      </c>
      <c r="C100" s="38" t="s">
        <v>41</v>
      </c>
      <c r="D100" s="42">
        <f>TRUNC(37536,-1)</f>
        <v>37530</v>
      </c>
      <c r="E100" s="63">
        <f t="shared" si="3"/>
        <v>124060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TRUNC(18956,-1)</f>
        <v>18950</v>
      </c>
      <c r="E102" s="63">
        <f t="shared" si="3"/>
        <v>62640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TRUNC(8049,-1)</f>
        <v>8040</v>
      </c>
      <c r="E104" s="63">
        <f t="shared" si="3"/>
        <v>26570</v>
      </c>
    </row>
    <row r="105" spans="1:7" x14ac:dyDescent="0.3">
      <c r="A105" s="2">
        <v>8</v>
      </c>
      <c r="C105" s="38" t="s">
        <v>46</v>
      </c>
      <c r="D105" s="42">
        <v>3880</v>
      </c>
      <c r="E105" s="63">
        <f t="shared" si="3"/>
        <v>12820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f>TRUNC(13449,-1)</f>
        <v>13440</v>
      </c>
      <c r="E111" s="63">
        <f t="shared" si="3"/>
        <v>44420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TRUNC(13154,-1)</f>
        <v>13150</v>
      </c>
      <c r="E116" s="63">
        <f t="shared" si="3"/>
        <v>43470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TRUNC(68854,-1)</f>
        <v>68850</v>
      </c>
      <c r="E117" s="63">
        <f t="shared" si="3"/>
        <v>227600</v>
      </c>
    </row>
    <row r="118" spans="1:7" ht="17.25" thickBot="1" x14ac:dyDescent="0.35">
      <c r="A118" s="2">
        <v>21</v>
      </c>
      <c r="C118" s="38" t="s">
        <v>47</v>
      </c>
      <c r="D118" s="43">
        <f>TRUNC(422,-1)</f>
        <v>420</v>
      </c>
      <c r="E118" s="64">
        <f t="shared" si="3"/>
        <v>1380</v>
      </c>
    </row>
    <row r="119" spans="1:7" x14ac:dyDescent="0.3">
      <c r="A119" s="2">
        <v>22</v>
      </c>
      <c r="C119" s="27" t="s">
        <v>112</v>
      </c>
      <c r="D119" s="39">
        <f>SUM(D98:D118)</f>
        <v>204260</v>
      </c>
      <c r="E119" s="39">
        <f>SUM(E98:E118)</f>
        <v>675180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TRUNC(4158,-1)</f>
        <v>4150</v>
      </c>
      <c r="E122" s="62">
        <f t="shared" ref="E122:E132" si="4">TRUNC(+D122*3.3058,-1)</f>
        <v>13710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8140</v>
      </c>
      <c r="E125" s="63">
        <f t="shared" si="4"/>
        <v>26900</v>
      </c>
    </row>
    <row r="126" spans="1:7" x14ac:dyDescent="0.3">
      <c r="A126" s="2">
        <v>5</v>
      </c>
      <c r="C126" s="38" t="s">
        <v>53</v>
      </c>
      <c r="D126" s="42">
        <f>TRUNC(14617,-1)</f>
        <v>14610</v>
      </c>
      <c r="E126" s="63">
        <f t="shared" si="4"/>
        <v>48290</v>
      </c>
    </row>
    <row r="127" spans="1:7" x14ac:dyDescent="0.3">
      <c r="A127" s="2">
        <v>6</v>
      </c>
      <c r="C127" s="38" t="s">
        <v>56</v>
      </c>
      <c r="D127" s="42">
        <f>TRUNC(815,-1)</f>
        <v>810</v>
      </c>
      <c r="E127" s="63">
        <f t="shared" si="4"/>
        <v>2670</v>
      </c>
    </row>
    <row r="128" spans="1:7" x14ac:dyDescent="0.3">
      <c r="A128" s="2">
        <v>7</v>
      </c>
      <c r="C128" s="38" t="s">
        <v>46</v>
      </c>
      <c r="D128" s="42">
        <f>TRUNC(4264,-1)</f>
        <v>4260</v>
      </c>
      <c r="E128" s="63">
        <f t="shared" si="4"/>
        <v>14080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34640</v>
      </c>
      <c r="E130" s="63">
        <f t="shared" si="4"/>
        <v>114510</v>
      </c>
    </row>
    <row r="131" spans="1:7" x14ac:dyDescent="0.3">
      <c r="A131" s="2">
        <v>10</v>
      </c>
      <c r="C131" s="38" t="s">
        <v>148</v>
      </c>
      <c r="D131" s="42">
        <f>TRUNC(5638,-1)</f>
        <v>5630</v>
      </c>
      <c r="E131" s="63">
        <f t="shared" si="4"/>
        <v>18610</v>
      </c>
    </row>
    <row r="132" spans="1:7" ht="18" thickBot="1" x14ac:dyDescent="0.35">
      <c r="A132" s="2">
        <v>11</v>
      </c>
      <c r="C132" s="38" t="s">
        <v>47</v>
      </c>
      <c r="D132" s="43">
        <f>TRUNC(2592+1729+428,-1)</f>
        <v>4740</v>
      </c>
      <c r="E132" s="64">
        <f t="shared" si="4"/>
        <v>15660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76980</v>
      </c>
      <c r="E133" s="39">
        <f>SUM(E122:E132)</f>
        <v>254430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TRUNC(4951+5542,-1)</f>
        <v>10490</v>
      </c>
      <c r="E137" s="63">
        <f t="shared" si="5"/>
        <v>34670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5320</v>
      </c>
      <c r="E139" s="63">
        <f t="shared" si="5"/>
        <v>17580</v>
      </c>
    </row>
    <row r="140" spans="1:7" x14ac:dyDescent="0.3">
      <c r="A140" s="2">
        <v>5</v>
      </c>
      <c r="C140" s="38" t="s">
        <v>57</v>
      </c>
      <c r="D140" s="42">
        <f>TRUNC(3417,-1)</f>
        <v>3410</v>
      </c>
      <c r="E140" s="63">
        <f t="shared" si="5"/>
        <v>11270</v>
      </c>
    </row>
    <row r="141" spans="1:7" x14ac:dyDescent="0.3">
      <c r="A141" s="2">
        <v>6</v>
      </c>
      <c r="C141" s="38" t="s">
        <v>59</v>
      </c>
      <c r="D141" s="42">
        <f>TRUNC(31557,-1)</f>
        <v>31550</v>
      </c>
      <c r="E141" s="63">
        <f t="shared" si="5"/>
        <v>104290</v>
      </c>
    </row>
    <row r="142" spans="1:7" x14ac:dyDescent="0.3">
      <c r="A142" s="2">
        <v>7</v>
      </c>
      <c r="C142" s="38" t="s">
        <v>58</v>
      </c>
      <c r="D142" s="42">
        <v>17770</v>
      </c>
      <c r="E142" s="63">
        <f t="shared" si="5"/>
        <v>58740</v>
      </c>
    </row>
    <row r="143" spans="1:7" x14ac:dyDescent="0.3">
      <c r="A143" s="2">
        <v>8</v>
      </c>
      <c r="C143" s="38" t="s">
        <v>62</v>
      </c>
      <c r="D143" s="42">
        <f>TRUNC(6184,-1)</f>
        <v>6180</v>
      </c>
      <c r="E143" s="63">
        <f t="shared" si="5"/>
        <v>20420</v>
      </c>
    </row>
    <row r="144" spans="1:7" x14ac:dyDescent="0.3">
      <c r="A144" s="2">
        <v>9</v>
      </c>
      <c r="C144" s="38" t="s">
        <v>63</v>
      </c>
      <c r="D144" s="42">
        <f>TRUNC(35578,-1)</f>
        <v>35570</v>
      </c>
      <c r="E144" s="63">
        <f t="shared" si="5"/>
        <v>117580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110290</v>
      </c>
      <c r="E146" s="39">
        <f>SUM(E136:E145)</f>
        <v>364550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TRUNC(18585+6752,-1)</f>
        <v>25330</v>
      </c>
      <c r="E149" s="62">
        <f>TRUNC(+D149*3.3058,-1)</f>
        <v>83730</v>
      </c>
    </row>
    <row r="150" spans="1:7" x14ac:dyDescent="0.3">
      <c r="A150" s="2">
        <v>2</v>
      </c>
      <c r="C150" s="38" t="s">
        <v>49</v>
      </c>
      <c r="D150" s="42">
        <f>TRUNC(14104,-1)</f>
        <v>14100</v>
      </c>
      <c r="E150" s="63">
        <f>TRUNC(+D150*3.3058,-1)</f>
        <v>46610</v>
      </c>
    </row>
    <row r="151" spans="1:7" x14ac:dyDescent="0.3">
      <c r="A151" s="2">
        <v>3</v>
      </c>
      <c r="C151" s="38" t="s">
        <v>50</v>
      </c>
      <c r="D151" s="42">
        <f>TRUNC(35214,-1)</f>
        <v>35210</v>
      </c>
      <c r="E151" s="63">
        <f>TRUNC(+D151*3.3058,-1)</f>
        <v>116390</v>
      </c>
    </row>
    <row r="152" spans="1:7" x14ac:dyDescent="0.3">
      <c r="A152" s="2">
        <v>4</v>
      </c>
      <c r="C152" s="38" t="s">
        <v>47</v>
      </c>
      <c r="D152" s="42">
        <f>TRUNC(18994+3204,-1)</f>
        <v>22190</v>
      </c>
      <c r="E152" s="63">
        <f>TRUNC(+D152*3.3058,-1)</f>
        <v>73350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47690</v>
      </c>
      <c r="E153" s="64">
        <f>TRUNC(+D153*3.3058,-1)</f>
        <v>157650</v>
      </c>
    </row>
    <row r="154" spans="1:7" x14ac:dyDescent="0.3">
      <c r="A154" s="2">
        <v>6</v>
      </c>
      <c r="C154" s="27" t="s">
        <v>112</v>
      </c>
      <c r="D154" s="39">
        <f>SUM(D149:D153)</f>
        <v>144520</v>
      </c>
      <c r="E154" s="39">
        <f>SUM(E149:E153)</f>
        <v>477730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TRUNC(3732,-1)</f>
        <v>3730</v>
      </c>
      <c r="E157" s="62">
        <f>TRUNC(+D157*3.3058,-1)</f>
        <v>12330</v>
      </c>
    </row>
    <row r="158" spans="1:7" x14ac:dyDescent="0.3">
      <c r="A158" s="2">
        <v>2</v>
      </c>
      <c r="C158" s="38" t="s">
        <v>52</v>
      </c>
      <c r="D158" s="42">
        <v>4990</v>
      </c>
      <c r="E158" s="63">
        <f>TRUNC(+D158*3.3058,-1)</f>
        <v>16490</v>
      </c>
    </row>
    <row r="159" spans="1:7" x14ac:dyDescent="0.3">
      <c r="A159" s="2">
        <v>3</v>
      </c>
      <c r="C159" s="38" t="s">
        <v>47</v>
      </c>
      <c r="D159" s="42">
        <f>TRUNC(4181,-1)</f>
        <v>4180</v>
      </c>
      <c r="E159" s="63">
        <f>TRUNC(+D159*3.3058,-1)</f>
        <v>13810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TRUNC(28351,-1)</f>
        <v>28350</v>
      </c>
      <c r="E160" s="64">
        <f>TRUNC(+D160*3.3058,-1)</f>
        <v>93710</v>
      </c>
    </row>
    <row r="161" spans="1:5" x14ac:dyDescent="0.3">
      <c r="A161" s="2">
        <v>5</v>
      </c>
      <c r="C161" s="27" t="s">
        <v>112</v>
      </c>
      <c r="D161" s="39">
        <f>SUM(D157:D160)</f>
        <v>41250</v>
      </c>
      <c r="E161" s="39">
        <f>SUM(E157:E160)</f>
        <v>136340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2020-12-08T02:35:50Z</dcterms:modified>
</cp:coreProperties>
</file>