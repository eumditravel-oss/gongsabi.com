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66" i="4" l="1"/>
  <c r="E133" i="4"/>
  <c r="E146" i="4"/>
  <c r="E95" i="4"/>
  <c r="E154" i="4"/>
  <c r="D161" i="4"/>
  <c r="D32" i="4" s="1"/>
  <c r="E32" i="4" s="1"/>
  <c r="D154" i="4"/>
  <c r="D31" i="4" s="1"/>
  <c r="E31" i="4" s="1"/>
  <c r="D146" i="4"/>
  <c r="D133" i="4"/>
  <c r="D119" i="4"/>
  <c r="D28" i="4" s="1"/>
  <c r="E28" i="4" s="1"/>
  <c r="D95" i="4"/>
  <c r="D27" i="4" s="1"/>
  <c r="E27" i="4" s="1"/>
  <c r="D66" i="4"/>
  <c r="D60" i="4"/>
  <c r="D30" i="4"/>
  <c r="E30" i="4" s="1"/>
  <c r="D29" i="4"/>
  <c r="E29" i="4" s="1"/>
  <c r="D26" i="4"/>
  <c r="E26" i="4" s="1"/>
  <c r="D25" i="4"/>
  <c r="E25" i="4" s="1"/>
  <c r="D24" i="4"/>
  <c r="E24" i="4" s="1"/>
  <c r="D7" i="4"/>
  <c r="E34" i="4" l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<sst xmlns="http://schemas.openxmlformats.org/spreadsheetml/2006/main" count="385" uniqueCount="263">
  <si>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</si>
  <si>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</si>
  <si>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</si>
  <si>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</si>
  <si>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</si>
  <si>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</si>
  <si>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</si>
  <si>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</si>
  <si>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</si>
  <si>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</si>
  <si>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</si>
  <si>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</si>
  <si>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</si>
  <si>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</si>
  <si>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</si>
  <si>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</si>
  <si>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</si>
  <si>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</si>
  <si>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</si>
  <si>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</si>
  <si>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</si>
  <si>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</si>
  <si>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</si>
  <si>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</si>
  <si>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</si>
  <si>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</si>
  <si>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</si>
  <si>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</si>
  <si>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</si>
  <si>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</si>
  <si>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</si>
  <si>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</si>
  <si>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</si>
  <si>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</si>
  <si>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</si>
  <si>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</si>
  <si>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</si>
  <si>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</si>
  <si>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</si>
  <si>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</si>
  <si>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</si>
  <si>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</si>
  <si>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</si>
  <si>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</si>
  <si>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</si>
  <si>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</si>
  <si>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</si>
  <si>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</si>
  <si>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</si>
  <si>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</si>
  <si>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</si>
  <si>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</si>
  <si>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</si>
  <si>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</si>
  <si>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</si>
  <si>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</si>
  <si>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</si>
  <si>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</si>
  <si>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</si>
  <si>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</si>
  <si>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</si>
  <si>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</si>
  <si>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</si>
  <si>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</si>
  <si>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</si>
  <si>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</si>
  <si>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</si>
  <si>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</si>
  <si>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</si>
  <si>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</si>
  <si>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</si>
  <si>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</si>
  <si>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</si>
  <si>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</si>
  <si>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</si>
  <si>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</si>
  <si>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</si>
  <si>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</si>
  <si>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</si>
  <si>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</si>
  <si>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</si>
  <si>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</si>
  <si>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</si>
  <si>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</si>
  <si>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</si>
  <si>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</si>
  <si>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</si>
  <si>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</si>
  <si>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</si>
  <si>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</si>
  <si>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</si>
  <si>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</si>
  <si>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</si>
  <si>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</si>
  <si>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</si>
  <si>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</si>
  <si>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</si>
  <si>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</si>
  <si>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</si>
  <si>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</si>
  <si>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</si>
  <si>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</si>
  <si>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</si>
  <si>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</si>
  <si>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</si>
  <si>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</si>
  <si>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</si>
  <si>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</si>
  <si>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</si>
  <si>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</si>
  <si>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</si>
  <si>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</si>
  <si>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</si>
  <si>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</si>
  <si>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</si>
  <si>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</si>
  <si>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</si>
  <si>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</si>
  <si>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</si>
  <si>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</si>
  <si>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</si>
  <si>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</si>
  <si>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</si>
  <si>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</si>
  <si>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</si>
  <si>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</si>
  <si>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</si>
  <si>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</si>
  <si>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</si>
  <si>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</si>
  <si>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</si>
  <si>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</si>
  <si>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</si>
  <si>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</si>
  <si>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</si>
  <si>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</si>
  <si>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</si>
  <si>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</si>
  <si>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</si>
  <si>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</si>
  <si>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</si>
  <si>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</si>
  <si>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</si>
  <si>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</si>
  <si>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</si>
  <si>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</si>
  <si>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</si>
  <si>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</si>
  <si>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</si>
  <si>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</si>
  <si>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</si>
  <si>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</si>
  <si>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</si>
  <si>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</si>
  <si>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</si>
  <si>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</si>
  <si>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</si>
  <si>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</si>
  <si>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</si>
  <si>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</si>
  <si>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</si>
  <si>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</si>
  <si>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</si>
  <si>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</si>
  <si>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</si>
  <si>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</si>
  <si>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</si>
  <si>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</si>
  <si>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</si>
  <si>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</si>
  <si>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</si>
  <si>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</si>
  <si>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</si>
  <si>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</si>
  <si>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</si>
  <si>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</si>
  <si>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</si>
  <si>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</si>
  <si>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</si>
  <si>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</si>
  <si>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</si>
  <si>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</si>
  <si>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</si>
  <si>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</si>
  <si>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</si>
  <si>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</si>
  <si>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</si>
  <si>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</si>
  <si>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</si>
  <si>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</si>
  <si>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</si>
  <si>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</si>
  <si>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</si>
  <si>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</si>
  <si>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</si>
  <si>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</si>
  <si>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</si>
  <si>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</si>
  <si>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</si>
  <si>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</si>
  <si>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</si>
  <si>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</si>
  <si>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</si>
  <si>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</si>
  <si>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</si>
  <si>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</si>
  <si>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</si>
  <si>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</si>
  <si>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</si>
  <si>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</si>
  <si>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</si>
  <si>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</si>
  <si>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</si>
  <si>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</si>
  <si>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</si>
  <si>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</si>
  <si>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</si>
  <si>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</si>
  <si>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</si>
  <si>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</si>
  <si>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</si>
  <si>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</si>
  <si>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</si>
  <si>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</si>
  <si>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</si>
  <si>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</si>
  <si>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</si>
  <si>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</si>
  <si>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</si>
  <si>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</si>
  <si>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</si>
  <si>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</si>
  <si>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</si>
  <si>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</si>
  <si>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</si>
  <si>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</si>
  <si>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</si>
  <si>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</si>
  <si>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</si>
  <si>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</si>
  <si>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</si>
  <si>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</si>
  <si>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</si>
  <si>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</si>
  <si>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</si>
  <si>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</si>
  <si>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</si>
  <si>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</si>
  <si>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</si>
  <si>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</si>
  <si>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</si>
  <si>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</si>
  <si>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</si>
  <si>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경상도</t>
  </si>
  <si>
    <t>원/ m2</t>
    <phoneticPr fontId="2" type="noConversion"/>
  </si>
  <si>
    <t>원/ m2</t>
    <phoneticPr fontId="2" type="noConversion"/>
  </si>
  <si>
    <t>경상도 소재 00청사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</si>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</sst>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115" zoomScaleNormal="115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3849.2</v>
      </c>
      <c r="D7" s="36">
        <f>+C7/3.3058</f>
        <v>1164.3777603000785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257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565640</v>
      </c>
      <c r="E25" s="59">
        <f t="shared" si="0"/>
        <v>1869890</v>
      </c>
    </row>
    <row r="26" spans="1:5" x14ac:dyDescent="0.3">
      <c r="B26" s="2">
        <v>3</v>
      </c>
      <c r="C26" s="35" t="s">
        <v>95</v>
      </c>
      <c r="D26" s="45">
        <f>+D66</f>
        <v>19600</v>
      </c>
      <c r="E26" s="59">
        <f t="shared" si="0"/>
        <v>64790</v>
      </c>
    </row>
    <row r="27" spans="1:5" x14ac:dyDescent="0.3">
      <c r="B27" s="2">
        <v>4</v>
      </c>
      <c r="C27" s="35" t="s">
        <v>96</v>
      </c>
      <c r="D27" s="45">
        <f>+D95</f>
        <v>151910</v>
      </c>
      <c r="E27" s="59">
        <f t="shared" si="0"/>
        <v>502180</v>
      </c>
    </row>
    <row r="28" spans="1:5" x14ac:dyDescent="0.3">
      <c r="B28" s="2">
        <v>5</v>
      </c>
      <c r="C28" s="35" t="s">
        <v>97</v>
      </c>
      <c r="D28" s="45">
        <f>+D119</f>
        <v>103630</v>
      </c>
      <c r="E28" s="59">
        <f t="shared" si="0"/>
        <v>342580</v>
      </c>
    </row>
    <row r="29" spans="1:5" x14ac:dyDescent="0.3">
      <c r="B29" s="2">
        <v>6</v>
      </c>
      <c r="C29" s="35" t="s">
        <v>98</v>
      </c>
      <c r="D29" s="45">
        <f>+D133</f>
        <v>47540</v>
      </c>
      <c r="E29" s="59">
        <f t="shared" si="0"/>
        <v>157150</v>
      </c>
    </row>
    <row r="30" spans="1:5" x14ac:dyDescent="0.3">
      <c r="B30" s="2">
        <v>7</v>
      </c>
      <c r="C30" s="35" t="s">
        <v>99</v>
      </c>
      <c r="D30" s="45">
        <f>+D146</f>
        <v>9590</v>
      </c>
      <c r="E30" s="59">
        <f t="shared" si="0"/>
        <v>31700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233550</v>
      </c>
      <c r="E33" s="60">
        <f t="shared" si="0"/>
        <v>772060</v>
      </c>
    </row>
    <row r="34" spans="1:7" x14ac:dyDescent="0.3">
      <c r="C34" s="35" t="s">
        <v>112</v>
      </c>
      <c r="D34" s="44">
        <f>SUM(D24:D33)</f>
        <v>1131460</v>
      </c>
      <c r="E34" s="44">
        <f>SUM(E24:E33)</f>
        <v>3740350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254</v>
      </c>
      <c r="E36" s="56" t="s">
        <v>257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39670</v>
      </c>
      <c r="E40" s="62">
        <f t="shared" ref="E40:E59" si="1">TRUNC(+D40*3.3058,-1)</f>
        <v>131140</v>
      </c>
    </row>
    <row r="41" spans="1:7" x14ac:dyDescent="0.3">
      <c r="A41" s="2">
        <v>2</v>
      </c>
      <c r="C41" s="38" t="s">
        <v>13</v>
      </c>
      <c r="D41" s="42">
        <v>204730</v>
      </c>
      <c r="E41" s="63">
        <f t="shared" si="1"/>
        <v>676790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321240</v>
      </c>
      <c r="E58" s="63">
        <f t="shared" si="1"/>
        <v>1061950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565640</v>
      </c>
      <c r="E60" s="39">
        <f>SUM(E40:E59)</f>
        <v>1869880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255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v>19600</v>
      </c>
      <c r="E63" s="62">
        <f>TRUNC(+D63*3.3058,-1)</f>
        <v>64790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19600</v>
      </c>
      <c r="E66" s="57">
        <f>SUM(E63:E65)</f>
        <v>64790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255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v>12030</v>
      </c>
      <c r="E69" s="62">
        <f>TRUNC(+D69*3.3058,-1)</f>
        <v>39760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3170</v>
      </c>
      <c r="E74" s="63">
        <f>TRUNC(+D74*3.3058,-1)</f>
        <v>10470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2110</v>
      </c>
      <c r="E84" s="63">
        <f>TRUNC(+D84*3.3058,-1)</f>
        <v>6970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920</v>
      </c>
      <c r="E90" s="63">
        <f>TRUNC(+D90*3.3058,-1)</f>
        <v>3040</v>
      </c>
    </row>
    <row r="91" spans="1:7" x14ac:dyDescent="0.3">
      <c r="A91" s="2">
        <v>23</v>
      </c>
      <c r="C91" s="38" t="s">
        <v>37</v>
      </c>
      <c r="D91" s="42">
        <v>1840</v>
      </c>
      <c r="E91" s="63">
        <f>TRUNC(+D91*3.3058,-1)</f>
        <v>6080</v>
      </c>
    </row>
    <row r="92" spans="1:7" x14ac:dyDescent="0.3">
      <c r="A92" s="2">
        <v>24</v>
      </c>
      <c r="C92" s="38" t="s">
        <v>38</v>
      </c>
      <c r="D92" s="42">
        <v>20370</v>
      </c>
      <c r="E92" s="63">
        <f>TRUNC(+D92*3.3058,-1)</f>
        <v>67330</v>
      </c>
    </row>
    <row r="93" spans="1:7" x14ac:dyDescent="0.3">
      <c r="A93" s="2">
        <v>25</v>
      </c>
      <c r="C93" s="38" t="s">
        <v>148</v>
      </c>
      <c r="D93" s="42">
        <v>111470</v>
      </c>
      <c r="E93" s="63">
        <f>TRUNC(+D93*3.3058,-1)</f>
        <v>368490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151910</v>
      </c>
      <c r="E95" s="39">
        <f>SUM(E69:E94)</f>
        <v>502140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255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29130</v>
      </c>
      <c r="E100" s="63">
        <f t="shared" si="4"/>
        <v>96290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27700</v>
      </c>
      <c r="E116" s="63">
        <f t="shared" si="4"/>
        <v>91570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43200</v>
      </c>
      <c r="E117" s="63">
        <f t="shared" si="4"/>
        <v>142810</v>
      </c>
    </row>
    <row r="118" spans="1:7" ht="17.25" thickBot="1" x14ac:dyDescent="0.35">
      <c r="A118" s="2">
        <v>21</v>
      </c>
      <c r="C118" s="38" t="s">
        <v>47</v>
      </c>
      <c r="D118" s="43">
        <v>3600</v>
      </c>
      <c r="E118" s="64">
        <f t="shared" si="4"/>
        <v>11900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103630</v>
      </c>
      <c r="E119" s="39">
        <f>SUM(E98:E118)</f>
        <v>342570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255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2750</v>
      </c>
      <c r="E125" s="63">
        <f t="shared" si="5"/>
        <v>9090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10730</v>
      </c>
      <c r="E130" s="63">
        <f t="shared" si="5"/>
        <v>35470</v>
      </c>
    </row>
    <row r="131" spans="1:7" x14ac:dyDescent="0.3">
      <c r="A131" s="2">
        <v>10</v>
      </c>
      <c r="C131" s="38" t="s">
        <v>148</v>
      </c>
      <c r="D131" s="42">
        <v>34060</v>
      </c>
      <c r="E131" s="63">
        <f t="shared" si="5"/>
        <v>112590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47540</v>
      </c>
      <c r="E133" s="39">
        <f>SUM(E122:E132)</f>
        <v>157150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255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4420</v>
      </c>
      <c r="E136" s="62">
        <f t="shared" ref="E136:E145" si="6">TRUNC(+D136*3.3058,-1)</f>
        <v>14610</v>
      </c>
    </row>
    <row r="137" spans="1:7" x14ac:dyDescent="0.3">
      <c r="A137" s="2">
        <v>2</v>
      </c>
      <c r="C137" s="38" t="s">
        <v>47</v>
      </c>
      <c r="D137" s="42">
        <v>5170</v>
      </c>
      <c r="E137" s="63">
        <f t="shared" si="6"/>
        <v>17090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9590</v>
      </c>
      <c r="E146" s="39">
        <f>SUM(E136:E145)</f>
        <v>31700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255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255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6" x14ac:dyDescent="0.3">
      <c r="A161" s="2">
        <v>5</v>
      </c>
      <c r="C161" s="27" t="s">
        <v>112</v>
      </c>
      <c r="D161" s="39">
        <f>SUM(D157:D160)</f>
        <v>0</v>
      </c>
      <c r="E161" s="39">
        <f t="shared" ref="E161" si="7">SUM(E157:E160)</f>
        <v>0</v>
      </c>
      <c r="F161" s="39"/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2020-12-07T08:51:19Z</dcterms:modified>
</cp:coreProperties>
</file>