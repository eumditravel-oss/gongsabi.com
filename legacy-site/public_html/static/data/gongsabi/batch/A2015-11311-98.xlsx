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5" i="4"/>
  <c r="E141" i="4"/>
  <c r="E139" i="4"/>
  <c r="E138" i="4"/>
  <c r="E136" i="4"/>
  <c r="E129" i="4"/>
  <c r="E127" i="4"/>
  <c r="E126" i="4"/>
  <c r="E124" i="4"/>
  <c r="E123" i="4"/>
  <c r="E115" i="4"/>
  <c r="E113" i="4"/>
  <c r="E112" i="4"/>
  <c r="E111" i="4"/>
  <c r="E110" i="4"/>
  <c r="E109" i="4"/>
  <c r="E108" i="4"/>
  <c r="E107" i="4"/>
  <c r="E106" i="4"/>
  <c r="E101" i="4"/>
  <c r="E98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65" i="4"/>
  <c r="E64" i="4"/>
  <c r="E57" i="4"/>
  <c r="E56" i="4"/>
  <c r="E55" i="4"/>
  <c r="E54" i="4"/>
  <c r="E51" i="4"/>
  <c r="E49" i="4"/>
  <c r="E47" i="4"/>
  <c r="E43" i="4"/>
  <c r="E42" i="4"/>
  <c r="E37" i="4"/>
  <c r="E161" i="4" l="1"/>
  <c r="D161" i="4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5" i="4"/>
  <c r="E125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0" i="4"/>
  <c r="E100" i="4" s="1"/>
  <c r="E119" i="4" s="1"/>
  <c r="D99" i="4"/>
  <c r="E99" i="4" s="1"/>
  <c r="D94" i="4"/>
  <c r="E94" i="4" s="1"/>
  <c r="D93" i="4"/>
  <c r="E93" i="4" s="1"/>
  <c r="D92" i="4"/>
  <c r="E92" i="4" s="1"/>
  <c r="D91" i="4"/>
  <c r="E91" i="4" s="1"/>
  <c r="D89" i="4"/>
  <c r="E89" i="4" s="1"/>
  <c r="D76" i="4"/>
  <c r="E76" i="4" s="1"/>
  <c r="D73" i="4"/>
  <c r="E73" i="4" s="1"/>
  <c r="D72" i="4"/>
  <c r="E72" i="4" s="1"/>
  <c r="D71" i="4"/>
  <c r="E71" i="4" s="1"/>
  <c r="D70" i="4"/>
  <c r="E70" i="4" s="1"/>
  <c r="D69" i="4"/>
  <c r="D63" i="4"/>
  <c r="D59" i="4"/>
  <c r="E59" i="4" s="1"/>
  <c r="D58" i="4"/>
  <c r="E58" i="4" s="1"/>
  <c r="D53" i="4"/>
  <c r="E53" i="4" s="1"/>
  <c r="D52" i="4"/>
  <c r="E52" i="4" s="1"/>
  <c r="D50" i="4"/>
  <c r="E50" i="4" s="1"/>
  <c r="D48" i="4"/>
  <c r="E48" i="4" s="1"/>
  <c r="D46" i="4"/>
  <c r="E46" i="4" s="1"/>
  <c r="D45" i="4"/>
  <c r="E45" i="4" s="1"/>
  <c r="D44" i="4"/>
  <c r="E44" i="4" s="1"/>
  <c r="D41" i="4"/>
  <c r="E41" i="4" s="1"/>
  <c r="D40" i="4"/>
  <c r="D32" i="4"/>
  <c r="E32" i="4" s="1"/>
  <c r="D24" i="4"/>
  <c r="E24" i="4" s="1"/>
  <c r="D7" i="4"/>
  <c r="D133" i="4" l="1"/>
  <c r="D29" i="4" s="1"/>
  <c r="E29" i="4" s="1"/>
  <c r="E122" i="4"/>
  <c r="E133" i="4" s="1"/>
  <c r="D60" i="4"/>
  <c r="D25" i="4" s="1"/>
  <c r="E25" i="4" s="1"/>
  <c r="E40" i="4"/>
  <c r="E60" i="4" s="1"/>
  <c r="D95" i="4"/>
  <c r="D27" i="4" s="1"/>
  <c r="E27" i="4" s="1"/>
  <c r="E69" i="4"/>
  <c r="E95" i="4" s="1"/>
  <c r="D146" i="4"/>
  <c r="D30" i="4" s="1"/>
  <c r="E30" i="4" s="1"/>
  <c r="E137" i="4"/>
  <c r="E146" i="4" s="1"/>
  <c r="D119" i="4"/>
  <c r="D28" i="4" s="1"/>
  <c r="E28" i="4" s="1"/>
  <c r="D154" i="4"/>
  <c r="D31" i="4" s="1"/>
  <c r="E31" i="4" s="1"/>
  <c r="E149" i="4"/>
  <c r="E154" i="4" s="1"/>
  <c r="D66" i="4"/>
  <c r="D26" i="4" s="1"/>
  <c r="E26" i="4" s="1"/>
  <c r="E63" i="4"/>
  <c r="E66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<sst xmlns="http://schemas.openxmlformats.org/spreadsheetml/2006/main" count="395" uniqueCount="267">
  <si>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</si>
  <si>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</si>
  <si>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</si>
  <si>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</si>
  <si>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</si>
  <si>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</si>
  <si>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</si>
  <si>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</si>
  <si>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</si>
  <si>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</si>
  <si>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</si>
  <si>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</si>
  <si>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</si>
  <si>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</si>
  <si>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</si>
  <si>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</si>
  <si>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</si>
  <si>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</si>
  <si>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</si>
  <si>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</si>
  <si>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</si>
  <si>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</si>
  <si>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</si>
  <si>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</si>
  <si>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</si>
  <si>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</si>
  <si>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</si>
  <si>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</si>
  <si>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</si>
  <si>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</si>
  <si>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</si>
  <si>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</si>
  <si>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</si>
  <si>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</si>
  <si>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</si>
  <si>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</si>
  <si>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</si>
  <si>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</si>
  <si>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</si>
  <si>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</si>
  <si>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</si>
  <si>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</si>
  <si>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</si>
  <si>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</si>
  <si>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</si>
  <si>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</si>
  <si>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</si>
  <si>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</si>
  <si>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</si>
  <si>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</si>
  <si>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</si>
  <si>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</si>
  <si>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</si>
  <si>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</si>
  <si>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</si>
  <si>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</si>
  <si>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</si>
  <si>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</si>
  <si>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</si>
  <si>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</si>
  <si>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</si>
  <si>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</si>
  <si>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</si>
  <si>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</si>
  <si>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</si>
  <si>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</si>
  <si>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</si>
  <si>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</si>
  <si>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</si>
  <si>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</si>
  <si>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</si>
  <si>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</si>
  <si>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</si>
  <si>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</si>
  <si>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</si>
  <si>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</si>
  <si>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</si>
  <si>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</si>
  <si>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</si>
  <si>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</si>
  <si>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</si>
  <si>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</si>
  <si>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</si>
  <si>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</si>
  <si>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</si>
  <si>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</si>
  <si>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</si>
  <si>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</si>
  <si>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</si>
  <si>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</si>
  <si>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</si>
  <si>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</si>
  <si>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</si>
  <si>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</si>
  <si>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</si>
  <si>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</si>
  <si>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</si>
  <si>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</si>
  <si>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</si>
  <si>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</si>
  <si>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</si>
  <si>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</si>
  <si>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</si>
  <si>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</si>
  <si>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</si>
  <si>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</si>
  <si>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</si>
  <si>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</si>
  <si>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</si>
  <si>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</si>
  <si>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</si>
  <si>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</si>
  <si>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</si>
  <si>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</si>
  <si>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</si>
  <si>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</si>
  <si>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</si>
  <si>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</si>
  <si>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</si>
  <si>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</si>
  <si>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</si>
  <si>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</si>
  <si>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</si>
  <si>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</si>
  <si>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</si>
  <si>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</si>
  <si>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</si>
  <si>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</si>
  <si>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</si>
  <si>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</si>
  <si>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</si>
  <si>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</si>
  <si>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</si>
  <si>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</si>
  <si>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</si>
  <si>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</si>
  <si>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</si>
  <si>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</si>
  <si>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</si>
  <si>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</si>
  <si>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</si>
  <si>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</si>
  <si>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</si>
  <si>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</si>
  <si>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</si>
  <si>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</si>
  <si>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</si>
  <si>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</si>
  <si>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</si>
  <si>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</si>
  <si>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</si>
  <si>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</si>
  <si>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</si>
  <si>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</si>
  <si>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</si>
  <si>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</si>
  <si>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</si>
  <si>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</si>
  <si>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</si>
  <si>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</si>
  <si>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</si>
  <si>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</si>
  <si>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</si>
  <si>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</si>
  <si>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</si>
  <si>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</si>
  <si>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</si>
  <si>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</si>
  <si>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</si>
  <si>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</si>
  <si>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</si>
  <si>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</si>
  <si>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</si>
  <si>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</si>
  <si>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</si>
  <si>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</si>
  <si>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</si>
  <si>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</si>
  <si>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</si>
  <si>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</si>
  <si>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</si>
  <si>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</si>
  <si>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</si>
  <si>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</si>
  <si>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</si>
  <si>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</si>
  <si>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</si>
  <si>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</si>
  <si>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</si>
  <si>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</si>
  <si>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</si>
  <si>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</si>
  <si>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</si>
  <si>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</si>
  <si>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</si>
  <si>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</si>
  <si>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</si>
  <si>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</si>
  <si>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</si>
  <si>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</si>
  <si>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</si>
  <si>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</si>
  <si>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</si>
  <si>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</si>
  <si>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</si>
  <si>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</si>
  <si>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</si>
  <si>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</si>
  <si>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</si>
  <si>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</si>
  <si>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</si>
  <si>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</si>
  <si>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</si>
  <si>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</si>
  <si>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</si>
  <si>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</si>
  <si>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</si>
  <si>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</si>
  <si>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</si>
  <si>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</si>
  <si>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</si>
  <si>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</si>
  <si>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</si>
  <si>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</si>
  <si>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</si>
  <si>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</si>
  <si>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</si>
  <si>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</si>
  <si>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</si>
  <si>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</si>
  <si>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</si>
  <si>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</si>
  <si>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</si>
  <si>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</si>
  <si>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</si>
  <si>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</si>
  <si>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</si>
  <si>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</si>
  <si>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</si>
  <si>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</si>
  <si>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</si>
  <si>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</si>
  <si>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</si>
  <si>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</si>
  <si>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</si>
  <si>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</si>
  <si>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</si>
  <si>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(가칭)단양기숙형중학교 신축공사</t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</si>
  <si>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</si>
  <si>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</si>
  <si>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</si>
  <si>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</si>
  <si>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</si>
  <si>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기초공사,골재비및운반비,작업부산물, 품질시험비, 기타공사</t>
    <phoneticPr fontId="2" type="noConversion"/>
  </si>
  <si>
    <t>공조배관공사, 우수처리시설공사,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</si>
  <si>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</si>
  <si>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</si>
  <si>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</si>
  <si>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옥외소화배관공사, 펌프실배관공사, 기타공사</t>
    <phoneticPr fontId="2" type="noConversion"/>
  </si>
  <si>
    <t>토목</t>
    <phoneticPr fontId="2" type="noConversion"/>
  </si>
  <si>
    <t>토목 상수도공사, 운반비, 기타공사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</si>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</sst>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9793.1299999999992</v>
      </c>
      <c r="D7" s="36">
        <f>+C7/3.3058</f>
        <v>2962.4084941617762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996860</v>
      </c>
      <c r="E25" s="59">
        <f t="shared" si="0"/>
        <v>3295410</v>
      </c>
    </row>
    <row r="26" spans="1:5" x14ac:dyDescent="0.3">
      <c r="B26" s="2">
        <v>3</v>
      </c>
      <c r="C26" s="35" t="s">
        <v>95</v>
      </c>
      <c r="D26" s="45">
        <f>+D66</f>
        <v>33420</v>
      </c>
      <c r="E26" s="59">
        <f t="shared" si="0"/>
        <v>110470</v>
      </c>
    </row>
    <row r="27" spans="1:5" x14ac:dyDescent="0.3">
      <c r="B27" s="2">
        <v>4</v>
      </c>
      <c r="C27" s="35" t="s">
        <v>96</v>
      </c>
      <c r="D27" s="45">
        <f>+D95</f>
        <v>165500</v>
      </c>
      <c r="E27" s="59">
        <f t="shared" si="0"/>
        <v>547100</v>
      </c>
    </row>
    <row r="28" spans="1:5" x14ac:dyDescent="0.3">
      <c r="B28" s="2">
        <v>5</v>
      </c>
      <c r="C28" s="35" t="s">
        <v>97</v>
      </c>
      <c r="D28" s="45">
        <f>+D119</f>
        <v>118240</v>
      </c>
      <c r="E28" s="59">
        <f t="shared" si="0"/>
        <v>390870</v>
      </c>
    </row>
    <row r="29" spans="1:5" x14ac:dyDescent="0.3">
      <c r="B29" s="2">
        <v>6</v>
      </c>
      <c r="C29" s="35" t="s">
        <v>98</v>
      </c>
      <c r="D29" s="45">
        <f>+D133</f>
        <v>36840</v>
      </c>
      <c r="E29" s="59">
        <f t="shared" si="0"/>
        <v>121780</v>
      </c>
    </row>
    <row r="30" spans="1:5" x14ac:dyDescent="0.3">
      <c r="B30" s="2">
        <v>7</v>
      </c>
      <c r="C30" s="35" t="s">
        <v>99</v>
      </c>
      <c r="D30" s="45">
        <f>+D146</f>
        <v>25000</v>
      </c>
      <c r="E30" s="59">
        <f t="shared" si="0"/>
        <v>82640</v>
      </c>
    </row>
    <row r="31" spans="1:5" x14ac:dyDescent="0.3">
      <c r="B31" s="2">
        <v>8</v>
      </c>
      <c r="C31" s="35" t="s">
        <v>100</v>
      </c>
      <c r="D31" s="45">
        <f>+D154</f>
        <v>49490</v>
      </c>
      <c r="E31" s="59">
        <f t="shared" si="0"/>
        <v>163600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391970</v>
      </c>
      <c r="E33" s="60">
        <f t="shared" si="0"/>
        <v>1295770</v>
      </c>
    </row>
    <row r="34" spans="1:7" x14ac:dyDescent="0.3">
      <c r="C34" s="35" t="s">
        <v>112</v>
      </c>
      <c r="D34" s="44">
        <f>SUM(D24:D33)</f>
        <v>1817320</v>
      </c>
      <c r="E34" s="44">
        <f>SUM(E24:E33)</f>
        <v>6007640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261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TRUNC(52564,-1)</f>
        <v>52560</v>
      </c>
      <c r="E40" s="62">
        <f t="shared" ref="E40:E59" si="1">TRUNC(+D40*3.3058,-1)</f>
        <v>173750</v>
      </c>
    </row>
    <row r="41" spans="1:7" x14ac:dyDescent="0.3">
      <c r="A41" s="2">
        <v>2</v>
      </c>
      <c r="C41" s="38" t="s">
        <v>13</v>
      </c>
      <c r="D41" s="42">
        <f>TRUNC(195031,-1)</f>
        <v>195030</v>
      </c>
      <c r="E41" s="63">
        <f t="shared" si="1"/>
        <v>644730</v>
      </c>
    </row>
    <row r="42" spans="1:7" x14ac:dyDescent="0.3">
      <c r="A42" s="2">
        <v>3</v>
      </c>
      <c r="C42" s="38" t="s">
        <v>14</v>
      </c>
      <c r="D42" s="42">
        <v>4130</v>
      </c>
      <c r="E42" s="63">
        <f t="shared" si="1"/>
        <v>13650</v>
      </c>
    </row>
    <row r="43" spans="1:7" x14ac:dyDescent="0.3">
      <c r="A43" s="2">
        <v>4</v>
      </c>
      <c r="C43" s="38" t="s">
        <v>16</v>
      </c>
      <c r="D43" s="42">
        <v>41040</v>
      </c>
      <c r="E43" s="63">
        <f t="shared" si="1"/>
        <v>135670</v>
      </c>
    </row>
    <row r="44" spans="1:7" x14ac:dyDescent="0.3">
      <c r="A44" s="2">
        <v>5</v>
      </c>
      <c r="C44" s="38" t="s">
        <v>17</v>
      </c>
      <c r="D44" s="42">
        <f>TRUNC(40463,-1)</f>
        <v>40460</v>
      </c>
      <c r="E44" s="63">
        <f t="shared" si="1"/>
        <v>133750</v>
      </c>
    </row>
    <row r="45" spans="1:7" x14ac:dyDescent="0.3">
      <c r="A45" s="2">
        <v>6</v>
      </c>
      <c r="C45" s="38" t="s">
        <v>18</v>
      </c>
      <c r="D45" s="42">
        <f>TRUNC(24285,-1)</f>
        <v>24280</v>
      </c>
      <c r="E45" s="63">
        <f t="shared" si="1"/>
        <v>80260</v>
      </c>
    </row>
    <row r="46" spans="1:7" x14ac:dyDescent="0.3">
      <c r="A46" s="2">
        <v>7</v>
      </c>
      <c r="C46" s="38" t="s">
        <v>19</v>
      </c>
      <c r="D46" s="42">
        <f>TRUNC(27954,-1)</f>
        <v>27950</v>
      </c>
      <c r="E46" s="63">
        <f t="shared" si="1"/>
        <v>92390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TRUNC(63675,-1)</f>
        <v>63670</v>
      </c>
      <c r="E48" s="63">
        <f t="shared" si="1"/>
        <v>210480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v>25120</v>
      </c>
      <c r="E49" s="63">
        <f t="shared" si="1"/>
        <v>83040</v>
      </c>
    </row>
    <row r="50" spans="1:7" x14ac:dyDescent="0.3">
      <c r="A50" s="2">
        <v>11</v>
      </c>
      <c r="C50" s="38" t="s">
        <v>154</v>
      </c>
      <c r="D50" s="42">
        <f>TRUNC(51382,-1)</f>
        <v>51380</v>
      </c>
      <c r="E50" s="63">
        <f t="shared" si="1"/>
        <v>169850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TRUNC(8815,-1)</f>
        <v>8810</v>
      </c>
      <c r="E52" s="63">
        <f t="shared" si="1"/>
        <v>29120</v>
      </c>
    </row>
    <row r="53" spans="1:7" x14ac:dyDescent="0.3">
      <c r="A53" s="2">
        <v>14</v>
      </c>
      <c r="C53" s="38" t="s">
        <v>25</v>
      </c>
      <c r="D53" s="42">
        <f>TRUNC(106268,-1)</f>
        <v>106260</v>
      </c>
      <c r="E53" s="63">
        <f t="shared" si="1"/>
        <v>351270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TRUNC(12383+4418-687+896+3819,-1)</f>
        <v>20820</v>
      </c>
      <c r="E58" s="63">
        <f t="shared" si="1"/>
        <v>68820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TRUNC(335358,-1)</f>
        <v>335350</v>
      </c>
      <c r="E59" s="64">
        <f t="shared" si="1"/>
        <v>1108600</v>
      </c>
    </row>
    <row r="60" spans="1:7" x14ac:dyDescent="0.3">
      <c r="A60" s="2">
        <v>21</v>
      </c>
      <c r="C60" s="27" t="s">
        <v>112</v>
      </c>
      <c r="D60" s="39">
        <f>SUM(D40:D59)</f>
        <v>996860</v>
      </c>
      <c r="E60" s="39">
        <f>SUM(E40:E59)</f>
        <v>3295380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261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TRUNC(33421,-1)</f>
        <v>33420</v>
      </c>
      <c r="E63" s="62">
        <f>TRUNC(+D63*3.3058,-1)</f>
        <v>110470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33420</v>
      </c>
      <c r="E66" s="57">
        <f>SUM(E63:E65)</f>
        <v>110470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261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TRUNC(8043,-1)</f>
        <v>8040</v>
      </c>
      <c r="E69" s="62">
        <f t="shared" ref="E69:E94" si="2">TRUNC(+D69*3.3058,-1)</f>
        <v>26570</v>
      </c>
    </row>
    <row r="70" spans="1:7" ht="16.5" customHeight="1" x14ac:dyDescent="0.3">
      <c r="A70" s="2">
        <v>2</v>
      </c>
      <c r="C70" s="38" t="s">
        <v>31</v>
      </c>
      <c r="D70" s="42">
        <f>TRUNC(1065,-1)</f>
        <v>1060</v>
      </c>
      <c r="E70" s="63">
        <f t="shared" si="2"/>
        <v>3500</v>
      </c>
    </row>
    <row r="71" spans="1:7" x14ac:dyDescent="0.3">
      <c r="A71" s="2">
        <v>3</v>
      </c>
      <c r="C71" s="38" t="s">
        <v>32</v>
      </c>
      <c r="D71" s="42">
        <f>TRUNC(2859,-1)</f>
        <v>2850</v>
      </c>
      <c r="E71" s="63">
        <f t="shared" si="2"/>
        <v>9420</v>
      </c>
    </row>
    <row r="72" spans="1:7" x14ac:dyDescent="0.3">
      <c r="A72" s="2">
        <v>4</v>
      </c>
      <c r="C72" s="38" t="s">
        <v>33</v>
      </c>
      <c r="D72" s="42">
        <f>TRUNC(3463,-1)</f>
        <v>3460</v>
      </c>
      <c r="E72" s="63">
        <f t="shared" si="2"/>
        <v>11430</v>
      </c>
    </row>
    <row r="73" spans="1:7" x14ac:dyDescent="0.3">
      <c r="A73" s="2">
        <v>5</v>
      </c>
      <c r="C73" s="38" t="s">
        <v>34</v>
      </c>
      <c r="D73" s="42">
        <f>TRUNC(19953,-1)</f>
        <v>19950</v>
      </c>
      <c r="E73" s="63">
        <f t="shared" si="2"/>
        <v>65950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TRUNC(18215,-1)</f>
        <v>18210</v>
      </c>
      <c r="E76" s="63">
        <f t="shared" si="2"/>
        <v>60190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TRUNC(10466,-1)</f>
        <v>10460</v>
      </c>
      <c r="E89" s="63">
        <f t="shared" si="2"/>
        <v>34570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TRUNC(1032,-1)</f>
        <v>1030</v>
      </c>
      <c r="E91" s="63">
        <f t="shared" si="2"/>
        <v>3400</v>
      </c>
    </row>
    <row r="92" spans="1:7" x14ac:dyDescent="0.3">
      <c r="A92" s="2">
        <v>24</v>
      </c>
      <c r="C92" s="38" t="s">
        <v>38</v>
      </c>
      <c r="D92" s="42">
        <f>TRUNC(11906,-1)</f>
        <v>11900</v>
      </c>
      <c r="E92" s="63">
        <f t="shared" si="2"/>
        <v>39330</v>
      </c>
    </row>
    <row r="93" spans="1:7" x14ac:dyDescent="0.3">
      <c r="A93" s="2">
        <v>25</v>
      </c>
      <c r="C93" s="38" t="s">
        <v>148</v>
      </c>
      <c r="D93" s="42">
        <f>TRUNC(50095,-1)</f>
        <v>50090</v>
      </c>
      <c r="E93" s="63">
        <f t="shared" si="2"/>
        <v>165580</v>
      </c>
    </row>
    <row r="94" spans="1:7" ht="17.25" thickBot="1" x14ac:dyDescent="0.35">
      <c r="A94" s="2">
        <v>26</v>
      </c>
      <c r="C94" s="38" t="s">
        <v>47</v>
      </c>
      <c r="D94" s="43">
        <f>TRUNC(840+35086+2533,-1)</f>
        <v>38450</v>
      </c>
      <c r="E94" s="64">
        <f t="shared" si="2"/>
        <v>127100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165500</v>
      </c>
      <c r="E95" s="39">
        <f>SUM(E69:E94)</f>
        <v>547040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261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v>10000</v>
      </c>
      <c r="E98" s="62">
        <f t="shared" ref="E98:E118" si="3">TRUNC(+D98*3.3058,-1)</f>
        <v>33050</v>
      </c>
    </row>
    <row r="99" spans="1:7" x14ac:dyDescent="0.3">
      <c r="A99" s="2">
        <v>2</v>
      </c>
      <c r="C99" s="38" t="s">
        <v>40</v>
      </c>
      <c r="D99" s="42">
        <f>TRUNC(914,-1)</f>
        <v>910</v>
      </c>
      <c r="E99" s="63">
        <f t="shared" si="3"/>
        <v>3000</v>
      </c>
    </row>
    <row r="100" spans="1:7" x14ac:dyDescent="0.3">
      <c r="A100" s="2">
        <v>3</v>
      </c>
      <c r="C100" s="38" t="s">
        <v>41</v>
      </c>
      <c r="D100" s="42">
        <f>TRUNC(20239,-1)</f>
        <v>20230</v>
      </c>
      <c r="E100" s="63">
        <f t="shared" si="3"/>
        <v>66870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TRUNC(7956,-1)</f>
        <v>7950</v>
      </c>
      <c r="E102" s="63">
        <f t="shared" si="3"/>
        <v>26280</v>
      </c>
    </row>
    <row r="103" spans="1:7" x14ac:dyDescent="0.3">
      <c r="A103" s="2">
        <v>6</v>
      </c>
      <c r="C103" s="38" t="s">
        <v>44</v>
      </c>
      <c r="D103" s="42">
        <f>TRUNC(3255,-1)</f>
        <v>3250</v>
      </c>
      <c r="E103" s="63">
        <f t="shared" si="3"/>
        <v>10740</v>
      </c>
    </row>
    <row r="104" spans="1:7" x14ac:dyDescent="0.3">
      <c r="A104" s="2">
        <v>7</v>
      </c>
      <c r="C104" s="38" t="s">
        <v>45</v>
      </c>
      <c r="D104" s="42">
        <f>TRUNC(2548,-1)</f>
        <v>2540</v>
      </c>
      <c r="E104" s="63">
        <f t="shared" si="3"/>
        <v>8390</v>
      </c>
    </row>
    <row r="105" spans="1:7" x14ac:dyDescent="0.3">
      <c r="A105" s="2">
        <v>8</v>
      </c>
      <c r="C105" s="38" t="s">
        <v>46</v>
      </c>
      <c r="D105" s="42">
        <f>TRUNC(6712,-1)</f>
        <v>6710</v>
      </c>
      <c r="E105" s="63">
        <f t="shared" si="3"/>
        <v>22180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TRUNC(3005,-1)</f>
        <v>3000</v>
      </c>
      <c r="E114" s="63">
        <f t="shared" si="3"/>
        <v>9910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TRUNC(2161,-1)</f>
        <v>2160</v>
      </c>
      <c r="E116" s="63">
        <f t="shared" si="3"/>
        <v>7140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TRUNC(60668,-1)</f>
        <v>60660</v>
      </c>
      <c r="E117" s="63">
        <f t="shared" si="3"/>
        <v>200520</v>
      </c>
    </row>
    <row r="118" spans="1:7" ht="17.25" thickBot="1" x14ac:dyDescent="0.35">
      <c r="A118" s="2">
        <v>21</v>
      </c>
      <c r="C118" s="38" t="s">
        <v>47</v>
      </c>
      <c r="D118" s="43">
        <f>TRUNC(836,-1)</f>
        <v>830</v>
      </c>
      <c r="E118" s="64">
        <f t="shared" si="3"/>
        <v>2740</v>
      </c>
    </row>
    <row r="119" spans="1:7" x14ac:dyDescent="0.3">
      <c r="A119" s="2">
        <v>22</v>
      </c>
      <c r="C119" s="27" t="s">
        <v>112</v>
      </c>
      <c r="D119" s="39">
        <f>SUM(D98:D118)</f>
        <v>118240</v>
      </c>
      <c r="E119" s="39">
        <f>SUM(E98:E118)</f>
        <v>390820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261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TRUNC(2241,-1)</f>
        <v>2240</v>
      </c>
      <c r="E122" s="62">
        <f t="shared" ref="E122:E132" si="4">TRUNC(+D122*3.3058,-1)</f>
        <v>7400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TRUNC(5435,-1)</f>
        <v>5430</v>
      </c>
      <c r="E125" s="63">
        <f t="shared" si="4"/>
        <v>17950</v>
      </c>
    </row>
    <row r="126" spans="1:7" x14ac:dyDescent="0.3">
      <c r="A126" s="2">
        <v>5</v>
      </c>
      <c r="C126" s="38" t="s">
        <v>53</v>
      </c>
      <c r="D126" s="42">
        <v>580</v>
      </c>
      <c r="E126" s="63">
        <f t="shared" si="4"/>
        <v>1910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TRUNC(378,-1)</f>
        <v>370</v>
      </c>
      <c r="E128" s="63">
        <f t="shared" si="4"/>
        <v>1220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TRUNC(6774,-1)</f>
        <v>6770</v>
      </c>
      <c r="E130" s="63">
        <f t="shared" si="4"/>
        <v>22380</v>
      </c>
    </row>
    <row r="131" spans="1:7" x14ac:dyDescent="0.3">
      <c r="A131" s="2">
        <v>10</v>
      </c>
      <c r="C131" s="38" t="s">
        <v>148</v>
      </c>
      <c r="D131" s="42">
        <f>TRUNC(17642,-1)</f>
        <v>17640</v>
      </c>
      <c r="E131" s="63">
        <f t="shared" si="4"/>
        <v>58310</v>
      </c>
    </row>
    <row r="132" spans="1:7" ht="17.25" thickBot="1" x14ac:dyDescent="0.35">
      <c r="A132" s="2">
        <v>11</v>
      </c>
      <c r="C132" s="38" t="s">
        <v>47</v>
      </c>
      <c r="D132" s="43">
        <f>TRUNC(3755+56,-1)</f>
        <v>3810</v>
      </c>
      <c r="E132" s="64">
        <f t="shared" si="4"/>
        <v>12590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36840</v>
      </c>
      <c r="E133" s="39">
        <f>SUM(E122:E132)</f>
        <v>121760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261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TRUNC(325+1282+6570,-1)</f>
        <v>8170</v>
      </c>
      <c r="E137" s="63">
        <f t="shared" si="5"/>
        <v>27000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TRUNC(2948,-1)</f>
        <v>2940</v>
      </c>
      <c r="E140" s="63">
        <f t="shared" si="5"/>
        <v>9710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TRUNC(3658,-1)</f>
        <v>3650</v>
      </c>
      <c r="E142" s="63">
        <f t="shared" si="5"/>
        <v>12060</v>
      </c>
    </row>
    <row r="143" spans="1:7" x14ac:dyDescent="0.3">
      <c r="A143" s="2">
        <v>8</v>
      </c>
      <c r="C143" s="38" t="s">
        <v>62</v>
      </c>
      <c r="D143" s="42">
        <f>TRUNC(3885,-1)</f>
        <v>3880</v>
      </c>
      <c r="E143" s="63">
        <f t="shared" si="5"/>
        <v>12820</v>
      </c>
    </row>
    <row r="144" spans="1:7" x14ac:dyDescent="0.3">
      <c r="A144" s="2">
        <v>9</v>
      </c>
      <c r="C144" s="38" t="s">
        <v>63</v>
      </c>
      <c r="D144" s="42">
        <f>TRUNC(6363,-1)</f>
        <v>6360</v>
      </c>
      <c r="E144" s="63">
        <f t="shared" si="5"/>
        <v>21020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25000</v>
      </c>
      <c r="E146" s="39">
        <f>SUM(E136:E145)</f>
        <v>82610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261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4972+4638</f>
        <v>9610</v>
      </c>
      <c r="E149" s="62">
        <f>TRUNC(+D149*3.3058,-1)</f>
        <v>31760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TRUNC(14258,-1)</f>
        <v>14250</v>
      </c>
      <c r="E150" s="63">
        <f>TRUNC(+D150*3.3058,-1)</f>
        <v>47100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f>TRUNC(20402,-1)</f>
        <v>20400</v>
      </c>
      <c r="E151" s="63">
        <f>TRUNC(+D151*3.3058,-1)</f>
        <v>67430</v>
      </c>
      <c r="F151" s="2" t="s">
        <v>259</v>
      </c>
    </row>
    <row r="152" spans="1:7" x14ac:dyDescent="0.3">
      <c r="A152" s="2">
        <v>4</v>
      </c>
      <c r="C152" s="38" t="s">
        <v>47</v>
      </c>
      <c r="D152" s="42">
        <f>TRUNC(2676+238+2317,-1)</f>
        <v>5230</v>
      </c>
      <c r="E152" s="63">
        <f>TRUNC(+D152*3.3058,-1)</f>
        <v>17280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49490</v>
      </c>
      <c r="E154" s="39">
        <f>SUM(E149:E153)</f>
        <v>163570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261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2020-12-07T10:15:22Z</dcterms:modified>
</cp:coreProperties>
</file>