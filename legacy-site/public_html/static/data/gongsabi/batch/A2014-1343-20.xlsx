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8" i="4"/>
  <c r="E157" i="4"/>
  <c r="E153" i="4"/>
  <c r="E151" i="4"/>
  <c r="E150" i="4"/>
  <c r="E149" i="4"/>
  <c r="E145" i="4"/>
  <c r="E143" i="4"/>
  <c r="E142" i="4"/>
  <c r="E141" i="4"/>
  <c r="E140" i="4"/>
  <c r="E139" i="4"/>
  <c r="E138" i="4"/>
  <c r="E137" i="4"/>
  <c r="E136" i="4"/>
  <c r="E129" i="4"/>
  <c r="E128" i="4"/>
  <c r="E126" i="4"/>
  <c r="E116" i="4"/>
  <c r="E115" i="4"/>
  <c r="E114" i="4"/>
  <c r="E113" i="4"/>
  <c r="E112" i="4"/>
  <c r="E111" i="4"/>
  <c r="E110" i="4"/>
  <c r="E109" i="4"/>
  <c r="E108" i="4"/>
  <c r="E107" i="4"/>
  <c r="E106" i="4"/>
  <c r="E103" i="4"/>
  <c r="E101" i="4"/>
  <c r="E91" i="4"/>
  <c r="E90" i="4"/>
  <c r="E88" i="4"/>
  <c r="E87" i="4"/>
  <c r="E86" i="4"/>
  <c r="E83" i="4"/>
  <c r="E82" i="4"/>
  <c r="E81" i="4"/>
  <c r="E80" i="4"/>
  <c r="E79" i="4"/>
  <c r="E77" i="4"/>
  <c r="E74" i="4"/>
  <c r="E66" i="4"/>
  <c r="E65" i="4"/>
  <c r="E64" i="4"/>
  <c r="E63" i="4"/>
  <c r="E57" i="4"/>
  <c r="E56" i="4"/>
  <c r="E42" i="4"/>
  <c r="E161" i="4" l="1"/>
  <c r="D132" i="4"/>
  <c r="E132" i="4" s="1"/>
  <c r="D131" i="4"/>
  <c r="E131" i="4" s="1"/>
  <c r="D130" i="4"/>
  <c r="E130" i="4" s="1"/>
  <c r="D127" i="4"/>
  <c r="E127" i="4" s="1"/>
  <c r="D125" i="4"/>
  <c r="E125" i="4" s="1"/>
  <c r="D124" i="4"/>
  <c r="E124" i="4" s="1"/>
  <c r="D123" i="4"/>
  <c r="E123" i="4" s="1"/>
  <c r="D122" i="4"/>
  <c r="E122" i="4" s="1"/>
  <c r="D118" i="4"/>
  <c r="E118" i="4" s="1"/>
  <c r="D117" i="4"/>
  <c r="E117" i="4" s="1"/>
  <c r="D105" i="4"/>
  <c r="E105" i="4" s="1"/>
  <c r="D104" i="4"/>
  <c r="E104" i="4" s="1"/>
  <c r="D102" i="4"/>
  <c r="E102" i="4" s="1"/>
  <c r="D100" i="4"/>
  <c r="E100" i="4" s="1"/>
  <c r="D99" i="4"/>
  <c r="E99" i="4" s="1"/>
  <c r="D98" i="4"/>
  <c r="E98" i="4" s="1"/>
  <c r="D94" i="4"/>
  <c r="E94" i="4" s="1"/>
  <c r="D93" i="4"/>
  <c r="E93" i="4" s="1"/>
  <c r="D92" i="4"/>
  <c r="E92" i="4" s="1"/>
  <c r="D89" i="4"/>
  <c r="E89" i="4" s="1"/>
  <c r="D85" i="4"/>
  <c r="E85" i="4" s="1"/>
  <c r="D84" i="4"/>
  <c r="E84" i="4" s="1"/>
  <c r="D78" i="4"/>
  <c r="E78" i="4" s="1"/>
  <c r="D76" i="4"/>
  <c r="E76" i="4" s="1"/>
  <c r="D75" i="4"/>
  <c r="E75" i="4" s="1"/>
  <c r="D73" i="4"/>
  <c r="E73" i="4" s="1"/>
  <c r="D72" i="4"/>
  <c r="E72" i="4" s="1"/>
  <c r="D71" i="4"/>
  <c r="E71" i="4" s="1"/>
  <c r="D70" i="4"/>
  <c r="E70" i="4" s="1"/>
  <c r="D69" i="4"/>
  <c r="E69" i="4" s="1"/>
  <c r="D58" i="4"/>
  <c r="E58" i="4" s="1"/>
  <c r="D59" i="4"/>
  <c r="E59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1" i="4"/>
  <c r="E41" i="4" s="1"/>
  <c r="D40" i="4"/>
  <c r="E40" i="4" s="1"/>
  <c r="E60" i="4" s="1"/>
  <c r="D159" i="4"/>
  <c r="E159" i="4" s="1"/>
  <c r="D152" i="4"/>
  <c r="E152" i="4" s="1"/>
  <c r="E154" i="4" s="1"/>
  <c r="D144" i="4"/>
  <c r="E144" i="4" s="1"/>
  <c r="E146" i="4" s="1"/>
  <c r="D37" i="4"/>
  <c r="E37" i="4" s="1"/>
  <c r="E119" i="4" l="1"/>
  <c r="E133" i="4"/>
  <c r="E95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28" i="4"/>
  <c r="E28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<sst xmlns="http://schemas.openxmlformats.org/spreadsheetml/2006/main" count="389" uniqueCount="264">
  <si>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</si>
  <si>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</si>
  <si>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</si>
  <si>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</si>
  <si>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</si>
  <si>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</si>
  <si>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</si>
  <si>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</si>
  <si>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</si>
  <si>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</si>
  <si>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</si>
  <si>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</si>
  <si>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</si>
  <si>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</si>
  <si>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</si>
  <si>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</si>
  <si>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</si>
  <si>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</si>
  <si>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</si>
  <si>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</si>
  <si>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</si>
  <si>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</si>
  <si>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</si>
  <si>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</si>
  <si>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</si>
  <si>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</si>
  <si>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</si>
  <si>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</si>
  <si>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</si>
  <si>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</si>
  <si>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</si>
  <si>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</si>
  <si>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</si>
  <si>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</si>
  <si>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</si>
  <si>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</si>
  <si>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</si>
  <si>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</si>
  <si>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</si>
  <si>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</si>
  <si>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</si>
  <si>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</si>
  <si>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</si>
  <si>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</si>
  <si>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</si>
  <si>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</si>
  <si>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</si>
  <si>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</si>
  <si>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</si>
  <si>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</si>
  <si>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</si>
  <si>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</si>
  <si>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</si>
  <si>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</si>
  <si>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</si>
  <si>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</si>
  <si>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</si>
  <si>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</si>
  <si>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</si>
  <si>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</si>
  <si>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</si>
  <si>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</si>
  <si>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</si>
  <si>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</si>
  <si>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</si>
  <si>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</si>
  <si>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</si>
  <si>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</si>
  <si>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</si>
  <si>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</si>
  <si>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</si>
  <si>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</si>
  <si>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</si>
  <si>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</si>
  <si>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</si>
  <si>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</si>
  <si>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</si>
  <si>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</si>
  <si>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</si>
  <si>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</si>
  <si>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</si>
  <si>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</si>
  <si>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</si>
  <si>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</si>
  <si>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</si>
  <si>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</si>
  <si>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</si>
  <si>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</si>
  <si>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</si>
  <si>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</si>
  <si>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</si>
  <si>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</si>
  <si>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</si>
  <si>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</si>
  <si>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</si>
  <si>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</si>
  <si>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</si>
  <si>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</si>
  <si>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</si>
  <si>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</si>
  <si>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</si>
  <si>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</si>
  <si>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</si>
  <si>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</si>
  <si>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</si>
  <si>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</si>
  <si>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</si>
  <si>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</si>
  <si>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</si>
  <si>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</si>
  <si>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</si>
  <si>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</si>
  <si>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</si>
  <si>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</si>
  <si>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</si>
  <si>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</si>
  <si>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</si>
  <si>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</si>
  <si>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</si>
  <si>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</si>
  <si>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</si>
  <si>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</si>
  <si>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</si>
  <si>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</si>
  <si>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</si>
  <si>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</si>
  <si>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</si>
  <si>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</si>
  <si>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</si>
  <si>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</si>
  <si>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</si>
  <si>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</si>
  <si>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</si>
  <si>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</si>
  <si>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</si>
  <si>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</si>
  <si>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</si>
  <si>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</si>
  <si>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</si>
  <si>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</si>
  <si>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</si>
  <si>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</si>
  <si>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</si>
  <si>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</si>
  <si>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</si>
  <si>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</si>
  <si>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</si>
  <si>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</si>
  <si>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</si>
  <si>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</si>
  <si>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</si>
  <si>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</si>
  <si>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</si>
  <si>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</si>
  <si>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</si>
  <si>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</si>
  <si>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</si>
  <si>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</si>
  <si>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</si>
  <si>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</si>
  <si>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</si>
  <si>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</si>
  <si>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</si>
  <si>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</si>
  <si>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</si>
  <si>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</si>
  <si>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</si>
  <si>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</si>
  <si>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</si>
  <si>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</si>
  <si>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</si>
  <si>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</si>
  <si>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</si>
  <si>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</si>
  <si>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</si>
  <si>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</si>
  <si>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</si>
  <si>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</si>
  <si>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</si>
  <si>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</si>
  <si>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</si>
  <si>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</si>
  <si>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</si>
  <si>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</si>
  <si>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</si>
  <si>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</si>
  <si>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</si>
  <si>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</si>
  <si>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</si>
  <si>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</si>
  <si>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</si>
  <si>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</si>
  <si>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</si>
  <si>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</si>
  <si>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</si>
  <si>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</si>
  <si>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</si>
  <si>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</si>
  <si>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</si>
  <si>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</si>
  <si>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</si>
  <si>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</si>
  <si>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</si>
  <si>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</si>
  <si>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</si>
  <si>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</si>
  <si>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</si>
  <si>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</si>
  <si>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</si>
  <si>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</si>
  <si>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</si>
  <si>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</si>
  <si>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</si>
  <si>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</si>
  <si>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</si>
  <si>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</si>
  <si>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</si>
  <si>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</si>
  <si>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</si>
  <si>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</si>
  <si>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</si>
  <si>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</si>
  <si>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</si>
  <si>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</si>
  <si>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</si>
  <si>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</si>
  <si>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</si>
  <si>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</si>
  <si>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</si>
  <si>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</si>
  <si>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</si>
  <si>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</si>
  <si>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</si>
  <si>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</si>
  <si>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</si>
  <si>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</si>
  <si>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</si>
  <si>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</si>
  <si>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</si>
  <si>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</si>
  <si>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</si>
  <si>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</si>
  <si>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</si>
  <si>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</si>
  <si>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</si>
  <si>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</si>
  <si>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</si>
  <si>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000법원 및 00등기국 신축공사</t>
    <phoneticPr fontId="2" type="noConversion"/>
  </si>
  <si>
    <t>업무</t>
  </si>
  <si>
    <t>인천시</t>
  </si>
  <si>
    <t>부대조경공사</t>
    <phoneticPr fontId="2" type="noConversion"/>
  </si>
  <si>
    <t>부대토목공사(흙막이공사포함)</t>
    <phoneticPr fontId="2" type="noConversion"/>
  </si>
  <si>
    <t>전기 자탐설비공사</t>
    <phoneticPr fontId="2" type="noConversion"/>
  </si>
  <si>
    <t>기타공사,골재및운반비,작업부산물,정문공사</t>
    <phoneticPr fontId="2" type="noConversion"/>
  </si>
  <si>
    <t>공조배관공사,VAV설치공사,시스템화장실설치공사,전기온돌판넬설치공사,빗물이용설비설치공사</t>
    <phoneticPr fontId="2" type="noConversion"/>
  </si>
  <si>
    <t>전열설비공사,전열제어설비공사</t>
    <phoneticPr fontId="2" type="noConversion"/>
  </si>
  <si>
    <t>전기실설비공사,외등설비공사,주차관제설비공사,가설사무소,광역등기국전기공사</t>
    <phoneticPr fontId="2" type="noConversion"/>
  </si>
  <si>
    <t>인입설비공사,CCTV설비공사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</si>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</sst>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16627</v>
      </c>
      <c r="D7" s="36">
        <f>+C7/3.3058</f>
        <v>5029.6448665981006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258</v>
      </c>
    </row>
    <row r="24" spans="1:5" x14ac:dyDescent="0.3">
      <c r="B24" s="2">
        <v>1</v>
      </c>
      <c r="C24" s="35" t="s">
        <v>110</v>
      </c>
      <c r="D24" s="41">
        <f>+D37</f>
        <v>5400</v>
      </c>
      <c r="E24" s="58">
        <f t="shared" ref="E24:E33" si="0">TRUNC(+D24*3.3058,-1)</f>
        <v>17850</v>
      </c>
    </row>
    <row r="25" spans="1:5" x14ac:dyDescent="0.3">
      <c r="B25" s="2">
        <v>2</v>
      </c>
      <c r="C25" s="35" t="s">
        <v>111</v>
      </c>
      <c r="D25" s="45">
        <f>+D60</f>
        <v>827220</v>
      </c>
      <c r="E25" s="59">
        <f t="shared" si="0"/>
        <v>2734620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334380</v>
      </c>
      <c r="E27" s="59">
        <f t="shared" si="0"/>
        <v>1105390</v>
      </c>
    </row>
    <row r="28" spans="1:5" x14ac:dyDescent="0.3">
      <c r="B28" s="2">
        <v>5</v>
      </c>
      <c r="C28" s="35" t="s">
        <v>97</v>
      </c>
      <c r="D28" s="45">
        <f>+D119</f>
        <v>169150</v>
      </c>
      <c r="E28" s="59">
        <f t="shared" si="0"/>
        <v>559170</v>
      </c>
    </row>
    <row r="29" spans="1:5" x14ac:dyDescent="0.3">
      <c r="B29" s="2">
        <v>6</v>
      </c>
      <c r="C29" s="35" t="s">
        <v>98</v>
      </c>
      <c r="D29" s="45">
        <f>+D133</f>
        <v>54060</v>
      </c>
      <c r="E29" s="59">
        <f t="shared" si="0"/>
        <v>178710</v>
      </c>
    </row>
    <row r="30" spans="1:5" x14ac:dyDescent="0.3">
      <c r="B30" s="2">
        <v>7</v>
      </c>
      <c r="C30" s="35" t="s">
        <v>99</v>
      </c>
      <c r="D30" s="45">
        <f>+D146</f>
        <v>6270</v>
      </c>
      <c r="E30" s="59">
        <f t="shared" si="0"/>
        <v>20720</v>
      </c>
    </row>
    <row r="31" spans="1:5" x14ac:dyDescent="0.3">
      <c r="B31" s="2">
        <v>8</v>
      </c>
      <c r="C31" s="35" t="s">
        <v>100</v>
      </c>
      <c r="D31" s="45">
        <f>+D154</f>
        <v>50670</v>
      </c>
      <c r="E31" s="59">
        <f t="shared" si="0"/>
        <v>167500</v>
      </c>
    </row>
    <row r="32" spans="1:5" x14ac:dyDescent="0.3">
      <c r="B32" s="2">
        <v>9</v>
      </c>
      <c r="C32" s="35" t="s">
        <v>101</v>
      </c>
      <c r="D32" s="45">
        <f>+D161</f>
        <v>41930</v>
      </c>
      <c r="E32" s="59">
        <f t="shared" si="0"/>
        <v>138610</v>
      </c>
    </row>
    <row r="33" spans="1:7" x14ac:dyDescent="0.3">
      <c r="B33" s="2">
        <v>10</v>
      </c>
      <c r="C33" s="35" t="s">
        <v>153</v>
      </c>
      <c r="D33" s="53">
        <f>TRUNC(SUM(D24:D32)*0.275,-1)</f>
        <v>409490</v>
      </c>
      <c r="E33" s="60">
        <f t="shared" si="0"/>
        <v>1353690</v>
      </c>
    </row>
    <row r="34" spans="1:7" x14ac:dyDescent="0.3">
      <c r="C34" s="35" t="s">
        <v>112</v>
      </c>
      <c r="D34" s="44">
        <f>SUM(D24:D33)</f>
        <v>1898570</v>
      </c>
      <c r="E34" s="44">
        <f>SUM(E24:E33)</f>
        <v>6276260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237</v>
      </c>
      <c r="D36" s="57" t="s">
        <v>234</v>
      </c>
      <c r="E36" s="57" t="s">
        <v>258</v>
      </c>
      <c r="G36" s="55"/>
    </row>
    <row r="37" spans="1:7" ht="17.25" thickBot="1" x14ac:dyDescent="0.35">
      <c r="C37" s="38" t="s">
        <v>143</v>
      </c>
      <c r="D37" s="52">
        <f>TRUNC(5408,-1)</f>
        <v>5400</v>
      </c>
      <c r="E37" s="61">
        <f>TRUNC(+D37*3.3058,-1)</f>
        <v>17850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241</v>
      </c>
      <c r="D39" s="67" t="s">
        <v>259</v>
      </c>
      <c r="E39" s="67" t="s">
        <v>260</v>
      </c>
      <c r="G39" s="68"/>
    </row>
    <row r="40" spans="1:7" x14ac:dyDescent="0.3">
      <c r="A40" s="2">
        <v>1</v>
      </c>
      <c r="C40" s="38" t="s">
        <v>15</v>
      </c>
      <c r="D40" s="40">
        <f>TRUNC(33609,-1)</f>
        <v>33600</v>
      </c>
      <c r="E40" s="62">
        <f t="shared" ref="E40:E59" si="1">TRUNC(+D40*3.3058,-1)</f>
        <v>111070</v>
      </c>
    </row>
    <row r="41" spans="1:7" x14ac:dyDescent="0.3">
      <c r="A41" s="2">
        <v>2</v>
      </c>
      <c r="C41" s="38" t="s">
        <v>13</v>
      </c>
      <c r="D41" s="42">
        <f>TRUNC(96525,-1)</f>
        <v>96520</v>
      </c>
      <c r="E41" s="63">
        <f t="shared" si="1"/>
        <v>319070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TRUNC(12857,-1)</f>
        <v>12850</v>
      </c>
      <c r="E43" s="63">
        <f t="shared" si="1"/>
        <v>42470</v>
      </c>
    </row>
    <row r="44" spans="1:7" x14ac:dyDescent="0.3">
      <c r="A44" s="2">
        <v>5</v>
      </c>
      <c r="C44" s="38" t="s">
        <v>17</v>
      </c>
      <c r="D44" s="42">
        <f>TRUNC(19769,-1)</f>
        <v>19760</v>
      </c>
      <c r="E44" s="63">
        <f t="shared" si="1"/>
        <v>65320</v>
      </c>
    </row>
    <row r="45" spans="1:7" x14ac:dyDescent="0.3">
      <c r="A45" s="2">
        <v>6</v>
      </c>
      <c r="C45" s="38" t="s">
        <v>18</v>
      </c>
      <c r="D45" s="42">
        <f>TRUNC(7615,-1)</f>
        <v>7610</v>
      </c>
      <c r="E45" s="63">
        <f t="shared" si="1"/>
        <v>25150</v>
      </c>
    </row>
    <row r="46" spans="1:7" x14ac:dyDescent="0.3">
      <c r="A46" s="2">
        <v>7</v>
      </c>
      <c r="C46" s="38" t="s">
        <v>19</v>
      </c>
      <c r="D46" s="42">
        <f>TRUNC(38277,-1)</f>
        <v>38270</v>
      </c>
      <c r="E46" s="63">
        <f t="shared" si="1"/>
        <v>126510</v>
      </c>
    </row>
    <row r="47" spans="1:7" x14ac:dyDescent="0.3">
      <c r="A47" s="2">
        <v>8</v>
      </c>
      <c r="C47" s="38" t="s">
        <v>20</v>
      </c>
      <c r="D47" s="42">
        <f>TRUNC(1762,-1)</f>
        <v>1760</v>
      </c>
      <c r="E47" s="63">
        <f t="shared" si="1"/>
        <v>5810</v>
      </c>
    </row>
    <row r="48" spans="1:7" x14ac:dyDescent="0.3">
      <c r="A48" s="2">
        <v>9</v>
      </c>
      <c r="C48" s="38" t="s">
        <v>21</v>
      </c>
      <c r="D48" s="42">
        <f>TRUNC(87610,-1)</f>
        <v>87610</v>
      </c>
      <c r="E48" s="63">
        <f t="shared" si="1"/>
        <v>289620</v>
      </c>
    </row>
    <row r="49" spans="1:7" x14ac:dyDescent="0.3">
      <c r="A49" s="2">
        <v>10</v>
      </c>
      <c r="C49" s="38" t="s">
        <v>22</v>
      </c>
      <c r="D49" s="42">
        <f>TRUNC(25881,-1)</f>
        <v>25880</v>
      </c>
      <c r="E49" s="63">
        <f t="shared" si="1"/>
        <v>85550</v>
      </c>
    </row>
    <row r="50" spans="1:7" x14ac:dyDescent="0.3">
      <c r="A50" s="2">
        <v>11</v>
      </c>
      <c r="C50" s="38" t="s">
        <v>154</v>
      </c>
      <c r="D50" s="42">
        <f>TRUNC(25797,-1)</f>
        <v>25790</v>
      </c>
      <c r="E50" s="63">
        <f t="shared" si="1"/>
        <v>85250</v>
      </c>
    </row>
    <row r="51" spans="1:7" x14ac:dyDescent="0.3">
      <c r="A51" s="2">
        <v>12</v>
      </c>
      <c r="C51" s="38" t="s">
        <v>23</v>
      </c>
      <c r="D51" s="42">
        <f>TRUNC(29581,-1)</f>
        <v>29580</v>
      </c>
      <c r="E51" s="63">
        <f t="shared" si="1"/>
        <v>97780</v>
      </c>
    </row>
    <row r="52" spans="1:7" x14ac:dyDescent="0.3">
      <c r="A52" s="2">
        <v>13</v>
      </c>
      <c r="C52" s="38" t="s">
        <v>24</v>
      </c>
      <c r="D52" s="42">
        <f>TRUNC(12325,-1)</f>
        <v>12320</v>
      </c>
      <c r="E52" s="63">
        <f t="shared" si="1"/>
        <v>40720</v>
      </c>
    </row>
    <row r="53" spans="1:7" x14ac:dyDescent="0.3">
      <c r="A53" s="2">
        <v>14</v>
      </c>
      <c r="C53" s="38" t="s">
        <v>25</v>
      </c>
      <c r="D53" s="42">
        <f>TRUNC(84239,-1)</f>
        <v>84230</v>
      </c>
      <c r="E53" s="63">
        <f t="shared" si="1"/>
        <v>278440</v>
      </c>
    </row>
    <row r="54" spans="1:7" x14ac:dyDescent="0.3">
      <c r="A54" s="2">
        <v>15</v>
      </c>
      <c r="C54" s="38" t="s">
        <v>147</v>
      </c>
      <c r="D54" s="42">
        <f>TRUNC(38916,-1)</f>
        <v>38910</v>
      </c>
      <c r="E54" s="63">
        <f t="shared" si="1"/>
        <v>128620</v>
      </c>
    </row>
    <row r="55" spans="1:7" x14ac:dyDescent="0.3">
      <c r="A55" s="2">
        <v>16</v>
      </c>
      <c r="C55" s="38" t="s">
        <v>144</v>
      </c>
      <c r="D55" s="42">
        <f>TRUNC(693,-1)</f>
        <v>690</v>
      </c>
      <c r="E55" s="63">
        <f t="shared" si="1"/>
        <v>2280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TRUNC(8296+3898-879+1367,-1)</f>
        <v>12680</v>
      </c>
      <c r="E58" s="63">
        <f t="shared" si="1"/>
        <v>41910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TRUNC(299160,-1)</f>
        <v>299160</v>
      </c>
      <c r="E59" s="64">
        <f t="shared" si="1"/>
        <v>988960</v>
      </c>
    </row>
    <row r="60" spans="1:7" x14ac:dyDescent="0.3">
      <c r="A60" s="2">
        <v>21</v>
      </c>
      <c r="C60" s="27" t="s">
        <v>112</v>
      </c>
      <c r="D60" s="39">
        <f>SUM(D40:D59)</f>
        <v>827220</v>
      </c>
      <c r="E60" s="39">
        <f>SUM(E40:E59)</f>
        <v>2734530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238</v>
      </c>
      <c r="C62" s="56" t="s">
        <v>239</v>
      </c>
      <c r="D62" s="57" t="s">
        <v>236</v>
      </c>
      <c r="E62" s="57" t="s">
        <v>258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240</v>
      </c>
      <c r="C68" s="56" t="s">
        <v>241</v>
      </c>
      <c r="D68" s="57" t="s">
        <v>234</v>
      </c>
      <c r="E68" s="57" t="s">
        <v>258</v>
      </c>
      <c r="G68" s="55"/>
    </row>
    <row r="69" spans="1:7" x14ac:dyDescent="0.3">
      <c r="A69" s="2">
        <v>1</v>
      </c>
      <c r="C69" s="38" t="s">
        <v>30</v>
      </c>
      <c r="D69" s="40">
        <f>TRUNC(22268,-1)</f>
        <v>22260</v>
      </c>
      <c r="E69" s="62">
        <f t="shared" ref="E69:E94" si="2">TRUNC(+D69*3.3058,-1)</f>
        <v>73580</v>
      </c>
    </row>
    <row r="70" spans="1:7" ht="16.5" customHeight="1" x14ac:dyDescent="0.3">
      <c r="A70" s="2">
        <v>2</v>
      </c>
      <c r="C70" s="38" t="s">
        <v>31</v>
      </c>
      <c r="D70" s="42">
        <f>TRUNC(182,-1)</f>
        <v>180</v>
      </c>
      <c r="E70" s="63">
        <f t="shared" si="2"/>
        <v>590</v>
      </c>
    </row>
    <row r="71" spans="1:7" x14ac:dyDescent="0.3">
      <c r="A71" s="2">
        <v>3</v>
      </c>
      <c r="C71" s="38" t="s">
        <v>32</v>
      </c>
      <c r="D71" s="42">
        <f>TRUNC(19145,-1)</f>
        <v>19140</v>
      </c>
      <c r="E71" s="63">
        <f t="shared" si="2"/>
        <v>63270</v>
      </c>
    </row>
    <row r="72" spans="1:7" x14ac:dyDescent="0.3">
      <c r="A72" s="2">
        <v>4</v>
      </c>
      <c r="C72" s="38" t="s">
        <v>33</v>
      </c>
      <c r="D72" s="42">
        <f>TRUNC(21189,-1)</f>
        <v>21180</v>
      </c>
      <c r="E72" s="63">
        <f t="shared" si="2"/>
        <v>70010</v>
      </c>
    </row>
    <row r="73" spans="1:7" x14ac:dyDescent="0.3">
      <c r="A73" s="2">
        <v>5</v>
      </c>
      <c r="C73" s="38" t="s">
        <v>34</v>
      </c>
      <c r="D73" s="42">
        <f>TRUNC(7747,-1)</f>
        <v>7740</v>
      </c>
      <c r="E73" s="63">
        <f t="shared" si="2"/>
        <v>25580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TRUNC(3385,-1)</f>
        <v>3380</v>
      </c>
      <c r="E75" s="63">
        <f t="shared" si="2"/>
        <v>11170</v>
      </c>
    </row>
    <row r="76" spans="1:7" x14ac:dyDescent="0.3">
      <c r="A76" s="2">
        <v>8</v>
      </c>
      <c r="C76" s="38" t="s">
        <v>119</v>
      </c>
      <c r="D76" s="42">
        <f>TRUNC(30110,-1)</f>
        <v>30110</v>
      </c>
      <c r="E76" s="63">
        <f t="shared" si="2"/>
        <v>99530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f>TRUNC(46604,-1)</f>
        <v>46600</v>
      </c>
      <c r="E78" s="63">
        <f t="shared" si="2"/>
        <v>154050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TRUNC(384,-1)</f>
        <v>380</v>
      </c>
      <c r="E84" s="63">
        <f t="shared" si="2"/>
        <v>1250</v>
      </c>
    </row>
    <row r="85" spans="1:7" x14ac:dyDescent="0.3">
      <c r="A85" s="2">
        <v>17</v>
      </c>
      <c r="C85" s="38" t="s">
        <v>123</v>
      </c>
      <c r="D85" s="42">
        <f>TRUNC(4403,-1)</f>
        <v>4400</v>
      </c>
      <c r="E85" s="63">
        <f t="shared" si="2"/>
        <v>14540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TRUNC(9389,-1)</f>
        <v>9380</v>
      </c>
      <c r="E89" s="63">
        <f t="shared" si="2"/>
        <v>31000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TRUNC(4318,-1)</f>
        <v>4310</v>
      </c>
      <c r="E92" s="63">
        <f t="shared" si="2"/>
        <v>14240</v>
      </c>
    </row>
    <row r="93" spans="1:7" x14ac:dyDescent="0.3">
      <c r="A93" s="2">
        <v>25</v>
      </c>
      <c r="C93" s="38" t="s">
        <v>148</v>
      </c>
      <c r="D93" s="42">
        <f>TRUNC(109366,-1)</f>
        <v>109360</v>
      </c>
      <c r="E93" s="63">
        <f t="shared" si="2"/>
        <v>361520</v>
      </c>
    </row>
    <row r="94" spans="1:7" ht="17.25" thickBot="1" x14ac:dyDescent="0.35">
      <c r="A94" s="2">
        <v>26</v>
      </c>
      <c r="C94" s="38" t="s">
        <v>47</v>
      </c>
      <c r="D94" s="43">
        <f>TRUNC(38685+10544+2794+271+3673,-1)</f>
        <v>55960</v>
      </c>
      <c r="E94" s="64">
        <f t="shared" si="2"/>
        <v>184990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334380</v>
      </c>
      <c r="E95" s="39">
        <f>SUM(E69:E94)</f>
        <v>1105320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242</v>
      </c>
      <c r="C97" s="56" t="s">
        <v>241</v>
      </c>
      <c r="D97" s="57" t="s">
        <v>234</v>
      </c>
      <c r="E97" s="57" t="s">
        <v>258</v>
      </c>
      <c r="G97" s="55"/>
    </row>
    <row r="98" spans="1:7" x14ac:dyDescent="0.3">
      <c r="A98" s="2">
        <v>1</v>
      </c>
      <c r="C98" s="38" t="s">
        <v>39</v>
      </c>
      <c r="D98" s="40">
        <f>TRUNC(2466,-1)</f>
        <v>2460</v>
      </c>
      <c r="E98" s="62">
        <f t="shared" ref="E98:E118" si="3">TRUNC(+D98*3.3058,-1)</f>
        <v>8130</v>
      </c>
    </row>
    <row r="99" spans="1:7" x14ac:dyDescent="0.3">
      <c r="A99" s="2">
        <v>2</v>
      </c>
      <c r="C99" s="38" t="s">
        <v>40</v>
      </c>
      <c r="D99" s="42">
        <f>TRUNC(3969,-1)</f>
        <v>3960</v>
      </c>
      <c r="E99" s="63">
        <f t="shared" si="3"/>
        <v>13090</v>
      </c>
    </row>
    <row r="100" spans="1:7" x14ac:dyDescent="0.3">
      <c r="A100" s="2">
        <v>3</v>
      </c>
      <c r="C100" s="38" t="s">
        <v>41</v>
      </c>
      <c r="D100" s="42">
        <f>TRUNC(20652,-1)</f>
        <v>20650</v>
      </c>
      <c r="E100" s="63">
        <f t="shared" si="3"/>
        <v>68260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TRUNC(8551+2296,-1)</f>
        <v>10840</v>
      </c>
      <c r="E102" s="63">
        <f t="shared" si="3"/>
        <v>35830</v>
      </c>
      <c r="F102" s="2" t="s">
        <v>255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TRUNC(2439,-1)</f>
        <v>2430</v>
      </c>
      <c r="E104" s="63">
        <f t="shared" si="3"/>
        <v>8030</v>
      </c>
    </row>
    <row r="105" spans="1:7" x14ac:dyDescent="0.3">
      <c r="A105" s="2">
        <v>8</v>
      </c>
      <c r="C105" s="38" t="s">
        <v>46</v>
      </c>
      <c r="D105" s="42">
        <f>TRUNC(1511,-1)</f>
        <v>1510</v>
      </c>
      <c r="E105" s="63">
        <f t="shared" si="3"/>
        <v>4990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TRUNC(81358,-1)</f>
        <v>81350</v>
      </c>
      <c r="E117" s="63">
        <f t="shared" si="3"/>
        <v>268920</v>
      </c>
    </row>
    <row r="118" spans="1:7" ht="17.25" thickBot="1" x14ac:dyDescent="0.35">
      <c r="A118" s="2">
        <v>21</v>
      </c>
      <c r="C118" s="38" t="s">
        <v>47</v>
      </c>
      <c r="D118" s="43">
        <f>TRUNC(4299+814+1134+650+39053,-1)</f>
        <v>45950</v>
      </c>
      <c r="E118" s="64">
        <f t="shared" si="3"/>
        <v>151900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169150</v>
      </c>
      <c r="E119" s="39">
        <f>SUM(E98:E118)</f>
        <v>559150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243</v>
      </c>
      <c r="C121" s="56" t="s">
        <v>241</v>
      </c>
      <c r="D121" s="57" t="s">
        <v>234</v>
      </c>
      <c r="E121" s="57" t="s">
        <v>258</v>
      </c>
      <c r="G121" s="55"/>
    </row>
    <row r="122" spans="1:7" x14ac:dyDescent="0.3">
      <c r="A122" s="2">
        <v>1</v>
      </c>
      <c r="C122" s="38" t="s">
        <v>55</v>
      </c>
      <c r="D122" s="40">
        <f>TRUNC(1191,-1)</f>
        <v>1190</v>
      </c>
      <c r="E122" s="62">
        <f t="shared" ref="E122:E132" si="4">TRUNC(+D122*3.3058,-1)</f>
        <v>3930</v>
      </c>
    </row>
    <row r="123" spans="1:7" x14ac:dyDescent="0.3">
      <c r="A123" s="2">
        <v>2</v>
      </c>
      <c r="C123" s="38" t="s">
        <v>124</v>
      </c>
      <c r="D123" s="42">
        <f>TRUNC(1007,-1)</f>
        <v>1000</v>
      </c>
      <c r="E123" s="63">
        <f t="shared" si="4"/>
        <v>3300</v>
      </c>
    </row>
    <row r="124" spans="1:7" x14ac:dyDescent="0.3">
      <c r="A124" s="2">
        <v>3</v>
      </c>
      <c r="C124" s="38" t="s">
        <v>151</v>
      </c>
      <c r="D124" s="42">
        <f>TRUNC(888,-1)</f>
        <v>880</v>
      </c>
      <c r="E124" s="63">
        <f t="shared" si="4"/>
        <v>2900</v>
      </c>
    </row>
    <row r="125" spans="1:7" x14ac:dyDescent="0.3">
      <c r="A125" s="2">
        <v>4</v>
      </c>
      <c r="C125" s="38" t="s">
        <v>138</v>
      </c>
      <c r="D125" s="42">
        <f>TRUNC(201+3235,-1)</f>
        <v>3430</v>
      </c>
      <c r="E125" s="63">
        <f t="shared" si="4"/>
        <v>11330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TRUNC(1046,-1)</f>
        <v>1040</v>
      </c>
      <c r="E127" s="63">
        <f t="shared" si="4"/>
        <v>3430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TRUNC(5880,-1)</f>
        <v>5880</v>
      </c>
      <c r="E130" s="63">
        <f t="shared" si="4"/>
        <v>19430</v>
      </c>
    </row>
    <row r="131" spans="1:7" x14ac:dyDescent="0.3">
      <c r="A131" s="2">
        <v>10</v>
      </c>
      <c r="C131" s="38" t="s">
        <v>148</v>
      </c>
      <c r="D131" s="42">
        <f>TRUNC(39401,-1)</f>
        <v>39400</v>
      </c>
      <c r="E131" s="63">
        <f t="shared" si="4"/>
        <v>130240</v>
      </c>
    </row>
    <row r="132" spans="1:7" ht="18" thickBot="1" x14ac:dyDescent="0.35">
      <c r="A132" s="2">
        <v>11</v>
      </c>
      <c r="C132" s="38" t="s">
        <v>47</v>
      </c>
      <c r="D132" s="43">
        <f>TRUNC(338+445+458,-1)</f>
        <v>1240</v>
      </c>
      <c r="E132" s="64">
        <f t="shared" si="4"/>
        <v>4090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54060</v>
      </c>
      <c r="E133" s="39">
        <f>SUM(E122:E132)</f>
        <v>178650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244</v>
      </c>
      <c r="C135" s="56" t="s">
        <v>241</v>
      </c>
      <c r="D135" s="57" t="s">
        <v>234</v>
      </c>
      <c r="E135" s="57" t="s">
        <v>258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f>TRUNC(6276,-1)</f>
        <v>6270</v>
      </c>
      <c r="E144" s="63">
        <f t="shared" si="5"/>
        <v>20720</v>
      </c>
      <c r="F144" s="2" t="s">
        <v>252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6270</v>
      </c>
      <c r="E146" s="39">
        <f>SUM(E136:E145)</f>
        <v>20720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245</v>
      </c>
      <c r="C148" s="56" t="s">
        <v>241</v>
      </c>
      <c r="D148" s="57" t="s">
        <v>234</v>
      </c>
      <c r="E148" s="57" t="s">
        <v>258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TRUNC(50671,-1)</f>
        <v>50670</v>
      </c>
      <c r="E152" s="63">
        <f>TRUNC(+D152*3.3058,-1)</f>
        <v>167500</v>
      </c>
      <c r="F152" s="2" t="s">
        <v>251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50670</v>
      </c>
      <c r="E154" s="39">
        <f>SUM(E149:E153)</f>
        <v>167500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246</v>
      </c>
      <c r="C156" s="56" t="s">
        <v>241</v>
      </c>
      <c r="D156" s="57" t="s">
        <v>234</v>
      </c>
      <c r="E156" s="57" t="s">
        <v>258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TRUNC(41937,-1)</f>
        <v>41930</v>
      </c>
      <c r="E159" s="63">
        <f>TRUNC(+D159*3.3058,-1)</f>
        <v>138610</v>
      </c>
      <c r="F159" s="2" t="s">
        <v>250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41930</v>
      </c>
      <c r="E161" s="39">
        <f>SUM(E157:E160)</f>
        <v>138610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2020-12-07T09:45:48Z</dcterms:modified>
</cp:coreProperties>
</file>