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45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90" i="4"/>
  <c r="D89" i="4"/>
  <c r="D73" i="4"/>
  <c r="D71" i="4"/>
  <c r="D70" i="4"/>
  <c r="D69" i="4"/>
  <c r="D104" i="4"/>
  <c r="D103" i="4"/>
  <c r="D101" i="4"/>
  <c r="D102" i="4"/>
  <c r="D100" i="4"/>
  <c r="D99" i="4"/>
  <c r="D98" i="4"/>
  <c r="D114" i="4"/>
  <c r="D116" i="4"/>
  <c r="D105" i="4"/>
  <c r="D118" i="4"/>
  <c r="D132" i="4"/>
  <c r="D128" i="4"/>
  <c r="D127" i="4"/>
  <c r="D124" i="4"/>
  <c r="D125" i="4"/>
  <c r="D130" i="4"/>
  <c r="D126" i="4"/>
  <c r="D137" i="4"/>
  <c r="D144" i="4"/>
  <c r="D143" i="4"/>
  <c r="D139" i="4"/>
  <c r="D138" i="4"/>
  <c r="D141" i="4"/>
  <c r="D142" i="4"/>
  <c r="D140" i="4"/>
  <c r="D152" i="4"/>
  <c r="D151" i="4"/>
  <c r="D150" i="4"/>
  <c r="D149" i="4"/>
  <c r="D63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60" i="4"/>
  <c r="E95" i="4"/>
  <c r="E119" i="4"/>
  <c r="E146" i="4"/>
  <c r="D161" i="4"/>
  <c r="D32" i="4" s="1"/>
  <c r="E32" i="4" s="1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<sst xmlns="http://schemas.openxmlformats.org/spreadsheetml/2006/main" count="394" uniqueCount="269">
  <si>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</si>
  <si>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</si>
  <si>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</si>
  <si>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</si>
  <si>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</si>
  <si>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</si>
  <si>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</si>
  <si>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</si>
  <si>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</si>
  <si>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</si>
  <si>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</si>
  <si>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</si>
  <si>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</si>
  <si>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</si>
  <si>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</si>
  <si>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</si>
  <si>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</si>
  <si>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</si>
  <si>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</si>
  <si>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</si>
  <si>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</si>
  <si>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</si>
  <si>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</si>
  <si>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</si>
  <si>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</si>
  <si>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</si>
  <si>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</si>
  <si>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</si>
  <si>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</si>
  <si>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</si>
  <si>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</si>
  <si>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</si>
  <si>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</si>
  <si>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</si>
  <si>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</si>
  <si>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</si>
  <si>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</si>
  <si>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</si>
  <si>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</si>
  <si>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</si>
  <si>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</si>
  <si>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</si>
  <si>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</si>
  <si>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</si>
  <si>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</si>
  <si>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</si>
  <si>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</si>
  <si>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</si>
  <si>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</si>
  <si>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</si>
  <si>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</si>
  <si>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</si>
  <si>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</si>
  <si>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</si>
  <si>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</si>
  <si>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</si>
  <si>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</si>
  <si>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</si>
  <si>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</si>
  <si>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</si>
  <si>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</si>
  <si>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</si>
  <si>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</si>
  <si>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</si>
  <si>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</si>
  <si>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</si>
  <si>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</si>
  <si>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</si>
  <si>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</si>
  <si>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</si>
  <si>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</si>
  <si>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</si>
  <si>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</si>
  <si>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</si>
  <si>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</si>
  <si>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</si>
  <si>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</si>
  <si>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</si>
  <si>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</si>
  <si>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</si>
  <si>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</si>
  <si>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</si>
  <si>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</si>
  <si>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</si>
  <si>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</si>
  <si>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</si>
  <si>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</si>
  <si>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</si>
  <si>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</si>
  <si>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</si>
  <si>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</si>
  <si>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</si>
  <si>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</si>
  <si>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</si>
  <si>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</si>
  <si>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</si>
  <si>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</si>
  <si>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</si>
  <si>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</si>
  <si>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</si>
  <si>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</si>
  <si>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</si>
  <si>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</si>
  <si>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</si>
  <si>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</si>
  <si>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</si>
  <si>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</si>
  <si>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</si>
  <si>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</si>
  <si>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</si>
  <si>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</si>
  <si>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</si>
  <si>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</si>
  <si>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</si>
  <si>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</si>
  <si>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</si>
  <si>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</si>
  <si>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</si>
  <si>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</si>
  <si>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</si>
  <si>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</si>
  <si>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</si>
  <si>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</si>
  <si>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</si>
  <si>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</si>
  <si>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</si>
  <si>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</si>
  <si>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</si>
  <si>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</si>
  <si>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</si>
  <si>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</si>
  <si>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</si>
  <si>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</si>
  <si>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</si>
  <si>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</si>
  <si>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</si>
  <si>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</si>
  <si>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</si>
  <si>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</si>
  <si>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</si>
  <si>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</si>
  <si>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</si>
  <si>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</si>
  <si>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</si>
  <si>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</si>
  <si>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</si>
  <si>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</si>
  <si>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</si>
  <si>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</si>
  <si>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</si>
  <si>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</si>
  <si>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</si>
  <si>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</si>
  <si>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</si>
  <si>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</si>
  <si>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</si>
  <si>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</si>
  <si>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</si>
  <si>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</si>
  <si>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</si>
  <si>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</si>
  <si>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</si>
  <si>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</si>
  <si>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</si>
  <si>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</si>
  <si>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</si>
  <si>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</si>
  <si>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</si>
  <si>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</si>
  <si>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</si>
  <si>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</si>
  <si>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</si>
  <si>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</si>
  <si>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</si>
  <si>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</si>
  <si>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</si>
  <si>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</si>
  <si>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</si>
  <si>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</si>
  <si>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</si>
  <si>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</si>
  <si>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</si>
  <si>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</si>
  <si>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</si>
  <si>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</si>
  <si>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</si>
  <si>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</si>
  <si>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</si>
  <si>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</si>
  <si>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</si>
  <si>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</si>
  <si>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</si>
  <si>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</si>
  <si>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</si>
  <si>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</si>
  <si>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</si>
  <si>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</si>
  <si>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</si>
  <si>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</si>
  <si>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</si>
  <si>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</si>
  <si>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</si>
  <si>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</si>
  <si>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</si>
  <si>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</si>
  <si>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</si>
  <si>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</si>
  <si>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</si>
  <si>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</si>
  <si>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</si>
  <si>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</si>
  <si>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</si>
  <si>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</si>
  <si>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</si>
  <si>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</si>
  <si>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</si>
  <si>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</si>
  <si>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</si>
  <si>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</si>
  <si>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</si>
  <si>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</si>
  <si>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</si>
  <si>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</si>
  <si>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</si>
  <si>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</si>
  <si>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</si>
  <si>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</si>
  <si>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</si>
  <si>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</si>
  <si>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</si>
  <si>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</si>
  <si>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</si>
  <si>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</si>
  <si>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</si>
  <si>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</si>
  <si>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</si>
  <si>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</si>
  <si>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</si>
  <si>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</si>
  <si>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</si>
  <si>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</si>
  <si>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</si>
  <si>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</si>
  <si>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</si>
  <si>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</si>
  <si>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</si>
  <si>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</si>
  <si>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</si>
  <si>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국가정보자원관리원 공주센터 신축공사</t>
    <phoneticPr fontId="2" type="noConversion"/>
  </si>
  <si>
    <t>업무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</si>
  <si>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</si>
  <si>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</si>
  <si>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</si>
  <si>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</si>
  <si>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</si>
  <si>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</si>
  <si>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</si>
  <si>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</si>
  <si>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</si>
  <si>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</si>
  <si>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</si>
  <si>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</si>
  <si>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</si>
  <si>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</si>
  <si>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</si>
  <si>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공조배관공사,바닥난방공사,난방배관공사,기타공사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</si>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</sst>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16177.92</v>
      </c>
      <c r="D7" s="36">
        <f>+C7/3.3058</f>
        <v>4893.7987779054993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1149570</v>
      </c>
      <c r="E25" s="59">
        <f t="shared" si="0"/>
        <v>3800240</v>
      </c>
    </row>
    <row r="26" spans="1:5" x14ac:dyDescent="0.3">
      <c r="B26" s="2">
        <v>3</v>
      </c>
      <c r="C26" s="35" t="s">
        <v>95</v>
      </c>
      <c r="D26" s="45">
        <f>+D66</f>
        <v>885300</v>
      </c>
      <c r="E26" s="59">
        <f t="shared" si="0"/>
        <v>2926620</v>
      </c>
    </row>
    <row r="27" spans="1:5" x14ac:dyDescent="0.3">
      <c r="B27" s="2">
        <v>4</v>
      </c>
      <c r="C27" s="35" t="s">
        <v>96</v>
      </c>
      <c r="D27" s="45">
        <f>+D95</f>
        <v>1253210</v>
      </c>
      <c r="E27" s="59">
        <f t="shared" si="0"/>
        <v>4142860</v>
      </c>
    </row>
    <row r="28" spans="1:5" x14ac:dyDescent="0.3">
      <c r="B28" s="2">
        <v>5</v>
      </c>
      <c r="C28" s="35" t="s">
        <v>97</v>
      </c>
      <c r="D28" s="45">
        <f>+D119</f>
        <v>1142330</v>
      </c>
      <c r="E28" s="59">
        <f t="shared" si="0"/>
        <v>3776310</v>
      </c>
    </row>
    <row r="29" spans="1:5" x14ac:dyDescent="0.3">
      <c r="B29" s="2">
        <v>6</v>
      </c>
      <c r="C29" s="35" t="s">
        <v>98</v>
      </c>
      <c r="D29" s="45">
        <f>+D133</f>
        <v>618510</v>
      </c>
      <c r="E29" s="59">
        <f t="shared" si="0"/>
        <v>2044670</v>
      </c>
    </row>
    <row r="30" spans="1:5" x14ac:dyDescent="0.3">
      <c r="B30" s="2">
        <v>7</v>
      </c>
      <c r="C30" s="35" t="s">
        <v>99</v>
      </c>
      <c r="D30" s="45">
        <f>+D146</f>
        <v>240200</v>
      </c>
      <c r="E30" s="59">
        <f t="shared" si="0"/>
        <v>794050</v>
      </c>
    </row>
    <row r="31" spans="1:5" x14ac:dyDescent="0.3">
      <c r="B31" s="2">
        <v>8</v>
      </c>
      <c r="C31" s="35" t="s">
        <v>100</v>
      </c>
      <c r="D31" s="45">
        <f>+D154</f>
        <v>314060</v>
      </c>
      <c r="E31" s="59">
        <f t="shared" si="0"/>
        <v>1038210</v>
      </c>
    </row>
    <row r="32" spans="1:5" x14ac:dyDescent="0.3">
      <c r="B32" s="2">
        <v>9</v>
      </c>
      <c r="C32" s="35" t="s">
        <v>101</v>
      </c>
      <c r="D32" s="45">
        <f>+D161</f>
        <v>66280</v>
      </c>
      <c r="E32" s="59">
        <f t="shared" si="0"/>
        <v>219100</v>
      </c>
    </row>
    <row r="33" spans="1:7" x14ac:dyDescent="0.3">
      <c r="B33" s="2">
        <v>10</v>
      </c>
      <c r="C33" s="35" t="s">
        <v>154</v>
      </c>
      <c r="D33" s="53">
        <f>TRUNC(SUM(D24:D32)*0.275,-1)</f>
        <v>1559100</v>
      </c>
      <c r="E33" s="60">
        <f t="shared" si="0"/>
        <v>5154070</v>
      </c>
    </row>
    <row r="34" spans="1:7" x14ac:dyDescent="0.3">
      <c r="C34" s="35" t="s">
        <v>112</v>
      </c>
      <c r="D34" s="44">
        <f>SUM(D24:D33)</f>
        <v>7228560</v>
      </c>
      <c r="E34" s="44">
        <f>SUM(E24:E33)</f>
        <v>23896130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TRUNC(79721,-1)</f>
        <v>79720</v>
      </c>
      <c r="E40" s="62">
        <f t="shared" ref="E40:E59" si="1">TRUNC(+D40*3.3058,-1)</f>
        <v>263530</v>
      </c>
    </row>
    <row r="41" spans="1:7" x14ac:dyDescent="0.3">
      <c r="A41" s="2">
        <v>2</v>
      </c>
      <c r="C41" s="38" t="s">
        <v>13</v>
      </c>
      <c r="D41" s="42">
        <f>TRUNC(319973,-1)</f>
        <v>319970</v>
      </c>
      <c r="E41" s="63">
        <f t="shared" si="1"/>
        <v>1057750</v>
      </c>
    </row>
    <row r="42" spans="1:7" x14ac:dyDescent="0.3">
      <c r="A42" s="2">
        <v>3</v>
      </c>
      <c r="C42" s="38" t="s">
        <v>14</v>
      </c>
      <c r="D42" s="42">
        <f>TRUNC(6333,-1)</f>
        <v>6330</v>
      </c>
      <c r="E42" s="63">
        <f t="shared" si="1"/>
        <v>20920</v>
      </c>
    </row>
    <row r="43" spans="1:7" x14ac:dyDescent="0.3">
      <c r="A43" s="2">
        <v>4</v>
      </c>
      <c r="C43" s="38" t="s">
        <v>16</v>
      </c>
      <c r="D43" s="42">
        <f>TRUNC(15295,-1)</f>
        <v>15290</v>
      </c>
      <c r="E43" s="63">
        <f t="shared" si="1"/>
        <v>50540</v>
      </c>
    </row>
    <row r="44" spans="1:7" x14ac:dyDescent="0.3">
      <c r="A44" s="2">
        <v>5</v>
      </c>
      <c r="C44" s="38" t="s">
        <v>17</v>
      </c>
      <c r="D44" s="42">
        <f>TRUNC(27907,-1)</f>
        <v>27900</v>
      </c>
      <c r="E44" s="63">
        <f t="shared" si="1"/>
        <v>92230</v>
      </c>
    </row>
    <row r="45" spans="1:7" x14ac:dyDescent="0.3">
      <c r="A45" s="2">
        <v>6</v>
      </c>
      <c r="C45" s="38" t="s">
        <v>18</v>
      </c>
      <c r="D45" s="42">
        <f>TRUNC(4825,-1)</f>
        <v>4820</v>
      </c>
      <c r="E45" s="63">
        <f t="shared" si="1"/>
        <v>15930</v>
      </c>
    </row>
    <row r="46" spans="1:7" x14ac:dyDescent="0.3">
      <c r="A46" s="2">
        <v>7</v>
      </c>
      <c r="C46" s="38" t="s">
        <v>19</v>
      </c>
      <c r="D46" s="42">
        <f>TRUNC(5245,-1)</f>
        <v>5240</v>
      </c>
      <c r="E46" s="63">
        <f t="shared" si="1"/>
        <v>17320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TRUNC(44834,-1)</f>
        <v>44830</v>
      </c>
      <c r="E48" s="63">
        <f t="shared" si="1"/>
        <v>148190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TRUNC(23322,-1)</f>
        <v>23320</v>
      </c>
      <c r="E49" s="63">
        <f t="shared" si="1"/>
        <v>77090</v>
      </c>
    </row>
    <row r="50" spans="1:7" x14ac:dyDescent="0.3">
      <c r="A50" s="2">
        <v>11</v>
      </c>
      <c r="C50" s="38" t="s">
        <v>155</v>
      </c>
      <c r="D50" s="42">
        <f>TRUNC(24822,-1)</f>
        <v>24820</v>
      </c>
      <c r="E50" s="63">
        <f t="shared" si="1"/>
        <v>82040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TRUNC(15053,-1)</f>
        <v>15050</v>
      </c>
      <c r="E52" s="63">
        <f t="shared" si="1"/>
        <v>49750</v>
      </c>
    </row>
    <row r="53" spans="1:7" x14ac:dyDescent="0.3">
      <c r="A53" s="2">
        <v>14</v>
      </c>
      <c r="C53" s="38" t="s">
        <v>25</v>
      </c>
      <c r="D53" s="42">
        <f>TRUNC(79128,-1)</f>
        <v>79120</v>
      </c>
      <c r="E53" s="63">
        <f t="shared" si="1"/>
        <v>261550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TRUNC(850+356+8233-1316+828+242862,-1)</f>
        <v>251810</v>
      </c>
      <c r="E58" s="63">
        <f t="shared" si="1"/>
        <v>832430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TRUNC(251357,-1)</f>
        <v>251350</v>
      </c>
      <c r="E59" s="64">
        <f t="shared" si="1"/>
        <v>830910</v>
      </c>
    </row>
    <row r="60" spans="1:7" x14ac:dyDescent="0.3">
      <c r="A60" s="2">
        <v>21</v>
      </c>
      <c r="C60" s="27" t="s">
        <v>112</v>
      </c>
      <c r="D60" s="39">
        <f>SUM(D40:D59)</f>
        <v>1149570</v>
      </c>
      <c r="E60" s="39">
        <f>SUM(E40:E59)</f>
        <v>3800180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TRUNC(885308,-1)</f>
        <v>885300</v>
      </c>
      <c r="E63" s="62">
        <f>TRUNC(+D63*3.3058,-1)</f>
        <v>2926620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885300</v>
      </c>
      <c r="E66" s="65">
        <f>SUM(E63:E65)</f>
        <v>2926620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TRUNC(46753,-1)</f>
        <v>46750</v>
      </c>
      <c r="E69" s="62">
        <f t="shared" ref="E69:E94" si="2">TRUNC(+D69*3.3058,-1)</f>
        <v>154540</v>
      </c>
    </row>
    <row r="70" spans="1:7" ht="16.5" customHeight="1" x14ac:dyDescent="0.3">
      <c r="A70" s="2">
        <v>2</v>
      </c>
      <c r="C70" s="38" t="s">
        <v>31</v>
      </c>
      <c r="D70" s="42">
        <f>TRUNC(960,-1)</f>
        <v>960</v>
      </c>
      <c r="E70" s="63">
        <f t="shared" si="2"/>
        <v>3170</v>
      </c>
    </row>
    <row r="71" spans="1:7" x14ac:dyDescent="0.3">
      <c r="A71" s="2">
        <v>3</v>
      </c>
      <c r="C71" s="38" t="s">
        <v>32</v>
      </c>
      <c r="D71" s="42">
        <f>TRUNC(42508,-1)</f>
        <v>42500</v>
      </c>
      <c r="E71" s="63">
        <f t="shared" si="2"/>
        <v>140490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TRUNC(24008,-1)</f>
        <v>24000</v>
      </c>
      <c r="E73" s="63">
        <f t="shared" si="2"/>
        <v>79330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TRUNC(4498,-1)</f>
        <v>4490</v>
      </c>
      <c r="E75" s="63">
        <f t="shared" si="2"/>
        <v>14840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TRUNC(53141,-1)</f>
        <v>53140</v>
      </c>
      <c r="E89" s="63">
        <f t="shared" si="2"/>
        <v>175670</v>
      </c>
    </row>
    <row r="90" spans="1:7" x14ac:dyDescent="0.3">
      <c r="A90" s="2">
        <v>22</v>
      </c>
      <c r="C90" s="38" t="s">
        <v>36</v>
      </c>
      <c r="D90" s="42">
        <f>TRUNC(32466,-1)</f>
        <v>32460</v>
      </c>
      <c r="E90" s="63">
        <f t="shared" si="2"/>
        <v>107300</v>
      </c>
    </row>
    <row r="91" spans="1:7" x14ac:dyDescent="0.3">
      <c r="A91" s="2">
        <v>23</v>
      </c>
      <c r="C91" s="38" t="s">
        <v>37</v>
      </c>
      <c r="D91" s="42">
        <f>TRUNC(266609,-1)</f>
        <v>266600</v>
      </c>
      <c r="E91" s="63">
        <f t="shared" si="2"/>
        <v>881320</v>
      </c>
    </row>
    <row r="92" spans="1:7" x14ac:dyDescent="0.3">
      <c r="A92" s="2">
        <v>24</v>
      </c>
      <c r="C92" s="38" t="s">
        <v>38</v>
      </c>
      <c r="D92" s="42">
        <f>TRUNC(6596,-1)</f>
        <v>6590</v>
      </c>
      <c r="E92" s="63">
        <f t="shared" si="2"/>
        <v>21780</v>
      </c>
    </row>
    <row r="93" spans="1:7" x14ac:dyDescent="0.3">
      <c r="A93" s="2">
        <v>25</v>
      </c>
      <c r="C93" s="38" t="s">
        <v>148</v>
      </c>
      <c r="D93" s="42">
        <f>TRUNC(239428,-1)</f>
        <v>239420</v>
      </c>
      <c r="E93" s="63">
        <f t="shared" si="2"/>
        <v>791470</v>
      </c>
    </row>
    <row r="94" spans="1:7" ht="17.25" thickBot="1" x14ac:dyDescent="0.35">
      <c r="A94" s="2">
        <v>26</v>
      </c>
      <c r="C94" s="38" t="s">
        <v>47</v>
      </c>
      <c r="D94" s="43">
        <f>TRUNC(219804+540+1729+314231,-1)</f>
        <v>536300</v>
      </c>
      <c r="E94" s="64">
        <f t="shared" si="2"/>
        <v>1772900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1253210</v>
      </c>
      <c r="E95" s="39">
        <f>SUM(E69:E94)</f>
        <v>4142810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TRUNC(70104,-1)</f>
        <v>70100</v>
      </c>
      <c r="E98" s="62">
        <f t="shared" ref="E98:E118" si="3">TRUNC(+D98*3.3058,-1)</f>
        <v>231730</v>
      </c>
    </row>
    <row r="99" spans="1:7" x14ac:dyDescent="0.3">
      <c r="A99" s="2">
        <v>2</v>
      </c>
      <c r="C99" s="38" t="s">
        <v>40</v>
      </c>
      <c r="D99" s="42">
        <f>TRUNC(26919,-1)</f>
        <v>26910</v>
      </c>
      <c r="E99" s="63">
        <f t="shared" si="3"/>
        <v>88950</v>
      </c>
    </row>
    <row r="100" spans="1:7" x14ac:dyDescent="0.3">
      <c r="A100" s="2">
        <v>3</v>
      </c>
      <c r="C100" s="38" t="s">
        <v>41</v>
      </c>
      <c r="D100" s="42">
        <f>TRUNC(52492,-1)</f>
        <v>52490</v>
      </c>
      <c r="E100" s="63">
        <f t="shared" si="3"/>
        <v>173520</v>
      </c>
    </row>
    <row r="101" spans="1:7" x14ac:dyDescent="0.3">
      <c r="A101" s="2">
        <v>4</v>
      </c>
      <c r="C101" s="38" t="s">
        <v>42</v>
      </c>
      <c r="D101" s="42">
        <f>TRUNC(11839,-1)</f>
        <v>11830</v>
      </c>
      <c r="E101" s="63">
        <f t="shared" si="3"/>
        <v>39100</v>
      </c>
    </row>
    <row r="102" spans="1:7" x14ac:dyDescent="0.3">
      <c r="A102" s="2">
        <v>5</v>
      </c>
      <c r="C102" s="38" t="s">
        <v>43</v>
      </c>
      <c r="D102" s="42">
        <f>TRUNC(20329,-1)</f>
        <v>20320</v>
      </c>
      <c r="E102" s="63">
        <f t="shared" si="3"/>
        <v>67170</v>
      </c>
    </row>
    <row r="103" spans="1:7" x14ac:dyDescent="0.3">
      <c r="A103" s="2">
        <v>6</v>
      </c>
      <c r="C103" s="38" t="s">
        <v>44</v>
      </c>
      <c r="D103" s="42">
        <f>TRUNC(504,-1)</f>
        <v>500</v>
      </c>
      <c r="E103" s="63">
        <f t="shared" si="3"/>
        <v>1650</v>
      </c>
    </row>
    <row r="104" spans="1:7" x14ac:dyDescent="0.3">
      <c r="A104" s="2">
        <v>7</v>
      </c>
      <c r="C104" s="38" t="s">
        <v>45</v>
      </c>
      <c r="D104" s="42">
        <f>TRUNC(13892,-1)</f>
        <v>13890</v>
      </c>
      <c r="E104" s="63">
        <f t="shared" si="3"/>
        <v>45910</v>
      </c>
    </row>
    <row r="105" spans="1:7" x14ac:dyDescent="0.3">
      <c r="A105" s="2">
        <v>8</v>
      </c>
      <c r="C105" s="38" t="s">
        <v>46</v>
      </c>
      <c r="D105" s="42">
        <f>TRUNC(136253,-1)</f>
        <v>136250</v>
      </c>
      <c r="E105" s="63">
        <f t="shared" si="3"/>
        <v>450410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TRUNC(7368,-1)</f>
        <v>7360</v>
      </c>
      <c r="E114" s="63">
        <f t="shared" si="3"/>
        <v>24330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TRUNC(234421,-1)</f>
        <v>234420</v>
      </c>
      <c r="E116" s="63">
        <f t="shared" si="3"/>
        <v>774940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TRUNC(373203,-1)</f>
        <v>373200</v>
      </c>
      <c r="E117" s="63">
        <f t="shared" si="3"/>
        <v>1233720</v>
      </c>
    </row>
    <row r="118" spans="1:7" ht="17.25" thickBot="1" x14ac:dyDescent="0.35">
      <c r="A118" s="2">
        <v>21</v>
      </c>
      <c r="C118" s="38" t="s">
        <v>47</v>
      </c>
      <c r="D118" s="43">
        <f>TRUNC(195060,-1)</f>
        <v>195060</v>
      </c>
      <c r="E118" s="64">
        <f t="shared" si="3"/>
        <v>644820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1142330</v>
      </c>
      <c r="E119" s="39">
        <f>SUM(E98:E118)</f>
        <v>3776250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TRUNC(1616,-1)</f>
        <v>1610</v>
      </c>
      <c r="E124" s="63">
        <f t="shared" si="4"/>
        <v>5320</v>
      </c>
    </row>
    <row r="125" spans="1:7" x14ac:dyDescent="0.3">
      <c r="A125" s="2">
        <v>4</v>
      </c>
      <c r="C125" s="38" t="s">
        <v>138</v>
      </c>
      <c r="D125" s="42">
        <f>TRUNC(6454,-1)</f>
        <v>6450</v>
      </c>
      <c r="E125" s="63">
        <f t="shared" si="4"/>
        <v>21320</v>
      </c>
    </row>
    <row r="126" spans="1:7" x14ac:dyDescent="0.3">
      <c r="A126" s="2">
        <v>5</v>
      </c>
      <c r="C126" s="38" t="s">
        <v>53</v>
      </c>
      <c r="D126" s="42">
        <f>TRUNC(58191,-1)</f>
        <v>58190</v>
      </c>
      <c r="E126" s="63">
        <f t="shared" si="4"/>
        <v>192360</v>
      </c>
    </row>
    <row r="127" spans="1:7" x14ac:dyDescent="0.3">
      <c r="A127" s="2">
        <v>6</v>
      </c>
      <c r="C127" s="38" t="s">
        <v>56</v>
      </c>
      <c r="D127" s="42">
        <f>TRUNC(7755,-1)</f>
        <v>7750</v>
      </c>
      <c r="E127" s="63">
        <f t="shared" si="4"/>
        <v>25610</v>
      </c>
    </row>
    <row r="128" spans="1:7" x14ac:dyDescent="0.3">
      <c r="A128" s="2">
        <v>7</v>
      </c>
      <c r="C128" s="38" t="s">
        <v>46</v>
      </c>
      <c r="D128" s="42">
        <f>TRUNC(11209,-1)</f>
        <v>11200</v>
      </c>
      <c r="E128" s="63">
        <f t="shared" si="4"/>
        <v>37020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TRUNC(72961,-1)</f>
        <v>72960</v>
      </c>
      <c r="E130" s="63">
        <f t="shared" si="4"/>
        <v>241190</v>
      </c>
    </row>
    <row r="131" spans="1:7" x14ac:dyDescent="0.3">
      <c r="A131" s="2">
        <v>10</v>
      </c>
      <c r="C131" s="38" t="s">
        <v>148</v>
      </c>
      <c r="D131" s="42">
        <f>TRUNC(438008,-1)</f>
        <v>438000</v>
      </c>
      <c r="E131" s="63">
        <f t="shared" si="4"/>
        <v>1447940</v>
      </c>
    </row>
    <row r="132" spans="1:7" ht="18" thickBot="1" x14ac:dyDescent="0.35">
      <c r="A132" s="2">
        <v>11</v>
      </c>
      <c r="C132" s="38" t="s">
        <v>47</v>
      </c>
      <c r="D132" s="43">
        <f>TRUNC(6259+218+15875,-1)</f>
        <v>22350</v>
      </c>
      <c r="E132" s="64">
        <f t="shared" si="4"/>
        <v>73880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618510</v>
      </c>
      <c r="E133" s="39">
        <f>SUM(E122:E132)</f>
        <v>2044640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TRUNC(183+5904+8739+11961+9027,-1)</f>
        <v>35810</v>
      </c>
      <c r="E137" s="63">
        <f t="shared" si="5"/>
        <v>118380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TRUNC(58750,-1)</f>
        <v>58750</v>
      </c>
      <c r="E138" s="63">
        <f t="shared" si="5"/>
        <v>194210</v>
      </c>
    </row>
    <row r="139" spans="1:7" x14ac:dyDescent="0.3">
      <c r="A139" s="2">
        <v>4</v>
      </c>
      <c r="C139" s="38" t="s">
        <v>61</v>
      </c>
      <c r="D139" s="42">
        <f>TRUNC(4527,-1)</f>
        <v>4520</v>
      </c>
      <c r="E139" s="63">
        <f t="shared" si="5"/>
        <v>14940</v>
      </c>
    </row>
    <row r="140" spans="1:7" x14ac:dyDescent="0.3">
      <c r="A140" s="2">
        <v>5</v>
      </c>
      <c r="C140" s="38" t="s">
        <v>57</v>
      </c>
      <c r="D140" s="42">
        <f>TRUNC(968,-1)</f>
        <v>960</v>
      </c>
      <c r="E140" s="63">
        <f t="shared" si="5"/>
        <v>3170</v>
      </c>
    </row>
    <row r="141" spans="1:7" x14ac:dyDescent="0.3">
      <c r="A141" s="2">
        <v>6</v>
      </c>
      <c r="C141" s="38" t="s">
        <v>59</v>
      </c>
      <c r="D141" s="42">
        <f>TRUNC(25253,-1)</f>
        <v>25250</v>
      </c>
      <c r="E141" s="63">
        <f t="shared" si="5"/>
        <v>83470</v>
      </c>
    </row>
    <row r="142" spans="1:7" x14ac:dyDescent="0.3">
      <c r="A142" s="2">
        <v>7</v>
      </c>
      <c r="C142" s="38" t="s">
        <v>58</v>
      </c>
      <c r="D142" s="42">
        <f>TRUNC(18508,-1)</f>
        <v>18500</v>
      </c>
      <c r="E142" s="63">
        <f t="shared" si="5"/>
        <v>61150</v>
      </c>
    </row>
    <row r="143" spans="1:7" x14ac:dyDescent="0.3">
      <c r="A143" s="2">
        <v>8</v>
      </c>
      <c r="C143" s="38" t="s">
        <v>62</v>
      </c>
      <c r="D143" s="42">
        <f>TRUNC(14139,-1)</f>
        <v>14130</v>
      </c>
      <c r="E143" s="63">
        <f t="shared" si="5"/>
        <v>46710</v>
      </c>
    </row>
    <row r="144" spans="1:7" x14ac:dyDescent="0.3">
      <c r="A144" s="2">
        <v>9</v>
      </c>
      <c r="C144" s="38" t="s">
        <v>63</v>
      </c>
      <c r="D144" s="42">
        <f>TRUNC(67591,-1)</f>
        <v>67590</v>
      </c>
      <c r="E144" s="63">
        <f t="shared" si="5"/>
        <v>223430</v>
      </c>
    </row>
    <row r="145" spans="1:7" ht="17.25" thickBot="1" x14ac:dyDescent="0.35">
      <c r="A145" s="2">
        <v>10</v>
      </c>
      <c r="C145" s="38" t="s">
        <v>148</v>
      </c>
      <c r="D145" s="43">
        <f>TRUNC(14690,-1)</f>
        <v>14690</v>
      </c>
      <c r="E145" s="64">
        <f t="shared" si="5"/>
        <v>48560</v>
      </c>
    </row>
    <row r="146" spans="1:7" x14ac:dyDescent="0.3">
      <c r="A146" s="2">
        <v>11</v>
      </c>
      <c r="C146" s="27" t="s">
        <v>112</v>
      </c>
      <c r="D146" s="39">
        <f>SUM(D136:D145)</f>
        <v>240200</v>
      </c>
      <c r="E146" s="39">
        <f>SUM(E136:E145)</f>
        <v>794020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TRUNC(19757+26230,-1)</f>
        <v>45980</v>
      </c>
      <c r="E149" s="62">
        <f>TRUNC(+D149*3.3058,-1)</f>
        <v>152000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TRUNC(6304,-1)</f>
        <v>6300</v>
      </c>
      <c r="E150" s="63">
        <f>TRUNC(+D150*3.3058,-1)</f>
        <v>20820</v>
      </c>
    </row>
    <row r="151" spans="1:7" x14ac:dyDescent="0.3">
      <c r="A151" s="2">
        <v>3</v>
      </c>
      <c r="C151" s="38" t="s">
        <v>50</v>
      </c>
      <c r="D151" s="42">
        <f>TRUNC(78419,-1)</f>
        <v>78410</v>
      </c>
      <c r="E151" s="63">
        <f>TRUNC(+D151*3.3058,-1)</f>
        <v>259200</v>
      </c>
    </row>
    <row r="152" spans="1:7" x14ac:dyDescent="0.3">
      <c r="A152" s="2">
        <v>4</v>
      </c>
      <c r="C152" s="38" t="s">
        <v>47</v>
      </c>
      <c r="D152" s="42">
        <f>TRUNC(6044+12327+1748+3209,-1)</f>
        <v>23320</v>
      </c>
      <c r="E152" s="63">
        <f>TRUNC(+D152*3.3058,-1)</f>
        <v>77090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TRUNC(160056,-1)</f>
        <v>160050</v>
      </c>
      <c r="E153" s="64">
        <f>TRUNC(+D153*3.3058,-1)</f>
        <v>529090</v>
      </c>
    </row>
    <row r="154" spans="1:7" x14ac:dyDescent="0.3">
      <c r="A154" s="2">
        <v>6</v>
      </c>
      <c r="C154" s="27" t="s">
        <v>112</v>
      </c>
      <c r="D154" s="39">
        <f>SUM(D149:D153)</f>
        <v>314060</v>
      </c>
      <c r="E154" s="39">
        <f>SUM(E149:E153)</f>
        <v>1038200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TRUNC(46771,-1)</f>
        <v>46770</v>
      </c>
      <c r="E157" s="62">
        <f>TRUNC(+D157*3.3058,-1)</f>
        <v>154610</v>
      </c>
    </row>
    <row r="158" spans="1:7" x14ac:dyDescent="0.3">
      <c r="A158" s="2">
        <v>2</v>
      </c>
      <c r="C158" s="38" t="s">
        <v>52</v>
      </c>
      <c r="D158" s="42">
        <f>TRUNC(2347,-1)</f>
        <v>2340</v>
      </c>
      <c r="E158" s="63">
        <f>TRUNC(+D158*3.3058,-1)</f>
        <v>7730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TRUNC(4422+4467,-1)</f>
        <v>8880</v>
      </c>
      <c r="E159" s="63">
        <f>TRUNC(+D159*3.3058,-1)</f>
        <v>29350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TRUNC(8292,-1)</f>
        <v>8290</v>
      </c>
      <c r="E160" s="64">
        <f>TRUNC(+D160*3.3058,-1)</f>
        <v>27400</v>
      </c>
    </row>
    <row r="161" spans="1:5" x14ac:dyDescent="0.3">
      <c r="A161" s="2">
        <v>5</v>
      </c>
      <c r="C161" s="27" t="s">
        <v>112</v>
      </c>
      <c r="D161" s="39">
        <f>SUM(D157:D160)</f>
        <v>66280</v>
      </c>
      <c r="E161" s="39">
        <f>SUM(E157:E160)</f>
        <v>219090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2020-12-08T04:02:01Z</dcterms:modified>
</cp:coreProperties>
</file>