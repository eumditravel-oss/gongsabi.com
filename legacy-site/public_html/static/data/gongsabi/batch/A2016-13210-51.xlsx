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94" i="4" l="1"/>
  <c r="E160" i="4" l="1"/>
  <c r="E151" i="4"/>
  <c r="E145" i="4"/>
  <c r="E141" i="4"/>
  <c r="E139" i="4"/>
  <c r="E138" i="4"/>
  <c r="E136" i="4"/>
  <c r="E131" i="4"/>
  <c r="E129" i="4"/>
  <c r="E127" i="4"/>
  <c r="E124" i="4"/>
  <c r="E123" i="4"/>
  <c r="E116" i="4"/>
  <c r="E114" i="4"/>
  <c r="E113" i="4"/>
  <c r="E112" i="4"/>
  <c r="E111" i="4"/>
  <c r="E110" i="4"/>
  <c r="E109" i="4"/>
  <c r="E108" i="4"/>
  <c r="E107" i="4"/>
  <c r="E106" i="4"/>
  <c r="E103" i="4"/>
  <c r="E101" i="4"/>
  <c r="E94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4" i="4"/>
  <c r="E57" i="4"/>
  <c r="E56" i="4"/>
  <c r="E55" i="4"/>
  <c r="E54" i="4"/>
  <c r="E51" i="4"/>
  <c r="E47" i="4"/>
  <c r="E42" i="4"/>
  <c r="E37" i="4"/>
  <c r="D59" i="4" l="1"/>
  <c r="E59" i="4" s="1"/>
  <c r="D93" i="4"/>
  <c r="E93" i="4" s="1"/>
  <c r="D117" i="4"/>
  <c r="E117" i="4" s="1"/>
  <c r="D153" i="4"/>
  <c r="E153" i="4" s="1"/>
  <c r="D159" i="4"/>
  <c r="E159" i="4" s="1"/>
  <c r="D158" i="4"/>
  <c r="E158" i="4" s="1"/>
  <c r="D157" i="4"/>
  <c r="E157" i="4" s="1"/>
  <c r="E161" i="4" s="1"/>
  <c r="D152" i="4"/>
  <c r="E152" i="4" s="1"/>
  <c r="D150" i="4"/>
  <c r="E150" i="4" s="1"/>
  <c r="D149" i="4"/>
  <c r="E149" i="4" s="1"/>
  <c r="D137" i="4"/>
  <c r="E137" i="4" s="1"/>
  <c r="E146" i="4" s="1"/>
  <c r="D144" i="4"/>
  <c r="E144" i="4" s="1"/>
  <c r="D143" i="4"/>
  <c r="E143" i="4" s="1"/>
  <c r="D142" i="4"/>
  <c r="E142" i="4" s="1"/>
  <c r="D140" i="4"/>
  <c r="E140" i="4" s="1"/>
  <c r="D132" i="4"/>
  <c r="E132" i="4" s="1"/>
  <c r="D128" i="4"/>
  <c r="E128" i="4" s="1"/>
  <c r="D125" i="4"/>
  <c r="E125" i="4" s="1"/>
  <c r="D122" i="4"/>
  <c r="E122" i="4" s="1"/>
  <c r="E133" i="4" s="1"/>
  <c r="D130" i="4"/>
  <c r="E130" i="4" s="1"/>
  <c r="D126" i="4"/>
  <c r="E126" i="4" s="1"/>
  <c r="D118" i="4"/>
  <c r="E118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115" i="4"/>
  <c r="E115" i="4" s="1"/>
  <c r="D75" i="4"/>
  <c r="E75" i="4" s="1"/>
  <c r="D92" i="4"/>
  <c r="E92" i="4" s="1"/>
  <c r="D91" i="4"/>
  <c r="E91" i="4" s="1"/>
  <c r="D89" i="4"/>
  <c r="E89" i="4" s="1"/>
  <c r="D73" i="4"/>
  <c r="E73" i="4" s="1"/>
  <c r="D72" i="4"/>
  <c r="E72" i="4" s="1"/>
  <c r="D71" i="4"/>
  <c r="E71" i="4" s="1"/>
  <c r="D70" i="4"/>
  <c r="E70" i="4" s="1"/>
  <c r="D69" i="4"/>
  <c r="E69" i="4" s="1"/>
  <c r="E95" i="4" s="1"/>
  <c r="D65" i="4"/>
  <c r="E65" i="4" s="1"/>
  <c r="D63" i="4"/>
  <c r="E63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E40" i="4" s="1"/>
  <c r="E154" i="4" l="1"/>
  <c r="E60" i="4"/>
  <c r="E66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7" i="4" l="1"/>
  <c r="D33" i="4"/>
  <c r="E33" i="4" l="1"/>
  <c r="E34" i="4" s="1"/>
  <c r="D34" i="4"/>
</calcChain>
</file>

<file path=xl/sharedStrings.xml><?xml version="1.0" encoding="utf-8"?>
<sst xmlns="http://schemas.openxmlformats.org/spreadsheetml/2006/main" count="394" uniqueCount="269">
  <si>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</si>
  <si>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</si>
  <si>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</si>
  <si>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</si>
  <si>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</si>
  <si>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</si>
  <si>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</si>
  <si>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</si>
  <si>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</si>
  <si>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</si>
  <si>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</si>
  <si>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</si>
  <si>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</si>
  <si>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</si>
  <si>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</si>
  <si>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</si>
  <si>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</si>
  <si>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</si>
  <si>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</si>
  <si>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</si>
  <si>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</si>
  <si>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</si>
  <si>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</si>
  <si>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</si>
  <si>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</si>
  <si>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</si>
  <si>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</si>
  <si>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</si>
  <si>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</si>
  <si>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</si>
  <si>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</si>
  <si>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</si>
  <si>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</si>
  <si>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</si>
  <si>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</si>
  <si>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</si>
  <si>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</si>
  <si>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</si>
  <si>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</si>
  <si>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</si>
  <si>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</si>
  <si>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</si>
  <si>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</si>
  <si>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</si>
  <si>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</si>
  <si>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</si>
  <si>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</si>
  <si>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</si>
  <si>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</si>
  <si>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</si>
  <si>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</si>
  <si>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</si>
  <si>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</si>
  <si>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</si>
  <si>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</si>
  <si>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</si>
  <si>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</si>
  <si>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</si>
  <si>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</si>
  <si>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</si>
  <si>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</si>
  <si>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</si>
  <si>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</si>
  <si>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</si>
  <si>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</si>
  <si>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</si>
  <si>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</si>
  <si>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</si>
  <si>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</si>
  <si>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</si>
  <si>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</si>
  <si>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</si>
  <si>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</si>
  <si>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</si>
  <si>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</si>
  <si>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</si>
  <si>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</si>
  <si>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</si>
  <si>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</si>
  <si>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</si>
  <si>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</si>
  <si>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</si>
  <si>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</si>
  <si>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</si>
  <si>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</si>
  <si>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</si>
  <si>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</si>
  <si>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</si>
  <si>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</si>
  <si>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</si>
  <si>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</si>
  <si>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</si>
  <si>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</si>
  <si>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</si>
  <si>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</si>
  <si>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</si>
  <si>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</si>
  <si>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</si>
  <si>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</si>
  <si>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</si>
  <si>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</si>
  <si>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</si>
  <si>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</si>
  <si>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</si>
  <si>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</si>
  <si>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</si>
  <si>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</si>
  <si>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</si>
  <si>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</si>
  <si>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</si>
  <si>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</si>
  <si>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</si>
  <si>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</si>
  <si>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</si>
  <si>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</si>
  <si>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</si>
  <si>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</si>
  <si>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</si>
  <si>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</si>
  <si>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</si>
  <si>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</si>
  <si>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</si>
  <si>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</si>
  <si>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</si>
  <si>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</si>
  <si>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</si>
  <si>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</si>
  <si>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</si>
  <si>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</si>
  <si>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</si>
  <si>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</si>
  <si>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</si>
  <si>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</si>
  <si>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</si>
  <si>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</si>
  <si>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</si>
  <si>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</si>
  <si>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</si>
  <si>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</si>
  <si>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</si>
  <si>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</si>
  <si>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</si>
  <si>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</si>
  <si>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</si>
  <si>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</si>
  <si>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</si>
  <si>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</si>
  <si>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</si>
  <si>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</si>
  <si>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</si>
  <si>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</si>
  <si>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</si>
  <si>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</si>
  <si>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</si>
  <si>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</si>
  <si>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</si>
  <si>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</si>
  <si>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</si>
  <si>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</si>
  <si>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</si>
  <si>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</si>
  <si>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</si>
  <si>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</si>
  <si>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</si>
  <si>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</si>
  <si>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</si>
  <si>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</si>
  <si>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</si>
  <si>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</si>
  <si>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</si>
  <si>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</si>
  <si>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</si>
  <si>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</si>
  <si>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</si>
  <si>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</si>
  <si>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</si>
  <si>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</si>
  <si>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</si>
  <si>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</si>
  <si>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</si>
  <si>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</si>
  <si>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</si>
  <si>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</si>
  <si>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</si>
  <si>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</si>
  <si>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</si>
  <si>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</si>
  <si>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</si>
  <si>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</si>
  <si>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</si>
  <si>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</si>
  <si>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</si>
  <si>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</si>
  <si>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</si>
  <si>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</si>
  <si>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</si>
  <si>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</si>
  <si>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</si>
  <si>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</si>
  <si>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</si>
  <si>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</si>
  <si>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</si>
  <si>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</si>
  <si>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</si>
  <si>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</si>
  <si>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</si>
  <si>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</si>
  <si>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</si>
  <si>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</si>
  <si>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</si>
  <si>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</si>
  <si>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</si>
  <si>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</si>
  <si>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</si>
  <si>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</si>
  <si>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</si>
  <si>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</si>
  <si>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</si>
  <si>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</si>
  <si>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</si>
  <si>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</si>
  <si>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</si>
  <si>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</si>
  <si>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</si>
  <si>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</si>
  <si>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</si>
  <si>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</si>
  <si>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</si>
  <si>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</si>
  <si>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</si>
  <si>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</si>
  <si>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</si>
  <si>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</si>
  <si>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</si>
  <si>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</si>
  <si>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</si>
  <si>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</si>
  <si>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</si>
  <si>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</si>
  <si>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</si>
  <si>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</si>
  <si>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</si>
  <si>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</si>
  <si>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</si>
  <si>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</si>
  <si>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</si>
  <si>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</si>
  <si>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</si>
  <si>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</si>
  <si>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지붕및홈통공사 포함</t>
    <phoneticPr fontId="2" type="noConversion"/>
  </si>
  <si>
    <t>목공사및수장공사(인테리어공사 포함)</t>
    <phoneticPr fontId="2" type="noConversion"/>
  </si>
  <si>
    <t>태백지청 합동청사 신축공사</t>
    <phoneticPr fontId="2" type="noConversion"/>
  </si>
  <si>
    <t>강원도</t>
  </si>
  <si>
    <t>창호및유리공사</t>
    <phoneticPr fontId="2" type="noConversion"/>
  </si>
  <si>
    <t>골재비및운반비,작업부산물,품질시험비</t>
    <phoneticPr fontId="2" type="noConversion"/>
  </si>
  <si>
    <t>바닥난방공사</t>
    <phoneticPr fontId="2" type="noConversion"/>
  </si>
  <si>
    <t>전기인입 및 수변전 설비공사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</si>
  <si>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</si>
  <si>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</si>
  <si>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</si>
  <si>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>펌프실배관공사</t>
    <phoneticPr fontId="2" type="noConversion"/>
  </si>
  <si>
    <t>상수도공사,사급자재비,운반비</t>
    <phoneticPr fontId="2" type="noConversion"/>
  </si>
  <si>
    <t>조경시설물</t>
    <phoneticPr fontId="2" type="noConversion"/>
  </si>
  <si>
    <t>포장공사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</si>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</sst>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251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3459.85</v>
      </c>
      <c r="D7" s="36">
        <f>+C7/3.3058</f>
        <v>1046.5999153003811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966740</v>
      </c>
      <c r="E25" s="59">
        <f t="shared" si="0"/>
        <v>3195840</v>
      </c>
    </row>
    <row r="26" spans="1:5" x14ac:dyDescent="0.3">
      <c r="B26" s="2">
        <v>3</v>
      </c>
      <c r="C26" s="35" t="s">
        <v>95</v>
      </c>
      <c r="D26" s="45">
        <f>+D66</f>
        <v>81460</v>
      </c>
      <c r="E26" s="59">
        <f t="shared" si="0"/>
        <v>269290</v>
      </c>
    </row>
    <row r="27" spans="1:5" x14ac:dyDescent="0.3">
      <c r="B27" s="2">
        <v>4</v>
      </c>
      <c r="C27" s="35" t="s">
        <v>96</v>
      </c>
      <c r="D27" s="45">
        <f>+D95</f>
        <v>196660</v>
      </c>
      <c r="E27" s="59">
        <f t="shared" si="0"/>
        <v>650110</v>
      </c>
    </row>
    <row r="28" spans="1:5" x14ac:dyDescent="0.3">
      <c r="B28" s="2">
        <v>5</v>
      </c>
      <c r="C28" s="35" t="s">
        <v>97</v>
      </c>
      <c r="D28" s="45">
        <f>+D119</f>
        <v>122320</v>
      </c>
      <c r="E28" s="59">
        <f t="shared" si="0"/>
        <v>404360</v>
      </c>
    </row>
    <row r="29" spans="1:5" x14ac:dyDescent="0.3">
      <c r="B29" s="2">
        <v>6</v>
      </c>
      <c r="C29" s="35" t="s">
        <v>98</v>
      </c>
      <c r="D29" s="45">
        <f>+D133</f>
        <v>27110</v>
      </c>
      <c r="E29" s="59">
        <f t="shared" si="0"/>
        <v>89620</v>
      </c>
    </row>
    <row r="30" spans="1:5" x14ac:dyDescent="0.3">
      <c r="B30" s="2">
        <v>7</v>
      </c>
      <c r="C30" s="35" t="s">
        <v>99</v>
      </c>
      <c r="D30" s="45">
        <f>+D146</f>
        <v>30660</v>
      </c>
      <c r="E30" s="59">
        <f t="shared" si="0"/>
        <v>101350</v>
      </c>
    </row>
    <row r="31" spans="1:5" x14ac:dyDescent="0.3">
      <c r="B31" s="2">
        <v>8</v>
      </c>
      <c r="C31" s="35" t="s">
        <v>100</v>
      </c>
      <c r="D31" s="45">
        <f>+D154</f>
        <v>29760</v>
      </c>
      <c r="E31" s="59">
        <f t="shared" si="0"/>
        <v>98380</v>
      </c>
    </row>
    <row r="32" spans="1:5" x14ac:dyDescent="0.3">
      <c r="B32" s="2">
        <v>9</v>
      </c>
      <c r="C32" s="35" t="s">
        <v>101</v>
      </c>
      <c r="D32" s="45">
        <f>+D161</f>
        <v>32020</v>
      </c>
      <c r="E32" s="59">
        <f t="shared" si="0"/>
        <v>105850</v>
      </c>
    </row>
    <row r="33" spans="1:7" x14ac:dyDescent="0.3">
      <c r="B33" s="2">
        <v>10</v>
      </c>
      <c r="C33" s="35" t="s">
        <v>153</v>
      </c>
      <c r="D33" s="53">
        <f>TRUNC(SUM(D24:D32)*0.275,-1)</f>
        <v>408850</v>
      </c>
      <c r="E33" s="60">
        <f t="shared" si="0"/>
        <v>1351570</v>
      </c>
    </row>
    <row r="34" spans="1:7" x14ac:dyDescent="0.3">
      <c r="C34" s="35" t="s">
        <v>112</v>
      </c>
      <c r="D34" s="44">
        <f>SUM(D24:D33)</f>
        <v>1895580</v>
      </c>
      <c r="E34" s="44">
        <f>SUM(E24:E33)</f>
        <v>6266370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234</v>
      </c>
      <c r="E36" s="57" t="s">
        <v>235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TRUNC(68777,-1)</f>
        <v>68770</v>
      </c>
      <c r="E40" s="62">
        <f t="shared" ref="E40:E59" si="1">TRUNC(+D40*3.3058,-1)</f>
        <v>227330</v>
      </c>
    </row>
    <row r="41" spans="1:7" x14ac:dyDescent="0.3">
      <c r="A41" s="2">
        <v>2</v>
      </c>
      <c r="C41" s="38" t="s">
        <v>13</v>
      </c>
      <c r="D41" s="42">
        <f>TRUNC(182863,-1)</f>
        <v>182860</v>
      </c>
      <c r="E41" s="63">
        <f t="shared" si="1"/>
        <v>604490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TRUNC(24364,-1)</f>
        <v>24360</v>
      </c>
      <c r="E43" s="63">
        <f t="shared" si="1"/>
        <v>80520</v>
      </c>
    </row>
    <row r="44" spans="1:7" x14ac:dyDescent="0.3">
      <c r="A44" s="2">
        <v>5</v>
      </c>
      <c r="C44" s="38" t="s">
        <v>17</v>
      </c>
      <c r="D44" s="42">
        <f>TRUNC(37445,-1)</f>
        <v>37440</v>
      </c>
      <c r="E44" s="63">
        <f t="shared" si="1"/>
        <v>123760</v>
      </c>
    </row>
    <row r="45" spans="1:7" x14ac:dyDescent="0.3">
      <c r="A45" s="2">
        <v>6</v>
      </c>
      <c r="C45" s="38" t="s">
        <v>18</v>
      </c>
      <c r="D45" s="42">
        <f>TRUNC(14423,-1)</f>
        <v>14420</v>
      </c>
      <c r="E45" s="63">
        <f t="shared" si="1"/>
        <v>47660</v>
      </c>
    </row>
    <row r="46" spans="1:7" x14ac:dyDescent="0.3">
      <c r="A46" s="2">
        <v>7</v>
      </c>
      <c r="C46" s="38" t="s">
        <v>19</v>
      </c>
      <c r="D46" s="42">
        <f>TRUNC(32995,-1)</f>
        <v>32990</v>
      </c>
      <c r="E46" s="63">
        <f t="shared" si="1"/>
        <v>109050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TRUNC(75497,-1)</f>
        <v>75490</v>
      </c>
      <c r="E48" s="63">
        <f t="shared" si="1"/>
        <v>249550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TRUNC(39816,-1)</f>
        <v>39810</v>
      </c>
      <c r="E49" s="63">
        <f t="shared" si="1"/>
        <v>131600</v>
      </c>
    </row>
    <row r="50" spans="1:7" x14ac:dyDescent="0.3">
      <c r="A50" s="2">
        <v>11</v>
      </c>
      <c r="C50" s="38" t="s">
        <v>154</v>
      </c>
      <c r="D50" s="42">
        <f>TRUNC(52414,-1)</f>
        <v>52410</v>
      </c>
      <c r="E50" s="63">
        <f t="shared" si="1"/>
        <v>173250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TRUNC(20434,-1)</f>
        <v>20430</v>
      </c>
      <c r="E52" s="63">
        <f t="shared" si="1"/>
        <v>67530</v>
      </c>
    </row>
    <row r="53" spans="1:7" x14ac:dyDescent="0.3">
      <c r="A53" s="2">
        <v>14</v>
      </c>
      <c r="C53" s="38" t="s">
        <v>25</v>
      </c>
      <c r="D53" s="42">
        <f>TRUNC(102761,-1)</f>
        <v>102760</v>
      </c>
      <c r="E53" s="63">
        <f t="shared" si="1"/>
        <v>339700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TRUNC(4537-540+1714,-1)</f>
        <v>5710</v>
      </c>
      <c r="E58" s="63">
        <f t="shared" si="1"/>
        <v>18870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TRUNC(309290,-1)</f>
        <v>309290</v>
      </c>
      <c r="E59" s="64">
        <f t="shared" si="1"/>
        <v>1022450</v>
      </c>
    </row>
    <row r="60" spans="1:7" x14ac:dyDescent="0.3">
      <c r="A60" s="2">
        <v>21</v>
      </c>
      <c r="C60" s="27" t="s">
        <v>112</v>
      </c>
      <c r="D60" s="39">
        <f>SUM(D40:D59)</f>
        <v>966740</v>
      </c>
      <c r="E60" s="39">
        <f>SUM(E40:E59)</f>
        <v>3195760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235</v>
      </c>
      <c r="G62" s="55"/>
    </row>
    <row r="63" spans="1:7" x14ac:dyDescent="0.3">
      <c r="A63" s="2">
        <v>1</v>
      </c>
      <c r="C63" s="38" t="s">
        <v>27</v>
      </c>
      <c r="D63" s="40">
        <f>TRUNC(32429,-1)</f>
        <v>32420</v>
      </c>
      <c r="E63" s="62">
        <f>TRUNC(+D63*3.3058,-1)</f>
        <v>107170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TRUNC(49045,-1)</f>
        <v>49040</v>
      </c>
      <c r="E65" s="64">
        <f>TRUNC(+D65*3.3058,-1)</f>
        <v>162110</v>
      </c>
    </row>
    <row r="66" spans="1:7" x14ac:dyDescent="0.3">
      <c r="A66" s="2">
        <v>4</v>
      </c>
      <c r="C66" s="27" t="s">
        <v>112</v>
      </c>
      <c r="D66" s="39">
        <f>SUM(D63:D65)</f>
        <v>81460</v>
      </c>
      <c r="E66" s="65">
        <f>SUM(E63:E65)</f>
        <v>269280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235</v>
      </c>
      <c r="G68" s="55"/>
    </row>
    <row r="69" spans="1:7" x14ac:dyDescent="0.3">
      <c r="A69" s="2">
        <v>1</v>
      </c>
      <c r="C69" s="38" t="s">
        <v>30</v>
      </c>
      <c r="D69" s="40">
        <f>TRUNC(7223,-1)</f>
        <v>7220</v>
      </c>
      <c r="E69" s="62">
        <f t="shared" ref="E69:E94" si="2">TRUNC(+D69*3.3058,-1)</f>
        <v>23860</v>
      </c>
    </row>
    <row r="70" spans="1:7" ht="16.5" customHeight="1" x14ac:dyDescent="0.3">
      <c r="A70" s="2">
        <v>2</v>
      </c>
      <c r="C70" s="38" t="s">
        <v>31</v>
      </c>
      <c r="D70" s="42">
        <f>TRUNC(1150,-1)</f>
        <v>1150</v>
      </c>
      <c r="E70" s="63">
        <f t="shared" si="2"/>
        <v>3800</v>
      </c>
    </row>
    <row r="71" spans="1:7" x14ac:dyDescent="0.3">
      <c r="A71" s="2">
        <v>3</v>
      </c>
      <c r="C71" s="38" t="s">
        <v>32</v>
      </c>
      <c r="D71" s="42">
        <f>TRUNC(4644,-1)</f>
        <v>4640</v>
      </c>
      <c r="E71" s="63">
        <f t="shared" si="2"/>
        <v>15330</v>
      </c>
    </row>
    <row r="72" spans="1:7" x14ac:dyDescent="0.3">
      <c r="A72" s="2">
        <v>4</v>
      </c>
      <c r="C72" s="38" t="s">
        <v>33</v>
      </c>
      <c r="D72" s="42">
        <f>TRUNC(3995,-1)</f>
        <v>3990</v>
      </c>
      <c r="E72" s="63">
        <f t="shared" si="2"/>
        <v>13190</v>
      </c>
    </row>
    <row r="73" spans="1:7" x14ac:dyDescent="0.3">
      <c r="A73" s="2">
        <v>5</v>
      </c>
      <c r="C73" s="38" t="s">
        <v>34</v>
      </c>
      <c r="D73" s="42">
        <f>TRUNC(4522,-1)</f>
        <v>4520</v>
      </c>
      <c r="E73" s="63">
        <f t="shared" si="2"/>
        <v>14940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TRUNC(236,-1)</f>
        <v>230</v>
      </c>
      <c r="E75" s="63">
        <f t="shared" si="2"/>
        <v>760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TRUNC(11152,-1)</f>
        <v>11150</v>
      </c>
      <c r="E89" s="63">
        <f t="shared" si="2"/>
        <v>36850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TRUNC(12555,-1)</f>
        <v>12550</v>
      </c>
      <c r="E91" s="63">
        <f t="shared" si="2"/>
        <v>41480</v>
      </c>
    </row>
    <row r="92" spans="1:7" x14ac:dyDescent="0.3">
      <c r="A92" s="2">
        <v>24</v>
      </c>
      <c r="C92" s="38" t="s">
        <v>38</v>
      </c>
      <c r="D92" s="42">
        <f>TRUNC(5199,-1)</f>
        <v>5190</v>
      </c>
      <c r="E92" s="63">
        <f t="shared" si="2"/>
        <v>17150</v>
      </c>
    </row>
    <row r="93" spans="1:7" x14ac:dyDescent="0.3">
      <c r="A93" s="2">
        <v>25</v>
      </c>
      <c r="C93" s="38" t="s">
        <v>148</v>
      </c>
      <c r="D93" s="42">
        <f>TRUNC(145745,-1)</f>
        <v>145740</v>
      </c>
      <c r="E93" s="63">
        <f t="shared" si="2"/>
        <v>481780</v>
      </c>
    </row>
    <row r="94" spans="1:7" ht="17.25" thickBot="1" x14ac:dyDescent="0.35">
      <c r="A94" s="2">
        <v>26</v>
      </c>
      <c r="C94" s="38" t="s">
        <v>47</v>
      </c>
      <c r="D94" s="43">
        <f>TRUNC(282,-1)</f>
        <v>280</v>
      </c>
      <c r="E94" s="64">
        <f t="shared" si="2"/>
        <v>920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196660</v>
      </c>
      <c r="E95" s="39">
        <f>SUM(E69:E94)</f>
        <v>650060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235</v>
      </c>
      <c r="G97" s="55"/>
    </row>
    <row r="98" spans="1:7" x14ac:dyDescent="0.3">
      <c r="A98" s="2">
        <v>1</v>
      </c>
      <c r="C98" s="38" t="s">
        <v>39</v>
      </c>
      <c r="D98" s="40">
        <f>TRUNC(9820,-1)</f>
        <v>9820</v>
      </c>
      <c r="E98" s="62">
        <f t="shared" ref="E98:E118" si="3">TRUNC(+D98*3.3058,-1)</f>
        <v>32460</v>
      </c>
    </row>
    <row r="99" spans="1:7" x14ac:dyDescent="0.3">
      <c r="A99" s="2">
        <v>2</v>
      </c>
      <c r="C99" s="38" t="s">
        <v>40</v>
      </c>
      <c r="D99" s="42">
        <f>TRUNC(7396,-1)</f>
        <v>7390</v>
      </c>
      <c r="E99" s="63">
        <f t="shared" si="3"/>
        <v>24420</v>
      </c>
    </row>
    <row r="100" spans="1:7" x14ac:dyDescent="0.3">
      <c r="A100" s="2">
        <v>3</v>
      </c>
      <c r="C100" s="38" t="s">
        <v>41</v>
      </c>
      <c r="D100" s="42">
        <f>TRUNC(14447,-1)</f>
        <v>14440</v>
      </c>
      <c r="E100" s="63">
        <f t="shared" si="3"/>
        <v>47730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TRUNC(9780,-1)</f>
        <v>9780</v>
      </c>
      <c r="E102" s="63">
        <f t="shared" si="3"/>
        <v>32330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TRUNC(7230,-1)</f>
        <v>7230</v>
      </c>
      <c r="E104" s="63">
        <f t="shared" si="3"/>
        <v>23900</v>
      </c>
    </row>
    <row r="105" spans="1:7" x14ac:dyDescent="0.3">
      <c r="A105" s="2">
        <v>8</v>
      </c>
      <c r="C105" s="38" t="s">
        <v>46</v>
      </c>
      <c r="D105" s="42">
        <f>TRUNC(1868,-1)</f>
        <v>1860</v>
      </c>
      <c r="E105" s="63">
        <f t="shared" si="3"/>
        <v>6140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TRUNC(7190,-1)</f>
        <v>7190</v>
      </c>
      <c r="E115" s="63">
        <f t="shared" si="3"/>
        <v>23760</v>
      </c>
      <c r="F115" s="2" t="s">
        <v>256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TRUNC(60732,-1)</f>
        <v>60730</v>
      </c>
      <c r="E117" s="63">
        <f t="shared" si="3"/>
        <v>200760</v>
      </c>
    </row>
    <row r="118" spans="1:7" ht="17.25" thickBot="1" x14ac:dyDescent="0.35">
      <c r="A118" s="2">
        <v>21</v>
      </c>
      <c r="C118" s="38" t="s">
        <v>47</v>
      </c>
      <c r="D118" s="43">
        <f>TRUNC(3887,-1)</f>
        <v>3880</v>
      </c>
      <c r="E118" s="64">
        <f t="shared" si="3"/>
        <v>12820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122320</v>
      </c>
      <c r="E119" s="39">
        <f>SUM(E98:E118)</f>
        <v>404320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235</v>
      </c>
      <c r="G121" s="55"/>
    </row>
    <row r="122" spans="1:7" x14ac:dyDescent="0.3">
      <c r="A122" s="2">
        <v>1</v>
      </c>
      <c r="C122" s="38" t="s">
        <v>55</v>
      </c>
      <c r="D122" s="40">
        <f>TRUNC(5065,-1)</f>
        <v>5060</v>
      </c>
      <c r="E122" s="62">
        <f t="shared" ref="E122:E132" si="4">TRUNC(+D122*3.3058,-1)</f>
        <v>16720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TRUNC(5721,-1)</f>
        <v>5720</v>
      </c>
      <c r="E125" s="63">
        <f t="shared" si="4"/>
        <v>18900</v>
      </c>
    </row>
    <row r="126" spans="1:7" x14ac:dyDescent="0.3">
      <c r="A126" s="2">
        <v>5</v>
      </c>
      <c r="C126" s="38" t="s">
        <v>53</v>
      </c>
      <c r="D126" s="42">
        <f>TRUNC(3174,-1)</f>
        <v>3170</v>
      </c>
      <c r="E126" s="63">
        <f t="shared" si="4"/>
        <v>10470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TRUNC(1609,-1)</f>
        <v>1600</v>
      </c>
      <c r="E128" s="63">
        <f t="shared" si="4"/>
        <v>5280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TRUNC(10444,-1)</f>
        <v>10440</v>
      </c>
      <c r="E130" s="63">
        <f t="shared" si="4"/>
        <v>34510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TRUNC(1129,-1)</f>
        <v>1120</v>
      </c>
      <c r="E132" s="64">
        <f t="shared" si="4"/>
        <v>3700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27110</v>
      </c>
      <c r="E133" s="39">
        <f>SUM(E122:E132)</f>
        <v>89580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235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TRUNC(2301,-1)</f>
        <v>2300</v>
      </c>
      <c r="E137" s="63">
        <f t="shared" si="5"/>
        <v>7600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TRUNC(2556,-1)</f>
        <v>2550</v>
      </c>
      <c r="E140" s="63">
        <f t="shared" si="5"/>
        <v>8420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TRUNC(5818,-1)</f>
        <v>5810</v>
      </c>
      <c r="E142" s="63">
        <f t="shared" si="5"/>
        <v>19200</v>
      </c>
    </row>
    <row r="143" spans="1:7" x14ac:dyDescent="0.3">
      <c r="A143" s="2">
        <v>8</v>
      </c>
      <c r="C143" s="38" t="s">
        <v>62</v>
      </c>
      <c r="D143" s="42">
        <f>TRUNC(5848,-1)</f>
        <v>5840</v>
      </c>
      <c r="E143" s="63">
        <f t="shared" si="5"/>
        <v>19300</v>
      </c>
    </row>
    <row r="144" spans="1:7" x14ac:dyDescent="0.3">
      <c r="A144" s="2">
        <v>9</v>
      </c>
      <c r="C144" s="38" t="s">
        <v>63</v>
      </c>
      <c r="D144" s="42">
        <f>TRUNC(14168,-1)</f>
        <v>14160</v>
      </c>
      <c r="E144" s="63">
        <f t="shared" si="5"/>
        <v>46810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30660</v>
      </c>
      <c r="E146" s="39">
        <f>SUM(E136:E145)</f>
        <v>101330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235</v>
      </c>
      <c r="G148" s="55"/>
    </row>
    <row r="149" spans="1:7" x14ac:dyDescent="0.3">
      <c r="A149" s="2">
        <v>1</v>
      </c>
      <c r="C149" s="38" t="s">
        <v>48</v>
      </c>
      <c r="D149" s="40">
        <f>TRUNC(4108+2967,-1)</f>
        <v>7070</v>
      </c>
      <c r="E149" s="62">
        <f>TRUNC(+D149*3.3058,-1)</f>
        <v>23370</v>
      </c>
    </row>
    <row r="150" spans="1:7" x14ac:dyDescent="0.3">
      <c r="A150" s="2">
        <v>2</v>
      </c>
      <c r="C150" s="38" t="s">
        <v>49</v>
      </c>
      <c r="D150" s="42">
        <f>TRUNC(5426,-1)</f>
        <v>5420</v>
      </c>
      <c r="E150" s="63">
        <f>TRUNC(+D150*3.3058,-1)</f>
        <v>17910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TRUNC(484+8741+842,-1)</f>
        <v>10060</v>
      </c>
      <c r="E152" s="63">
        <f>TRUNC(+D152*3.3058,-1)</f>
        <v>33250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TRUNC(7214,-1)</f>
        <v>7210</v>
      </c>
      <c r="E153" s="64">
        <f>TRUNC(+D153*3.3058,-1)</f>
        <v>23830</v>
      </c>
    </row>
    <row r="154" spans="1:7" x14ac:dyDescent="0.3">
      <c r="A154" s="2">
        <v>6</v>
      </c>
      <c r="C154" s="27" t="s">
        <v>112</v>
      </c>
      <c r="D154" s="39">
        <f>SUM(D149:D153)</f>
        <v>29760</v>
      </c>
      <c r="E154" s="39">
        <f>SUM(E149:E153)</f>
        <v>98360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235</v>
      </c>
      <c r="G156" s="55"/>
    </row>
    <row r="157" spans="1:7" x14ac:dyDescent="0.3">
      <c r="A157" s="2">
        <v>1</v>
      </c>
      <c r="C157" s="38" t="s">
        <v>51</v>
      </c>
      <c r="D157" s="40">
        <f>TRUNC(16976,-1)</f>
        <v>16970</v>
      </c>
      <c r="E157" s="62">
        <f>TRUNC(+D157*3.3058,-1)</f>
        <v>56090</v>
      </c>
    </row>
    <row r="158" spans="1:7" x14ac:dyDescent="0.3">
      <c r="A158" s="2">
        <v>2</v>
      </c>
      <c r="C158" s="38" t="s">
        <v>52</v>
      </c>
      <c r="D158" s="42">
        <f>TRUNC(4705,-1)</f>
        <v>4700</v>
      </c>
      <c r="E158" s="63">
        <f>TRUNC(+D158*3.3058,-1)</f>
        <v>15530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TRUNC(10357,-1)</f>
        <v>10350</v>
      </c>
      <c r="E159" s="63">
        <f>TRUNC(+D159*3.3058,-1)</f>
        <v>34210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32020</v>
      </c>
      <c r="E161" s="39">
        <f>SUM(E157:E160)</f>
        <v>105830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2020-12-08T01:30:19Z</dcterms:modified>
</cp:coreProperties>
</file>