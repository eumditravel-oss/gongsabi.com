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79" i="4" l="1"/>
  <c r="D94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0" i="4"/>
  <c r="E129" i="4"/>
  <c r="E128" i="4"/>
  <c r="E126" i="4"/>
  <c r="E123" i="4"/>
  <c r="E116" i="4"/>
  <c r="E114" i="4"/>
  <c r="E113" i="4"/>
  <c r="E112" i="4"/>
  <c r="E111" i="4"/>
  <c r="E110" i="4"/>
  <c r="E109" i="4"/>
  <c r="E108" i="4"/>
  <c r="E107" i="4"/>
  <c r="E106" i="4"/>
  <c r="E105" i="4"/>
  <c r="E103" i="4"/>
  <c r="E101" i="4"/>
  <c r="E94" i="4"/>
  <c r="E91" i="4"/>
  <c r="E89" i="4"/>
  <c r="E88" i="4"/>
  <c r="E87" i="4"/>
  <c r="E86" i="4"/>
  <c r="E84" i="4"/>
  <c r="E83" i="4"/>
  <c r="E82" i="4"/>
  <c r="E80" i="4"/>
  <c r="E79" i="4"/>
  <c r="E78" i="4"/>
  <c r="E77" i="4"/>
  <c r="E76" i="4"/>
  <c r="E75" i="4"/>
  <c r="E74" i="4"/>
  <c r="E73" i="4"/>
  <c r="E65" i="4"/>
  <c r="E64" i="4"/>
  <c r="E63" i="4"/>
  <c r="E57" i="4"/>
  <c r="E56" i="4"/>
  <c r="E54" i="4"/>
  <c r="E66" i="4" l="1"/>
  <c r="E146" i="4"/>
  <c r="D131" i="4"/>
  <c r="E131" i="4" s="1"/>
  <c r="D117" i="4"/>
  <c r="E117" i="4" s="1"/>
  <c r="D132" i="4"/>
  <c r="E132" i="4" s="1"/>
  <c r="D127" i="4"/>
  <c r="E127" i="4" s="1"/>
  <c r="D125" i="4"/>
  <c r="E125" i="4" s="1"/>
  <c r="E133" i="4" s="1"/>
  <c r="D124" i="4"/>
  <c r="E124" i="4" s="1"/>
  <c r="D122" i="4"/>
  <c r="E122" i="4" s="1"/>
  <c r="D118" i="4"/>
  <c r="E118" i="4" s="1"/>
  <c r="D115" i="4"/>
  <c r="E115" i="4" s="1"/>
  <c r="D104" i="4"/>
  <c r="E104" i="4" s="1"/>
  <c r="D102" i="4"/>
  <c r="E102" i="4" s="1"/>
  <c r="D100" i="4"/>
  <c r="E100" i="4" s="1"/>
  <c r="D99" i="4"/>
  <c r="E99" i="4" s="1"/>
  <c r="E119" i="4" s="1"/>
  <c r="D98" i="4"/>
  <c r="E98" i="4" s="1"/>
  <c r="D93" i="4"/>
  <c r="E93" i="4" s="1"/>
  <c r="D92" i="4"/>
  <c r="E92" i="4" s="1"/>
  <c r="D90" i="4"/>
  <c r="E90" i="4" s="1"/>
  <c r="D85" i="4"/>
  <c r="E85" i="4" s="1"/>
  <c r="D81" i="4"/>
  <c r="E81" i="4" s="1"/>
  <c r="D72" i="4"/>
  <c r="E72" i="4" s="1"/>
  <c r="D71" i="4"/>
  <c r="E71" i="4" s="1"/>
  <c r="D70" i="4"/>
  <c r="E70" i="4" s="1"/>
  <c r="E95" i="4" s="1"/>
  <c r="D69" i="4"/>
  <c r="E69" i="4" s="1"/>
  <c r="D59" i="4"/>
  <c r="E59" i="4" s="1"/>
  <c r="D159" i="4"/>
  <c r="E159" i="4" s="1"/>
  <c r="E161" i="4" s="1"/>
  <c r="D152" i="4"/>
  <c r="E152" i="4" s="1"/>
  <c r="E154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E60" i="4" l="1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D34" i="4"/>
  <c r="E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<sst xmlns="http://schemas.openxmlformats.org/spreadsheetml/2006/main" count="391" uniqueCount="266">
  <si>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</si>
  <si>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</si>
  <si>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</si>
  <si>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</si>
  <si>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</si>
  <si>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</si>
  <si>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</si>
  <si>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</si>
  <si>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</si>
  <si>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</si>
  <si>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</si>
  <si>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</si>
  <si>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</si>
  <si>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</si>
  <si>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</si>
  <si>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</si>
  <si>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</si>
  <si>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</si>
  <si>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</si>
  <si>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</si>
  <si>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</si>
  <si>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</si>
  <si>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</si>
  <si>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</si>
  <si>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</si>
  <si>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</si>
  <si>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</si>
  <si>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</si>
  <si>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</si>
  <si>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</si>
  <si>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</si>
  <si>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</si>
  <si>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</si>
  <si>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</si>
  <si>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</si>
  <si>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</si>
  <si>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</si>
  <si>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</si>
  <si>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</si>
  <si>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</si>
  <si>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</si>
  <si>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</si>
  <si>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</si>
  <si>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</si>
  <si>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</si>
  <si>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</si>
  <si>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</si>
  <si>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</si>
  <si>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</si>
  <si>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</si>
  <si>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</si>
  <si>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</si>
  <si>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</si>
  <si>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</si>
  <si>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</si>
  <si>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</si>
  <si>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</si>
  <si>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</si>
  <si>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</si>
  <si>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</si>
  <si>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</si>
  <si>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</si>
  <si>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</si>
  <si>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</si>
  <si>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</si>
  <si>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</si>
  <si>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</si>
  <si>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</si>
  <si>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</si>
  <si>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</si>
  <si>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</si>
  <si>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</si>
  <si>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</si>
  <si>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</si>
  <si>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</si>
  <si>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</si>
  <si>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</si>
  <si>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</si>
  <si>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</si>
  <si>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</si>
  <si>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</si>
  <si>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</si>
  <si>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</si>
  <si>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</si>
  <si>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</si>
  <si>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</si>
  <si>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</si>
  <si>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</si>
  <si>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</si>
  <si>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</si>
  <si>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</si>
  <si>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</si>
  <si>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</si>
  <si>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</si>
  <si>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</si>
  <si>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</si>
  <si>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</si>
  <si>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</si>
  <si>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</si>
  <si>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</si>
  <si>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</si>
  <si>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</si>
  <si>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</si>
  <si>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</si>
  <si>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</si>
  <si>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</si>
  <si>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</si>
  <si>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</si>
  <si>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</si>
  <si>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</si>
  <si>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</si>
  <si>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</si>
  <si>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</si>
  <si>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</si>
  <si>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</si>
  <si>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</si>
  <si>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</si>
  <si>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</si>
  <si>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</si>
  <si>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</si>
  <si>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</si>
  <si>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</si>
  <si>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</si>
  <si>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</si>
  <si>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</si>
  <si>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</si>
  <si>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</si>
  <si>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</si>
  <si>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</si>
  <si>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</si>
  <si>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</si>
  <si>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</si>
  <si>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</si>
  <si>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</si>
  <si>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</si>
  <si>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</si>
  <si>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</si>
  <si>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</si>
  <si>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</si>
  <si>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</si>
  <si>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</si>
  <si>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</si>
  <si>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</si>
  <si>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</si>
  <si>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</si>
  <si>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</si>
  <si>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</si>
  <si>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</si>
  <si>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</si>
  <si>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</si>
  <si>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</si>
  <si>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</si>
  <si>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</si>
  <si>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</si>
  <si>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</si>
  <si>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</si>
  <si>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</si>
  <si>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</si>
  <si>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</si>
  <si>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</si>
  <si>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</si>
  <si>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</si>
  <si>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</si>
  <si>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</si>
  <si>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</si>
  <si>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</si>
  <si>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</si>
  <si>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</si>
  <si>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</si>
  <si>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</si>
  <si>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</si>
  <si>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</si>
  <si>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</si>
  <si>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</si>
  <si>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</si>
  <si>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</si>
  <si>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</si>
  <si>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</si>
  <si>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</si>
  <si>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</si>
  <si>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</si>
  <si>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</si>
  <si>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</si>
  <si>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</si>
  <si>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</si>
  <si>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</si>
  <si>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</si>
  <si>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</si>
  <si>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</si>
  <si>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</si>
  <si>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</si>
  <si>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</si>
  <si>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</si>
  <si>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</si>
  <si>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</si>
  <si>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</si>
  <si>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</si>
  <si>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</si>
  <si>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</si>
  <si>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</si>
  <si>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</si>
  <si>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</si>
  <si>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</si>
  <si>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</si>
  <si>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</si>
  <si>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</si>
  <si>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</si>
  <si>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</si>
  <si>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</si>
  <si>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</si>
  <si>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</si>
  <si>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</si>
  <si>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</si>
  <si>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</si>
  <si>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</si>
  <si>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</si>
  <si>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</si>
  <si>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</si>
  <si>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</si>
  <si>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</si>
  <si>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</si>
  <si>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</si>
  <si>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</si>
  <si>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</si>
  <si>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</si>
  <si>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</si>
  <si>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</si>
  <si>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</si>
  <si>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</si>
  <si>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</si>
  <si>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</si>
  <si>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</si>
  <si>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</si>
  <si>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</si>
  <si>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</si>
  <si>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</si>
  <si>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</si>
  <si>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</si>
  <si>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</si>
  <si>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</si>
  <si>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</si>
  <si>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</si>
  <si>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</si>
  <si>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</si>
  <si>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</si>
  <si>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</si>
  <si>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</si>
  <si>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</si>
  <si>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00대학교 생명공학연구동 신축공사</t>
    <phoneticPr fontId="2" type="noConversion"/>
  </si>
  <si>
    <t>교육연구</t>
  </si>
  <si>
    <t>서울</t>
  </si>
  <si>
    <t>토및지정공사,정화조내부시설공사,판넬공사,승강설비공사,기타공사,골재비,운반비,고자재대공제,사급자재대,P.S(미확정설계공종)</t>
    <phoneticPr fontId="2" type="noConversion"/>
  </si>
  <si>
    <t>조경공사</t>
    <phoneticPr fontId="2" type="noConversion"/>
  </si>
  <si>
    <t>부대토목공사</t>
    <phoneticPr fontId="2" type="noConversion"/>
  </si>
  <si>
    <t>위생설비공사</t>
    <phoneticPr fontId="2" type="noConversion"/>
  </si>
  <si>
    <t>주차관제설비공사,스노우멜팅설비공사</t>
    <phoneticPr fontId="2" type="noConversion"/>
  </si>
  <si>
    <t>정보통신설비공사,CCTV설비공사</t>
    <phoneticPr fontId="2" type="noConversion"/>
  </si>
  <si>
    <t>공조배관공사,크린룸(5F),생물밀폐안전실험실(6F/BL-3),동물실험실(6F/SPF),RO공사(특수실험실),U/T GAS 시설공사(특수실험실),사급자재</t>
    <phoneticPr fontId="2" type="noConversion"/>
  </si>
  <si>
    <t>환기덕트설치공사</t>
    <phoneticPr fontId="2" type="noConversion"/>
  </si>
  <si>
    <t>전기 소방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</si>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</sst>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9980</v>
      </c>
      <c r="D7" s="36">
        <f>+C7/3.3058</f>
        <v>3018.9364147861334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4030</v>
      </c>
      <c r="E24" s="58">
        <f t="shared" ref="E24:E33" si="0">TRUNC(+D24*3.3058,-1)</f>
        <v>13320</v>
      </c>
    </row>
    <row r="25" spans="1:5" x14ac:dyDescent="0.3">
      <c r="B25" s="2">
        <v>2</v>
      </c>
      <c r="C25" s="35" t="s">
        <v>111</v>
      </c>
      <c r="D25" s="45">
        <f>+D60</f>
        <v>639530</v>
      </c>
      <c r="E25" s="59">
        <f t="shared" si="0"/>
        <v>2114150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498750</v>
      </c>
      <c r="E27" s="59">
        <f t="shared" si="0"/>
        <v>1648760</v>
      </c>
    </row>
    <row r="28" spans="1:5" x14ac:dyDescent="0.3">
      <c r="B28" s="2">
        <v>5</v>
      </c>
      <c r="C28" s="35" t="s">
        <v>97</v>
      </c>
      <c r="D28" s="45">
        <f>+D119</f>
        <v>168600</v>
      </c>
      <c r="E28" s="59">
        <f t="shared" si="0"/>
        <v>557350</v>
      </c>
    </row>
    <row r="29" spans="1:5" x14ac:dyDescent="0.3">
      <c r="B29" s="2">
        <v>6</v>
      </c>
      <c r="C29" s="35" t="s">
        <v>98</v>
      </c>
      <c r="D29" s="45">
        <f>+D133</f>
        <v>67550</v>
      </c>
      <c r="E29" s="59">
        <f t="shared" si="0"/>
        <v>223300</v>
      </c>
    </row>
    <row r="30" spans="1:5" x14ac:dyDescent="0.3">
      <c r="B30" s="2">
        <v>7</v>
      </c>
      <c r="C30" s="35" t="s">
        <v>99</v>
      </c>
      <c r="D30" s="45">
        <f>+D146</f>
        <v>50020</v>
      </c>
      <c r="E30" s="59">
        <f t="shared" si="0"/>
        <v>165350</v>
      </c>
    </row>
    <row r="31" spans="1:5" x14ac:dyDescent="0.3">
      <c r="B31" s="2">
        <v>8</v>
      </c>
      <c r="C31" s="35" t="s">
        <v>100</v>
      </c>
      <c r="D31" s="45">
        <f>+D154</f>
        <v>21160</v>
      </c>
      <c r="E31" s="59">
        <f t="shared" si="0"/>
        <v>69950</v>
      </c>
    </row>
    <row r="32" spans="1:5" x14ac:dyDescent="0.3">
      <c r="B32" s="2">
        <v>9</v>
      </c>
      <c r="C32" s="35" t="s">
        <v>101</v>
      </c>
      <c r="D32" s="45">
        <f>+D161</f>
        <v>6800</v>
      </c>
      <c r="E32" s="59">
        <f t="shared" si="0"/>
        <v>22470</v>
      </c>
    </row>
    <row r="33" spans="1:7" x14ac:dyDescent="0.3">
      <c r="B33" s="2">
        <v>10</v>
      </c>
      <c r="C33" s="35" t="s">
        <v>154</v>
      </c>
      <c r="D33" s="53">
        <f>TRUNC(SUM(D24:D32)*0.275,-1)</f>
        <v>400520</v>
      </c>
      <c r="E33" s="60">
        <f t="shared" si="0"/>
        <v>1324030</v>
      </c>
    </row>
    <row r="34" spans="1:7" x14ac:dyDescent="0.3">
      <c r="C34" s="35" t="s">
        <v>112</v>
      </c>
      <c r="D34" s="44">
        <f>SUM(D24:D33)</f>
        <v>1856960</v>
      </c>
      <c r="E34" s="44">
        <f>SUM(E24:E33)</f>
        <v>6138680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TRUNC(4035,-1)</f>
        <v>4030</v>
      </c>
      <c r="E37" s="61">
        <f>TRUNC(+D37*3.3058,-1)</f>
        <v>13320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TRUNC(34230,-1)</f>
        <v>34230</v>
      </c>
      <c r="E40" s="62">
        <f t="shared" ref="E40:E59" si="1">TRUNC(+D40*3.3058,-1)</f>
        <v>113150</v>
      </c>
    </row>
    <row r="41" spans="1:7" x14ac:dyDescent="0.3">
      <c r="A41" s="2">
        <v>2</v>
      </c>
      <c r="C41" s="38" t="s">
        <v>13</v>
      </c>
      <c r="D41" s="42">
        <f>TRUNC(80934,-1)</f>
        <v>80930</v>
      </c>
      <c r="E41" s="63">
        <f t="shared" si="1"/>
        <v>267530</v>
      </c>
    </row>
    <row r="42" spans="1:7" x14ac:dyDescent="0.3">
      <c r="A42" s="2">
        <v>3</v>
      </c>
      <c r="C42" s="38" t="s">
        <v>14</v>
      </c>
      <c r="D42" s="42">
        <f>TRUNC(6428,-1)</f>
        <v>6420</v>
      </c>
      <c r="E42" s="63">
        <f t="shared" si="1"/>
        <v>21220</v>
      </c>
    </row>
    <row r="43" spans="1:7" x14ac:dyDescent="0.3">
      <c r="A43" s="2">
        <v>4</v>
      </c>
      <c r="C43" s="38" t="s">
        <v>16</v>
      </c>
      <c r="D43" s="42">
        <f>TRUNC(16171,-1)</f>
        <v>16170</v>
      </c>
      <c r="E43" s="63">
        <f t="shared" si="1"/>
        <v>53450</v>
      </c>
    </row>
    <row r="44" spans="1:7" x14ac:dyDescent="0.3">
      <c r="A44" s="2">
        <v>5</v>
      </c>
      <c r="C44" s="38" t="s">
        <v>17</v>
      </c>
      <c r="D44" s="42">
        <f>TRUNC(20438,-1)</f>
        <v>20430</v>
      </c>
      <c r="E44" s="63">
        <f t="shared" si="1"/>
        <v>67530</v>
      </c>
    </row>
    <row r="45" spans="1:7" x14ac:dyDescent="0.3">
      <c r="A45" s="2">
        <v>6</v>
      </c>
      <c r="C45" s="38" t="s">
        <v>18</v>
      </c>
      <c r="D45" s="42">
        <f>TRUNC(8969,-1)</f>
        <v>8960</v>
      </c>
      <c r="E45" s="63">
        <f t="shared" si="1"/>
        <v>29610</v>
      </c>
    </row>
    <row r="46" spans="1:7" x14ac:dyDescent="0.3">
      <c r="A46" s="2">
        <v>7</v>
      </c>
      <c r="C46" s="38" t="s">
        <v>19</v>
      </c>
      <c r="D46" s="42">
        <f>TRUNC(3865,-1)</f>
        <v>3860</v>
      </c>
      <c r="E46" s="63">
        <f t="shared" si="1"/>
        <v>12760</v>
      </c>
    </row>
    <row r="47" spans="1:7" x14ac:dyDescent="0.3">
      <c r="A47" s="2">
        <v>8</v>
      </c>
      <c r="C47" s="38" t="s">
        <v>20</v>
      </c>
      <c r="D47" s="42">
        <f>TRUNC(3943,-1)</f>
        <v>3940</v>
      </c>
      <c r="E47" s="63">
        <f t="shared" si="1"/>
        <v>13020</v>
      </c>
    </row>
    <row r="48" spans="1:7" x14ac:dyDescent="0.3">
      <c r="A48" s="2">
        <v>9</v>
      </c>
      <c r="C48" s="38" t="s">
        <v>21</v>
      </c>
      <c r="D48" s="42">
        <f>TRUNC(62462,-1)</f>
        <v>62460</v>
      </c>
      <c r="E48" s="63">
        <f t="shared" si="1"/>
        <v>206480</v>
      </c>
    </row>
    <row r="49" spans="1:7" x14ac:dyDescent="0.3">
      <c r="A49" s="2">
        <v>10</v>
      </c>
      <c r="C49" s="38" t="s">
        <v>22</v>
      </c>
      <c r="D49" s="42">
        <f>TRUNC(29468,-1)</f>
        <v>29460</v>
      </c>
      <c r="E49" s="63">
        <f t="shared" si="1"/>
        <v>97380</v>
      </c>
    </row>
    <row r="50" spans="1:7" x14ac:dyDescent="0.3">
      <c r="A50" s="2">
        <v>11</v>
      </c>
      <c r="C50" s="38" t="s">
        <v>155</v>
      </c>
      <c r="D50" s="42">
        <f>TRUNC(92565,-1)</f>
        <v>92560</v>
      </c>
      <c r="E50" s="63">
        <f t="shared" si="1"/>
        <v>305980</v>
      </c>
    </row>
    <row r="51" spans="1:7" x14ac:dyDescent="0.3">
      <c r="A51" s="2">
        <v>12</v>
      </c>
      <c r="C51" s="38" t="s">
        <v>23</v>
      </c>
      <c r="D51" s="42">
        <f>TRUNC(23960,-1)</f>
        <v>23960</v>
      </c>
      <c r="E51" s="63">
        <f t="shared" si="1"/>
        <v>79200</v>
      </c>
    </row>
    <row r="52" spans="1:7" x14ac:dyDescent="0.3">
      <c r="A52" s="2">
        <v>13</v>
      </c>
      <c r="C52" s="38" t="s">
        <v>24</v>
      </c>
      <c r="D52" s="42">
        <f>TRUNC(24498,-1)</f>
        <v>24490</v>
      </c>
      <c r="E52" s="63">
        <f t="shared" si="1"/>
        <v>80950</v>
      </c>
    </row>
    <row r="53" spans="1:7" x14ac:dyDescent="0.3">
      <c r="A53" s="2">
        <v>14</v>
      </c>
      <c r="C53" s="38" t="s">
        <v>25</v>
      </c>
      <c r="D53" s="42">
        <f>TRUNC(71772,-1)</f>
        <v>71770</v>
      </c>
      <c r="E53" s="63">
        <f t="shared" si="1"/>
        <v>237250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TRUNC(904,-1)</f>
        <v>900</v>
      </c>
      <c r="E55" s="63">
        <f t="shared" si="1"/>
        <v>2970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TRUNC(31+8891+32019+13166+2854+170+647-631+25532+501,-1)</f>
        <v>83180</v>
      </c>
      <c r="E58" s="63">
        <f t="shared" si="1"/>
        <v>274970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TRUNC(75819,-1)</f>
        <v>75810</v>
      </c>
      <c r="E59" s="64">
        <f t="shared" si="1"/>
        <v>250610</v>
      </c>
    </row>
    <row r="60" spans="1:7" x14ac:dyDescent="0.3">
      <c r="A60" s="2">
        <v>21</v>
      </c>
      <c r="C60" s="27" t="s">
        <v>112</v>
      </c>
      <c r="D60" s="39">
        <f>SUM(D40:D59)</f>
        <v>639530</v>
      </c>
      <c r="E60" s="39">
        <f>SUM(E40:E59)</f>
        <v>2114060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TRUNC(11955,-1)</f>
        <v>11950</v>
      </c>
      <c r="E69" s="62">
        <f t="shared" ref="E69:E94" si="2">TRUNC(+D69*3.3058,-1)</f>
        <v>39500</v>
      </c>
    </row>
    <row r="70" spans="1:7" ht="16.5" customHeight="1" x14ac:dyDescent="0.3">
      <c r="A70" s="2">
        <v>2</v>
      </c>
      <c r="C70" s="38" t="s">
        <v>31</v>
      </c>
      <c r="D70" s="42">
        <f>TRUNC(1509,-1)</f>
        <v>1500</v>
      </c>
      <c r="E70" s="63">
        <f t="shared" si="2"/>
        <v>4950</v>
      </c>
    </row>
    <row r="71" spans="1:7" x14ac:dyDescent="0.3">
      <c r="A71" s="2">
        <v>3</v>
      </c>
      <c r="C71" s="38" t="s">
        <v>32</v>
      </c>
      <c r="D71" s="42">
        <f>TRUNC(6709,-1)</f>
        <v>6700</v>
      </c>
      <c r="E71" s="63">
        <f t="shared" si="2"/>
        <v>22140</v>
      </c>
    </row>
    <row r="72" spans="1:7" x14ac:dyDescent="0.3">
      <c r="A72" s="2">
        <v>4</v>
      </c>
      <c r="C72" s="38" t="s">
        <v>33</v>
      </c>
      <c r="D72" s="42">
        <f>TRUNC(1713,-1)</f>
        <v>1710</v>
      </c>
      <c r="E72" s="63">
        <f t="shared" si="2"/>
        <v>5650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TRUNC(30775,-1)</f>
        <v>30770</v>
      </c>
      <c r="E79" s="63">
        <f t="shared" si="2"/>
        <v>101710</v>
      </c>
      <c r="F79" s="2" t="s">
        <v>258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TRUNC(4778,-1)</f>
        <v>4770</v>
      </c>
      <c r="E81" s="63">
        <f t="shared" si="2"/>
        <v>15760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TRUNC(373+355,-1)</f>
        <v>720</v>
      </c>
      <c r="E85" s="63">
        <f t="shared" si="2"/>
        <v>2380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TRUNC(1046,-1)</f>
        <v>1040</v>
      </c>
      <c r="E90" s="63">
        <f t="shared" si="2"/>
        <v>3430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TRUNC(32706,-1)</f>
        <v>32700</v>
      </c>
      <c r="E92" s="63">
        <f t="shared" si="2"/>
        <v>108090</v>
      </c>
      <c r="F92" s="2" t="s">
        <v>254</v>
      </c>
    </row>
    <row r="93" spans="1:7" x14ac:dyDescent="0.3">
      <c r="A93" s="2">
        <v>25</v>
      </c>
      <c r="C93" s="38" t="s">
        <v>148</v>
      </c>
      <c r="D93" s="42">
        <f>TRUNC(146016,-1)</f>
        <v>146010</v>
      </c>
      <c r="E93" s="63">
        <f t="shared" si="2"/>
        <v>482670</v>
      </c>
    </row>
    <row r="94" spans="1:7" ht="17.25" thickBot="1" x14ac:dyDescent="0.35">
      <c r="A94" s="2">
        <v>26</v>
      </c>
      <c r="C94" s="38" t="s">
        <v>47</v>
      </c>
      <c r="D94" s="43">
        <f>TRUNC(1385+35400+23982+13022+5100+7206+174789,-1)</f>
        <v>260880</v>
      </c>
      <c r="E94" s="64">
        <f t="shared" si="2"/>
        <v>862410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498750</v>
      </c>
      <c r="E95" s="39">
        <f>SUM(E69:E94)</f>
        <v>1648690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TRUNC(28051,-1)</f>
        <v>28050</v>
      </c>
      <c r="E98" s="62">
        <f t="shared" ref="E98:E118" si="3">TRUNC(+D98*3.3058,-1)</f>
        <v>92720</v>
      </c>
    </row>
    <row r="99" spans="1:7" x14ac:dyDescent="0.3">
      <c r="A99" s="2">
        <v>2</v>
      </c>
      <c r="C99" s="38" t="s">
        <v>40</v>
      </c>
      <c r="D99" s="42">
        <f>TRUNC(13763,-1)</f>
        <v>13760</v>
      </c>
      <c r="E99" s="63">
        <f t="shared" si="3"/>
        <v>45480</v>
      </c>
    </row>
    <row r="100" spans="1:7" x14ac:dyDescent="0.3">
      <c r="A100" s="2">
        <v>3</v>
      </c>
      <c r="C100" s="38" t="s">
        <v>41</v>
      </c>
      <c r="D100" s="42">
        <f>TRUNC(26359,-1)</f>
        <v>26350</v>
      </c>
      <c r="E100" s="63">
        <f t="shared" si="3"/>
        <v>87100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TRUNC(12727,-1)</f>
        <v>12720</v>
      </c>
      <c r="E102" s="63">
        <f t="shared" si="3"/>
        <v>42040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TRUNC(871,-1)</f>
        <v>870</v>
      </c>
      <c r="E104" s="63">
        <f t="shared" si="3"/>
        <v>2870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TRUNC(5176,-1)</f>
        <v>5170</v>
      </c>
      <c r="E115" s="63">
        <f t="shared" si="3"/>
        <v>17090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TRUNC(79490,-1)</f>
        <v>79490</v>
      </c>
      <c r="E117" s="63">
        <f t="shared" si="3"/>
        <v>262770</v>
      </c>
    </row>
    <row r="118" spans="1:7" ht="17.25" thickBot="1" x14ac:dyDescent="0.35">
      <c r="A118" s="2">
        <v>21</v>
      </c>
      <c r="C118" s="38" t="s">
        <v>47</v>
      </c>
      <c r="D118" s="43">
        <f>TRUNC(507+1690,-1)</f>
        <v>2190</v>
      </c>
      <c r="E118" s="64">
        <f t="shared" si="3"/>
        <v>7230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168600</v>
      </c>
      <c r="E119" s="39">
        <f>SUM(E98:E118)</f>
        <v>557300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TRUNC(2586,-1)</f>
        <v>2580</v>
      </c>
      <c r="E122" s="62">
        <f t="shared" ref="E122:E132" si="4">TRUNC(+D122*3.3058,-1)</f>
        <v>8520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TRUNC(552,-1)</f>
        <v>550</v>
      </c>
      <c r="E124" s="63">
        <f t="shared" si="4"/>
        <v>1810</v>
      </c>
    </row>
    <row r="125" spans="1:7" x14ac:dyDescent="0.3">
      <c r="A125" s="2">
        <v>4</v>
      </c>
      <c r="C125" s="38" t="s">
        <v>138</v>
      </c>
      <c r="D125" s="42">
        <f>TRUNC(3529,-1)</f>
        <v>3520</v>
      </c>
      <c r="E125" s="63">
        <f t="shared" si="4"/>
        <v>11630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TRUNC(12580,-1)</f>
        <v>12580</v>
      </c>
      <c r="E127" s="63">
        <f t="shared" si="4"/>
        <v>41580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TRUNC(11203,-1)</f>
        <v>11200</v>
      </c>
      <c r="E131" s="63">
        <f t="shared" si="4"/>
        <v>37020</v>
      </c>
    </row>
    <row r="132" spans="1:7" ht="18" thickBot="1" x14ac:dyDescent="0.35">
      <c r="A132" s="2">
        <v>11</v>
      </c>
      <c r="C132" s="38" t="s">
        <v>47</v>
      </c>
      <c r="D132" s="43">
        <f>TRUNC(35273+1856,-1)</f>
        <v>37120</v>
      </c>
      <c r="E132" s="64">
        <f t="shared" si="4"/>
        <v>122710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67550</v>
      </c>
      <c r="E133" s="39">
        <f>SUM(E122:E132)</f>
        <v>223270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TRUNC(30591,-1)</f>
        <v>30590</v>
      </c>
      <c r="E136" s="62">
        <f t="shared" ref="E136:E145" si="5">TRUNC(+D136*3.3058,-1)</f>
        <v>101120</v>
      </c>
      <c r="F136" s="2" t="s">
        <v>260</v>
      </c>
    </row>
    <row r="137" spans="1:7" x14ac:dyDescent="0.3">
      <c r="A137" s="2">
        <v>2</v>
      </c>
      <c r="C137" s="38" t="s">
        <v>47</v>
      </c>
      <c r="D137" s="42">
        <f>TRUNC(19432,-1)</f>
        <v>19430</v>
      </c>
      <c r="E137" s="63">
        <f t="shared" si="5"/>
        <v>64230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50020</v>
      </c>
      <c r="E146" s="39">
        <f>SUM(E136:E145)</f>
        <v>165350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TRUNC(21161,-1)</f>
        <v>21160</v>
      </c>
      <c r="E152" s="63">
        <f>TRUNC(+D152*3.3058,-1)</f>
        <v>69950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21160</v>
      </c>
      <c r="E154" s="39">
        <f>SUM(E149:E153)</f>
        <v>69950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TRUNC(6806,-1)</f>
        <v>6800</v>
      </c>
      <c r="E159" s="63">
        <f>TRUNC(+D159*3.3058,-1)</f>
        <v>22470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6800</v>
      </c>
      <c r="E161" s="39">
        <f>SUM(E157:E160)</f>
        <v>22470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2020-12-07T09:34:30Z</dcterms:modified>
</cp:coreProperties>
</file>