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51" i="4"/>
  <c r="D150" i="4"/>
  <c r="D149" i="4"/>
  <c r="D144" i="4"/>
  <c r="D143" i="4"/>
  <c r="D142" i="4"/>
  <c r="D132" i="4"/>
  <c r="D131" i="4"/>
  <c r="D130" i="4"/>
  <c r="D122" i="4"/>
  <c r="D117" i="4"/>
  <c r="D116" i="4"/>
  <c r="D103" i="4"/>
  <c r="D102" i="4"/>
  <c r="D94" i="4"/>
  <c r="D93" i="4"/>
  <c r="D92" i="4"/>
  <c r="D91" i="4"/>
  <c r="D89" i="4"/>
  <c r="D76" i="4"/>
  <c r="D73" i="4"/>
  <c r="D72" i="4"/>
  <c r="D70" i="4"/>
  <c r="D69" i="4"/>
  <c r="D59" i="4"/>
  <c r="D58" i="4"/>
  <c r="D53" i="4"/>
  <c r="D52" i="4"/>
  <c r="D48" i="4"/>
  <c r="D46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<sst xmlns="http://schemas.openxmlformats.org/spreadsheetml/2006/main" count="396" uniqueCount="267">
  <si>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</si>
  <si>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</si>
  <si>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</si>
  <si>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</si>
  <si>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</si>
  <si>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</si>
  <si>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</si>
  <si>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</si>
  <si>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</si>
  <si>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</si>
  <si>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</si>
  <si>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</si>
  <si>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</si>
  <si>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</si>
  <si>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</si>
  <si>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</si>
  <si>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</si>
  <si>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</si>
  <si>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</si>
  <si>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</si>
  <si>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</si>
  <si>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</si>
  <si>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</si>
  <si>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</si>
  <si>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</si>
  <si>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</si>
  <si>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</si>
  <si>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</si>
  <si>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</si>
  <si>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</si>
  <si>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</si>
  <si>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</si>
  <si>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</si>
  <si>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</si>
  <si>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</si>
  <si>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</si>
  <si>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</si>
  <si>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</si>
  <si>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</si>
  <si>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</si>
  <si>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</si>
  <si>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</si>
  <si>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</si>
  <si>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</si>
  <si>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</si>
  <si>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</si>
  <si>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</si>
  <si>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</si>
  <si>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</si>
  <si>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</si>
  <si>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</si>
  <si>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</si>
  <si>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</si>
  <si>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</si>
  <si>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</si>
  <si>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</si>
  <si>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</si>
  <si>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</si>
  <si>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</si>
  <si>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</si>
  <si>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</si>
  <si>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</si>
  <si>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</si>
  <si>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</si>
  <si>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</si>
  <si>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</si>
  <si>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</si>
  <si>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</si>
  <si>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</si>
  <si>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</si>
  <si>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</si>
  <si>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</si>
  <si>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</si>
  <si>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</si>
  <si>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</si>
  <si>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</si>
  <si>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</si>
  <si>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</si>
  <si>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</si>
  <si>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</si>
  <si>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</si>
  <si>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</si>
  <si>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</si>
  <si>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</si>
  <si>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</si>
  <si>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</si>
  <si>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</si>
  <si>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</si>
  <si>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</si>
  <si>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</si>
  <si>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</si>
  <si>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</si>
  <si>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</si>
  <si>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</si>
  <si>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</si>
  <si>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</si>
  <si>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</si>
  <si>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</si>
  <si>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</si>
  <si>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</si>
  <si>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</si>
  <si>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</si>
  <si>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</si>
  <si>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</si>
  <si>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</si>
  <si>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</si>
  <si>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</si>
  <si>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</si>
  <si>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</si>
  <si>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</si>
  <si>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</si>
  <si>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</si>
  <si>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</si>
  <si>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</si>
  <si>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</si>
  <si>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</si>
  <si>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</si>
  <si>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</si>
  <si>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</si>
  <si>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</si>
  <si>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</si>
  <si>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</si>
  <si>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</si>
  <si>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</si>
  <si>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</si>
  <si>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</si>
  <si>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</si>
  <si>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</si>
  <si>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</si>
  <si>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</si>
  <si>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</si>
  <si>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</si>
  <si>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</si>
  <si>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</si>
  <si>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</si>
  <si>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</si>
  <si>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</si>
  <si>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</si>
  <si>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</si>
  <si>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</si>
  <si>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</si>
  <si>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</si>
  <si>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</si>
  <si>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</si>
  <si>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</si>
  <si>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</si>
  <si>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</si>
  <si>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</si>
  <si>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</si>
  <si>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</si>
  <si>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</si>
  <si>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</si>
  <si>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</si>
  <si>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</si>
  <si>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</si>
  <si>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</si>
  <si>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</si>
  <si>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</si>
  <si>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</si>
  <si>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</si>
  <si>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</si>
  <si>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</si>
  <si>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</si>
  <si>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</si>
  <si>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</si>
  <si>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</si>
  <si>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</si>
  <si>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</si>
  <si>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</si>
  <si>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</si>
  <si>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</si>
  <si>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</si>
  <si>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</si>
  <si>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</si>
  <si>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</si>
  <si>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</si>
  <si>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</si>
  <si>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</si>
  <si>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</si>
  <si>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</si>
  <si>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</si>
  <si>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</si>
  <si>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</si>
  <si>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</si>
  <si>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</si>
  <si>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</si>
  <si>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</si>
  <si>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</si>
  <si>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</si>
  <si>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</si>
  <si>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</si>
  <si>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</si>
  <si>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</si>
  <si>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</si>
  <si>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</si>
  <si>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</si>
  <si>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</si>
  <si>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</si>
  <si>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</si>
  <si>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</si>
  <si>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</si>
  <si>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</si>
  <si>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</si>
  <si>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</si>
  <si>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</si>
  <si>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</si>
  <si>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</si>
  <si>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</si>
  <si>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</si>
  <si>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</si>
  <si>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</si>
  <si>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</si>
  <si>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</si>
  <si>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</si>
  <si>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</si>
  <si>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</si>
  <si>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</si>
  <si>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</si>
  <si>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</si>
  <si>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</si>
  <si>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</si>
  <si>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</si>
  <si>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</si>
  <si>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</si>
  <si>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</si>
  <si>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</si>
  <si>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</si>
  <si>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</si>
  <si>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</si>
  <si>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</si>
  <si>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</si>
  <si>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</si>
  <si>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</si>
  <si>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</si>
  <si>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</si>
  <si>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</si>
  <si>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</si>
  <si>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</si>
  <si>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</si>
  <si>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</si>
  <si>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</si>
  <si>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</si>
  <si>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</si>
  <si>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</si>
  <si>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</si>
  <si>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</si>
  <si>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</si>
  <si>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</si>
  <si>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</si>
  <si>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</si>
  <si>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</si>
  <si>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</si>
  <si>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</si>
  <si>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기타공사</t>
    <phoneticPr fontId="2" type="noConversion"/>
  </si>
  <si>
    <t>교육연구</t>
  </si>
  <si>
    <t>전기인입 및 수변전 설비공사</t>
    <phoneticPr fontId="2" type="noConversion"/>
  </si>
  <si>
    <t>숲꿈유치원 신축공사</t>
    <phoneticPr fontId="2" type="noConversion"/>
  </si>
  <si>
    <t>전라도</t>
  </si>
  <si>
    <t>기초공사,골재비및운반비, 품질시험비, 기타공사</t>
    <phoneticPr fontId="2" type="noConversion"/>
  </si>
  <si>
    <t>난방배관공사, 바닥난방공사</t>
    <phoneticPr fontId="2" type="noConversion"/>
  </si>
  <si>
    <t>CCTV설비공사</t>
    <phoneticPr fontId="2" type="noConversion"/>
  </si>
  <si>
    <t>토목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</si>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</sst>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3532.18</v>
      </c>
      <c r="D7" s="36">
        <f>+C7/3.3058</f>
        <v>1068.4796418416117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942180</v>
      </c>
      <c r="E25" s="58">
        <f t="shared" si="0"/>
        <v>3114650</v>
      </c>
    </row>
    <row r="26" spans="1:5" x14ac:dyDescent="0.3">
      <c r="B26" s="2">
        <v>3</v>
      </c>
      <c r="C26" s="35" t="s">
        <v>95</v>
      </c>
      <c r="D26" s="45">
        <f>+D66</f>
        <v>2070</v>
      </c>
      <c r="E26" s="58">
        <f t="shared" si="0"/>
        <v>6840</v>
      </c>
    </row>
    <row r="27" spans="1:5" x14ac:dyDescent="0.3">
      <c r="B27" s="2">
        <v>4</v>
      </c>
      <c r="C27" s="35" t="s">
        <v>96</v>
      </c>
      <c r="D27" s="45">
        <f>+D95</f>
        <v>242710</v>
      </c>
      <c r="E27" s="58">
        <f t="shared" si="0"/>
        <v>802350</v>
      </c>
    </row>
    <row r="28" spans="1:5" x14ac:dyDescent="0.3">
      <c r="B28" s="2">
        <v>5</v>
      </c>
      <c r="C28" s="35" t="s">
        <v>97</v>
      </c>
      <c r="D28" s="45">
        <f>+D119</f>
        <v>104210</v>
      </c>
      <c r="E28" s="58">
        <f t="shared" si="0"/>
        <v>344490</v>
      </c>
    </row>
    <row r="29" spans="1:5" x14ac:dyDescent="0.3">
      <c r="B29" s="2">
        <v>6</v>
      </c>
      <c r="C29" s="35" t="s">
        <v>98</v>
      </c>
      <c r="D29" s="45">
        <f>+D133</f>
        <v>30800</v>
      </c>
      <c r="E29" s="58">
        <f t="shared" si="0"/>
        <v>101810</v>
      </c>
    </row>
    <row r="30" spans="1:5" x14ac:dyDescent="0.3">
      <c r="B30" s="2">
        <v>7</v>
      </c>
      <c r="C30" s="35" t="s">
        <v>99</v>
      </c>
      <c r="D30" s="45">
        <f>+D146</f>
        <v>52770</v>
      </c>
      <c r="E30" s="58">
        <f t="shared" si="0"/>
        <v>174440</v>
      </c>
    </row>
    <row r="31" spans="1:5" x14ac:dyDescent="0.3">
      <c r="B31" s="2">
        <v>8</v>
      </c>
      <c r="C31" s="35" t="s">
        <v>100</v>
      </c>
      <c r="D31" s="45">
        <f>+D154</f>
        <v>89390</v>
      </c>
      <c r="E31" s="58">
        <f t="shared" si="0"/>
        <v>295500</v>
      </c>
    </row>
    <row r="32" spans="1:5" x14ac:dyDescent="0.3">
      <c r="B32" s="2">
        <v>9</v>
      </c>
      <c r="C32" s="35" t="s">
        <v>101</v>
      </c>
      <c r="D32" s="45">
        <f>+D161</f>
        <v>44570</v>
      </c>
      <c r="E32" s="58">
        <f t="shared" si="0"/>
        <v>147330</v>
      </c>
    </row>
    <row r="33" spans="1:7" x14ac:dyDescent="0.3">
      <c r="B33" s="2">
        <v>10</v>
      </c>
      <c r="C33" s="35" t="s">
        <v>153</v>
      </c>
      <c r="D33" s="53">
        <f>TRUNC(SUM(D24:D32)*0.275,-1)</f>
        <v>414890</v>
      </c>
      <c r="E33" s="59">
        <f t="shared" si="0"/>
        <v>1371540</v>
      </c>
    </row>
    <row r="34" spans="1:7" x14ac:dyDescent="0.3">
      <c r="C34" s="35" t="s">
        <v>112</v>
      </c>
      <c r="D34" s="44">
        <f>SUM(D24:D33)</f>
        <v>1923590</v>
      </c>
      <c r="E34" s="44">
        <f>SUM(E24:E33)</f>
        <v>6358950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TRUNC(40339,-1)</f>
        <v>40330</v>
      </c>
      <c r="E40" s="61">
        <f t="shared" ref="E40:E59" si="1">TRUNC(+D40*3.3058,-1)</f>
        <v>133320</v>
      </c>
    </row>
    <row r="41" spans="1:7" x14ac:dyDescent="0.3">
      <c r="A41" s="2">
        <v>2</v>
      </c>
      <c r="C41" s="38" t="s">
        <v>13</v>
      </c>
      <c r="D41" s="42">
        <f>TRUNC(186887,-1)</f>
        <v>186880</v>
      </c>
      <c r="E41" s="62">
        <f t="shared" si="1"/>
        <v>617780</v>
      </c>
    </row>
    <row r="42" spans="1:7" x14ac:dyDescent="0.3">
      <c r="A42" s="2">
        <v>3</v>
      </c>
      <c r="C42" s="38" t="s">
        <v>14</v>
      </c>
      <c r="D42" s="42">
        <v>0</v>
      </c>
      <c r="E42" s="62">
        <f t="shared" si="1"/>
        <v>0</v>
      </c>
    </row>
    <row r="43" spans="1:7" x14ac:dyDescent="0.3">
      <c r="A43" s="2">
        <v>4</v>
      </c>
      <c r="C43" s="38" t="s">
        <v>16</v>
      </c>
      <c r="D43" s="42">
        <f>TRUNC(58526,-1)</f>
        <v>58520</v>
      </c>
      <c r="E43" s="62">
        <f t="shared" si="1"/>
        <v>193450</v>
      </c>
    </row>
    <row r="44" spans="1:7" x14ac:dyDescent="0.3">
      <c r="A44" s="2">
        <v>5</v>
      </c>
      <c r="C44" s="38" t="s">
        <v>17</v>
      </c>
      <c r="D44" s="42">
        <v>29110</v>
      </c>
      <c r="E44" s="62">
        <f t="shared" si="1"/>
        <v>96230</v>
      </c>
    </row>
    <row r="45" spans="1:7" x14ac:dyDescent="0.3">
      <c r="A45" s="2">
        <v>6</v>
      </c>
      <c r="C45" s="38" t="s">
        <v>18</v>
      </c>
      <c r="D45" s="42">
        <v>11510</v>
      </c>
      <c r="E45" s="62">
        <f t="shared" si="1"/>
        <v>38040</v>
      </c>
    </row>
    <row r="46" spans="1:7" x14ac:dyDescent="0.3">
      <c r="A46" s="2">
        <v>7</v>
      </c>
      <c r="C46" s="38" t="s">
        <v>19</v>
      </c>
      <c r="D46" s="42">
        <f>TRUNC(6455,-1)</f>
        <v>6450</v>
      </c>
      <c r="E46" s="62">
        <f t="shared" si="1"/>
        <v>21320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TRUNC(97724,-1)</f>
        <v>97720</v>
      </c>
      <c r="E48" s="62">
        <f t="shared" si="1"/>
        <v>323040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v>28900</v>
      </c>
      <c r="E49" s="62">
        <f t="shared" si="1"/>
        <v>95530</v>
      </c>
    </row>
    <row r="50" spans="1:7" x14ac:dyDescent="0.3">
      <c r="A50" s="2">
        <v>11</v>
      </c>
      <c r="C50" s="38" t="s">
        <v>154</v>
      </c>
      <c r="D50" s="42">
        <v>66040</v>
      </c>
      <c r="E50" s="62">
        <f t="shared" si="1"/>
        <v>218310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TRUNC(15916,-1)</f>
        <v>15910</v>
      </c>
      <c r="E52" s="62">
        <f t="shared" si="1"/>
        <v>52590</v>
      </c>
    </row>
    <row r="53" spans="1:7" x14ac:dyDescent="0.3">
      <c r="A53" s="2">
        <v>14</v>
      </c>
      <c r="C53" s="38" t="s">
        <v>25</v>
      </c>
      <c r="D53" s="42">
        <f>TRUNC(150252,-1)</f>
        <v>150250</v>
      </c>
      <c r="E53" s="62">
        <f t="shared" si="1"/>
        <v>496690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TRUNC(19684+13361+420+10693,-1)</f>
        <v>44150</v>
      </c>
      <c r="E58" s="62">
        <f t="shared" si="1"/>
        <v>145950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TRUNC(206418,-1)</f>
        <v>206410</v>
      </c>
      <c r="E59" s="63">
        <f t="shared" si="1"/>
        <v>682350</v>
      </c>
    </row>
    <row r="60" spans="1:7" x14ac:dyDescent="0.3">
      <c r="A60" s="2">
        <v>21</v>
      </c>
      <c r="C60" s="27" t="s">
        <v>112</v>
      </c>
      <c r="D60" s="39">
        <f>SUM(D40:D59)</f>
        <v>942180</v>
      </c>
      <c r="E60" s="39">
        <f>SUM(E40:E59)</f>
        <v>3114600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v>2070</v>
      </c>
      <c r="E63" s="61">
        <f>TRUNC(+D63*3.3058,-1)</f>
        <v>6840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2070</v>
      </c>
      <c r="E66" s="64">
        <f>SUM(E63:E65)</f>
        <v>6840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234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TRUNC(13754,-1)</f>
        <v>13750</v>
      </c>
      <c r="E69" s="61">
        <f t="shared" ref="E69:E94" si="2">TRUNC(+D69*3.3058,-1)</f>
        <v>45450</v>
      </c>
    </row>
    <row r="70" spans="1:7" ht="16.5" customHeight="1" x14ac:dyDescent="0.3">
      <c r="A70" s="2">
        <v>2</v>
      </c>
      <c r="C70" s="38" t="s">
        <v>31</v>
      </c>
      <c r="D70" s="42">
        <f>TRUNC(906,-1)</f>
        <v>900</v>
      </c>
      <c r="E70" s="62">
        <f t="shared" si="2"/>
        <v>2970</v>
      </c>
    </row>
    <row r="71" spans="1:7" x14ac:dyDescent="0.3">
      <c r="A71" s="2">
        <v>3</v>
      </c>
      <c r="C71" s="38" t="s">
        <v>32</v>
      </c>
      <c r="D71" s="42">
        <v>0</v>
      </c>
      <c r="E71" s="62">
        <f t="shared" si="2"/>
        <v>0</v>
      </c>
    </row>
    <row r="72" spans="1:7" x14ac:dyDescent="0.3">
      <c r="A72" s="2">
        <v>4</v>
      </c>
      <c r="C72" s="38" t="s">
        <v>33</v>
      </c>
      <c r="D72" s="42">
        <f>TRUNC(5045,-1)</f>
        <v>5040</v>
      </c>
      <c r="E72" s="62">
        <f t="shared" si="2"/>
        <v>16660</v>
      </c>
    </row>
    <row r="73" spans="1:7" x14ac:dyDescent="0.3">
      <c r="A73" s="2">
        <v>5</v>
      </c>
      <c r="C73" s="38" t="s">
        <v>34</v>
      </c>
      <c r="D73" s="42">
        <f>TRUNC(23079,-1)</f>
        <v>23070</v>
      </c>
      <c r="E73" s="62">
        <f t="shared" si="2"/>
        <v>76260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f>TRUNC(61719,-1)</f>
        <v>61710</v>
      </c>
      <c r="E76" s="62">
        <f t="shared" si="2"/>
        <v>204000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TRUNC(6140,-1)</f>
        <v>6140</v>
      </c>
      <c r="E89" s="62">
        <f t="shared" si="2"/>
        <v>20290</v>
      </c>
    </row>
    <row r="90" spans="1:7" x14ac:dyDescent="0.3">
      <c r="A90" s="2">
        <v>22</v>
      </c>
      <c r="C90" s="38" t="s">
        <v>36</v>
      </c>
      <c r="D90" s="42">
        <v>1950</v>
      </c>
      <c r="E90" s="62">
        <f t="shared" si="2"/>
        <v>6440</v>
      </c>
    </row>
    <row r="91" spans="1:7" x14ac:dyDescent="0.3">
      <c r="A91" s="2">
        <v>23</v>
      </c>
      <c r="C91" s="38" t="s">
        <v>37</v>
      </c>
      <c r="D91" s="42">
        <f>TRUNC(5092,-1)</f>
        <v>5090</v>
      </c>
      <c r="E91" s="62">
        <f t="shared" si="2"/>
        <v>16820</v>
      </c>
    </row>
    <row r="92" spans="1:7" x14ac:dyDescent="0.3">
      <c r="A92" s="2">
        <v>24</v>
      </c>
      <c r="C92" s="38" t="s">
        <v>38</v>
      </c>
      <c r="D92" s="42">
        <f>TRUNC(8186,-1)</f>
        <v>8180</v>
      </c>
      <c r="E92" s="62">
        <f t="shared" si="2"/>
        <v>27040</v>
      </c>
    </row>
    <row r="93" spans="1:7" x14ac:dyDescent="0.3">
      <c r="A93" s="2">
        <v>25</v>
      </c>
      <c r="C93" s="38" t="s">
        <v>148</v>
      </c>
      <c r="D93" s="42">
        <f>TRUNC(69519,-1)</f>
        <v>69510</v>
      </c>
      <c r="E93" s="62">
        <f t="shared" si="2"/>
        <v>229780</v>
      </c>
    </row>
    <row r="94" spans="1:7" ht="17.25" thickBot="1" x14ac:dyDescent="0.35">
      <c r="A94" s="2">
        <v>26</v>
      </c>
      <c r="C94" s="38" t="s">
        <v>47</v>
      </c>
      <c r="D94" s="43">
        <f>TRUNC(41132+539+5707,-1)</f>
        <v>47370</v>
      </c>
      <c r="E94" s="63">
        <f t="shared" si="2"/>
        <v>156590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242710</v>
      </c>
      <c r="E95" s="39">
        <f>SUM(E69:E94)</f>
        <v>802300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234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1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12080</v>
      </c>
      <c r="E99" s="62">
        <f t="shared" si="3"/>
        <v>39930</v>
      </c>
    </row>
    <row r="100" spans="1:7" x14ac:dyDescent="0.3">
      <c r="A100" s="2">
        <v>3</v>
      </c>
      <c r="C100" s="38" t="s">
        <v>41</v>
      </c>
      <c r="D100" s="42">
        <v>37640</v>
      </c>
      <c r="E100" s="62">
        <f t="shared" si="3"/>
        <v>124430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TRUNC(11168,-1)</f>
        <v>11160</v>
      </c>
      <c r="E102" s="62">
        <f t="shared" si="3"/>
        <v>36890</v>
      </c>
    </row>
    <row r="103" spans="1:7" x14ac:dyDescent="0.3">
      <c r="A103" s="2">
        <v>6</v>
      </c>
      <c r="C103" s="38" t="s">
        <v>44</v>
      </c>
      <c r="D103" s="42">
        <f>TRUNC(10003,-1)</f>
        <v>10000</v>
      </c>
      <c r="E103" s="62">
        <f t="shared" si="3"/>
        <v>33050</v>
      </c>
    </row>
    <row r="104" spans="1:7" x14ac:dyDescent="0.3">
      <c r="A104" s="2">
        <v>7</v>
      </c>
      <c r="C104" s="38" t="s">
        <v>45</v>
      </c>
      <c r="D104" s="42">
        <v>0</v>
      </c>
      <c r="E104" s="62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2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TRUNC(24575,-1)</f>
        <v>24570</v>
      </c>
      <c r="E116" s="62">
        <f t="shared" si="3"/>
        <v>81220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TRUNC(8767,-1)</f>
        <v>8760</v>
      </c>
      <c r="E117" s="62">
        <f t="shared" si="3"/>
        <v>28950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3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104210</v>
      </c>
      <c r="E119" s="39">
        <f>SUM(E98:E118)</f>
        <v>344470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234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TRUNC(3734,-1)</f>
        <v>3730</v>
      </c>
      <c r="E122" s="61">
        <f t="shared" ref="E122:E132" si="4">TRUNC(+D122*3.3058,-1)</f>
        <v>12330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v>7640</v>
      </c>
      <c r="E125" s="62">
        <f t="shared" si="4"/>
        <v>25250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2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TRUNC(9245,-1)</f>
        <v>9240</v>
      </c>
      <c r="E130" s="62">
        <f t="shared" si="4"/>
        <v>30540</v>
      </c>
    </row>
    <row r="131" spans="1:7" x14ac:dyDescent="0.3">
      <c r="A131" s="2">
        <v>10</v>
      </c>
      <c r="C131" s="38" t="s">
        <v>148</v>
      </c>
      <c r="D131" s="42">
        <f>TRUNC(9417,-1)</f>
        <v>9410</v>
      </c>
      <c r="E131" s="62">
        <f t="shared" si="4"/>
        <v>31100</v>
      </c>
    </row>
    <row r="132" spans="1:7" ht="17.25" thickBot="1" x14ac:dyDescent="0.35">
      <c r="A132" s="2">
        <v>11</v>
      </c>
      <c r="C132" s="38" t="s">
        <v>47</v>
      </c>
      <c r="D132" s="43">
        <f>TRUNC(788,-1)</f>
        <v>780</v>
      </c>
      <c r="E132" s="63">
        <f t="shared" si="4"/>
        <v>2570</v>
      </c>
      <c r="F132" s="2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30800</v>
      </c>
      <c r="E133" s="39">
        <f>SUM(E122:E132)</f>
        <v>101790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234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5790</v>
      </c>
      <c r="E137" s="62">
        <f t="shared" si="5"/>
        <v>19140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2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TRUNC(40338,-1)</f>
        <v>40330</v>
      </c>
      <c r="E142" s="62">
        <f t="shared" si="5"/>
        <v>133320</v>
      </c>
    </row>
    <row r="143" spans="1:7" x14ac:dyDescent="0.3">
      <c r="A143" s="2">
        <v>8</v>
      </c>
      <c r="C143" s="38" t="s">
        <v>62</v>
      </c>
      <c r="D143" s="42">
        <f>TRUNC(1546,-1)</f>
        <v>1540</v>
      </c>
      <c r="E143" s="62">
        <f t="shared" si="5"/>
        <v>5090</v>
      </c>
    </row>
    <row r="144" spans="1:7" x14ac:dyDescent="0.3">
      <c r="A144" s="2">
        <v>9</v>
      </c>
      <c r="C144" s="38" t="s">
        <v>63</v>
      </c>
      <c r="D144" s="42">
        <f>TRUNC(5119,-1)</f>
        <v>5110</v>
      </c>
      <c r="E144" s="62">
        <f t="shared" si="5"/>
        <v>16890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52770</v>
      </c>
      <c r="E146" s="39">
        <f>SUM(E136:E145)</f>
        <v>174440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234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TRUNC(19554+1400,-1)</f>
        <v>20950</v>
      </c>
      <c r="E149" s="61">
        <f>TRUNC(+D149*3.3058,-1)</f>
        <v>69250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TRUNC(32301,-1)</f>
        <v>32300</v>
      </c>
      <c r="E150" s="62">
        <f>TRUNC(+D150*3.3058,-1)</f>
        <v>106770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TRUNC(3797,-1)</f>
        <v>3790</v>
      </c>
      <c r="E151" s="62">
        <f>TRUNC(+D151*3.3058,-1)</f>
        <v>12520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TRUNC(58+8791,-1)</f>
        <v>8840</v>
      </c>
      <c r="E152" s="62">
        <f>TRUNC(+D152*3.3058,-1)</f>
        <v>29220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TRUNC(23514,-1)</f>
        <v>23510</v>
      </c>
      <c r="E153" s="63">
        <f>TRUNC(+D153*3.3058,-1)</f>
        <v>77710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89390</v>
      </c>
      <c r="E154" s="39">
        <f>SUM(E149:E153)</f>
        <v>295470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234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TRUNC(25897,-1)</f>
        <v>25890</v>
      </c>
      <c r="E157" s="61">
        <f>TRUNC(+D157*3.3058,-1)</f>
        <v>85580</v>
      </c>
    </row>
    <row r="158" spans="1:7" x14ac:dyDescent="0.3">
      <c r="A158" s="2">
        <v>2</v>
      </c>
      <c r="C158" s="38" t="s">
        <v>52</v>
      </c>
      <c r="D158" s="42">
        <f>TRUNC(18681,-1)</f>
        <v>18680</v>
      </c>
      <c r="E158" s="62">
        <f>TRUNC(+D158*3.3058,-1)</f>
        <v>61750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6" x14ac:dyDescent="0.3">
      <c r="A161" s="2">
        <v>5</v>
      </c>
      <c r="C161" s="27" t="s">
        <v>112</v>
      </c>
      <c r="D161" s="39">
        <f>SUM(D157:D160)</f>
        <v>44570</v>
      </c>
      <c r="E161" s="39">
        <f t="shared" ref="E161" si="6">SUM(E157:E160)</f>
        <v>147330</v>
      </c>
      <c r="F161" s="39"/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2020-12-07T10:09:07Z</dcterms:modified>
</cp:coreProperties>
</file>