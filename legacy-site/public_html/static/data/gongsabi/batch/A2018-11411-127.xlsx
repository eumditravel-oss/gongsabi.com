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39" i="4"/>
  <c r="D144" i="4"/>
  <c r="D143" i="4"/>
  <c r="D141" i="4"/>
  <c r="D142" i="4"/>
  <c r="D137" i="4"/>
  <c r="D140" i="4"/>
  <c r="D132" i="4"/>
  <c r="D127" i="4"/>
  <c r="D128" i="4"/>
  <c r="D125" i="4"/>
  <c r="D124" i="4"/>
  <c r="D126" i="4"/>
  <c r="D118" i="4"/>
  <c r="D105" i="4"/>
  <c r="D104" i="4"/>
  <c r="D103" i="4"/>
  <c r="D102" i="4"/>
  <c r="D101" i="4"/>
  <c r="D100" i="4"/>
  <c r="D99" i="4"/>
  <c r="D98" i="4"/>
  <c r="D114" i="4"/>
  <c r="D116" i="4"/>
  <c r="D76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3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95" i="4"/>
  <c r="E60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<sst xmlns="http://schemas.openxmlformats.org/spreadsheetml/2006/main" count="393" uniqueCount="268">
  <si>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</si>
  <si>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</si>
  <si>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</si>
  <si>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</si>
  <si>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</si>
  <si>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</si>
  <si>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</si>
  <si>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</si>
  <si>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</si>
  <si>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</si>
  <si>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</si>
  <si>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</si>
  <si>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</si>
  <si>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</si>
  <si>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</si>
  <si>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</si>
  <si>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</si>
  <si>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</si>
  <si>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</si>
  <si>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</si>
  <si>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</si>
  <si>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</si>
  <si>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</si>
  <si>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</si>
  <si>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</si>
  <si>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</si>
  <si>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</si>
  <si>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</si>
  <si>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</si>
  <si>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</si>
  <si>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</si>
  <si>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</si>
  <si>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</si>
  <si>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</si>
  <si>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</si>
  <si>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</si>
  <si>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</si>
  <si>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</si>
  <si>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</si>
  <si>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</si>
  <si>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</si>
  <si>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</si>
  <si>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</si>
  <si>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</si>
  <si>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</si>
  <si>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</si>
  <si>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</si>
  <si>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</si>
  <si>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</si>
  <si>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</si>
  <si>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</si>
  <si>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</si>
  <si>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</si>
  <si>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</si>
  <si>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</si>
  <si>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</si>
  <si>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</si>
  <si>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</si>
  <si>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</si>
  <si>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</si>
  <si>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</si>
  <si>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</si>
  <si>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</si>
  <si>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</si>
  <si>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</si>
  <si>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</si>
  <si>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</si>
  <si>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</si>
  <si>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</si>
  <si>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</si>
  <si>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</si>
  <si>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</si>
  <si>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</si>
  <si>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</si>
  <si>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</si>
  <si>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</si>
  <si>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</si>
  <si>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</si>
  <si>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</si>
  <si>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</si>
  <si>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</si>
  <si>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</si>
  <si>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</si>
  <si>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</si>
  <si>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</si>
  <si>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</si>
  <si>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</si>
  <si>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</si>
  <si>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</si>
  <si>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</si>
  <si>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</si>
  <si>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</si>
  <si>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</si>
  <si>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</si>
  <si>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</si>
  <si>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</si>
  <si>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</si>
  <si>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</si>
  <si>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</si>
  <si>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</si>
  <si>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</si>
  <si>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</si>
  <si>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</si>
  <si>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</si>
  <si>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</si>
  <si>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</si>
  <si>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</si>
  <si>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</si>
  <si>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</si>
  <si>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</si>
  <si>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</si>
  <si>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</si>
  <si>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</si>
  <si>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</si>
  <si>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</si>
  <si>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</si>
  <si>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</si>
  <si>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</si>
  <si>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</si>
  <si>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</si>
  <si>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</si>
  <si>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</si>
  <si>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</si>
  <si>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</si>
  <si>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</si>
  <si>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</si>
  <si>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</si>
  <si>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</si>
  <si>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</si>
  <si>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</si>
  <si>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</si>
  <si>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</si>
  <si>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</si>
  <si>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</si>
  <si>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</si>
  <si>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</si>
  <si>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</si>
  <si>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</si>
  <si>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</si>
  <si>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</si>
  <si>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</si>
  <si>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</si>
  <si>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</si>
  <si>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</si>
  <si>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</si>
  <si>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</si>
  <si>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</si>
  <si>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</si>
  <si>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</si>
  <si>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</si>
  <si>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</si>
  <si>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</si>
  <si>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</si>
  <si>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</si>
  <si>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</si>
  <si>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</si>
  <si>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</si>
  <si>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</si>
  <si>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</si>
  <si>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</si>
  <si>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</si>
  <si>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</si>
  <si>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</si>
  <si>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</si>
  <si>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</si>
  <si>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</si>
  <si>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</si>
  <si>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</si>
  <si>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</si>
  <si>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</si>
  <si>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</si>
  <si>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</si>
  <si>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</si>
  <si>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</si>
  <si>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</si>
  <si>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</si>
  <si>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</si>
  <si>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</si>
  <si>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</si>
  <si>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</si>
  <si>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</si>
  <si>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</si>
  <si>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</si>
  <si>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</si>
  <si>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</si>
  <si>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</si>
  <si>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</si>
  <si>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</si>
  <si>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</si>
  <si>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</si>
  <si>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</si>
  <si>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</si>
  <si>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</si>
  <si>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</si>
  <si>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</si>
  <si>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</si>
  <si>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</si>
  <si>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</si>
  <si>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</si>
  <si>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</si>
  <si>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</si>
  <si>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</si>
  <si>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</si>
  <si>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</si>
  <si>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</si>
  <si>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</si>
  <si>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</si>
  <si>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</si>
  <si>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</si>
  <si>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</si>
  <si>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</si>
  <si>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</si>
  <si>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</si>
  <si>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</si>
  <si>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</si>
  <si>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</si>
  <si>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</si>
  <si>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</si>
  <si>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</si>
  <si>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</si>
  <si>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</si>
  <si>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</si>
  <si>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</si>
  <si>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</si>
  <si>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</si>
  <si>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</si>
  <si>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</si>
  <si>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</si>
  <si>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</si>
  <si>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</si>
  <si>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</si>
  <si>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</si>
  <si>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</si>
  <si>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</si>
  <si>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</si>
  <si>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</si>
  <si>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</si>
  <si>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</si>
  <si>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</si>
  <si>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</si>
  <si>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</si>
  <si>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</si>
  <si>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</si>
  <si>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</si>
  <si>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</si>
  <si>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</si>
  <si>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</si>
  <si>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</si>
  <si>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(가칭)호암초등학교 신축공사(계속비공사)</t>
    <phoneticPr fontId="2" type="noConversion"/>
  </si>
  <si>
    <t>교육연구</t>
  </si>
  <si>
    <t>충청도</t>
  </si>
  <si>
    <t>우수공사,오수공사</t>
    <phoneticPr fontId="2" type="noConversion"/>
  </si>
  <si>
    <t>상수도공사,운반비,기타공사</t>
    <phoneticPr fontId="2" type="noConversion"/>
  </si>
  <si>
    <t>옥외소화배관공사,기타공사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</si>
  <si>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</si>
  <si>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</si>
  <si>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</si>
  <si>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</si>
  <si>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공조배관공사,난방배관공사,기타공사</t>
    <phoneticPr fontId="2" type="noConversion"/>
  </si>
  <si>
    <t>기초공사,골재비및운반비,작업부산물,품질시험비,기타공사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</si>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</sst>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14159.29</v>
      </c>
      <c r="D7" s="36">
        <f>+C7/3.3058</f>
        <v>4283.1659507532222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758530</v>
      </c>
      <c r="E25" s="59">
        <f t="shared" si="0"/>
        <v>2507540</v>
      </c>
    </row>
    <row r="26" spans="1:5" x14ac:dyDescent="0.3">
      <c r="B26" s="2">
        <v>3</v>
      </c>
      <c r="C26" s="35" t="s">
        <v>95</v>
      </c>
      <c r="D26" s="45">
        <f>+D66</f>
        <v>7760</v>
      </c>
      <c r="E26" s="59">
        <f t="shared" si="0"/>
        <v>25650</v>
      </c>
    </row>
    <row r="27" spans="1:5" x14ac:dyDescent="0.3">
      <c r="B27" s="2">
        <v>4</v>
      </c>
      <c r="C27" s="35" t="s">
        <v>96</v>
      </c>
      <c r="D27" s="45">
        <f>+D95</f>
        <v>213860</v>
      </c>
      <c r="E27" s="59">
        <f t="shared" si="0"/>
        <v>706970</v>
      </c>
    </row>
    <row r="28" spans="1:5" x14ac:dyDescent="0.3">
      <c r="B28" s="2">
        <v>5</v>
      </c>
      <c r="C28" s="35" t="s">
        <v>97</v>
      </c>
      <c r="D28" s="45">
        <f>+D119</f>
        <v>154040</v>
      </c>
      <c r="E28" s="59">
        <f t="shared" si="0"/>
        <v>509220</v>
      </c>
    </row>
    <row r="29" spans="1:5" x14ac:dyDescent="0.3">
      <c r="B29" s="2">
        <v>6</v>
      </c>
      <c r="C29" s="35" t="s">
        <v>98</v>
      </c>
      <c r="D29" s="45">
        <f>+D133</f>
        <v>31020</v>
      </c>
      <c r="E29" s="59">
        <f t="shared" si="0"/>
        <v>102540</v>
      </c>
    </row>
    <row r="30" spans="1:5" x14ac:dyDescent="0.3">
      <c r="B30" s="2">
        <v>7</v>
      </c>
      <c r="C30" s="35" t="s">
        <v>99</v>
      </c>
      <c r="D30" s="45">
        <f>+D146</f>
        <v>48930</v>
      </c>
      <c r="E30" s="59">
        <f t="shared" si="0"/>
        <v>161750</v>
      </c>
    </row>
    <row r="31" spans="1:5" x14ac:dyDescent="0.3">
      <c r="B31" s="2">
        <v>8</v>
      </c>
      <c r="C31" s="35" t="s">
        <v>100</v>
      </c>
      <c r="D31" s="45">
        <f>+D154</f>
        <v>67430</v>
      </c>
      <c r="E31" s="59">
        <f t="shared" si="0"/>
        <v>222910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352430</v>
      </c>
      <c r="E33" s="60">
        <f t="shared" si="0"/>
        <v>1165060</v>
      </c>
    </row>
    <row r="34" spans="1:7" x14ac:dyDescent="0.3">
      <c r="C34" s="35" t="s">
        <v>112</v>
      </c>
      <c r="D34" s="44">
        <f>SUM(D24:D33)</f>
        <v>1634000</v>
      </c>
      <c r="E34" s="44">
        <f>SUM(E24:E33)</f>
        <v>5401640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TRUNC(39831,-1)</f>
        <v>39830</v>
      </c>
      <c r="E40" s="62">
        <f t="shared" ref="E40:E59" si="1">TRUNC(+D40*3.3058,-1)</f>
        <v>131670</v>
      </c>
    </row>
    <row r="41" spans="1:7" x14ac:dyDescent="0.3">
      <c r="A41" s="2">
        <v>2</v>
      </c>
      <c r="C41" s="38" t="s">
        <v>13</v>
      </c>
      <c r="D41" s="42">
        <f>TRUNC(136178,-1)</f>
        <v>136170</v>
      </c>
      <c r="E41" s="63">
        <f t="shared" si="1"/>
        <v>450150</v>
      </c>
    </row>
    <row r="42" spans="1:7" x14ac:dyDescent="0.3">
      <c r="A42" s="2">
        <v>3</v>
      </c>
      <c r="C42" s="38" t="s">
        <v>14</v>
      </c>
      <c r="D42" s="42">
        <f>TRUNC(7225,-1)</f>
        <v>7220</v>
      </c>
      <c r="E42" s="63">
        <f t="shared" si="1"/>
        <v>23860</v>
      </c>
    </row>
    <row r="43" spans="1:7" x14ac:dyDescent="0.3">
      <c r="A43" s="2">
        <v>4</v>
      </c>
      <c r="C43" s="38" t="s">
        <v>16</v>
      </c>
      <c r="D43" s="42">
        <f>TRUNC(29931,-1)</f>
        <v>29930</v>
      </c>
      <c r="E43" s="63">
        <f t="shared" si="1"/>
        <v>98940</v>
      </c>
    </row>
    <row r="44" spans="1:7" x14ac:dyDescent="0.3">
      <c r="A44" s="2">
        <v>5</v>
      </c>
      <c r="C44" s="38" t="s">
        <v>17</v>
      </c>
      <c r="D44" s="42">
        <f>TRUNC(9920,-1)</f>
        <v>9920</v>
      </c>
      <c r="E44" s="63">
        <f t="shared" si="1"/>
        <v>32790</v>
      </c>
    </row>
    <row r="45" spans="1:7" x14ac:dyDescent="0.3">
      <c r="A45" s="2">
        <v>6</v>
      </c>
      <c r="C45" s="38" t="s">
        <v>18</v>
      </c>
      <c r="D45" s="42">
        <f>TRUNC(6196,-1)</f>
        <v>6190</v>
      </c>
      <c r="E45" s="63">
        <f t="shared" si="1"/>
        <v>20460</v>
      </c>
    </row>
    <row r="46" spans="1:7" x14ac:dyDescent="0.3">
      <c r="A46" s="2">
        <v>7</v>
      </c>
      <c r="C46" s="38" t="s">
        <v>19</v>
      </c>
      <c r="D46" s="42">
        <f>TRUNC(19441,-1)</f>
        <v>19440</v>
      </c>
      <c r="E46" s="63">
        <f t="shared" si="1"/>
        <v>64260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TRUNC(63887,-1)</f>
        <v>63880</v>
      </c>
      <c r="E48" s="63">
        <f t="shared" si="1"/>
        <v>211170</v>
      </c>
      <c r="F48" s="2" t="s">
        <v>260</v>
      </c>
    </row>
    <row r="49" spans="1:7" x14ac:dyDescent="0.3">
      <c r="A49" s="2">
        <v>10</v>
      </c>
      <c r="C49" s="38" t="s">
        <v>22</v>
      </c>
      <c r="D49" s="42">
        <f>TRUNC(16258,-1)</f>
        <v>16250</v>
      </c>
      <c r="E49" s="63">
        <f t="shared" si="1"/>
        <v>53710</v>
      </c>
    </row>
    <row r="50" spans="1:7" x14ac:dyDescent="0.3">
      <c r="A50" s="2">
        <v>11</v>
      </c>
      <c r="C50" s="38" t="s">
        <v>155</v>
      </c>
      <c r="D50" s="42">
        <f>TRUNC(51293,-1)</f>
        <v>51290</v>
      </c>
      <c r="E50" s="63">
        <f t="shared" si="1"/>
        <v>169550</v>
      </c>
      <c r="F50" s="2" t="s">
        <v>261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TRUNC(7349,-1)</f>
        <v>7340</v>
      </c>
      <c r="E52" s="63">
        <f t="shared" si="1"/>
        <v>24260</v>
      </c>
    </row>
    <row r="53" spans="1:7" x14ac:dyDescent="0.3">
      <c r="A53" s="2">
        <v>14</v>
      </c>
      <c r="C53" s="38" t="s">
        <v>25</v>
      </c>
      <c r="D53" s="42">
        <f>TRUNC(94005,-1)</f>
        <v>94000</v>
      </c>
      <c r="E53" s="63">
        <f t="shared" si="1"/>
        <v>310740</v>
      </c>
      <c r="F53" s="2" t="s">
        <v>262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TRUNC(6624+3723-736+1047+8660,-1)</f>
        <v>19310</v>
      </c>
      <c r="E58" s="63">
        <f t="shared" si="1"/>
        <v>63830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TRUNC(257761,-1)</f>
        <v>257760</v>
      </c>
      <c r="E59" s="64">
        <f t="shared" si="1"/>
        <v>852100</v>
      </c>
    </row>
    <row r="60" spans="1:7" x14ac:dyDescent="0.3">
      <c r="A60" s="2">
        <v>21</v>
      </c>
      <c r="C60" s="27" t="s">
        <v>112</v>
      </c>
      <c r="D60" s="39">
        <f>SUM(D40:D59)</f>
        <v>758530</v>
      </c>
      <c r="E60" s="39">
        <f>SUM(E40:E59)</f>
        <v>2507490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TRUNC(7760,-1)</f>
        <v>7760</v>
      </c>
      <c r="E63" s="62">
        <f>TRUNC(+D63*3.3058,-1)</f>
        <v>25650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7760</v>
      </c>
      <c r="E66" s="65">
        <f>SUM(E63:E65)</f>
        <v>25650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TRUNC(6884,-1)</f>
        <v>6880</v>
      </c>
      <c r="E69" s="62">
        <f t="shared" ref="E69:E94" si="2">TRUNC(+D69*3.3058,-1)</f>
        <v>22740</v>
      </c>
    </row>
    <row r="70" spans="1:7" ht="16.5" customHeight="1" x14ac:dyDescent="0.3">
      <c r="A70" s="2">
        <v>2</v>
      </c>
      <c r="C70" s="38" t="s">
        <v>31</v>
      </c>
      <c r="D70" s="42">
        <f>TRUNC(1553,-1)</f>
        <v>1550</v>
      </c>
      <c r="E70" s="63">
        <f t="shared" si="2"/>
        <v>5120</v>
      </c>
    </row>
    <row r="71" spans="1:7" x14ac:dyDescent="0.3">
      <c r="A71" s="2">
        <v>3</v>
      </c>
      <c r="C71" s="38" t="s">
        <v>32</v>
      </c>
      <c r="D71" s="42">
        <f>TRUNC(6099,-1)</f>
        <v>6090</v>
      </c>
      <c r="E71" s="63">
        <f t="shared" si="2"/>
        <v>20130</v>
      </c>
    </row>
    <row r="72" spans="1:7" x14ac:dyDescent="0.3">
      <c r="A72" s="2">
        <v>4</v>
      </c>
      <c r="C72" s="38" t="s">
        <v>33</v>
      </c>
      <c r="D72" s="42">
        <f>TRUNC(4504,-1)</f>
        <v>4500</v>
      </c>
      <c r="E72" s="63">
        <f t="shared" si="2"/>
        <v>14870</v>
      </c>
    </row>
    <row r="73" spans="1:7" x14ac:dyDescent="0.3">
      <c r="A73" s="2">
        <v>5</v>
      </c>
      <c r="C73" s="38" t="s">
        <v>34</v>
      </c>
      <c r="D73" s="42">
        <f>TRUNC(14877,-1)</f>
        <v>14870</v>
      </c>
      <c r="E73" s="63">
        <f t="shared" si="2"/>
        <v>49150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TRUNC(19287,-1)</f>
        <v>19280</v>
      </c>
      <c r="E76" s="63">
        <f t="shared" si="2"/>
        <v>63730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TRUNC(8820,-1)</f>
        <v>8820</v>
      </c>
      <c r="E89" s="63">
        <f t="shared" si="2"/>
        <v>29150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TRUNC(4900,-1)</f>
        <v>4900</v>
      </c>
      <c r="E91" s="63">
        <f t="shared" si="2"/>
        <v>16190</v>
      </c>
    </row>
    <row r="92" spans="1:7" x14ac:dyDescent="0.3">
      <c r="A92" s="2">
        <v>24</v>
      </c>
      <c r="C92" s="38" t="s">
        <v>38</v>
      </c>
      <c r="D92" s="42">
        <f>TRUNC(13190,-1)</f>
        <v>13190</v>
      </c>
      <c r="E92" s="63">
        <f t="shared" si="2"/>
        <v>43600</v>
      </c>
    </row>
    <row r="93" spans="1:7" x14ac:dyDescent="0.3">
      <c r="A93" s="2">
        <v>25</v>
      </c>
      <c r="C93" s="38" t="s">
        <v>148</v>
      </c>
      <c r="D93" s="42">
        <f>TRUNC(127426,-1)</f>
        <v>127420</v>
      </c>
      <c r="E93" s="63">
        <f t="shared" si="2"/>
        <v>421220</v>
      </c>
    </row>
    <row r="94" spans="1:7" ht="17.25" thickBot="1" x14ac:dyDescent="0.35">
      <c r="A94" s="2">
        <v>26</v>
      </c>
      <c r="C94" s="38" t="s">
        <v>47</v>
      </c>
      <c r="D94" s="43">
        <f>TRUNC(389+2365+3608,-1)</f>
        <v>6360</v>
      </c>
      <c r="E94" s="64">
        <f t="shared" si="2"/>
        <v>21020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213860</v>
      </c>
      <c r="E95" s="39">
        <f>SUM(E69:E94)</f>
        <v>706920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TRUNC(6408,-1)</f>
        <v>6400</v>
      </c>
      <c r="E98" s="62">
        <f t="shared" ref="E98:E118" si="3">TRUNC(+D98*3.3058,-1)</f>
        <v>21150</v>
      </c>
    </row>
    <row r="99" spans="1:7" x14ac:dyDescent="0.3">
      <c r="A99" s="2">
        <v>2</v>
      </c>
      <c r="C99" s="38" t="s">
        <v>40</v>
      </c>
      <c r="D99" s="42">
        <f>TRUNC(2845,-1)</f>
        <v>2840</v>
      </c>
      <c r="E99" s="63">
        <f t="shared" si="3"/>
        <v>9380</v>
      </c>
    </row>
    <row r="100" spans="1:7" x14ac:dyDescent="0.3">
      <c r="A100" s="2">
        <v>3</v>
      </c>
      <c r="C100" s="38" t="s">
        <v>41</v>
      </c>
      <c r="D100" s="42">
        <f>TRUNC(25702,-1)</f>
        <v>25700</v>
      </c>
      <c r="E100" s="63">
        <f t="shared" si="3"/>
        <v>84950</v>
      </c>
    </row>
    <row r="101" spans="1:7" x14ac:dyDescent="0.3">
      <c r="A101" s="2">
        <v>4</v>
      </c>
      <c r="C101" s="38" t="s">
        <v>42</v>
      </c>
      <c r="D101" s="42">
        <f>TRUNC(1558,-1)</f>
        <v>1550</v>
      </c>
      <c r="E101" s="63">
        <f t="shared" si="3"/>
        <v>5120</v>
      </c>
    </row>
    <row r="102" spans="1:7" x14ac:dyDescent="0.3">
      <c r="A102" s="2">
        <v>5</v>
      </c>
      <c r="C102" s="38" t="s">
        <v>43</v>
      </c>
      <c r="D102" s="42">
        <f>TRUNC(14936,-1)</f>
        <v>14930</v>
      </c>
      <c r="E102" s="63">
        <f t="shared" si="3"/>
        <v>49350</v>
      </c>
    </row>
    <row r="103" spans="1:7" x14ac:dyDescent="0.3">
      <c r="A103" s="2">
        <v>6</v>
      </c>
      <c r="C103" s="38" t="s">
        <v>44</v>
      </c>
      <c r="D103" s="42">
        <f>TRUNC(8880,-1)</f>
        <v>8880</v>
      </c>
      <c r="E103" s="63">
        <f t="shared" si="3"/>
        <v>29350</v>
      </c>
    </row>
    <row r="104" spans="1:7" x14ac:dyDescent="0.3">
      <c r="A104" s="2">
        <v>7</v>
      </c>
      <c r="C104" s="38" t="s">
        <v>45</v>
      </c>
      <c r="D104" s="42">
        <f>TRUNC(2043,-1)</f>
        <v>2040</v>
      </c>
      <c r="E104" s="63">
        <f t="shared" si="3"/>
        <v>6740</v>
      </c>
    </row>
    <row r="105" spans="1:7" x14ac:dyDescent="0.3">
      <c r="A105" s="2">
        <v>8</v>
      </c>
      <c r="C105" s="38" t="s">
        <v>46</v>
      </c>
      <c r="D105" s="42">
        <f>TRUNC(9692,-1)</f>
        <v>9690</v>
      </c>
      <c r="E105" s="63">
        <f t="shared" si="3"/>
        <v>32030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TRUNC(3591,-1)</f>
        <v>3590</v>
      </c>
      <c r="E114" s="63">
        <f t="shared" si="3"/>
        <v>11860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TRUNC(1938,-1)</f>
        <v>1930</v>
      </c>
      <c r="E116" s="63">
        <f t="shared" si="3"/>
        <v>6380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TRUNC(75097,-1)</f>
        <v>75090</v>
      </c>
      <c r="E117" s="63">
        <f t="shared" si="3"/>
        <v>248230</v>
      </c>
    </row>
    <row r="118" spans="1:7" ht="17.25" thickBot="1" x14ac:dyDescent="0.35">
      <c r="A118" s="2">
        <v>21</v>
      </c>
      <c r="C118" s="38" t="s">
        <v>47</v>
      </c>
      <c r="D118" s="43">
        <f>TRUNC(1406,-1)</f>
        <v>1400</v>
      </c>
      <c r="E118" s="64">
        <f t="shared" si="3"/>
        <v>4620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154040</v>
      </c>
      <c r="E119" s="39">
        <f>SUM(E98:E118)</f>
        <v>509160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TRUNC(1058,-1)</f>
        <v>1050</v>
      </c>
      <c r="E124" s="63">
        <f t="shared" si="4"/>
        <v>3470</v>
      </c>
    </row>
    <row r="125" spans="1:7" x14ac:dyDescent="0.3">
      <c r="A125" s="2">
        <v>4</v>
      </c>
      <c r="C125" s="38" t="s">
        <v>138</v>
      </c>
      <c r="D125" s="42">
        <f>TRUNC(7772,-1)</f>
        <v>7770</v>
      </c>
      <c r="E125" s="63">
        <f t="shared" si="4"/>
        <v>25680</v>
      </c>
    </row>
    <row r="126" spans="1:7" x14ac:dyDescent="0.3">
      <c r="A126" s="2">
        <v>5</v>
      </c>
      <c r="C126" s="38" t="s">
        <v>53</v>
      </c>
      <c r="D126" s="42">
        <f>TRUNC(1695,-1)</f>
        <v>1690</v>
      </c>
      <c r="E126" s="63">
        <f t="shared" si="4"/>
        <v>5580</v>
      </c>
    </row>
    <row r="127" spans="1:7" x14ac:dyDescent="0.3">
      <c r="A127" s="2">
        <v>6</v>
      </c>
      <c r="C127" s="38" t="s">
        <v>56</v>
      </c>
      <c r="D127" s="42">
        <f>TRUNC(539,-1)</f>
        <v>530</v>
      </c>
      <c r="E127" s="63">
        <f t="shared" si="4"/>
        <v>1750</v>
      </c>
    </row>
    <row r="128" spans="1:7" x14ac:dyDescent="0.3">
      <c r="A128" s="2">
        <v>7</v>
      </c>
      <c r="C128" s="38" t="s">
        <v>46</v>
      </c>
      <c r="D128" s="42">
        <f>TRUNC(5796,-1)</f>
        <v>5790</v>
      </c>
      <c r="E128" s="63">
        <f t="shared" si="4"/>
        <v>19140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TRUNC(11249,-1)</f>
        <v>11240</v>
      </c>
      <c r="E131" s="63">
        <f t="shared" si="4"/>
        <v>37150</v>
      </c>
    </row>
    <row r="132" spans="1:7" ht="18" thickBot="1" x14ac:dyDescent="0.35">
      <c r="A132" s="2">
        <v>11</v>
      </c>
      <c r="C132" s="38" t="s">
        <v>47</v>
      </c>
      <c r="D132" s="43">
        <f>TRUNC(2884+67,-1)</f>
        <v>2950</v>
      </c>
      <c r="E132" s="64">
        <f t="shared" si="4"/>
        <v>9750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31020</v>
      </c>
      <c r="E133" s="39">
        <f>SUM(E122:E132)</f>
        <v>102520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TRUNC(829+1131,-1)</f>
        <v>1960</v>
      </c>
      <c r="E137" s="63">
        <f t="shared" si="5"/>
        <v>6470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TRUNC(2446,-1)</f>
        <v>2440</v>
      </c>
      <c r="E139" s="63">
        <f t="shared" si="5"/>
        <v>8060</v>
      </c>
    </row>
    <row r="140" spans="1:7" x14ac:dyDescent="0.3">
      <c r="A140" s="2">
        <v>5</v>
      </c>
      <c r="C140" s="38" t="s">
        <v>57</v>
      </c>
      <c r="D140" s="42">
        <f>TRUNC(1678,-1)</f>
        <v>1670</v>
      </c>
      <c r="E140" s="63">
        <f t="shared" si="5"/>
        <v>5520</v>
      </c>
    </row>
    <row r="141" spans="1:7" x14ac:dyDescent="0.3">
      <c r="A141" s="2">
        <v>6</v>
      </c>
      <c r="C141" s="38" t="s">
        <v>59</v>
      </c>
      <c r="D141" s="42">
        <f>TRUNC(10652,-1)</f>
        <v>10650</v>
      </c>
      <c r="E141" s="63">
        <f t="shared" si="5"/>
        <v>35200</v>
      </c>
    </row>
    <row r="142" spans="1:7" x14ac:dyDescent="0.3">
      <c r="A142" s="2">
        <v>7</v>
      </c>
      <c r="C142" s="38" t="s">
        <v>58</v>
      </c>
      <c r="D142" s="42">
        <f>TRUNC(10749,-1)</f>
        <v>10740</v>
      </c>
      <c r="E142" s="63">
        <f t="shared" si="5"/>
        <v>35500</v>
      </c>
    </row>
    <row r="143" spans="1:7" x14ac:dyDescent="0.3">
      <c r="A143" s="2">
        <v>8</v>
      </c>
      <c r="C143" s="38" t="s">
        <v>62</v>
      </c>
      <c r="D143" s="42">
        <f>TRUNC(4732,-1)</f>
        <v>4730</v>
      </c>
      <c r="E143" s="63">
        <f t="shared" si="5"/>
        <v>15630</v>
      </c>
    </row>
    <row r="144" spans="1:7" x14ac:dyDescent="0.3">
      <c r="A144" s="2">
        <v>9</v>
      </c>
      <c r="C144" s="38" t="s">
        <v>63</v>
      </c>
      <c r="D144" s="42">
        <f>TRUNC(16747,-1)</f>
        <v>16740</v>
      </c>
      <c r="E144" s="63">
        <f t="shared" si="5"/>
        <v>55330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48930</v>
      </c>
      <c r="E146" s="39">
        <f>SUM(E136:E145)</f>
        <v>161710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TRUNC(6721+2123,-1)</f>
        <v>8840</v>
      </c>
      <c r="E149" s="62">
        <f>TRUNC(+D149*3.3058,-1)</f>
        <v>29220</v>
      </c>
      <c r="F149" s="2" t="s">
        <v>251</v>
      </c>
    </row>
    <row r="150" spans="1:7" x14ac:dyDescent="0.3">
      <c r="A150" s="2">
        <v>2</v>
      </c>
      <c r="C150" s="38" t="s">
        <v>49</v>
      </c>
      <c r="D150" s="42">
        <f>TRUNC(11665,-1)</f>
        <v>11660</v>
      </c>
      <c r="E150" s="63">
        <f>TRUNC(+D150*3.3058,-1)</f>
        <v>38540</v>
      </c>
    </row>
    <row r="151" spans="1:7" x14ac:dyDescent="0.3">
      <c r="A151" s="2">
        <v>3</v>
      </c>
      <c r="C151" s="38" t="s">
        <v>50</v>
      </c>
      <c r="D151" s="42">
        <f>TRUNC(13079,-1)</f>
        <v>13070</v>
      </c>
      <c r="E151" s="63">
        <f>TRUNC(+D151*3.3058,-1)</f>
        <v>43200</v>
      </c>
    </row>
    <row r="152" spans="1:7" x14ac:dyDescent="0.3">
      <c r="A152" s="2">
        <v>4</v>
      </c>
      <c r="C152" s="38" t="s">
        <v>47</v>
      </c>
      <c r="D152" s="42">
        <f>TRUNC(2220+137+2997,-1)</f>
        <v>5350</v>
      </c>
      <c r="E152" s="63">
        <f>TRUNC(+D152*3.3058,-1)</f>
        <v>17680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TRUNC(28511,-1)</f>
        <v>28510</v>
      </c>
      <c r="E153" s="64">
        <f>TRUNC(+D153*3.3058,-1)</f>
        <v>94240</v>
      </c>
    </row>
    <row r="154" spans="1:7" x14ac:dyDescent="0.3">
      <c r="A154" s="2">
        <v>6</v>
      </c>
      <c r="C154" s="27" t="s">
        <v>112</v>
      </c>
      <c r="D154" s="39">
        <f>SUM(D149:D153)</f>
        <v>67430</v>
      </c>
      <c r="E154" s="39">
        <f>SUM(E149:E153)</f>
        <v>222880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2020-12-08T03:58:54Z</dcterms:modified>
</cp:coreProperties>
</file>