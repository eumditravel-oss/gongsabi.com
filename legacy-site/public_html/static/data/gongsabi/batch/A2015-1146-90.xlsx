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45" i="4"/>
  <c r="E144" i="4"/>
  <c r="E139" i="4"/>
  <c r="E138" i="4"/>
  <c r="E136" i="4"/>
  <c r="E131" i="4"/>
  <c r="E129" i="4"/>
  <c r="E127" i="4"/>
  <c r="E126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88" i="4"/>
  <c r="E87" i="4"/>
  <c r="E86" i="4"/>
  <c r="E85" i="4"/>
  <c r="E83" i="4"/>
  <c r="E82" i="4"/>
  <c r="E81" i="4"/>
  <c r="E80" i="4"/>
  <c r="E79" i="4"/>
  <c r="E78" i="4"/>
  <c r="E77" i="4"/>
  <c r="E75" i="4"/>
  <c r="E74" i="4"/>
  <c r="E65" i="4"/>
  <c r="E64" i="4"/>
  <c r="E57" i="4"/>
  <c r="E56" i="4"/>
  <c r="E55" i="4"/>
  <c r="E54" i="4"/>
  <c r="E51" i="4"/>
  <c r="E47" i="4"/>
  <c r="E37" i="4"/>
  <c r="E161" i="4" l="1"/>
  <c r="D161" i="4"/>
  <c r="D32" i="4" s="1"/>
  <c r="E32" i="4" s="1"/>
  <c r="D153" i="4"/>
  <c r="E153" i="4" s="1"/>
  <c r="D152" i="4"/>
  <c r="E152" i="4" s="1"/>
  <c r="D151" i="4"/>
  <c r="E151" i="4" s="1"/>
  <c r="D150" i="4"/>
  <c r="D149" i="4"/>
  <c r="E149" i="4" s="1"/>
  <c r="D143" i="4"/>
  <c r="E143" i="4" s="1"/>
  <c r="D142" i="4"/>
  <c r="E142" i="4" s="1"/>
  <c r="D141" i="4"/>
  <c r="E141" i="4" s="1"/>
  <c r="D140" i="4"/>
  <c r="D137" i="4"/>
  <c r="E137" i="4" s="1"/>
  <c r="D132" i="4"/>
  <c r="E132" i="4" s="1"/>
  <c r="D130" i="4"/>
  <c r="E130" i="4" s="1"/>
  <c r="D128" i="4"/>
  <c r="E128" i="4" s="1"/>
  <c r="D125" i="4"/>
  <c r="D118" i="4"/>
  <c r="E118" i="4" s="1"/>
  <c r="D117" i="4"/>
  <c r="E117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84" i="4"/>
  <c r="E84" i="4" s="1"/>
  <c r="D76" i="4"/>
  <c r="E76" i="4" s="1"/>
  <c r="D73" i="4"/>
  <c r="E73" i="4" s="1"/>
  <c r="D72" i="4"/>
  <c r="E72" i="4" s="1"/>
  <c r="D71" i="4"/>
  <c r="E71" i="4" s="1"/>
  <c r="D70" i="4"/>
  <c r="D69" i="4"/>
  <c r="E69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D95" i="4" l="1"/>
  <c r="D27" i="4" s="1"/>
  <c r="E27" i="4" s="1"/>
  <c r="E70" i="4"/>
  <c r="E95" i="4" s="1"/>
  <c r="D119" i="4"/>
  <c r="D28" i="4" s="1"/>
  <c r="E28" i="4" s="1"/>
  <c r="E98" i="4"/>
  <c r="E119" i="4" s="1"/>
  <c r="D154" i="4"/>
  <c r="D31" i="4" s="1"/>
  <c r="E31" i="4" s="1"/>
  <c r="E150" i="4"/>
  <c r="E154" i="4" s="1"/>
  <c r="D66" i="4"/>
  <c r="D26" i="4" s="1"/>
  <c r="E26" i="4" s="1"/>
  <c r="D133" i="4"/>
  <c r="D29" i="4" s="1"/>
  <c r="E29" i="4" s="1"/>
  <c r="E125" i="4"/>
  <c r="E133" i="4" s="1"/>
  <c r="D60" i="4"/>
  <c r="D25" i="4" s="1"/>
  <c r="E40" i="4"/>
  <c r="E60" i="4" s="1"/>
  <c r="D146" i="4"/>
  <c r="D30" i="4" s="1"/>
  <c r="E30" i="4" s="1"/>
  <c r="E140" i="4"/>
  <c r="E146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25" i="4"/>
  <c r="D34" i="4" l="1"/>
  <c r="E34" i="4"/>
</calcChain>
</file>

<file path=xl/sharedStrings.xml><?xml version="1.0" encoding="utf-8"?>
<sst xmlns="http://schemas.openxmlformats.org/spreadsheetml/2006/main" count="395" uniqueCount="266">
  <si>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</si>
  <si>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</si>
  <si>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</si>
  <si>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</si>
  <si>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</si>
  <si>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</si>
  <si>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</si>
  <si>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</si>
  <si>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</si>
  <si>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</si>
  <si>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</si>
  <si>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</si>
  <si>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</si>
  <si>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</si>
  <si>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</si>
  <si>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</si>
  <si>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</si>
  <si>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</si>
  <si>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</si>
  <si>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</si>
  <si>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</si>
  <si>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</si>
  <si>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</si>
  <si>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</si>
  <si>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</si>
  <si>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</si>
  <si>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</si>
  <si>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</si>
  <si>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</si>
  <si>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</si>
  <si>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</si>
  <si>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</si>
  <si>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</si>
  <si>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</si>
  <si>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</si>
  <si>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</si>
  <si>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</si>
  <si>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</si>
  <si>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</si>
  <si>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</si>
  <si>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</si>
  <si>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</si>
  <si>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</si>
  <si>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</si>
  <si>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</si>
  <si>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</si>
  <si>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</si>
  <si>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</si>
  <si>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</si>
  <si>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</si>
  <si>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</si>
  <si>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</si>
  <si>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</si>
  <si>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</si>
  <si>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</si>
  <si>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</si>
  <si>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</si>
  <si>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</si>
  <si>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</si>
  <si>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</si>
  <si>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</si>
  <si>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</si>
  <si>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</si>
  <si>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</si>
  <si>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</si>
  <si>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</si>
  <si>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</si>
  <si>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</si>
  <si>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</si>
  <si>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</si>
  <si>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</si>
  <si>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</si>
  <si>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</si>
  <si>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</si>
  <si>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</si>
  <si>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</si>
  <si>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</si>
  <si>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</si>
  <si>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</si>
  <si>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</si>
  <si>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</si>
  <si>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</si>
  <si>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</si>
  <si>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</si>
  <si>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</si>
  <si>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</si>
  <si>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</si>
  <si>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</si>
  <si>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</si>
  <si>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</si>
  <si>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</si>
  <si>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</si>
  <si>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</si>
  <si>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</si>
  <si>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</si>
  <si>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</si>
  <si>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</si>
  <si>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</si>
  <si>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</si>
  <si>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</si>
  <si>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</si>
  <si>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</si>
  <si>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</si>
  <si>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</si>
  <si>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</si>
  <si>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</si>
  <si>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</si>
  <si>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</si>
  <si>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</si>
  <si>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</si>
  <si>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</si>
  <si>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</si>
  <si>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</si>
  <si>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</si>
  <si>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</si>
  <si>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</si>
  <si>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</si>
  <si>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</si>
  <si>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</si>
  <si>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</si>
  <si>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</si>
  <si>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</si>
  <si>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</si>
  <si>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</si>
  <si>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</si>
  <si>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</si>
  <si>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</si>
  <si>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</si>
  <si>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</si>
  <si>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</si>
  <si>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</si>
  <si>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</si>
  <si>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</si>
  <si>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</si>
  <si>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</si>
  <si>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</si>
  <si>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</si>
  <si>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</si>
  <si>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</si>
  <si>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</si>
  <si>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</si>
  <si>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</si>
  <si>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</si>
  <si>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</si>
  <si>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</si>
  <si>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</si>
  <si>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</si>
  <si>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</si>
  <si>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</si>
  <si>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</si>
  <si>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</si>
  <si>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</si>
  <si>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</si>
  <si>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</si>
  <si>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</si>
  <si>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</si>
  <si>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</si>
  <si>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</si>
  <si>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</si>
  <si>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</si>
  <si>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</si>
  <si>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</si>
  <si>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</si>
  <si>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</si>
  <si>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</si>
  <si>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</si>
  <si>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</si>
  <si>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</si>
  <si>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</si>
  <si>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</si>
  <si>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</si>
  <si>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</si>
  <si>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</si>
  <si>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</si>
  <si>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</si>
  <si>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</si>
  <si>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</si>
  <si>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</si>
  <si>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</si>
  <si>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</si>
  <si>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</si>
  <si>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</si>
  <si>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</si>
  <si>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</si>
  <si>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</si>
  <si>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</si>
  <si>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</si>
  <si>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</si>
  <si>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</si>
  <si>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</si>
  <si>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</si>
  <si>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</si>
  <si>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</si>
  <si>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</si>
  <si>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</si>
  <si>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</si>
  <si>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</si>
  <si>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</si>
  <si>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</si>
  <si>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</si>
  <si>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</si>
  <si>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</si>
  <si>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</si>
  <si>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</si>
  <si>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</si>
  <si>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</si>
  <si>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</si>
  <si>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</si>
  <si>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</si>
  <si>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</si>
  <si>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</si>
  <si>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</si>
  <si>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</si>
  <si>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</si>
  <si>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</si>
  <si>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</si>
  <si>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</si>
  <si>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</si>
  <si>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</si>
  <si>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</si>
  <si>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</si>
  <si>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</si>
  <si>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</si>
  <si>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</si>
  <si>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</si>
  <si>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</si>
  <si>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</si>
  <si>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</si>
  <si>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</si>
  <si>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</si>
  <si>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</si>
  <si>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</si>
  <si>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</si>
  <si>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</si>
  <si>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</si>
  <si>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</si>
  <si>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</si>
  <si>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</si>
  <si>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</si>
  <si>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</si>
  <si>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</si>
  <si>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</si>
  <si>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</si>
  <si>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</si>
  <si>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</si>
  <si>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 xml:space="preserve"> (가칭)대구포산초등학교 및 유치원 신축공사(장기계속)</t>
  </si>
  <si>
    <t>교육연구</t>
  </si>
  <si>
    <t>대구시</t>
  </si>
  <si>
    <t>평</t>
    <phoneticPr fontId="2" type="noConversion"/>
  </si>
  <si>
    <t>원/ m2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</si>
  <si>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</si>
  <si>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</si>
  <si>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</si>
  <si>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기초공사,골재비및운반비,기타공사</t>
    <phoneticPr fontId="2" type="noConversion"/>
  </si>
  <si>
    <t>공조배관공사,바닥난방공사,기타공사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</si>
  <si>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</si>
  <si>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</si>
  <si>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</t>
    <phoneticPr fontId="2" type="noConversion"/>
  </si>
  <si>
    <t>옥외소화배관공사,펌프실배관공사, 기타공사</t>
    <phoneticPr fontId="2" type="noConversion"/>
  </si>
  <si>
    <t>토목 운반비, 토목 기타공사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</si>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</sst>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18569.47</v>
      </c>
      <c r="D7" s="36">
        <f>+C7/3.3058</f>
        <v>5617.2393974227116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717720</v>
      </c>
      <c r="E25" s="60">
        <f t="shared" si="0"/>
        <v>2372630</v>
      </c>
    </row>
    <row r="26" spans="1:5" x14ac:dyDescent="0.3">
      <c r="B26" s="2">
        <v>3</v>
      </c>
      <c r="C26" s="35" t="s">
        <v>95</v>
      </c>
      <c r="D26" s="45">
        <f>+D66</f>
        <v>3300</v>
      </c>
      <c r="E26" s="60">
        <f t="shared" si="0"/>
        <v>10900</v>
      </c>
    </row>
    <row r="27" spans="1:5" x14ac:dyDescent="0.3">
      <c r="B27" s="2">
        <v>4</v>
      </c>
      <c r="C27" s="35" t="s">
        <v>96</v>
      </c>
      <c r="D27" s="45">
        <f>+D95</f>
        <v>106820</v>
      </c>
      <c r="E27" s="60">
        <f t="shared" si="0"/>
        <v>353120</v>
      </c>
    </row>
    <row r="28" spans="1:5" x14ac:dyDescent="0.3">
      <c r="B28" s="2">
        <v>5</v>
      </c>
      <c r="C28" s="35" t="s">
        <v>97</v>
      </c>
      <c r="D28" s="45">
        <f>+D119</f>
        <v>154940</v>
      </c>
      <c r="E28" s="60">
        <f t="shared" si="0"/>
        <v>512200</v>
      </c>
    </row>
    <row r="29" spans="1:5" x14ac:dyDescent="0.3">
      <c r="B29" s="2">
        <v>6</v>
      </c>
      <c r="C29" s="35" t="s">
        <v>98</v>
      </c>
      <c r="D29" s="45">
        <f>+D133</f>
        <v>49070</v>
      </c>
      <c r="E29" s="60">
        <f t="shared" si="0"/>
        <v>162210</v>
      </c>
    </row>
    <row r="30" spans="1:5" x14ac:dyDescent="0.3">
      <c r="B30" s="2">
        <v>7</v>
      </c>
      <c r="C30" s="35" t="s">
        <v>99</v>
      </c>
      <c r="D30" s="45">
        <f>+D146</f>
        <v>43510</v>
      </c>
      <c r="E30" s="60">
        <f t="shared" si="0"/>
        <v>143830</v>
      </c>
    </row>
    <row r="31" spans="1:5" x14ac:dyDescent="0.3">
      <c r="B31" s="2">
        <v>8</v>
      </c>
      <c r="C31" s="35" t="s">
        <v>100</v>
      </c>
      <c r="D31" s="45">
        <f>+D154</f>
        <v>107520</v>
      </c>
      <c r="E31" s="60">
        <f t="shared" si="0"/>
        <v>355430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325290</v>
      </c>
      <c r="E33" s="61">
        <f t="shared" si="0"/>
        <v>1075340</v>
      </c>
    </row>
    <row r="34" spans="1:7" x14ac:dyDescent="0.3">
      <c r="C34" s="35" t="s">
        <v>112</v>
      </c>
      <c r="D34" s="44">
        <f>SUM(D24:D33)</f>
        <v>1508170</v>
      </c>
      <c r="E34" s="44">
        <f>SUM(E24:E33)</f>
        <v>4985660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260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TRUNC(42644,-1)</f>
        <v>42640</v>
      </c>
      <c r="E40" s="63">
        <f t="shared" ref="E40:E59" si="1">TRUNC(+D40*3.3058,-1)</f>
        <v>140950</v>
      </c>
    </row>
    <row r="41" spans="1:7" x14ac:dyDescent="0.3">
      <c r="A41" s="2">
        <v>2</v>
      </c>
      <c r="C41" s="38" t="s">
        <v>13</v>
      </c>
      <c r="D41" s="42">
        <f>TRUNC(130182,-1)</f>
        <v>130180</v>
      </c>
      <c r="E41" s="64">
        <f t="shared" si="1"/>
        <v>430340</v>
      </c>
    </row>
    <row r="42" spans="1:7" x14ac:dyDescent="0.3">
      <c r="A42" s="2">
        <v>3</v>
      </c>
      <c r="C42" s="38" t="s">
        <v>14</v>
      </c>
      <c r="D42" s="42">
        <f>TRUNC(5876,-1)</f>
        <v>5870</v>
      </c>
      <c r="E42" s="64">
        <f t="shared" si="1"/>
        <v>19400</v>
      </c>
    </row>
    <row r="43" spans="1:7" x14ac:dyDescent="0.3">
      <c r="A43" s="2">
        <v>4</v>
      </c>
      <c r="C43" s="38" t="s">
        <v>16</v>
      </c>
      <c r="D43" s="42">
        <f>TRUNC(20423,-1)</f>
        <v>20420</v>
      </c>
      <c r="E43" s="64">
        <f t="shared" si="1"/>
        <v>67500</v>
      </c>
    </row>
    <row r="44" spans="1:7" x14ac:dyDescent="0.3">
      <c r="A44" s="2">
        <v>5</v>
      </c>
      <c r="C44" s="38" t="s">
        <v>17</v>
      </c>
      <c r="D44" s="42">
        <f>TRUNC(22338,-1)</f>
        <v>22330</v>
      </c>
      <c r="E44" s="64">
        <f t="shared" si="1"/>
        <v>73810</v>
      </c>
    </row>
    <row r="45" spans="1:7" x14ac:dyDescent="0.3">
      <c r="A45" s="2">
        <v>6</v>
      </c>
      <c r="C45" s="38" t="s">
        <v>18</v>
      </c>
      <c r="D45" s="42">
        <f>TRUNC(8695,-1)</f>
        <v>8690</v>
      </c>
      <c r="E45" s="64">
        <f t="shared" si="1"/>
        <v>28720</v>
      </c>
    </row>
    <row r="46" spans="1:7" x14ac:dyDescent="0.3">
      <c r="A46" s="2">
        <v>7</v>
      </c>
      <c r="C46" s="38" t="s">
        <v>19</v>
      </c>
      <c r="D46" s="42">
        <f>TRUNC(40285,-1)</f>
        <v>40280</v>
      </c>
      <c r="E46" s="64">
        <f t="shared" si="1"/>
        <v>133150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TRUNC(95431,-1)</f>
        <v>95430</v>
      </c>
      <c r="E48" s="64">
        <f t="shared" si="1"/>
        <v>315470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TRUNC(12545,-1)</f>
        <v>12540</v>
      </c>
      <c r="E49" s="64">
        <f t="shared" si="1"/>
        <v>41450</v>
      </c>
    </row>
    <row r="50" spans="1:7" x14ac:dyDescent="0.3">
      <c r="A50" s="2">
        <v>11</v>
      </c>
      <c r="C50" s="38" t="s">
        <v>155</v>
      </c>
      <c r="D50" s="42">
        <f>TRUNC(48685,-1)</f>
        <v>48680</v>
      </c>
      <c r="E50" s="64">
        <f t="shared" si="1"/>
        <v>160920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TRUNC(8509,-1)</f>
        <v>8500</v>
      </c>
      <c r="E52" s="64">
        <f t="shared" si="1"/>
        <v>28090</v>
      </c>
    </row>
    <row r="53" spans="1:7" x14ac:dyDescent="0.3">
      <c r="A53" s="2">
        <v>14</v>
      </c>
      <c r="C53" s="38" t="s">
        <v>25</v>
      </c>
      <c r="D53" s="42">
        <f>TRUNC(72196,-1)</f>
        <v>72190</v>
      </c>
      <c r="E53" s="64">
        <f t="shared" si="1"/>
        <v>238640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TRUNC(10869+3591+10854,-1)</f>
        <v>25310</v>
      </c>
      <c r="E58" s="64">
        <f t="shared" si="1"/>
        <v>83660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TRUNC(184665,-1)</f>
        <v>184660</v>
      </c>
      <c r="E59" s="65">
        <f t="shared" si="1"/>
        <v>610440</v>
      </c>
    </row>
    <row r="60" spans="1:7" x14ac:dyDescent="0.3">
      <c r="A60" s="2">
        <v>21</v>
      </c>
      <c r="C60" s="27" t="s">
        <v>112</v>
      </c>
      <c r="D60" s="39">
        <f>SUM(D40:D59)</f>
        <v>717720</v>
      </c>
      <c r="E60" s="39">
        <f>SUM(E40:E59)</f>
        <v>2372540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260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TRUNC(3308,-1)</f>
        <v>3300</v>
      </c>
      <c r="E63" s="63">
        <f>TRUNC(+D63*3.3058,-1)</f>
        <v>10900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3300</v>
      </c>
      <c r="E66" s="57">
        <f>SUM(E63:E65)</f>
        <v>10900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260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TRUNC(6754,-1)</f>
        <v>6750</v>
      </c>
      <c r="E69" s="63">
        <f t="shared" ref="E69:E94" si="2">TRUNC(+D69*3.3058,-1)</f>
        <v>22310</v>
      </c>
    </row>
    <row r="70" spans="1:7" ht="16.5" customHeight="1" x14ac:dyDescent="0.3">
      <c r="A70" s="2">
        <v>2</v>
      </c>
      <c r="C70" s="38" t="s">
        <v>31</v>
      </c>
      <c r="D70" s="42">
        <f>TRUNC(1059,-1)</f>
        <v>1050</v>
      </c>
      <c r="E70" s="64">
        <f t="shared" si="2"/>
        <v>3470</v>
      </c>
    </row>
    <row r="71" spans="1:7" x14ac:dyDescent="0.3">
      <c r="A71" s="2">
        <v>3</v>
      </c>
      <c r="C71" s="38" t="s">
        <v>32</v>
      </c>
      <c r="D71" s="42">
        <f>TRUNC(4149,-1)</f>
        <v>4140</v>
      </c>
      <c r="E71" s="64">
        <f t="shared" si="2"/>
        <v>13680</v>
      </c>
    </row>
    <row r="72" spans="1:7" x14ac:dyDescent="0.3">
      <c r="A72" s="2">
        <v>4</v>
      </c>
      <c r="C72" s="38" t="s">
        <v>33</v>
      </c>
      <c r="D72" s="42">
        <f>TRUNC(3337,-1)</f>
        <v>3330</v>
      </c>
      <c r="E72" s="64">
        <f t="shared" si="2"/>
        <v>11000</v>
      </c>
    </row>
    <row r="73" spans="1:7" x14ac:dyDescent="0.3">
      <c r="A73" s="2">
        <v>5</v>
      </c>
      <c r="C73" s="38" t="s">
        <v>34</v>
      </c>
      <c r="D73" s="42">
        <f>TRUNC(16835,-1)</f>
        <v>16830</v>
      </c>
      <c r="E73" s="64">
        <f t="shared" si="2"/>
        <v>55630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TRUNC(25335,-1)</f>
        <v>25330</v>
      </c>
      <c r="E76" s="64">
        <f t="shared" si="2"/>
        <v>83730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TRUNC(4936,-1)</f>
        <v>4930</v>
      </c>
      <c r="E84" s="64">
        <f t="shared" si="2"/>
        <v>16290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TRUNC(7112,-1)</f>
        <v>7110</v>
      </c>
      <c r="E89" s="64">
        <f t="shared" si="2"/>
        <v>23500</v>
      </c>
    </row>
    <row r="90" spans="1:7" x14ac:dyDescent="0.3">
      <c r="A90" s="2">
        <v>22</v>
      </c>
      <c r="C90" s="38" t="s">
        <v>36</v>
      </c>
      <c r="D90" s="42">
        <f>TRUNC(554,-1)</f>
        <v>550</v>
      </c>
      <c r="E90" s="64">
        <f t="shared" si="2"/>
        <v>1810</v>
      </c>
    </row>
    <row r="91" spans="1:7" x14ac:dyDescent="0.3">
      <c r="A91" s="2">
        <v>23</v>
      </c>
      <c r="C91" s="38" t="s">
        <v>37</v>
      </c>
      <c r="D91" s="42">
        <f>TRUNC(2619,-1)</f>
        <v>2610</v>
      </c>
      <c r="E91" s="64">
        <f t="shared" si="2"/>
        <v>8620</v>
      </c>
    </row>
    <row r="92" spans="1:7" x14ac:dyDescent="0.3">
      <c r="A92" s="2">
        <v>24</v>
      </c>
      <c r="C92" s="38" t="s">
        <v>38</v>
      </c>
      <c r="D92" s="42">
        <f>TRUNC(12007,-1)</f>
        <v>12000</v>
      </c>
      <c r="E92" s="64">
        <f t="shared" si="2"/>
        <v>39660</v>
      </c>
    </row>
    <row r="93" spans="1:7" x14ac:dyDescent="0.3">
      <c r="A93" s="2">
        <v>25</v>
      </c>
      <c r="C93" s="38" t="s">
        <v>148</v>
      </c>
      <c r="D93" s="42">
        <f>TRUNC(17505,-1)</f>
        <v>17500</v>
      </c>
      <c r="E93" s="64">
        <f t="shared" si="2"/>
        <v>57850</v>
      </c>
    </row>
    <row r="94" spans="1:7" ht="17.25" thickBot="1" x14ac:dyDescent="0.35">
      <c r="A94" s="2">
        <v>26</v>
      </c>
      <c r="C94" s="38" t="s">
        <v>47</v>
      </c>
      <c r="D94" s="43">
        <f>TRUNC(769+37+3885,-1)</f>
        <v>4690</v>
      </c>
      <c r="E94" s="65">
        <f t="shared" si="2"/>
        <v>15500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106820</v>
      </c>
      <c r="E95" s="39">
        <f>SUM(E69:E94)</f>
        <v>353050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260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TRUNC(9033,-1)</f>
        <v>9030</v>
      </c>
      <c r="E98" s="63">
        <f t="shared" ref="E98:E118" si="3">TRUNC(+D98*3.3058,-1)</f>
        <v>29850</v>
      </c>
    </row>
    <row r="99" spans="1:7" x14ac:dyDescent="0.3">
      <c r="A99" s="2">
        <v>2</v>
      </c>
      <c r="C99" s="38" t="s">
        <v>40</v>
      </c>
      <c r="D99" s="42">
        <f>TRUNC(3056,-1)</f>
        <v>3050</v>
      </c>
      <c r="E99" s="64">
        <f t="shared" si="3"/>
        <v>10080</v>
      </c>
    </row>
    <row r="100" spans="1:7" x14ac:dyDescent="0.3">
      <c r="A100" s="2">
        <v>3</v>
      </c>
      <c r="C100" s="38" t="s">
        <v>41</v>
      </c>
      <c r="D100" s="42">
        <f>TRUNC(23786,-1)</f>
        <v>23780</v>
      </c>
      <c r="E100" s="64">
        <f t="shared" si="3"/>
        <v>78610</v>
      </c>
    </row>
    <row r="101" spans="1:7" x14ac:dyDescent="0.3">
      <c r="A101" s="2">
        <v>4</v>
      </c>
      <c r="C101" s="38" t="s">
        <v>42</v>
      </c>
      <c r="D101" s="42">
        <f>TRUNC(1879,-1)</f>
        <v>1870</v>
      </c>
      <c r="E101" s="64">
        <f t="shared" si="3"/>
        <v>6180</v>
      </c>
    </row>
    <row r="102" spans="1:7" x14ac:dyDescent="0.3">
      <c r="A102" s="2">
        <v>5</v>
      </c>
      <c r="C102" s="38" t="s">
        <v>43</v>
      </c>
      <c r="D102" s="42">
        <f>TRUNC(10192,-1)</f>
        <v>10190</v>
      </c>
      <c r="E102" s="64">
        <f t="shared" si="3"/>
        <v>33680</v>
      </c>
    </row>
    <row r="103" spans="1:7" x14ac:dyDescent="0.3">
      <c r="A103" s="2">
        <v>6</v>
      </c>
      <c r="C103" s="38" t="s">
        <v>44</v>
      </c>
      <c r="D103" s="42">
        <f>TRUNC(6628,-1)</f>
        <v>6620</v>
      </c>
      <c r="E103" s="64">
        <f t="shared" si="3"/>
        <v>21880</v>
      </c>
    </row>
    <row r="104" spans="1:7" x14ac:dyDescent="0.3">
      <c r="A104" s="2">
        <v>7</v>
      </c>
      <c r="C104" s="38" t="s">
        <v>45</v>
      </c>
      <c r="D104" s="42">
        <f>TRUNC(1778,-1)</f>
        <v>1770</v>
      </c>
      <c r="E104" s="64">
        <f t="shared" si="3"/>
        <v>5850</v>
      </c>
    </row>
    <row r="105" spans="1:7" x14ac:dyDescent="0.3">
      <c r="A105" s="2">
        <v>8</v>
      </c>
      <c r="C105" s="38" t="s">
        <v>46</v>
      </c>
      <c r="D105" s="42">
        <f>TRUNC(2546,-1)</f>
        <v>2540</v>
      </c>
      <c r="E105" s="64">
        <f t="shared" si="3"/>
        <v>8390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3660</v>
      </c>
      <c r="E114" s="64">
        <f t="shared" si="3"/>
        <v>12090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v>3650</v>
      </c>
      <c r="E116" s="64">
        <f t="shared" si="3"/>
        <v>12060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TRUNC(79626,-1)</f>
        <v>79620</v>
      </c>
      <c r="E117" s="64">
        <f t="shared" si="3"/>
        <v>263200</v>
      </c>
    </row>
    <row r="118" spans="1:7" ht="17.25" thickBot="1" x14ac:dyDescent="0.35">
      <c r="A118" s="2">
        <v>21</v>
      </c>
      <c r="C118" s="38" t="s">
        <v>47</v>
      </c>
      <c r="D118" s="43">
        <f>TRUNC(9163,-1)</f>
        <v>9160</v>
      </c>
      <c r="E118" s="65">
        <f t="shared" si="3"/>
        <v>30280</v>
      </c>
    </row>
    <row r="119" spans="1:7" x14ac:dyDescent="0.3">
      <c r="A119" s="2">
        <v>22</v>
      </c>
      <c r="C119" s="27" t="s">
        <v>112</v>
      </c>
      <c r="D119" s="39">
        <f>SUM(D98:D118)</f>
        <v>154940</v>
      </c>
      <c r="E119" s="39">
        <f>SUM(E98:E118)</f>
        <v>512150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260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TRUNC(9643,-1)</f>
        <v>9640</v>
      </c>
      <c r="E125" s="64">
        <f t="shared" si="4"/>
        <v>31860</v>
      </c>
    </row>
    <row r="126" spans="1:7" x14ac:dyDescent="0.3">
      <c r="A126" s="2">
        <v>5</v>
      </c>
      <c r="C126" s="38" t="s">
        <v>53</v>
      </c>
      <c r="D126" s="42">
        <v>1020</v>
      </c>
      <c r="E126" s="64">
        <f t="shared" si="4"/>
        <v>3370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TRUNC(3853,-1)</f>
        <v>3850</v>
      </c>
      <c r="E128" s="64">
        <f t="shared" si="4"/>
        <v>12720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TRUNC(8612,-1)</f>
        <v>8610</v>
      </c>
      <c r="E130" s="64">
        <f t="shared" si="4"/>
        <v>28460</v>
      </c>
    </row>
    <row r="131" spans="1:7" x14ac:dyDescent="0.3">
      <c r="A131" s="2">
        <v>10</v>
      </c>
      <c r="C131" s="38" t="s">
        <v>148</v>
      </c>
      <c r="D131" s="42">
        <v>21910</v>
      </c>
      <c r="E131" s="64">
        <f t="shared" si="4"/>
        <v>72430</v>
      </c>
    </row>
    <row r="132" spans="1:7" ht="17.25" thickBot="1" x14ac:dyDescent="0.35">
      <c r="A132" s="2">
        <v>11</v>
      </c>
      <c r="C132" s="38" t="s">
        <v>47</v>
      </c>
      <c r="D132" s="43">
        <f>TRUNC(1597+2446,-1)</f>
        <v>4040</v>
      </c>
      <c r="E132" s="65">
        <f t="shared" si="4"/>
        <v>13350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49070</v>
      </c>
      <c r="E133" s="39">
        <f>SUM(E122:E132)</f>
        <v>162190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260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TRUNC(55+5872+7379,-1)</f>
        <v>13300</v>
      </c>
      <c r="E137" s="64">
        <f t="shared" si="5"/>
        <v>43960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TRUNC(1,-1)</f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TRUNC(14643,-1)</f>
        <v>14640</v>
      </c>
      <c r="E141" s="64">
        <f t="shared" si="5"/>
        <v>48390</v>
      </c>
    </row>
    <row r="142" spans="1:7" x14ac:dyDescent="0.3">
      <c r="A142" s="2">
        <v>7</v>
      </c>
      <c r="C142" s="38" t="s">
        <v>58</v>
      </c>
      <c r="D142" s="42">
        <f>TRUNC(7374,-1)</f>
        <v>7370</v>
      </c>
      <c r="E142" s="64">
        <f t="shared" si="5"/>
        <v>24360</v>
      </c>
    </row>
    <row r="143" spans="1:7" x14ac:dyDescent="0.3">
      <c r="A143" s="2">
        <v>8</v>
      </c>
      <c r="C143" s="38" t="s">
        <v>62</v>
      </c>
      <c r="D143" s="42">
        <f>TRUNC(4201,-1)</f>
        <v>4200</v>
      </c>
      <c r="E143" s="64">
        <f t="shared" si="5"/>
        <v>13880</v>
      </c>
    </row>
    <row r="144" spans="1:7" x14ac:dyDescent="0.3">
      <c r="A144" s="2">
        <v>9</v>
      </c>
      <c r="C144" s="38" t="s">
        <v>63</v>
      </c>
      <c r="D144" s="42">
        <v>4000</v>
      </c>
      <c r="E144" s="64">
        <f t="shared" si="5"/>
        <v>13220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43510</v>
      </c>
      <c r="E146" s="39">
        <f>SUM(E136:E145)</f>
        <v>143810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260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TRUNC(4047+1935,-1)</f>
        <v>5980</v>
      </c>
      <c r="E149" s="63">
        <f>TRUNC(+D149*3.3058,-1)</f>
        <v>19760</v>
      </c>
      <c r="F149" s="2" t="s">
        <v>95</v>
      </c>
    </row>
    <row r="150" spans="1:7" x14ac:dyDescent="0.3">
      <c r="A150" s="2">
        <v>2</v>
      </c>
      <c r="C150" s="38" t="s">
        <v>49</v>
      </c>
      <c r="D150" s="42">
        <f>TRUNC(5624,-1)</f>
        <v>5620</v>
      </c>
      <c r="E150" s="64">
        <f>TRUNC(+D150*3.3058,-1)</f>
        <v>18570</v>
      </c>
      <c r="F150" s="2" t="s">
        <v>95</v>
      </c>
    </row>
    <row r="151" spans="1:7" x14ac:dyDescent="0.3">
      <c r="A151" s="2">
        <v>3</v>
      </c>
      <c r="C151" s="38" t="s">
        <v>50</v>
      </c>
      <c r="D151" s="42">
        <f>TRUNC(13156,-1)</f>
        <v>13150</v>
      </c>
      <c r="E151" s="64">
        <f>TRUNC(+D151*3.3058,-1)</f>
        <v>43470</v>
      </c>
      <c r="F151" s="2" t="s">
        <v>95</v>
      </c>
    </row>
    <row r="152" spans="1:7" x14ac:dyDescent="0.3">
      <c r="A152" s="2">
        <v>4</v>
      </c>
      <c r="C152" s="38" t="s">
        <v>47</v>
      </c>
      <c r="D152" s="42">
        <f>TRUNC(185+412,-1)</f>
        <v>590</v>
      </c>
      <c r="E152" s="64">
        <f>TRUNC(+D152*3.3058,-1)</f>
        <v>1950</v>
      </c>
      <c r="F152" s="58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TRUNC(82182,-1)</f>
        <v>82180</v>
      </c>
      <c r="E153" s="65">
        <f>TRUNC(+D153*3.3058,-1)</f>
        <v>271670</v>
      </c>
      <c r="F153" s="2" t="s">
        <v>95</v>
      </c>
    </row>
    <row r="154" spans="1:7" x14ac:dyDescent="0.3">
      <c r="A154" s="2">
        <v>6</v>
      </c>
      <c r="C154" s="27" t="s">
        <v>112</v>
      </c>
      <c r="D154" s="39">
        <f>SUM(D149:D153)</f>
        <v>107520</v>
      </c>
      <c r="E154" s="39">
        <f>SUM(E149:E153)</f>
        <v>355420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260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2020-12-07T09:59:55Z</dcterms:modified>
</cp:coreProperties>
</file>