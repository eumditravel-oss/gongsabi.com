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93" i="4"/>
  <c r="D59" i="4"/>
  <c r="D159" i="4" l="1"/>
  <c r="D157" i="4"/>
  <c r="D152" i="4"/>
  <c r="D150" i="4"/>
  <c r="D149" i="4"/>
  <c r="D144" i="4"/>
  <c r="D143" i="4"/>
  <c r="D140" i="4"/>
  <c r="D130" i="4"/>
  <c r="D122" i="4"/>
  <c r="D118" i="4"/>
  <c r="D104" i="4"/>
  <c r="D100" i="4"/>
  <c r="D99" i="4"/>
  <c r="D98" i="4"/>
  <c r="D94" i="4"/>
  <c r="D92" i="4"/>
  <c r="D89" i="4"/>
  <c r="D73" i="4"/>
  <c r="D71" i="4"/>
  <c r="D70" i="4"/>
  <c r="D63" i="4"/>
  <c r="D53" i="4"/>
  <c r="D52" i="4"/>
  <c r="D50" i="4"/>
  <c r="D49" i="4"/>
  <c r="D48" i="4"/>
  <c r="D46" i="4"/>
  <c r="D45" i="4"/>
  <c r="D44" i="4"/>
  <c r="D43" i="4"/>
  <c r="D42" i="4"/>
  <c r="D41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19" i="4"/>
  <c r="E154" i="4"/>
  <c r="E146" i="4"/>
  <c r="E133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<sst xmlns="http://schemas.openxmlformats.org/spreadsheetml/2006/main" count="386" uniqueCount="261">
  <si>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</si>
  <si>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</si>
  <si>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</si>
  <si>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</si>
  <si>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</si>
  <si>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</si>
  <si>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</si>
  <si>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</si>
  <si>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</si>
  <si>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</si>
  <si>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</si>
  <si>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</si>
  <si>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</si>
  <si>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</si>
  <si>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</si>
  <si>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</si>
  <si>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</si>
  <si>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</si>
  <si>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</si>
  <si>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</si>
  <si>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</si>
  <si>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</si>
  <si>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</si>
  <si>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</si>
  <si>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</si>
  <si>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</si>
  <si>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</si>
  <si>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</si>
  <si>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</si>
  <si>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</si>
  <si>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</si>
  <si>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</si>
  <si>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</si>
  <si>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</si>
  <si>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</si>
  <si>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</si>
  <si>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</si>
  <si>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</si>
  <si>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</si>
  <si>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</si>
  <si>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</si>
  <si>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</si>
  <si>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</si>
  <si>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</si>
  <si>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</si>
  <si>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</si>
  <si>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</si>
  <si>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</si>
  <si>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</si>
  <si>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</si>
  <si>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</si>
  <si>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</si>
  <si>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</si>
  <si>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</si>
  <si>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</si>
  <si>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</si>
  <si>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</si>
  <si>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</si>
  <si>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</si>
  <si>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</si>
  <si>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</si>
  <si>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</si>
  <si>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</si>
  <si>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</si>
  <si>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</si>
  <si>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</si>
  <si>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</si>
  <si>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</si>
  <si>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</si>
  <si>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</si>
  <si>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</si>
  <si>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</si>
  <si>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</si>
  <si>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</si>
  <si>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</si>
  <si>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</si>
  <si>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</si>
  <si>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</si>
  <si>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</si>
  <si>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</si>
  <si>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</si>
  <si>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</si>
  <si>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</si>
  <si>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</si>
  <si>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</si>
  <si>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</si>
  <si>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</si>
  <si>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</si>
  <si>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</si>
  <si>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</si>
  <si>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</si>
  <si>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</si>
  <si>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</si>
  <si>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</si>
  <si>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</si>
  <si>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</si>
  <si>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</si>
  <si>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</si>
  <si>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</si>
  <si>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</si>
  <si>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</si>
  <si>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</si>
  <si>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</si>
  <si>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</si>
  <si>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</si>
  <si>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</si>
  <si>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</si>
  <si>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</si>
  <si>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</si>
  <si>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</si>
  <si>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</si>
  <si>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</si>
  <si>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</si>
  <si>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</si>
  <si>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</si>
  <si>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</si>
  <si>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</si>
  <si>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</si>
  <si>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</si>
  <si>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</si>
  <si>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</si>
  <si>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</si>
  <si>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</si>
  <si>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</si>
  <si>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</si>
  <si>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</si>
  <si>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</si>
  <si>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</si>
  <si>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</si>
  <si>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</si>
  <si>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</si>
  <si>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</si>
  <si>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</si>
  <si>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</si>
  <si>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</si>
  <si>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</si>
  <si>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</si>
  <si>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</si>
  <si>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</si>
  <si>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</si>
  <si>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</si>
  <si>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</si>
  <si>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</si>
  <si>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</si>
  <si>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</si>
  <si>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</si>
  <si>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</si>
  <si>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</si>
  <si>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</si>
  <si>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</si>
  <si>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</si>
  <si>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</si>
  <si>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</si>
  <si>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</si>
  <si>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</si>
  <si>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</si>
  <si>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</si>
  <si>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</si>
  <si>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</si>
  <si>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</si>
  <si>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</si>
  <si>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</si>
  <si>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</si>
  <si>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</si>
  <si>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</si>
  <si>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</si>
  <si>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</si>
  <si>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</si>
  <si>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</si>
  <si>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</si>
  <si>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</si>
  <si>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</si>
  <si>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</si>
  <si>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</si>
  <si>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</si>
  <si>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</si>
  <si>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</si>
  <si>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</si>
  <si>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</si>
  <si>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</si>
  <si>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</si>
  <si>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</si>
  <si>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</si>
  <si>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</si>
  <si>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</si>
  <si>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</si>
  <si>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</si>
  <si>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</si>
  <si>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</si>
  <si>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</si>
  <si>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</si>
  <si>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</si>
  <si>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</si>
  <si>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</si>
  <si>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</si>
  <si>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</si>
  <si>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</si>
  <si>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</si>
  <si>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</si>
  <si>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</si>
  <si>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</si>
  <si>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</si>
  <si>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</si>
  <si>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</si>
  <si>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</si>
  <si>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</si>
  <si>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</si>
  <si>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</si>
  <si>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</si>
  <si>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</si>
  <si>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</si>
  <si>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</si>
  <si>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</si>
  <si>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</si>
  <si>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</si>
  <si>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</si>
  <si>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</si>
  <si>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</si>
  <si>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</si>
  <si>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</si>
  <si>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</si>
  <si>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</si>
  <si>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</si>
  <si>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</si>
  <si>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</si>
  <si>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</si>
  <si>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</si>
  <si>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</si>
  <si>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</si>
  <si>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</si>
  <si>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</si>
  <si>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</si>
  <si>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</si>
  <si>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</si>
  <si>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</si>
  <si>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</si>
  <si>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</si>
  <si>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</si>
  <si>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</si>
  <si>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</si>
  <si>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</si>
  <si>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</si>
  <si>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</si>
  <si>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</si>
  <si>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</si>
  <si>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</si>
  <si>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</si>
  <si>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</si>
  <si>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</si>
  <si>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한반도통일미래센터 제2직원숙소 건립공사</t>
    <phoneticPr fontId="2" type="noConversion"/>
  </si>
  <si>
    <t>숙박</t>
  </si>
  <si>
    <t>목공사및수장공사(인테리어공사 포함)</t>
    <phoneticPr fontId="2" type="noConversion"/>
  </si>
  <si>
    <t>기초공사, 해체및철거공사, 골재비및운반비, 작업부산물, 기타공사</t>
    <phoneticPr fontId="2" type="noConversion"/>
  </si>
  <si>
    <t>난방배관공사, 기타공사</t>
    <phoneticPr fontId="2" type="noConversion"/>
  </si>
  <si>
    <t>CATV 및 TV 설비공사</t>
    <phoneticPr fontId="2" type="noConversion"/>
  </si>
  <si>
    <t>상수도공사, 사급자재비, 운반비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</si>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</sst>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1651.93</v>
      </c>
      <c r="D7" s="36">
        <f>+C7/3.3058</f>
        <v>499.70657632040655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965950</v>
      </c>
      <c r="E25" s="59">
        <f t="shared" si="0"/>
        <v>3193230</v>
      </c>
    </row>
    <row r="26" spans="1:5" x14ac:dyDescent="0.3">
      <c r="B26" s="2">
        <v>3</v>
      </c>
      <c r="C26" s="35" t="s">
        <v>95</v>
      </c>
      <c r="D26" s="45">
        <f>+D66</f>
        <v>9120</v>
      </c>
      <c r="E26" s="59">
        <f t="shared" si="0"/>
        <v>30140</v>
      </c>
    </row>
    <row r="27" spans="1:5" x14ac:dyDescent="0.3">
      <c r="B27" s="2">
        <v>4</v>
      </c>
      <c r="C27" s="35" t="s">
        <v>96</v>
      </c>
      <c r="D27" s="45">
        <f>+D95</f>
        <v>210410</v>
      </c>
      <c r="E27" s="59">
        <f t="shared" si="0"/>
        <v>695570</v>
      </c>
    </row>
    <row r="28" spans="1:5" x14ac:dyDescent="0.3">
      <c r="B28" s="2">
        <v>5</v>
      </c>
      <c r="C28" s="35" t="s">
        <v>97</v>
      </c>
      <c r="D28" s="45">
        <f>+D119</f>
        <v>257580</v>
      </c>
      <c r="E28" s="59">
        <f t="shared" si="0"/>
        <v>851500</v>
      </c>
    </row>
    <row r="29" spans="1:5" x14ac:dyDescent="0.3">
      <c r="B29" s="2">
        <v>6</v>
      </c>
      <c r="C29" s="35" t="s">
        <v>98</v>
      </c>
      <c r="D29" s="45">
        <f>+D133</f>
        <v>60670</v>
      </c>
      <c r="E29" s="59">
        <f t="shared" si="0"/>
        <v>200560</v>
      </c>
    </row>
    <row r="30" spans="1:5" x14ac:dyDescent="0.3">
      <c r="B30" s="2">
        <v>7</v>
      </c>
      <c r="C30" s="35" t="s">
        <v>99</v>
      </c>
      <c r="D30" s="45">
        <f>+D146</f>
        <v>8530</v>
      </c>
      <c r="E30" s="59">
        <f t="shared" si="0"/>
        <v>28190</v>
      </c>
    </row>
    <row r="31" spans="1:5" x14ac:dyDescent="0.3">
      <c r="B31" s="2">
        <v>8</v>
      </c>
      <c r="C31" s="35" t="s">
        <v>100</v>
      </c>
      <c r="D31" s="45">
        <f>+D154</f>
        <v>89670</v>
      </c>
      <c r="E31" s="59">
        <f t="shared" si="0"/>
        <v>296430</v>
      </c>
    </row>
    <row r="32" spans="1:5" x14ac:dyDescent="0.3">
      <c r="B32" s="2">
        <v>9</v>
      </c>
      <c r="C32" s="35" t="s">
        <v>101</v>
      </c>
      <c r="D32" s="45">
        <f>+D161</f>
        <v>21800</v>
      </c>
      <c r="E32" s="59">
        <f t="shared" si="0"/>
        <v>72060</v>
      </c>
    </row>
    <row r="33" spans="1:7" x14ac:dyDescent="0.3">
      <c r="B33" s="2">
        <v>10</v>
      </c>
      <c r="C33" s="35" t="s">
        <v>154</v>
      </c>
      <c r="D33" s="53">
        <f>TRUNC(SUM(D24:D32)*0.275,-1)</f>
        <v>446520</v>
      </c>
      <c r="E33" s="60">
        <f t="shared" si="0"/>
        <v>1476100</v>
      </c>
    </row>
    <row r="34" spans="1:7" x14ac:dyDescent="0.3">
      <c r="C34" s="35" t="s">
        <v>112</v>
      </c>
      <c r="D34" s="44">
        <f>SUM(D24:D33)</f>
        <v>2070250</v>
      </c>
      <c r="E34" s="44">
        <f>SUM(E24:E33)</f>
        <v>6843780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256</v>
      </c>
      <c r="E39" s="67" t="s">
        <v>257</v>
      </c>
      <c r="G39" s="68"/>
    </row>
    <row r="40" spans="1:7" x14ac:dyDescent="0.3">
      <c r="A40" s="2">
        <v>1</v>
      </c>
      <c r="C40" s="38" t="s">
        <v>15</v>
      </c>
      <c r="D40" s="40">
        <v>67840</v>
      </c>
      <c r="E40" s="62">
        <f t="shared" ref="E40:E59" si="1">TRUNC(+D40*3.3058,-1)</f>
        <v>224260</v>
      </c>
    </row>
    <row r="41" spans="1:7" x14ac:dyDescent="0.3">
      <c r="A41" s="2">
        <v>2</v>
      </c>
      <c r="C41" s="38" t="s">
        <v>13</v>
      </c>
      <c r="D41" s="42">
        <f>TRUNC(175547,-1)</f>
        <v>175540</v>
      </c>
      <c r="E41" s="63">
        <f t="shared" si="1"/>
        <v>580300</v>
      </c>
    </row>
    <row r="42" spans="1:7" x14ac:dyDescent="0.3">
      <c r="A42" s="2">
        <v>3</v>
      </c>
      <c r="C42" s="38" t="s">
        <v>14</v>
      </c>
      <c r="D42" s="42">
        <f>TRUNC(5991,-1)</f>
        <v>5990</v>
      </c>
      <c r="E42" s="63">
        <f t="shared" si="1"/>
        <v>19800</v>
      </c>
    </row>
    <row r="43" spans="1:7" x14ac:dyDescent="0.3">
      <c r="A43" s="2">
        <v>4</v>
      </c>
      <c r="C43" s="38" t="s">
        <v>16</v>
      </c>
      <c r="D43" s="42">
        <f>TRUNC(9698,-1)</f>
        <v>9690</v>
      </c>
      <c r="E43" s="63">
        <f t="shared" si="1"/>
        <v>32030</v>
      </c>
    </row>
    <row r="44" spans="1:7" x14ac:dyDescent="0.3">
      <c r="A44" s="2">
        <v>5</v>
      </c>
      <c r="C44" s="38" t="s">
        <v>17</v>
      </c>
      <c r="D44" s="42">
        <f>TRUNC(43754,-1)</f>
        <v>43750</v>
      </c>
      <c r="E44" s="63">
        <f t="shared" si="1"/>
        <v>144620</v>
      </c>
    </row>
    <row r="45" spans="1:7" x14ac:dyDescent="0.3">
      <c r="A45" s="2">
        <v>6</v>
      </c>
      <c r="C45" s="38" t="s">
        <v>18</v>
      </c>
      <c r="D45" s="42">
        <f>TRUNC(37671,-1)</f>
        <v>37670</v>
      </c>
      <c r="E45" s="63">
        <f t="shared" si="1"/>
        <v>124520</v>
      </c>
    </row>
    <row r="46" spans="1:7" x14ac:dyDescent="0.3">
      <c r="A46" s="2">
        <v>7</v>
      </c>
      <c r="C46" s="38" t="s">
        <v>19</v>
      </c>
      <c r="D46" s="42">
        <f>TRUNC(38013,-1)</f>
        <v>38010</v>
      </c>
      <c r="E46" s="63">
        <f t="shared" si="1"/>
        <v>125650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TRUNC(51351,-1)</f>
        <v>51350</v>
      </c>
      <c r="E48" s="63">
        <f t="shared" si="1"/>
        <v>169750</v>
      </c>
    </row>
    <row r="49" spans="1:7" x14ac:dyDescent="0.3">
      <c r="A49" s="2">
        <v>10</v>
      </c>
      <c r="C49" s="38" t="s">
        <v>22</v>
      </c>
      <c r="D49" s="42">
        <f>TRUNC(20783,-1)</f>
        <v>20780</v>
      </c>
      <c r="E49" s="63">
        <f t="shared" si="1"/>
        <v>68690</v>
      </c>
    </row>
    <row r="50" spans="1:7" x14ac:dyDescent="0.3">
      <c r="A50" s="2">
        <v>11</v>
      </c>
      <c r="C50" s="38" t="s">
        <v>155</v>
      </c>
      <c r="D50" s="42">
        <f>TRUNC(133527,-1)</f>
        <v>133520</v>
      </c>
      <c r="E50" s="63">
        <f t="shared" si="1"/>
        <v>441390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TRUNC(10038,-1)</f>
        <v>10030</v>
      </c>
      <c r="E52" s="63">
        <f t="shared" si="1"/>
        <v>33150</v>
      </c>
    </row>
    <row r="53" spans="1:7" x14ac:dyDescent="0.3">
      <c r="A53" s="2">
        <v>14</v>
      </c>
      <c r="C53" s="38" t="s">
        <v>25</v>
      </c>
      <c r="D53" s="42">
        <f>TRUNC(108744,-1)</f>
        <v>108740</v>
      </c>
      <c r="E53" s="63">
        <f t="shared" si="1"/>
        <v>359470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10481+183+17943-713+7126</f>
        <v>35020</v>
      </c>
      <c r="E58" s="63">
        <f t="shared" si="1"/>
        <v>115760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TRUNC(228027,-1)</f>
        <v>228020</v>
      </c>
      <c r="E59" s="64">
        <f t="shared" si="1"/>
        <v>753780</v>
      </c>
    </row>
    <row r="60" spans="1:7" x14ac:dyDescent="0.3">
      <c r="A60" s="2">
        <v>21</v>
      </c>
      <c r="C60" s="27" t="s">
        <v>112</v>
      </c>
      <c r="D60" s="39">
        <f>SUM(D40:D59)</f>
        <v>965950</v>
      </c>
      <c r="E60" s="39">
        <f>SUM(E40:E59)</f>
        <v>3193170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TRUNC(9126,-1)</f>
        <v>9120</v>
      </c>
      <c r="E63" s="62">
        <f>TRUNC(+D63*3.3058,-1)</f>
        <v>30140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9120</v>
      </c>
      <c r="E66" s="65">
        <f>SUM(E63:E65)</f>
        <v>30140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12110</v>
      </c>
      <c r="E69" s="62">
        <f t="shared" ref="E69:E94" si="2">TRUNC(+D69*3.3058,-1)</f>
        <v>40030</v>
      </c>
    </row>
    <row r="70" spans="1:7" ht="16.5" customHeight="1" x14ac:dyDescent="0.3">
      <c r="A70" s="2">
        <v>2</v>
      </c>
      <c r="C70" s="38" t="s">
        <v>31</v>
      </c>
      <c r="D70" s="42">
        <f>TRUNC(608,-1)</f>
        <v>600</v>
      </c>
      <c r="E70" s="63">
        <f t="shared" si="2"/>
        <v>1980</v>
      </c>
    </row>
    <row r="71" spans="1:7" x14ac:dyDescent="0.3">
      <c r="A71" s="2">
        <v>3</v>
      </c>
      <c r="C71" s="38" t="s">
        <v>32</v>
      </c>
      <c r="D71" s="42">
        <f>TRUNC(3494,-1)</f>
        <v>3490</v>
      </c>
      <c r="E71" s="63">
        <f t="shared" si="2"/>
        <v>11530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TRUNC(25679,-1)</f>
        <v>25670</v>
      </c>
      <c r="E73" s="63">
        <f t="shared" si="2"/>
        <v>84850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TRUNC(73483,-1)</f>
        <v>73480</v>
      </c>
      <c r="E89" s="63">
        <f t="shared" si="2"/>
        <v>242910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10620</v>
      </c>
      <c r="E91" s="63">
        <f t="shared" si="2"/>
        <v>35100</v>
      </c>
    </row>
    <row r="92" spans="1:7" x14ac:dyDescent="0.3">
      <c r="A92" s="2">
        <v>24</v>
      </c>
      <c r="C92" s="38" t="s">
        <v>38</v>
      </c>
      <c r="D92" s="42">
        <f>TRUNC(23622,-1)</f>
        <v>23620</v>
      </c>
      <c r="E92" s="63">
        <f t="shared" si="2"/>
        <v>78080</v>
      </c>
    </row>
    <row r="93" spans="1:7" x14ac:dyDescent="0.3">
      <c r="A93" s="2">
        <v>25</v>
      </c>
      <c r="C93" s="38" t="s">
        <v>148</v>
      </c>
      <c r="D93" s="42">
        <f>TRUNC(29295,-1)</f>
        <v>29290</v>
      </c>
      <c r="E93" s="63">
        <f t="shared" si="2"/>
        <v>96820</v>
      </c>
    </row>
    <row r="94" spans="1:7" ht="17.25" thickBot="1" x14ac:dyDescent="0.35">
      <c r="A94" s="2">
        <v>26</v>
      </c>
      <c r="C94" s="38" t="s">
        <v>47</v>
      </c>
      <c r="D94" s="43">
        <f>TRUNC(1268+30268,-1)</f>
        <v>31530</v>
      </c>
      <c r="E94" s="64">
        <f t="shared" si="2"/>
        <v>104230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210410</v>
      </c>
      <c r="E95" s="39">
        <f>SUM(E69:E94)</f>
        <v>695530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TRUNC(60186,-1)</f>
        <v>60180</v>
      </c>
      <c r="E98" s="62">
        <f t="shared" ref="E98:E118" si="3">TRUNC(+D98*3.3058,-1)</f>
        <v>198940</v>
      </c>
    </row>
    <row r="99" spans="1:7" x14ac:dyDescent="0.3">
      <c r="A99" s="2">
        <v>2</v>
      </c>
      <c r="C99" s="38" t="s">
        <v>40</v>
      </c>
      <c r="D99" s="42">
        <f>TRUNC(5386,-1)</f>
        <v>5380</v>
      </c>
      <c r="E99" s="63">
        <f t="shared" si="3"/>
        <v>17780</v>
      </c>
    </row>
    <row r="100" spans="1:7" x14ac:dyDescent="0.3">
      <c r="A100" s="2">
        <v>3</v>
      </c>
      <c r="C100" s="38" t="s">
        <v>41</v>
      </c>
      <c r="D100" s="42">
        <f>TRUNC(43015,-1)</f>
        <v>43010</v>
      </c>
      <c r="E100" s="63">
        <f t="shared" si="3"/>
        <v>142180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31890</v>
      </c>
      <c r="E102" s="63">
        <f t="shared" si="3"/>
        <v>105420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TRUNC(11894,-1)</f>
        <v>11890</v>
      </c>
      <c r="E104" s="63">
        <f t="shared" si="3"/>
        <v>39300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99390</v>
      </c>
      <c r="E117" s="63">
        <f t="shared" si="3"/>
        <v>328560</v>
      </c>
    </row>
    <row r="118" spans="1:7" ht="17.25" thickBot="1" x14ac:dyDescent="0.35">
      <c r="A118" s="2">
        <v>21</v>
      </c>
      <c r="C118" s="38" t="s">
        <v>47</v>
      </c>
      <c r="D118" s="43">
        <f>TRUNC(5846,-1)</f>
        <v>5840</v>
      </c>
      <c r="E118" s="64">
        <f t="shared" si="3"/>
        <v>19300</v>
      </c>
    </row>
    <row r="119" spans="1:7" x14ac:dyDescent="0.3">
      <c r="A119" s="2">
        <v>22</v>
      </c>
      <c r="C119" s="27" t="s">
        <v>112</v>
      </c>
      <c r="D119" s="39">
        <f>SUM(D98:D118)</f>
        <v>257580</v>
      </c>
      <c r="E119" s="39">
        <f>SUM(E98:E118)</f>
        <v>851480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TRUNC(15952,-1)</f>
        <v>15950</v>
      </c>
      <c r="E122" s="62">
        <f t="shared" ref="E122:E132" si="4">TRUNC(+D122*3.3058,-1)</f>
        <v>52720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TRUNC(44721,-1)</f>
        <v>44720</v>
      </c>
      <c r="E130" s="63">
        <f t="shared" si="4"/>
        <v>147830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60670</v>
      </c>
      <c r="E133" s="39">
        <f>SUM(E122:E132)</f>
        <v>200550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TRUNC(1694,-1)</f>
        <v>1690</v>
      </c>
      <c r="E140" s="63">
        <f t="shared" si="5"/>
        <v>5580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TRUNC(5546,-1)</f>
        <v>5540</v>
      </c>
      <c r="E143" s="63">
        <f t="shared" si="5"/>
        <v>18310</v>
      </c>
    </row>
    <row r="144" spans="1:7" x14ac:dyDescent="0.3">
      <c r="A144" s="2">
        <v>9</v>
      </c>
      <c r="C144" s="38" t="s">
        <v>63</v>
      </c>
      <c r="D144" s="42">
        <f>TRUNC(1308,-1)</f>
        <v>1300</v>
      </c>
      <c r="E144" s="63">
        <f t="shared" si="5"/>
        <v>4290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8530</v>
      </c>
      <c r="E146" s="39">
        <f>SUM(E136:E145)</f>
        <v>28180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TRUNC(24118+3257,-1)</f>
        <v>27370</v>
      </c>
      <c r="E149" s="62">
        <f>TRUNC(+D149*3.3058,-1)</f>
        <v>90470</v>
      </c>
    </row>
    <row r="150" spans="1:7" x14ac:dyDescent="0.3">
      <c r="A150" s="2">
        <v>2</v>
      </c>
      <c r="C150" s="38" t="s">
        <v>49</v>
      </c>
      <c r="D150" s="42">
        <f>TRUNC(13075,-1)</f>
        <v>13070</v>
      </c>
      <c r="E150" s="63">
        <f>TRUNC(+D150*3.3058,-1)</f>
        <v>43200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TRUNC(2890+31239+2498,-1)</f>
        <v>36620</v>
      </c>
      <c r="E152" s="63">
        <f>TRUNC(+D152*3.3058,-1)</f>
        <v>121050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f>TRUNC(12619,-1)</f>
        <v>12610</v>
      </c>
      <c r="E153" s="64">
        <f>TRUNC(+D153*3.3058,-1)</f>
        <v>41680</v>
      </c>
    </row>
    <row r="154" spans="1:7" x14ac:dyDescent="0.3">
      <c r="A154" s="2">
        <v>6</v>
      </c>
      <c r="C154" s="27" t="s">
        <v>112</v>
      </c>
      <c r="D154" s="39">
        <f>SUM(D149:D153)</f>
        <v>89670</v>
      </c>
      <c r="E154" s="39">
        <f>SUM(E149:E153)</f>
        <v>296400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TRUNC(20599,-1)</f>
        <v>20590</v>
      </c>
      <c r="E157" s="62">
        <f>TRUNC(+D157*3.3058,-1)</f>
        <v>68060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TRUNC(1211,-1)</f>
        <v>1210</v>
      </c>
      <c r="E159" s="63">
        <f>TRUNC(+D159*3.3058,-1)</f>
        <v>4000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21800</v>
      </c>
      <c r="E161" s="39">
        <f>SUM(E157:E160)</f>
        <v>72060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2020-12-08T02:21:15Z</dcterms:modified>
</cp:coreProperties>
</file>