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9" i="4"/>
  <c r="D158" i="4"/>
  <c r="D157" i="4"/>
  <c r="D152" i="4"/>
  <c r="D150" i="4"/>
  <c r="D149" i="4"/>
  <c r="D137" i="4"/>
  <c r="D144" i="4"/>
  <c r="D143" i="4"/>
  <c r="D139" i="4"/>
  <c r="D141" i="4"/>
  <c r="D142" i="4"/>
  <c r="D140" i="4"/>
  <c r="D132" i="4"/>
  <c r="D128" i="4"/>
  <c r="D125" i="4"/>
  <c r="D122" i="4"/>
  <c r="D130" i="4"/>
  <c r="D126" i="4"/>
  <c r="D118" i="4"/>
  <c r="D105" i="4"/>
  <c r="D104" i="4"/>
  <c r="D103" i="4"/>
  <c r="D102" i="4"/>
  <c r="D100" i="4"/>
  <c r="D99" i="4"/>
  <c r="D114" i="4"/>
  <c r="D98" i="4"/>
  <c r="D116" i="4"/>
  <c r="D94" i="4"/>
  <c r="D76" i="4"/>
  <c r="D92" i="4"/>
  <c r="D91" i="4"/>
  <c r="D89" i="4"/>
  <c r="D73" i="4"/>
  <c r="D71" i="4"/>
  <c r="D70" i="4"/>
  <c r="D69" i="4"/>
  <c r="D53" i="4"/>
  <c r="D58" i="4"/>
  <c r="D52" i="4"/>
  <c r="D50" i="4"/>
  <c r="D49" i="4"/>
  <c r="D48" i="4"/>
  <c r="D46" i="4"/>
  <c r="D45" i="4"/>
  <c r="D44" i="4"/>
  <c r="D43" i="4"/>
  <c r="D42" i="4"/>
  <c r="D41" i="4"/>
  <c r="D40" i="4"/>
  <c r="D63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6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<sst xmlns="http://schemas.openxmlformats.org/spreadsheetml/2006/main" count="395" uniqueCount="268">
  <si>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</si>
  <si>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</si>
  <si>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</si>
  <si>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</si>
  <si>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</si>
  <si>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</si>
  <si>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</si>
  <si>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</si>
  <si>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</si>
  <si>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</si>
  <si>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</si>
  <si>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</si>
  <si>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</si>
  <si>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</si>
  <si>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</si>
  <si>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</si>
  <si>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</si>
  <si>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</si>
  <si>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</si>
  <si>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</si>
  <si>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</si>
  <si>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</si>
  <si>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</si>
  <si>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</si>
  <si>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</si>
  <si>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</si>
  <si>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</si>
  <si>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</si>
  <si>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</si>
  <si>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</si>
  <si>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</si>
  <si>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</si>
  <si>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</si>
  <si>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</si>
  <si>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</si>
  <si>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</si>
  <si>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</si>
  <si>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</si>
  <si>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</si>
  <si>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</si>
  <si>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</si>
  <si>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</si>
  <si>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</si>
  <si>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</si>
  <si>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</si>
  <si>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</si>
  <si>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</si>
  <si>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</si>
  <si>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</si>
  <si>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</si>
  <si>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</si>
  <si>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</si>
  <si>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</si>
  <si>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</si>
  <si>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</si>
  <si>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</si>
  <si>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</si>
  <si>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</si>
  <si>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</si>
  <si>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</si>
  <si>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</si>
  <si>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</si>
  <si>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</si>
  <si>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</si>
  <si>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</si>
  <si>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</si>
  <si>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</si>
  <si>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</si>
  <si>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</si>
  <si>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</si>
  <si>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</si>
  <si>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</si>
  <si>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</si>
  <si>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</si>
  <si>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</si>
  <si>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</si>
  <si>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</si>
  <si>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</si>
  <si>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</si>
  <si>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</si>
  <si>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</si>
  <si>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</si>
  <si>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</si>
  <si>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</si>
  <si>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</si>
  <si>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</si>
  <si>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</si>
  <si>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</si>
  <si>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</si>
  <si>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</si>
  <si>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</si>
  <si>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</si>
  <si>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</si>
  <si>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</si>
  <si>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</si>
  <si>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</si>
  <si>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</si>
  <si>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</si>
  <si>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</si>
  <si>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</si>
  <si>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</si>
  <si>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</si>
  <si>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</si>
  <si>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</si>
  <si>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</si>
  <si>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</si>
  <si>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</si>
  <si>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</si>
  <si>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</si>
  <si>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</si>
  <si>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</si>
  <si>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</si>
  <si>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</si>
  <si>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</si>
  <si>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</si>
  <si>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</si>
  <si>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</si>
  <si>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</si>
  <si>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</si>
  <si>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</si>
  <si>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</si>
  <si>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</si>
  <si>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</si>
  <si>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</si>
  <si>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</si>
  <si>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</si>
  <si>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</si>
  <si>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</si>
  <si>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</si>
  <si>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</si>
  <si>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</si>
  <si>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</si>
  <si>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</si>
  <si>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</si>
  <si>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</si>
  <si>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</si>
  <si>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</si>
  <si>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</si>
  <si>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</si>
  <si>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</si>
  <si>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</si>
  <si>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</si>
  <si>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</si>
  <si>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</si>
  <si>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</si>
  <si>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</si>
  <si>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</si>
  <si>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</si>
  <si>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</si>
  <si>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</si>
  <si>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</si>
  <si>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</si>
  <si>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</si>
  <si>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</si>
  <si>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</si>
  <si>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</si>
  <si>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</si>
  <si>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</si>
  <si>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</si>
  <si>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</si>
  <si>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</si>
  <si>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</si>
  <si>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</si>
  <si>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</si>
  <si>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</si>
  <si>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</si>
  <si>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</si>
  <si>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</si>
  <si>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</si>
  <si>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</si>
  <si>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</si>
  <si>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</si>
  <si>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</si>
  <si>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</si>
  <si>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</si>
  <si>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</si>
  <si>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</si>
  <si>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</si>
  <si>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</si>
  <si>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</si>
  <si>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</si>
  <si>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</si>
  <si>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</si>
  <si>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</si>
  <si>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</si>
  <si>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</si>
  <si>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</si>
  <si>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</si>
  <si>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</si>
  <si>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</si>
  <si>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</si>
  <si>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</si>
  <si>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</si>
  <si>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</si>
  <si>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</si>
  <si>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</si>
  <si>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</si>
  <si>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</si>
  <si>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</si>
  <si>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</si>
  <si>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</si>
  <si>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</si>
  <si>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</si>
  <si>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</si>
  <si>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</si>
  <si>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</si>
  <si>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</si>
  <si>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</si>
  <si>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</si>
  <si>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</si>
  <si>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</si>
  <si>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</si>
  <si>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</si>
  <si>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</si>
  <si>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</si>
  <si>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</si>
  <si>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</si>
  <si>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</si>
  <si>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</si>
  <si>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</si>
  <si>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</si>
  <si>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</si>
  <si>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</si>
  <si>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</si>
  <si>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</si>
  <si>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</si>
  <si>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</si>
  <si>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</si>
  <si>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</si>
  <si>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</si>
  <si>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</si>
  <si>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</si>
  <si>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</si>
  <si>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</si>
  <si>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</si>
  <si>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</si>
  <si>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</si>
  <si>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</si>
  <si>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</si>
  <si>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</si>
  <si>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</si>
  <si>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</si>
  <si>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</si>
  <si>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</si>
  <si>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</si>
  <si>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</si>
  <si>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</si>
  <si>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</si>
  <si>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</si>
  <si>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순천만잡월드 건립공사</t>
    <phoneticPr fontId="2" type="noConversion"/>
  </si>
  <si>
    <t>문화및집회</t>
  </si>
  <si>
    <t>전라도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</si>
  <si>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</si>
  <si>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</si>
  <si>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</si>
  <si>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</si>
  <si>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</si>
  <si>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기초공사,골재비및운반비,작업부산물,품질시험비,기타공사</t>
    <phoneticPr fontId="2" type="noConversion"/>
  </si>
  <si>
    <t>기타공사</t>
    <phoneticPr fontId="2" type="noConversion"/>
  </si>
  <si>
    <t>CCTV설비공사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</si>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</sst>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8007.26</v>
      </c>
      <c r="D7" s="36">
        <f>+C7/3.3058</f>
        <v>2422.1852501663743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923710</v>
      </c>
      <c r="E25" s="59">
        <f t="shared" si="0"/>
        <v>3053600</v>
      </c>
    </row>
    <row r="26" spans="1:5" x14ac:dyDescent="0.3">
      <c r="B26" s="2">
        <v>3</v>
      </c>
      <c r="C26" s="35" t="s">
        <v>95</v>
      </c>
      <c r="D26" s="45">
        <f>+D66</f>
        <v>5470</v>
      </c>
      <c r="E26" s="59">
        <f t="shared" si="0"/>
        <v>18080</v>
      </c>
    </row>
    <row r="27" spans="1:5" x14ac:dyDescent="0.3">
      <c r="B27" s="2">
        <v>4</v>
      </c>
      <c r="C27" s="35" t="s">
        <v>96</v>
      </c>
      <c r="D27" s="45">
        <f>+D95</f>
        <v>305450</v>
      </c>
      <c r="E27" s="59">
        <f t="shared" si="0"/>
        <v>1009750</v>
      </c>
    </row>
    <row r="28" spans="1:5" x14ac:dyDescent="0.3">
      <c r="B28" s="2">
        <v>5</v>
      </c>
      <c r="C28" s="35" t="s">
        <v>97</v>
      </c>
      <c r="D28" s="45">
        <f>+D119</f>
        <v>118230</v>
      </c>
      <c r="E28" s="59">
        <f t="shared" si="0"/>
        <v>390840</v>
      </c>
    </row>
    <row r="29" spans="1:5" x14ac:dyDescent="0.3">
      <c r="B29" s="2">
        <v>6</v>
      </c>
      <c r="C29" s="35" t="s">
        <v>98</v>
      </c>
      <c r="D29" s="45">
        <f>+D133</f>
        <v>93540</v>
      </c>
      <c r="E29" s="59">
        <f t="shared" si="0"/>
        <v>309220</v>
      </c>
    </row>
    <row r="30" spans="1:5" x14ac:dyDescent="0.3">
      <c r="B30" s="2">
        <v>7</v>
      </c>
      <c r="C30" s="35" t="s">
        <v>99</v>
      </c>
      <c r="D30" s="45">
        <f>+D146</f>
        <v>80930</v>
      </c>
      <c r="E30" s="59">
        <f t="shared" si="0"/>
        <v>267530</v>
      </c>
    </row>
    <row r="31" spans="1:5" x14ac:dyDescent="0.3">
      <c r="B31" s="2">
        <v>8</v>
      </c>
      <c r="C31" s="35" t="s">
        <v>100</v>
      </c>
      <c r="D31" s="45">
        <f>+D154</f>
        <v>28880</v>
      </c>
      <c r="E31" s="59">
        <f t="shared" si="0"/>
        <v>95470</v>
      </c>
    </row>
    <row r="32" spans="1:5" x14ac:dyDescent="0.3">
      <c r="B32" s="2">
        <v>9</v>
      </c>
      <c r="C32" s="35" t="s">
        <v>101</v>
      </c>
      <c r="D32" s="45">
        <f>+D161</f>
        <v>129840</v>
      </c>
      <c r="E32" s="59">
        <f t="shared" si="0"/>
        <v>429220</v>
      </c>
    </row>
    <row r="33" spans="1:7" x14ac:dyDescent="0.3">
      <c r="B33" s="2">
        <v>10</v>
      </c>
      <c r="C33" s="35" t="s">
        <v>154</v>
      </c>
      <c r="D33" s="53">
        <f>TRUNC(SUM(D24:D32)*0.275,-1)</f>
        <v>463660</v>
      </c>
      <c r="E33" s="60">
        <f t="shared" si="0"/>
        <v>1532760</v>
      </c>
    </row>
    <row r="34" spans="1:7" x14ac:dyDescent="0.3">
      <c r="C34" s="35" t="s">
        <v>112</v>
      </c>
      <c r="D34" s="44">
        <f>SUM(D24:D33)</f>
        <v>2149710</v>
      </c>
      <c r="E34" s="44">
        <f>SUM(E24:E33)</f>
        <v>7106470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TRUNC(35417,-1)</f>
        <v>35410</v>
      </c>
      <c r="E40" s="62">
        <f t="shared" ref="E40:E59" si="1">TRUNC(+D40*3.3058,-1)</f>
        <v>117050</v>
      </c>
    </row>
    <row r="41" spans="1:7" x14ac:dyDescent="0.3">
      <c r="A41" s="2">
        <v>2</v>
      </c>
      <c r="C41" s="38" t="s">
        <v>13</v>
      </c>
      <c r="D41" s="42">
        <f>TRUNC(152062,-1)</f>
        <v>152060</v>
      </c>
      <c r="E41" s="63">
        <f t="shared" si="1"/>
        <v>502670</v>
      </c>
    </row>
    <row r="42" spans="1:7" x14ac:dyDescent="0.3">
      <c r="A42" s="2">
        <v>3</v>
      </c>
      <c r="C42" s="38" t="s">
        <v>14</v>
      </c>
      <c r="D42" s="42">
        <f>TRUNC(160665,-1)</f>
        <v>160660</v>
      </c>
      <c r="E42" s="63">
        <f t="shared" si="1"/>
        <v>531100</v>
      </c>
    </row>
    <row r="43" spans="1:7" x14ac:dyDescent="0.3">
      <c r="A43" s="2">
        <v>4</v>
      </c>
      <c r="C43" s="38" t="s">
        <v>16</v>
      </c>
      <c r="D43" s="42">
        <f>TRUNC(5591,-1)</f>
        <v>5590</v>
      </c>
      <c r="E43" s="63">
        <f t="shared" si="1"/>
        <v>18470</v>
      </c>
    </row>
    <row r="44" spans="1:7" x14ac:dyDescent="0.3">
      <c r="A44" s="2">
        <v>5</v>
      </c>
      <c r="C44" s="38" t="s">
        <v>17</v>
      </c>
      <c r="D44" s="42">
        <f>TRUNC(11596,-1)</f>
        <v>11590</v>
      </c>
      <c r="E44" s="63">
        <f t="shared" si="1"/>
        <v>38310</v>
      </c>
    </row>
    <row r="45" spans="1:7" x14ac:dyDescent="0.3">
      <c r="A45" s="2">
        <v>6</v>
      </c>
      <c r="C45" s="38" t="s">
        <v>18</v>
      </c>
      <c r="D45" s="42">
        <f>TRUNC(7504,-1)</f>
        <v>7500</v>
      </c>
      <c r="E45" s="63">
        <f t="shared" si="1"/>
        <v>24790</v>
      </c>
    </row>
    <row r="46" spans="1:7" x14ac:dyDescent="0.3">
      <c r="A46" s="2">
        <v>7</v>
      </c>
      <c r="C46" s="38" t="s">
        <v>19</v>
      </c>
      <c r="D46" s="42">
        <f>TRUNC(12946,-1)</f>
        <v>12940</v>
      </c>
      <c r="E46" s="63">
        <f t="shared" si="1"/>
        <v>42770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TRUNC(11012,-1)</f>
        <v>11010</v>
      </c>
      <c r="E48" s="63">
        <f t="shared" si="1"/>
        <v>36390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TRUNC(2741,-1)</f>
        <v>2740</v>
      </c>
      <c r="E49" s="63">
        <f t="shared" si="1"/>
        <v>9050</v>
      </c>
    </row>
    <row r="50" spans="1:7" x14ac:dyDescent="0.3">
      <c r="A50" s="2">
        <v>11</v>
      </c>
      <c r="C50" s="38" t="s">
        <v>155</v>
      </c>
      <c r="D50" s="42">
        <f>TRUNC(21016,-1)</f>
        <v>21010</v>
      </c>
      <c r="E50" s="63">
        <f t="shared" si="1"/>
        <v>69450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TRUNC(8213,-1)</f>
        <v>8210</v>
      </c>
      <c r="E52" s="63">
        <f t="shared" si="1"/>
        <v>27140</v>
      </c>
    </row>
    <row r="53" spans="1:7" x14ac:dyDescent="0.3">
      <c r="A53" s="2">
        <v>14</v>
      </c>
      <c r="C53" s="38" t="s">
        <v>25</v>
      </c>
      <c r="D53" s="42">
        <f>TRUNC(40484,-1)</f>
        <v>40480</v>
      </c>
      <c r="E53" s="63">
        <f t="shared" si="1"/>
        <v>133810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TRUNC(22761+2659-1870+441+23795,-1)</f>
        <v>47780</v>
      </c>
      <c r="E58" s="63">
        <f t="shared" si="1"/>
        <v>157950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TRUNC(406737,-1)</f>
        <v>406730</v>
      </c>
      <c r="E59" s="64">
        <f t="shared" si="1"/>
        <v>1344560</v>
      </c>
    </row>
    <row r="60" spans="1:7" x14ac:dyDescent="0.3">
      <c r="A60" s="2">
        <v>21</v>
      </c>
      <c r="C60" s="27" t="s">
        <v>112</v>
      </c>
      <c r="D60" s="39">
        <f>SUM(D40:D59)</f>
        <v>923710</v>
      </c>
      <c r="E60" s="39">
        <f>SUM(E40:E59)</f>
        <v>3053510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TRUNC(5479,-1)</f>
        <v>5470</v>
      </c>
      <c r="E63" s="62">
        <f>TRUNC(+D63*3.3058,-1)</f>
        <v>18080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5470</v>
      </c>
      <c r="E66" s="65">
        <f>SUM(E63:E65)</f>
        <v>18080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TRUNC(5053,-1)</f>
        <v>5050</v>
      </c>
      <c r="E69" s="62">
        <f t="shared" ref="E69:E94" si="2">TRUNC(+D69*3.3058,-1)</f>
        <v>16690</v>
      </c>
    </row>
    <row r="70" spans="1:7" ht="16.5" customHeight="1" x14ac:dyDescent="0.3">
      <c r="A70" s="2">
        <v>2</v>
      </c>
      <c r="C70" s="38" t="s">
        <v>31</v>
      </c>
      <c r="D70" s="42">
        <f>TRUNC(1593,-1)</f>
        <v>1590</v>
      </c>
      <c r="E70" s="63">
        <f t="shared" si="2"/>
        <v>5250</v>
      </c>
    </row>
    <row r="71" spans="1:7" x14ac:dyDescent="0.3">
      <c r="A71" s="2">
        <v>3</v>
      </c>
      <c r="C71" s="38" t="s">
        <v>32</v>
      </c>
      <c r="D71" s="42">
        <f>TRUNC(6670,-1)</f>
        <v>6670</v>
      </c>
      <c r="E71" s="63">
        <f t="shared" si="2"/>
        <v>22040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TRUNC(3674,-1)</f>
        <v>3670</v>
      </c>
      <c r="E73" s="63">
        <f t="shared" si="2"/>
        <v>12130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TRUNC(142749,-1)</f>
        <v>142740</v>
      </c>
      <c r="E76" s="63">
        <f t="shared" si="2"/>
        <v>471860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TRUNC(4050,-1)</f>
        <v>4050</v>
      </c>
      <c r="E89" s="63">
        <f t="shared" si="2"/>
        <v>13380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TRUNC(37282,-1)</f>
        <v>37280</v>
      </c>
      <c r="E91" s="63">
        <f t="shared" si="2"/>
        <v>123240</v>
      </c>
    </row>
    <row r="92" spans="1:7" x14ac:dyDescent="0.3">
      <c r="A92" s="2">
        <v>24</v>
      </c>
      <c r="C92" s="38" t="s">
        <v>38</v>
      </c>
      <c r="D92" s="42">
        <f>TRUNC(6240,-1)</f>
        <v>6240</v>
      </c>
      <c r="E92" s="63">
        <f t="shared" si="2"/>
        <v>20620</v>
      </c>
    </row>
    <row r="93" spans="1:7" x14ac:dyDescent="0.3">
      <c r="A93" s="2">
        <v>25</v>
      </c>
      <c r="C93" s="38" t="s">
        <v>148</v>
      </c>
      <c r="D93" s="42">
        <f>TRUNC(96713,-1)</f>
        <v>96710</v>
      </c>
      <c r="E93" s="63">
        <f t="shared" si="2"/>
        <v>319700</v>
      </c>
    </row>
    <row r="94" spans="1:7" ht="17.25" thickBot="1" x14ac:dyDescent="0.35">
      <c r="A94" s="2">
        <v>26</v>
      </c>
      <c r="C94" s="38" t="s">
        <v>47</v>
      </c>
      <c r="D94" s="43">
        <f>TRUNC(1459,-1)</f>
        <v>1450</v>
      </c>
      <c r="E94" s="64">
        <f t="shared" si="2"/>
        <v>4790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305450</v>
      </c>
      <c r="E95" s="39">
        <f>SUM(E69:E94)</f>
        <v>1009700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TRUNC(10166,-1)</f>
        <v>10160</v>
      </c>
      <c r="E98" s="62">
        <f t="shared" ref="E98:E118" si="3">TRUNC(+D98*3.3058,-1)</f>
        <v>33580</v>
      </c>
    </row>
    <row r="99" spans="1:7" x14ac:dyDescent="0.3">
      <c r="A99" s="2">
        <v>2</v>
      </c>
      <c r="C99" s="38" t="s">
        <v>40</v>
      </c>
      <c r="D99" s="42">
        <f>TRUNC(5734,-1)</f>
        <v>5730</v>
      </c>
      <c r="E99" s="63">
        <f t="shared" si="3"/>
        <v>18940</v>
      </c>
    </row>
    <row r="100" spans="1:7" x14ac:dyDescent="0.3">
      <c r="A100" s="2">
        <v>3</v>
      </c>
      <c r="C100" s="38" t="s">
        <v>41</v>
      </c>
      <c r="D100" s="42">
        <f>TRUNC(19915,-1)</f>
        <v>19910</v>
      </c>
      <c r="E100" s="63">
        <f t="shared" si="3"/>
        <v>65810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TRUNC(7147,-1)</f>
        <v>7140</v>
      </c>
      <c r="E102" s="63">
        <f t="shared" si="3"/>
        <v>23600</v>
      </c>
    </row>
    <row r="103" spans="1:7" x14ac:dyDescent="0.3">
      <c r="A103" s="2">
        <v>6</v>
      </c>
      <c r="C103" s="38" t="s">
        <v>44</v>
      </c>
      <c r="D103" s="42">
        <f>TRUNC(6970,-1)</f>
        <v>6970</v>
      </c>
      <c r="E103" s="63">
        <f t="shared" si="3"/>
        <v>23040</v>
      </c>
    </row>
    <row r="104" spans="1:7" x14ac:dyDescent="0.3">
      <c r="A104" s="2">
        <v>7</v>
      </c>
      <c r="C104" s="38" t="s">
        <v>45</v>
      </c>
      <c r="D104" s="42">
        <f>TRUNC(8364,-1)</f>
        <v>8360</v>
      </c>
      <c r="E104" s="63">
        <f t="shared" si="3"/>
        <v>27630</v>
      </c>
    </row>
    <row r="105" spans="1:7" x14ac:dyDescent="0.3">
      <c r="A105" s="2">
        <v>8</v>
      </c>
      <c r="C105" s="38" t="s">
        <v>46</v>
      </c>
      <c r="D105" s="42">
        <f>TRUNC(3433,-1)</f>
        <v>3430</v>
      </c>
      <c r="E105" s="63">
        <f t="shared" si="3"/>
        <v>11330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TRUNC(2699,-1)</f>
        <v>2690</v>
      </c>
      <c r="E114" s="63">
        <f t="shared" si="3"/>
        <v>8890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TRUNC(2093,-1)</f>
        <v>2090</v>
      </c>
      <c r="E116" s="63">
        <f t="shared" si="3"/>
        <v>6900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TRUNC(51522,-1)</f>
        <v>51520</v>
      </c>
      <c r="E117" s="63">
        <f t="shared" si="3"/>
        <v>170310</v>
      </c>
    </row>
    <row r="118" spans="1:7" ht="17.25" thickBot="1" x14ac:dyDescent="0.35">
      <c r="A118" s="2">
        <v>21</v>
      </c>
      <c r="C118" s="38" t="s">
        <v>47</v>
      </c>
      <c r="D118" s="43">
        <f>TRUNC(232,-1)</f>
        <v>230</v>
      </c>
      <c r="E118" s="64">
        <f t="shared" si="3"/>
        <v>760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118230</v>
      </c>
      <c r="E119" s="39">
        <f>SUM(E98:E118)</f>
        <v>390790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TRUNC(1408,-1)</f>
        <v>1400</v>
      </c>
      <c r="E122" s="62">
        <f t="shared" ref="E122:E132" si="4">TRUNC(+D122*3.3058,-1)</f>
        <v>4620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TRUNC(4800,-1)</f>
        <v>4800</v>
      </c>
      <c r="E125" s="63">
        <f t="shared" si="4"/>
        <v>15860</v>
      </c>
    </row>
    <row r="126" spans="1:7" x14ac:dyDescent="0.3">
      <c r="A126" s="2">
        <v>5</v>
      </c>
      <c r="C126" s="38" t="s">
        <v>53</v>
      </c>
      <c r="D126" s="42">
        <f>TRUNC(1493,-1)</f>
        <v>1490</v>
      </c>
      <c r="E126" s="63">
        <f t="shared" si="4"/>
        <v>4920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TRUNC(3312,-1)</f>
        <v>3310</v>
      </c>
      <c r="E128" s="63">
        <f t="shared" si="4"/>
        <v>10940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TRUNC(6090,-1)</f>
        <v>6090</v>
      </c>
      <c r="E130" s="63">
        <f t="shared" si="4"/>
        <v>20130</v>
      </c>
    </row>
    <row r="131" spans="1:7" x14ac:dyDescent="0.3">
      <c r="A131" s="2">
        <v>10</v>
      </c>
      <c r="C131" s="38" t="s">
        <v>148</v>
      </c>
      <c r="D131" s="42">
        <f>TRUNC(69514,-1)</f>
        <v>69510</v>
      </c>
      <c r="E131" s="63">
        <f t="shared" si="4"/>
        <v>229780</v>
      </c>
    </row>
    <row r="132" spans="1:7" ht="18" thickBot="1" x14ac:dyDescent="0.35">
      <c r="A132" s="2">
        <v>11</v>
      </c>
      <c r="C132" s="38" t="s">
        <v>47</v>
      </c>
      <c r="D132" s="43">
        <f>TRUNC(6946,-1)</f>
        <v>6940</v>
      </c>
      <c r="E132" s="64">
        <f t="shared" si="4"/>
        <v>22940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93540</v>
      </c>
      <c r="E133" s="39">
        <f>SUM(E122:E132)</f>
        <v>309190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TRUNC(202+94,-1)</f>
        <v>290</v>
      </c>
      <c r="E137" s="63">
        <f t="shared" si="5"/>
        <v>950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TRUNC(4458,-1)</f>
        <v>4450</v>
      </c>
      <c r="E139" s="63">
        <f t="shared" si="5"/>
        <v>14710</v>
      </c>
    </row>
    <row r="140" spans="1:7" x14ac:dyDescent="0.3">
      <c r="A140" s="2">
        <v>5</v>
      </c>
      <c r="C140" s="38" t="s">
        <v>57</v>
      </c>
      <c r="D140" s="42">
        <f>TRUNC(3697,-1)</f>
        <v>3690</v>
      </c>
      <c r="E140" s="63">
        <f t="shared" si="5"/>
        <v>12190</v>
      </c>
    </row>
    <row r="141" spans="1:7" x14ac:dyDescent="0.3">
      <c r="A141" s="2">
        <v>6</v>
      </c>
      <c r="C141" s="38" t="s">
        <v>59</v>
      </c>
      <c r="D141" s="42">
        <f>TRUNC(36526,-1)</f>
        <v>36520</v>
      </c>
      <c r="E141" s="63">
        <f t="shared" si="5"/>
        <v>120720</v>
      </c>
    </row>
    <row r="142" spans="1:7" x14ac:dyDescent="0.3">
      <c r="A142" s="2">
        <v>7</v>
      </c>
      <c r="C142" s="38" t="s">
        <v>58</v>
      </c>
      <c r="D142" s="42">
        <f>TRUNC(9271,-1)</f>
        <v>9270</v>
      </c>
      <c r="E142" s="63">
        <f t="shared" si="5"/>
        <v>30640</v>
      </c>
    </row>
    <row r="143" spans="1:7" x14ac:dyDescent="0.3">
      <c r="A143" s="2">
        <v>8</v>
      </c>
      <c r="C143" s="38" t="s">
        <v>62</v>
      </c>
      <c r="D143" s="42">
        <f>TRUNC(5894,-1)</f>
        <v>5890</v>
      </c>
      <c r="E143" s="63">
        <f t="shared" si="5"/>
        <v>19470</v>
      </c>
    </row>
    <row r="144" spans="1:7" x14ac:dyDescent="0.3">
      <c r="A144" s="2">
        <v>9</v>
      </c>
      <c r="C144" s="38" t="s">
        <v>63</v>
      </c>
      <c r="D144" s="42">
        <f>TRUNC(20823,-1)</f>
        <v>20820</v>
      </c>
      <c r="E144" s="63">
        <f t="shared" si="5"/>
        <v>68820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80930</v>
      </c>
      <c r="E146" s="39">
        <f>SUM(E136:E145)</f>
        <v>267500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TRUNC(5959+1784,-1)</f>
        <v>7740</v>
      </c>
      <c r="E149" s="62">
        <f>TRUNC(+D149*3.3058,-1)</f>
        <v>25580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TRUNC(2090,-1)</f>
        <v>2090</v>
      </c>
      <c r="E150" s="63">
        <f>TRUNC(+D150*3.3058,-1)</f>
        <v>6900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TRUNC(163+2795,-1)</f>
        <v>2950</v>
      </c>
      <c r="E152" s="63">
        <f>TRUNC(+D152*3.3058,-1)</f>
        <v>9750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TRUNC(16104,-1)</f>
        <v>16100</v>
      </c>
      <c r="E153" s="64">
        <f>TRUNC(+D153*3.3058,-1)</f>
        <v>53220</v>
      </c>
    </row>
    <row r="154" spans="1:7" x14ac:dyDescent="0.3">
      <c r="A154" s="2">
        <v>6</v>
      </c>
      <c r="C154" s="27" t="s">
        <v>112</v>
      </c>
      <c r="D154" s="39">
        <f>SUM(D149:D153)</f>
        <v>28880</v>
      </c>
      <c r="E154" s="39">
        <f>SUM(E149:E153)</f>
        <v>95450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TRUNC(41060,-1)</f>
        <v>41060</v>
      </c>
      <c r="E157" s="62">
        <f>TRUNC(+D157*3.3058,-1)</f>
        <v>135730</v>
      </c>
    </row>
    <row r="158" spans="1:7" x14ac:dyDescent="0.3">
      <c r="A158" s="2">
        <v>2</v>
      </c>
      <c r="C158" s="38" t="s">
        <v>52</v>
      </c>
      <c r="D158" s="42">
        <f>TRUNC(10899,-1)</f>
        <v>10890</v>
      </c>
      <c r="E158" s="63">
        <f>TRUNC(+D158*3.3058,-1)</f>
        <v>36000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TRUNC(33878+909,-1)</f>
        <v>34780</v>
      </c>
      <c r="E159" s="63">
        <f>TRUNC(+D159*3.3058,-1)</f>
        <v>114970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f>TRUNC(43112,-1)</f>
        <v>43110</v>
      </c>
      <c r="E160" s="64">
        <f>TRUNC(+D160*3.3058,-1)</f>
        <v>142510</v>
      </c>
    </row>
    <row r="161" spans="1:5" x14ac:dyDescent="0.3">
      <c r="A161" s="2">
        <v>5</v>
      </c>
      <c r="C161" s="27" t="s">
        <v>112</v>
      </c>
      <c r="D161" s="39">
        <f>SUM(D157:D160)</f>
        <v>129840</v>
      </c>
      <c r="E161" s="39">
        <f>SUM(E157:E160)</f>
        <v>429210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2020-12-08T04:42:08Z</dcterms:modified>
</cp:coreProperties>
</file>