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3" i="4"/>
  <c r="D152" i="4"/>
  <c r="D151" i="4"/>
  <c r="D150" i="4"/>
  <c r="D149" i="4"/>
  <c r="D144" i="4"/>
  <c r="D143" i="4"/>
  <c r="D142" i="4"/>
  <c r="D139" i="4"/>
  <c r="D137" i="4"/>
  <c r="D132" i="4"/>
  <c r="D131" i="4"/>
  <c r="D130" i="4"/>
  <c r="D126" i="4"/>
  <c r="D125" i="4"/>
  <c r="D122" i="4"/>
  <c r="D118" i="4"/>
  <c r="D117" i="4"/>
  <c r="D105" i="4"/>
  <c r="D104" i="4"/>
  <c r="D102" i="4"/>
  <c r="D101" i="4"/>
  <c r="D100" i="4"/>
  <c r="D99" i="4"/>
  <c r="D98" i="4"/>
  <c r="D92" i="4"/>
  <c r="D73" i="4"/>
  <c r="D70" i="4"/>
  <c r="D69" i="4"/>
  <c r="D63" i="4"/>
  <c r="D59" i="4"/>
  <c r="D58" i="4"/>
  <c r="D53" i="4"/>
  <c r="D52" i="4"/>
  <c r="D49" i="4"/>
  <c r="D48" i="4"/>
  <c r="D46" i="4"/>
  <c r="D45" i="4"/>
  <c r="D43" i="4"/>
  <c r="D42" i="4"/>
  <c r="D41" i="4"/>
  <c r="D40" i="4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<sst xmlns="http://schemas.openxmlformats.org/spreadsheetml/2006/main" count="388" uniqueCount="262">
  <si>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</si>
  <si>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</si>
  <si>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</si>
  <si>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</si>
  <si>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</si>
  <si>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</si>
  <si>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</si>
  <si>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</si>
  <si>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</si>
  <si>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</si>
  <si>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</si>
  <si>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</si>
  <si>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</si>
  <si>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</si>
  <si>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</si>
  <si>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</si>
  <si>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</si>
  <si>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</si>
  <si>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</si>
  <si>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</si>
  <si>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</si>
  <si>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</si>
  <si>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</si>
  <si>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</si>
  <si>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</si>
  <si>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</si>
  <si>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</si>
  <si>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</si>
  <si>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</si>
  <si>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</si>
  <si>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</si>
  <si>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</si>
  <si>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</si>
  <si>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</si>
  <si>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</si>
  <si>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</si>
  <si>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</si>
  <si>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</si>
  <si>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</si>
  <si>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</si>
  <si>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</si>
  <si>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</si>
  <si>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</si>
  <si>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</si>
  <si>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</si>
  <si>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</si>
  <si>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</si>
  <si>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</si>
  <si>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</si>
  <si>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</si>
  <si>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</si>
  <si>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</si>
  <si>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</si>
  <si>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</si>
  <si>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</si>
  <si>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</si>
  <si>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</si>
  <si>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</si>
  <si>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</si>
  <si>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</si>
  <si>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</si>
  <si>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</si>
  <si>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</si>
  <si>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</si>
  <si>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</si>
  <si>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</si>
  <si>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</si>
  <si>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</si>
  <si>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</si>
  <si>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</si>
  <si>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</si>
  <si>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</si>
  <si>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</si>
  <si>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</si>
  <si>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</si>
  <si>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</si>
  <si>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</si>
  <si>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</si>
  <si>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</si>
  <si>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</si>
  <si>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</si>
  <si>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</si>
  <si>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</si>
  <si>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</si>
  <si>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</si>
  <si>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</si>
  <si>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</si>
  <si>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</si>
  <si>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</si>
  <si>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</si>
  <si>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</si>
  <si>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</si>
  <si>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</si>
  <si>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</si>
  <si>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</si>
  <si>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</si>
  <si>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</si>
  <si>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</si>
  <si>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</si>
  <si>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</si>
  <si>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</si>
  <si>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</si>
  <si>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</si>
  <si>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</si>
  <si>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</si>
  <si>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</si>
  <si>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</si>
  <si>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</si>
  <si>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</si>
  <si>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</si>
  <si>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</si>
  <si>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</si>
  <si>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</si>
  <si>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</si>
  <si>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</si>
  <si>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</si>
  <si>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</si>
  <si>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</si>
  <si>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</si>
  <si>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</si>
  <si>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</si>
  <si>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</si>
  <si>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</si>
  <si>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</si>
  <si>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</si>
  <si>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</si>
  <si>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</si>
  <si>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</si>
  <si>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</si>
  <si>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</si>
  <si>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</si>
  <si>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</si>
  <si>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</si>
  <si>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</si>
  <si>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</si>
  <si>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</si>
  <si>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</si>
  <si>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</si>
  <si>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</si>
  <si>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</si>
  <si>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</si>
  <si>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</si>
  <si>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</si>
  <si>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</si>
  <si>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</si>
  <si>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</si>
  <si>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</si>
  <si>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</si>
  <si>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</si>
  <si>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</si>
  <si>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</si>
  <si>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</si>
  <si>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</si>
  <si>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</si>
  <si>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</si>
  <si>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</si>
  <si>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</si>
  <si>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</si>
  <si>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</si>
  <si>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</si>
  <si>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</si>
  <si>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</si>
  <si>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</si>
  <si>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</si>
  <si>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</si>
  <si>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</si>
  <si>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</si>
  <si>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</si>
  <si>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</si>
  <si>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</si>
  <si>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</si>
  <si>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</si>
  <si>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</si>
  <si>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</si>
  <si>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</si>
  <si>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</si>
  <si>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</si>
  <si>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</si>
  <si>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</si>
  <si>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</si>
  <si>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</si>
  <si>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</si>
  <si>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</si>
  <si>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</si>
  <si>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</si>
  <si>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</si>
  <si>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</si>
  <si>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</si>
  <si>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</si>
  <si>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</si>
  <si>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</si>
  <si>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</si>
  <si>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</si>
  <si>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</si>
  <si>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</si>
  <si>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</si>
  <si>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</si>
  <si>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</si>
  <si>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</si>
  <si>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</si>
  <si>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</si>
  <si>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</si>
  <si>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</si>
  <si>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</si>
  <si>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</si>
  <si>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</si>
  <si>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</si>
  <si>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</si>
  <si>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</si>
  <si>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</si>
  <si>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</si>
  <si>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</si>
  <si>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</si>
  <si>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</si>
  <si>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</si>
  <si>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</si>
  <si>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</si>
  <si>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</si>
  <si>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</si>
  <si>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</si>
  <si>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</si>
  <si>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</si>
  <si>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</si>
  <si>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</si>
  <si>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</si>
  <si>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</si>
  <si>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</si>
  <si>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</si>
  <si>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</si>
  <si>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</si>
  <si>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</si>
  <si>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</si>
  <si>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</si>
  <si>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</si>
  <si>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</si>
  <si>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</si>
  <si>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</si>
  <si>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</si>
  <si>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</si>
  <si>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</si>
  <si>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</si>
  <si>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</si>
  <si>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</si>
  <si>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</si>
  <si>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</si>
  <si>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</si>
  <si>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</si>
  <si>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</si>
  <si>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</si>
  <si>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</si>
  <si>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진영2초중통합학교 교사 신축공사</t>
    <phoneticPr fontId="2" type="noConversion"/>
  </si>
  <si>
    <t>경상도</t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</si>
  <si>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</si>
  <si>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</si>
  <si>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품질시험비, 기타공사</t>
    <phoneticPr fontId="2" type="noConversion"/>
  </si>
  <si>
    <t>공조배관공사, 난방배관공사</t>
    <phoneticPr fontId="2" type="noConversion"/>
  </si>
  <si>
    <t>CATV 및 TV 설비공사</t>
    <phoneticPr fontId="2" type="noConversion"/>
  </si>
  <si>
    <t xml:space="preserve">CCTV설비공사 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</si>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</sst>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14877.02</v>
      </c>
      <c r="D7" s="36">
        <f>+C7/3.3058</f>
        <v>4500.2782987476558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966270</v>
      </c>
      <c r="E25" s="59">
        <f t="shared" si="0"/>
        <v>3194290</v>
      </c>
    </row>
    <row r="26" spans="1:5" x14ac:dyDescent="0.3">
      <c r="B26" s="2">
        <v>3</v>
      </c>
      <c r="C26" s="35" t="s">
        <v>95</v>
      </c>
      <c r="D26" s="45">
        <f>+D66</f>
        <v>2200</v>
      </c>
      <c r="E26" s="59">
        <f t="shared" si="0"/>
        <v>7270</v>
      </c>
    </row>
    <row r="27" spans="1:5" x14ac:dyDescent="0.3">
      <c r="B27" s="2">
        <v>4</v>
      </c>
      <c r="C27" s="35" t="s">
        <v>96</v>
      </c>
      <c r="D27" s="45">
        <f>+D95</f>
        <v>155680</v>
      </c>
      <c r="E27" s="59">
        <f t="shared" si="0"/>
        <v>514640</v>
      </c>
    </row>
    <row r="28" spans="1:5" x14ac:dyDescent="0.3">
      <c r="B28" s="2">
        <v>5</v>
      </c>
      <c r="C28" s="35" t="s">
        <v>97</v>
      </c>
      <c r="D28" s="45">
        <f>+D119</f>
        <v>175360</v>
      </c>
      <c r="E28" s="59">
        <f t="shared" si="0"/>
        <v>579700</v>
      </c>
    </row>
    <row r="29" spans="1:5" x14ac:dyDescent="0.3">
      <c r="B29" s="2">
        <v>6</v>
      </c>
      <c r="C29" s="35" t="s">
        <v>98</v>
      </c>
      <c r="D29" s="45">
        <f>+D133</f>
        <v>74310</v>
      </c>
      <c r="E29" s="59">
        <f t="shared" si="0"/>
        <v>245650</v>
      </c>
    </row>
    <row r="30" spans="1:5" x14ac:dyDescent="0.3">
      <c r="B30" s="2">
        <v>7</v>
      </c>
      <c r="C30" s="35" t="s">
        <v>99</v>
      </c>
      <c r="D30" s="45">
        <f>+D146</f>
        <v>58220</v>
      </c>
      <c r="E30" s="59">
        <f t="shared" si="0"/>
        <v>192460</v>
      </c>
    </row>
    <row r="31" spans="1:5" x14ac:dyDescent="0.3">
      <c r="B31" s="2">
        <v>8</v>
      </c>
      <c r="C31" s="35" t="s">
        <v>100</v>
      </c>
      <c r="D31" s="45">
        <f>+D154</f>
        <v>43300</v>
      </c>
      <c r="E31" s="59">
        <f t="shared" si="0"/>
        <v>143140</v>
      </c>
    </row>
    <row r="32" spans="1:5" x14ac:dyDescent="0.3">
      <c r="B32" s="2">
        <v>9</v>
      </c>
      <c r="C32" s="35" t="s">
        <v>101</v>
      </c>
      <c r="D32" s="45">
        <f>+D161</f>
        <v>23230</v>
      </c>
      <c r="E32" s="59">
        <f t="shared" si="0"/>
        <v>76790</v>
      </c>
    </row>
    <row r="33" spans="1:7" x14ac:dyDescent="0.3">
      <c r="B33" s="2">
        <v>10</v>
      </c>
      <c r="C33" s="35" t="s">
        <v>155</v>
      </c>
      <c r="D33" s="53">
        <f>TRUNC(SUM(D24:D32)*0.275,-1)</f>
        <v>412100</v>
      </c>
      <c r="E33" s="60">
        <f t="shared" si="0"/>
        <v>1362320</v>
      </c>
    </row>
    <row r="34" spans="1:7" x14ac:dyDescent="0.3">
      <c r="C34" s="35" t="s">
        <v>112</v>
      </c>
      <c r="D34" s="44">
        <f>SUM(D24:D33)</f>
        <v>1910670</v>
      </c>
      <c r="E34" s="44">
        <f>SUM(E24:E33)</f>
        <v>6316260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TRUNC(47472,-1)</f>
        <v>47470</v>
      </c>
      <c r="E40" s="62">
        <f t="shared" ref="E40:E59" si="1">TRUNC(+D40*3.3058,-1)</f>
        <v>156920</v>
      </c>
    </row>
    <row r="41" spans="1:7" x14ac:dyDescent="0.3">
      <c r="A41" s="2">
        <v>2</v>
      </c>
      <c r="C41" s="38" t="s">
        <v>13</v>
      </c>
      <c r="D41" s="42">
        <f>TRUNC(170413,-1)</f>
        <v>170410</v>
      </c>
      <c r="E41" s="63">
        <f t="shared" si="1"/>
        <v>563340</v>
      </c>
    </row>
    <row r="42" spans="1:7" x14ac:dyDescent="0.3">
      <c r="A42" s="2">
        <v>3</v>
      </c>
      <c r="C42" s="38" t="s">
        <v>14</v>
      </c>
      <c r="D42" s="42">
        <f>TRUNC(9724,-1)</f>
        <v>9720</v>
      </c>
      <c r="E42" s="63">
        <f t="shared" si="1"/>
        <v>32130</v>
      </c>
    </row>
    <row r="43" spans="1:7" x14ac:dyDescent="0.3">
      <c r="A43" s="2">
        <v>4</v>
      </c>
      <c r="C43" s="38" t="s">
        <v>16</v>
      </c>
      <c r="D43" s="42">
        <f>TRUNC(28734,-1)</f>
        <v>28730</v>
      </c>
      <c r="E43" s="63">
        <f t="shared" si="1"/>
        <v>94970</v>
      </c>
    </row>
    <row r="44" spans="1:7" x14ac:dyDescent="0.3">
      <c r="A44" s="2">
        <v>5</v>
      </c>
      <c r="C44" s="38" t="s">
        <v>17</v>
      </c>
      <c r="D44" s="42">
        <v>22730</v>
      </c>
      <c r="E44" s="63">
        <f t="shared" si="1"/>
        <v>75140</v>
      </c>
    </row>
    <row r="45" spans="1:7" x14ac:dyDescent="0.3">
      <c r="A45" s="2">
        <v>6</v>
      </c>
      <c r="C45" s="38" t="s">
        <v>18</v>
      </c>
      <c r="D45" s="42">
        <f>TRUNC(11693,-1)</f>
        <v>11690</v>
      </c>
      <c r="E45" s="63">
        <f t="shared" si="1"/>
        <v>38640</v>
      </c>
    </row>
    <row r="46" spans="1:7" x14ac:dyDescent="0.3">
      <c r="A46" s="2">
        <v>7</v>
      </c>
      <c r="C46" s="38" t="s">
        <v>19</v>
      </c>
      <c r="D46" s="42">
        <f>TRUNC(24981,-1)</f>
        <v>24980</v>
      </c>
      <c r="E46" s="63">
        <f t="shared" si="1"/>
        <v>82570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TRUNC(52624,-1)</f>
        <v>52620</v>
      </c>
      <c r="E48" s="63">
        <f t="shared" si="1"/>
        <v>173950</v>
      </c>
    </row>
    <row r="49" spans="1:7" x14ac:dyDescent="0.3">
      <c r="A49" s="2">
        <v>10</v>
      </c>
      <c r="C49" s="38" t="s">
        <v>22</v>
      </c>
      <c r="D49" s="42">
        <f>TRUNC(24869,-1)</f>
        <v>24860</v>
      </c>
      <c r="E49" s="63">
        <f t="shared" si="1"/>
        <v>82180</v>
      </c>
    </row>
    <row r="50" spans="1:7" x14ac:dyDescent="0.3">
      <c r="A50" s="2">
        <v>11</v>
      </c>
      <c r="C50" s="38" t="s">
        <v>156</v>
      </c>
      <c r="D50" s="42">
        <v>49820</v>
      </c>
      <c r="E50" s="63">
        <f t="shared" si="1"/>
        <v>164690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TRUNC(8319,-1)</f>
        <v>8310</v>
      </c>
      <c r="E52" s="63">
        <f t="shared" si="1"/>
        <v>27470</v>
      </c>
    </row>
    <row r="53" spans="1:7" x14ac:dyDescent="0.3">
      <c r="A53" s="2">
        <v>14</v>
      </c>
      <c r="C53" s="38" t="s">
        <v>25</v>
      </c>
      <c r="D53" s="42">
        <f>TRUNC(135258,-1)</f>
        <v>135250</v>
      </c>
      <c r="E53" s="63">
        <f t="shared" si="1"/>
        <v>447100</v>
      </c>
      <c r="F53" s="2" t="s">
        <v>253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TRUNC(31426+10274+295+12741,-1)</f>
        <v>54730</v>
      </c>
      <c r="E58" s="63">
        <f t="shared" si="1"/>
        <v>180920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43">
        <f>TRUNC(324953,-1)</f>
        <v>324950</v>
      </c>
      <c r="E59" s="64">
        <f t="shared" si="1"/>
        <v>1074210</v>
      </c>
    </row>
    <row r="60" spans="1:7" x14ac:dyDescent="0.3">
      <c r="A60" s="2">
        <v>21</v>
      </c>
      <c r="C60" s="27" t="s">
        <v>112</v>
      </c>
      <c r="D60" s="39">
        <f>SUM(D40:D59)</f>
        <v>966270</v>
      </c>
      <c r="E60" s="39">
        <f>SUM(E40:E59)</f>
        <v>3194230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TRUNC(2205,-1)</f>
        <v>2200</v>
      </c>
      <c r="E63" s="62">
        <f>TRUNC(+D63*3.3058,-1)</f>
        <v>7270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2200</v>
      </c>
      <c r="E66" s="65">
        <f>SUM(E63:E65)</f>
        <v>7270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TRUNC(4409,-1)</f>
        <v>4400</v>
      </c>
      <c r="E69" s="62">
        <f t="shared" ref="E69:E94" si="2">TRUNC(+D69*3.3058,-1)</f>
        <v>14540</v>
      </c>
    </row>
    <row r="70" spans="1:7" ht="16.5" customHeight="1" x14ac:dyDescent="0.3">
      <c r="A70" s="2">
        <v>2</v>
      </c>
      <c r="C70" s="38" t="s">
        <v>31</v>
      </c>
      <c r="D70" s="42">
        <f>TRUNC(2531,-1)</f>
        <v>2530</v>
      </c>
      <c r="E70" s="63">
        <f t="shared" si="2"/>
        <v>8360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2680</v>
      </c>
      <c r="E72" s="63">
        <f t="shared" si="2"/>
        <v>8850</v>
      </c>
    </row>
    <row r="73" spans="1:7" x14ac:dyDescent="0.3">
      <c r="A73" s="2">
        <v>5</v>
      </c>
      <c r="C73" s="38" t="s">
        <v>34</v>
      </c>
      <c r="D73" s="42">
        <f>TRUNC(28099,-1)</f>
        <v>28090</v>
      </c>
      <c r="E73" s="63">
        <f t="shared" si="2"/>
        <v>92850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TRUNC(14231,-1)</f>
        <v>14230</v>
      </c>
      <c r="E92" s="63">
        <f t="shared" si="2"/>
        <v>47040</v>
      </c>
    </row>
    <row r="93" spans="1:7" x14ac:dyDescent="0.3">
      <c r="A93" s="2">
        <v>25</v>
      </c>
      <c r="C93" s="38" t="s">
        <v>149</v>
      </c>
      <c r="D93" s="42">
        <v>97640</v>
      </c>
      <c r="E93" s="63">
        <f t="shared" si="2"/>
        <v>322770</v>
      </c>
    </row>
    <row r="94" spans="1:7" ht="17.25" thickBot="1" x14ac:dyDescent="0.35">
      <c r="A94" s="2">
        <v>26</v>
      </c>
      <c r="C94" s="38" t="s">
        <v>47</v>
      </c>
      <c r="D94" s="43">
        <f>3395+2715</f>
        <v>6110</v>
      </c>
      <c r="E94" s="64">
        <f t="shared" si="2"/>
        <v>20190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155680</v>
      </c>
      <c r="E95" s="39">
        <f>SUM(E69:E94)</f>
        <v>514600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TRUNC(11202,-1)</f>
        <v>11200</v>
      </c>
      <c r="E98" s="62">
        <f t="shared" ref="E98:E118" si="3">TRUNC(+D98*3.3058,-1)</f>
        <v>37020</v>
      </c>
    </row>
    <row r="99" spans="1:7" x14ac:dyDescent="0.3">
      <c r="A99" s="2">
        <v>2</v>
      </c>
      <c r="C99" s="38" t="s">
        <v>40</v>
      </c>
      <c r="D99" s="42">
        <f>TRUNC(1283,-1)</f>
        <v>1280</v>
      </c>
      <c r="E99" s="63">
        <f t="shared" si="3"/>
        <v>4230</v>
      </c>
    </row>
    <row r="100" spans="1:7" x14ac:dyDescent="0.3">
      <c r="A100" s="2">
        <v>3</v>
      </c>
      <c r="C100" s="38" t="s">
        <v>41</v>
      </c>
      <c r="D100" s="42">
        <f>TRUNC(27106,-1)</f>
        <v>27100</v>
      </c>
      <c r="E100" s="63">
        <f t="shared" si="3"/>
        <v>89580</v>
      </c>
    </row>
    <row r="101" spans="1:7" x14ac:dyDescent="0.3">
      <c r="A101" s="2">
        <v>4</v>
      </c>
      <c r="C101" s="38" t="s">
        <v>42</v>
      </c>
      <c r="D101" s="42">
        <f>TRUNC(1347,-1)</f>
        <v>1340</v>
      </c>
      <c r="E101" s="63">
        <f t="shared" si="3"/>
        <v>4420</v>
      </c>
    </row>
    <row r="102" spans="1:7" x14ac:dyDescent="0.3">
      <c r="A102" s="2">
        <v>5</v>
      </c>
      <c r="C102" s="38" t="s">
        <v>43</v>
      </c>
      <c r="D102" s="42">
        <f>TRUNC(19884,-1)</f>
        <v>19880</v>
      </c>
      <c r="E102" s="63">
        <f t="shared" si="3"/>
        <v>65710</v>
      </c>
    </row>
    <row r="103" spans="1:7" x14ac:dyDescent="0.3">
      <c r="A103" s="2">
        <v>6</v>
      </c>
      <c r="C103" s="38" t="s">
        <v>44</v>
      </c>
      <c r="D103" s="42">
        <v>5960</v>
      </c>
      <c r="E103" s="63">
        <f t="shared" si="3"/>
        <v>19700</v>
      </c>
    </row>
    <row r="104" spans="1:7" x14ac:dyDescent="0.3">
      <c r="A104" s="2">
        <v>7</v>
      </c>
      <c r="C104" s="38" t="s">
        <v>45</v>
      </c>
      <c r="D104" s="42">
        <f>TRUNC(3028,-1)</f>
        <v>3020</v>
      </c>
      <c r="E104" s="63">
        <f t="shared" si="3"/>
        <v>9980</v>
      </c>
    </row>
    <row r="105" spans="1:7" x14ac:dyDescent="0.3">
      <c r="A105" s="2">
        <v>8</v>
      </c>
      <c r="C105" s="38" t="s">
        <v>46</v>
      </c>
      <c r="D105" s="42">
        <f>TRUNC(8592,-1)</f>
        <v>8590</v>
      </c>
      <c r="E105" s="63">
        <f t="shared" si="3"/>
        <v>28390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TRUNC(95161,-1)</f>
        <v>95160</v>
      </c>
      <c r="E117" s="63">
        <f t="shared" si="3"/>
        <v>314570</v>
      </c>
    </row>
    <row r="118" spans="1:7" ht="17.25" thickBot="1" x14ac:dyDescent="0.35">
      <c r="A118" s="2">
        <v>21</v>
      </c>
      <c r="C118" s="38" t="s">
        <v>47</v>
      </c>
      <c r="D118" s="43">
        <f>TRUNC(1837,-1)</f>
        <v>1830</v>
      </c>
      <c r="E118" s="64">
        <f t="shared" si="3"/>
        <v>6040</v>
      </c>
    </row>
    <row r="119" spans="1:7" x14ac:dyDescent="0.3">
      <c r="A119" s="2">
        <v>22</v>
      </c>
      <c r="C119" s="27" t="s">
        <v>112</v>
      </c>
      <c r="D119" s="39">
        <f>SUM(D98:D118)</f>
        <v>175360</v>
      </c>
      <c r="E119" s="39">
        <f>SUM(E98:E118)</f>
        <v>579640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TRUNC(5933,-1)</f>
        <v>5930</v>
      </c>
      <c r="E122" s="62">
        <f t="shared" ref="E122:E132" si="4">TRUNC(+D122*3.3058,-1)</f>
        <v>19600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1170</v>
      </c>
      <c r="E124" s="63">
        <f t="shared" si="4"/>
        <v>3860</v>
      </c>
    </row>
    <row r="125" spans="1:7" x14ac:dyDescent="0.3">
      <c r="A125" s="2">
        <v>4</v>
      </c>
      <c r="C125" s="38" t="s">
        <v>138</v>
      </c>
      <c r="D125" s="42">
        <f>TRUNC(8695,-1)</f>
        <v>8690</v>
      </c>
      <c r="E125" s="63">
        <f t="shared" si="4"/>
        <v>28720</v>
      </c>
    </row>
    <row r="126" spans="1:7" x14ac:dyDescent="0.3">
      <c r="A126" s="2">
        <v>5</v>
      </c>
      <c r="C126" s="38" t="s">
        <v>53</v>
      </c>
      <c r="D126" s="42">
        <f>TRUNC(1448,-1)</f>
        <v>1440</v>
      </c>
      <c r="E126" s="63">
        <f t="shared" si="4"/>
        <v>4760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6270</v>
      </c>
      <c r="E128" s="63">
        <f t="shared" si="4"/>
        <v>20720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TRUNC(10361,-1)</f>
        <v>10360</v>
      </c>
      <c r="E130" s="63">
        <f t="shared" si="4"/>
        <v>34240</v>
      </c>
    </row>
    <row r="131" spans="1:7" x14ac:dyDescent="0.3">
      <c r="A131" s="2">
        <v>10</v>
      </c>
      <c r="C131" s="38" t="s">
        <v>149</v>
      </c>
      <c r="D131" s="42">
        <f>TRUNC(38675,-1)</f>
        <v>38670</v>
      </c>
      <c r="E131" s="63">
        <f t="shared" si="4"/>
        <v>127830</v>
      </c>
    </row>
    <row r="132" spans="1:7" ht="18" thickBot="1" x14ac:dyDescent="0.35">
      <c r="A132" s="2">
        <v>11</v>
      </c>
      <c r="C132" s="38" t="s">
        <v>47</v>
      </c>
      <c r="D132" s="43">
        <f>TRUNC(1786,-1)</f>
        <v>1780</v>
      </c>
      <c r="E132" s="64">
        <f t="shared" si="4"/>
        <v>5880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74310</v>
      </c>
      <c r="E133" s="39">
        <f>SUM(E122:E132)</f>
        <v>245610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TRUNC(7506,-1)</f>
        <v>7500</v>
      </c>
      <c r="E137" s="63">
        <f t="shared" si="5"/>
        <v>24790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TRUNC(2438,-1)</f>
        <v>2430</v>
      </c>
      <c r="E139" s="63">
        <f t="shared" si="5"/>
        <v>8030</v>
      </c>
    </row>
    <row r="140" spans="1:7" x14ac:dyDescent="0.3">
      <c r="A140" s="2">
        <v>5</v>
      </c>
      <c r="C140" s="38" t="s">
        <v>57</v>
      </c>
      <c r="D140" s="42">
        <v>1720</v>
      </c>
      <c r="E140" s="63">
        <f t="shared" si="5"/>
        <v>5680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TRUNC(34038,-1)</f>
        <v>34030</v>
      </c>
      <c r="E142" s="63">
        <f t="shared" si="5"/>
        <v>112490</v>
      </c>
    </row>
    <row r="143" spans="1:7" x14ac:dyDescent="0.3">
      <c r="A143" s="2">
        <v>8</v>
      </c>
      <c r="C143" s="38" t="s">
        <v>62</v>
      </c>
      <c r="D143" s="42">
        <f>TRUNC(5827,-1)</f>
        <v>5820</v>
      </c>
      <c r="E143" s="63">
        <f t="shared" si="5"/>
        <v>19230</v>
      </c>
    </row>
    <row r="144" spans="1:7" x14ac:dyDescent="0.3">
      <c r="A144" s="2">
        <v>9</v>
      </c>
      <c r="C144" s="38" t="s">
        <v>63</v>
      </c>
      <c r="D144" s="42">
        <f>TRUNC(6725,-1)</f>
        <v>6720</v>
      </c>
      <c r="E144" s="63">
        <f t="shared" si="5"/>
        <v>22210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58220</v>
      </c>
      <c r="E146" s="39">
        <f>SUM(E136:E145)</f>
        <v>192430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TRUNC(5271+2293,-1)</f>
        <v>7560</v>
      </c>
      <c r="E149" s="62">
        <f>TRUNC(+D149*3.3058,-1)</f>
        <v>24990</v>
      </c>
    </row>
    <row r="150" spans="1:7" x14ac:dyDescent="0.3">
      <c r="A150" s="2">
        <v>2</v>
      </c>
      <c r="C150" s="38" t="s">
        <v>49</v>
      </c>
      <c r="D150" s="42">
        <f>TRUNC(11035,-1)</f>
        <v>11030</v>
      </c>
      <c r="E150" s="63">
        <f>TRUNC(+D150*3.3058,-1)</f>
        <v>36460</v>
      </c>
    </row>
    <row r="151" spans="1:7" x14ac:dyDescent="0.3">
      <c r="A151" s="2">
        <v>3</v>
      </c>
      <c r="C151" s="38" t="s">
        <v>50</v>
      </c>
      <c r="D151" s="42">
        <f>TRUNC(1161,-1)</f>
        <v>1160</v>
      </c>
      <c r="E151" s="63">
        <f>TRUNC(+D151*3.3058,-1)</f>
        <v>3830</v>
      </c>
    </row>
    <row r="152" spans="1:7" x14ac:dyDescent="0.3">
      <c r="A152" s="2">
        <v>4</v>
      </c>
      <c r="C152" s="38" t="s">
        <v>47</v>
      </c>
      <c r="D152" s="42">
        <f>TRUNC(3177,-1)</f>
        <v>3170</v>
      </c>
      <c r="E152" s="63">
        <f>TRUNC(+D152*3.3058,-1)</f>
        <v>10470</v>
      </c>
    </row>
    <row r="153" spans="1:7" ht="17.25" thickBot="1" x14ac:dyDescent="0.35">
      <c r="A153" s="2">
        <v>5</v>
      </c>
      <c r="C153" s="38" t="s">
        <v>149</v>
      </c>
      <c r="D153" s="43">
        <f>TRUNC(20388,-1)</f>
        <v>20380</v>
      </c>
      <c r="E153" s="64">
        <f>TRUNC(+D153*3.3058,-1)</f>
        <v>67370</v>
      </c>
    </row>
    <row r="154" spans="1:7" x14ac:dyDescent="0.3">
      <c r="A154" s="2">
        <v>6</v>
      </c>
      <c r="C154" s="27" t="s">
        <v>112</v>
      </c>
      <c r="D154" s="39">
        <f>SUM(D149:D153)</f>
        <v>43300</v>
      </c>
      <c r="E154" s="39">
        <f>SUM(E149:E153)</f>
        <v>143120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15850</v>
      </c>
      <c r="E157" s="62">
        <f>TRUNC(+D157*3.3058,-1)</f>
        <v>52390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TRUNC(2854,-1)</f>
        <v>2850</v>
      </c>
      <c r="E159" s="63">
        <f>TRUNC(+D159*3.3058,-1)</f>
        <v>9420</v>
      </c>
      <c r="F159" s="2" t="s">
        <v>258</v>
      </c>
    </row>
    <row r="160" spans="1:7" ht="17.25" thickBot="1" x14ac:dyDescent="0.35">
      <c r="A160" s="2">
        <v>4</v>
      </c>
      <c r="C160" s="38" t="s">
        <v>149</v>
      </c>
      <c r="D160" s="43">
        <v>4530</v>
      </c>
      <c r="E160" s="64">
        <f>TRUNC(+D160*3.3058,-1)</f>
        <v>14970</v>
      </c>
    </row>
    <row r="161" spans="1:5" x14ac:dyDescent="0.3">
      <c r="A161" s="2">
        <v>5</v>
      </c>
      <c r="C161" s="27" t="s">
        <v>112</v>
      </c>
      <c r="D161" s="39">
        <f>SUM(D157:D160)</f>
        <v>23230</v>
      </c>
      <c r="E161" s="39">
        <f>SUM(E157:E160)</f>
        <v>76780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2020-12-08T04:37:39Z</dcterms:modified>
</cp:coreProperties>
</file>