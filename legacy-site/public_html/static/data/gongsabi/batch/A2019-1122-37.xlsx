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9" i="4" l="1"/>
  <c r="D93" i="4"/>
  <c r="D117" i="4"/>
  <c r="D131" i="4"/>
  <c r="D153" i="4"/>
  <c r="D152" i="4"/>
  <c r="D150" i="4"/>
  <c r="D149" i="4"/>
  <c r="D65" i="4"/>
  <c r="D63" i="4"/>
  <c r="D137" i="4"/>
  <c r="D138" i="4"/>
  <c r="D140" i="4"/>
  <c r="D128" i="4"/>
  <c r="D132" i="4"/>
  <c r="D124" i="4"/>
  <c r="D125" i="4"/>
  <c r="D122" i="4"/>
  <c r="D130" i="4"/>
  <c r="D105" i="4"/>
  <c r="D118" i="4"/>
  <c r="D104" i="4"/>
  <c r="D102" i="4"/>
  <c r="D100" i="4"/>
  <c r="D99" i="4"/>
  <c r="D114" i="4"/>
  <c r="D98" i="4"/>
  <c r="D94" i="4"/>
  <c r="D75" i="4"/>
  <c r="D76" i="4"/>
  <c r="D92" i="4"/>
  <c r="D91" i="4"/>
  <c r="D89" i="4"/>
  <c r="D73" i="4"/>
  <c r="D72" i="4"/>
  <c r="D71" i="4"/>
  <c r="D70" i="4"/>
  <c r="D69" i="4"/>
  <c r="D58" i="4"/>
  <c r="D53" i="4"/>
  <c r="D52" i="4"/>
  <c r="D50" i="4"/>
  <c r="D49" i="4"/>
  <c r="D48" i="4"/>
  <c r="D45" i="4"/>
  <c r="D46" i="4"/>
  <c r="D44" i="4"/>
  <c r="D43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66" i="4"/>
  <c r="E146" i="4"/>
  <c r="E133" i="4"/>
  <c r="E119" i="4"/>
  <c r="E95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<sst xmlns="http://schemas.openxmlformats.org/spreadsheetml/2006/main" count="392" uniqueCount="265">
  <si>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</si>
  <si>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</si>
  <si>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</si>
  <si>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</si>
  <si>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</si>
  <si>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</si>
  <si>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</si>
  <si>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</si>
  <si>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</si>
  <si>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</si>
  <si>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</si>
  <si>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</si>
  <si>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</si>
  <si>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</si>
  <si>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</si>
  <si>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</si>
  <si>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</si>
  <si>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</si>
  <si>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</si>
  <si>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</si>
  <si>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</si>
  <si>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</si>
  <si>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</si>
  <si>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</si>
  <si>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</si>
  <si>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</si>
  <si>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</si>
  <si>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</si>
  <si>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</si>
  <si>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</si>
  <si>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</si>
  <si>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</si>
  <si>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</si>
  <si>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</si>
  <si>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</si>
  <si>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</si>
  <si>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</si>
  <si>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</si>
  <si>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</si>
  <si>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</si>
  <si>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</si>
  <si>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</si>
  <si>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</si>
  <si>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</si>
  <si>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</si>
  <si>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</si>
  <si>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</si>
  <si>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</si>
  <si>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</si>
  <si>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</si>
  <si>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</si>
  <si>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</si>
  <si>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</si>
  <si>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</si>
  <si>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</si>
  <si>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</si>
  <si>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</si>
  <si>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</si>
  <si>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</si>
  <si>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</si>
  <si>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</si>
  <si>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</si>
  <si>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</si>
  <si>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</si>
  <si>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</si>
  <si>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</si>
  <si>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</si>
  <si>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</si>
  <si>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</si>
  <si>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</si>
  <si>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</si>
  <si>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</si>
  <si>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</si>
  <si>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</si>
  <si>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</si>
  <si>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</si>
  <si>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</si>
  <si>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</si>
  <si>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</si>
  <si>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</si>
  <si>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</si>
  <si>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</si>
  <si>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</si>
  <si>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</si>
  <si>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</si>
  <si>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</si>
  <si>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</si>
  <si>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</si>
  <si>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</si>
  <si>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</si>
  <si>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</si>
  <si>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</si>
  <si>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</si>
  <si>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</si>
  <si>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</si>
  <si>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</si>
  <si>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</si>
  <si>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</si>
  <si>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</si>
  <si>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</si>
  <si>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</si>
  <si>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</si>
  <si>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</si>
  <si>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</si>
  <si>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</si>
  <si>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</si>
  <si>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</si>
  <si>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</si>
  <si>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</si>
  <si>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</si>
  <si>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</si>
  <si>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</si>
  <si>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</si>
  <si>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</si>
  <si>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</si>
  <si>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</si>
  <si>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</si>
  <si>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</si>
  <si>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</si>
  <si>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</si>
  <si>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</si>
  <si>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</si>
  <si>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</si>
  <si>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</si>
  <si>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</si>
  <si>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</si>
  <si>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</si>
  <si>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</si>
  <si>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</si>
  <si>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</si>
  <si>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</si>
  <si>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</si>
  <si>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</si>
  <si>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</si>
  <si>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</si>
  <si>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</si>
  <si>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</si>
  <si>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</si>
  <si>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</si>
  <si>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</si>
  <si>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</si>
  <si>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</si>
  <si>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</si>
  <si>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</si>
  <si>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</si>
  <si>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</si>
  <si>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</si>
  <si>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</si>
  <si>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</si>
  <si>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</si>
  <si>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</si>
  <si>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</si>
  <si>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</si>
  <si>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</si>
  <si>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</si>
  <si>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</si>
  <si>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</si>
  <si>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</si>
  <si>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</si>
  <si>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</si>
  <si>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</si>
  <si>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</si>
  <si>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</si>
  <si>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</si>
  <si>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</si>
  <si>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</si>
  <si>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</si>
  <si>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</si>
  <si>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</si>
  <si>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</si>
  <si>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</si>
  <si>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</si>
  <si>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</si>
  <si>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</si>
  <si>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</si>
  <si>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</si>
  <si>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</si>
  <si>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</si>
  <si>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</si>
  <si>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</si>
  <si>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</si>
  <si>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</si>
  <si>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</si>
  <si>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</si>
  <si>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</si>
  <si>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</si>
  <si>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</si>
  <si>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</si>
  <si>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</si>
  <si>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</si>
  <si>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</si>
  <si>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</si>
  <si>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</si>
  <si>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</si>
  <si>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</si>
  <si>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</si>
  <si>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</si>
  <si>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</si>
  <si>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</si>
  <si>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</si>
  <si>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</si>
  <si>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</si>
  <si>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</si>
  <si>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</si>
  <si>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</si>
  <si>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</si>
  <si>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</si>
  <si>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</si>
  <si>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</si>
  <si>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</si>
  <si>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</si>
  <si>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</si>
  <si>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</si>
  <si>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</si>
  <si>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</si>
  <si>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</si>
  <si>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</si>
  <si>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</si>
  <si>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</si>
  <si>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</si>
  <si>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</si>
  <si>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</si>
  <si>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</si>
  <si>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</si>
  <si>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</si>
  <si>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</si>
  <si>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</si>
  <si>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</si>
  <si>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</si>
  <si>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</si>
  <si>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</si>
  <si>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</si>
  <si>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</si>
  <si>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</si>
  <si>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</si>
  <si>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경기도</t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</si>
  <si>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</si>
  <si>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</si>
  <si>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</si>
  <si>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</si>
  <si>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</si>
  <si>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</si>
  <si>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</si>
  <si>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</si>
  <si>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</si>
  <si>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</si>
  <si>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</si>
  <si>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</si>
  <si>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</si>
  <si>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배곧도서관 건립공사(건축,토목,기계)</t>
    <phoneticPr fontId="2" type="noConversion"/>
  </si>
  <si>
    <t>교육연구</t>
  </si>
  <si>
    <t>(지붕및홈통공사 포함)</t>
  </si>
  <si>
    <t>창호및유리공사</t>
    <phoneticPr fontId="2" type="noConversion"/>
  </si>
  <si>
    <t>목공사및수장공사(인테리어공사 포함)</t>
    <phoneticPr fontId="2" type="noConversion"/>
  </si>
  <si>
    <t>기초공사,골재비및운반비,작업부산물,품질시험비,기타공사</t>
    <phoneticPr fontId="2" type="noConversion"/>
  </si>
  <si>
    <t>기타공사</t>
    <phoneticPr fontId="2" type="noConversion"/>
  </si>
  <si>
    <t>원격검침설비공사</t>
    <phoneticPr fontId="2" type="noConversion"/>
  </si>
  <si>
    <t>CATV 및 TV 설비공사</t>
    <phoneticPr fontId="2" type="noConversion"/>
  </si>
  <si>
    <t>CCTV설비공사,주차관제설비공사,기타공사</t>
    <phoneticPr fontId="2" type="noConversion"/>
  </si>
  <si>
    <t>펌프실배관공사</t>
    <phoneticPr fontId="2" type="noConversion"/>
  </si>
  <si>
    <t>우수공사,오수공사</t>
    <phoneticPr fontId="2" type="noConversion"/>
  </si>
  <si>
    <t>운반비,기타공사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</si>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</sst>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  <font>
      <sz val="11"/>
      <color rgb="FF50505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5" fillId="0" borderId="0" xfId="0" applyFont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0" t="s">
        <v>156</v>
      </c>
      <c r="B2" s="73" t="s">
        <v>0</v>
      </c>
      <c r="C2" s="74"/>
      <c r="D2" s="73" t="s">
        <v>1</v>
      </c>
      <c r="E2" s="74"/>
      <c r="F2" s="73" t="s">
        <v>157</v>
      </c>
      <c r="G2" s="74"/>
      <c r="H2" s="73" t="s">
        <v>2</v>
      </c>
      <c r="I2" s="74"/>
      <c r="J2" s="73" t="s">
        <v>3</v>
      </c>
      <c r="K2" s="74"/>
      <c r="L2" s="73" t="s">
        <v>158</v>
      </c>
      <c r="M2" s="74"/>
      <c r="N2" s="73" t="s">
        <v>159</v>
      </c>
      <c r="O2" s="74"/>
      <c r="P2" s="73" t="s">
        <v>5</v>
      </c>
      <c r="Q2" s="74"/>
      <c r="R2" s="67" t="s">
        <v>94</v>
      </c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9"/>
    </row>
    <row r="3" spans="1:33" x14ac:dyDescent="0.3">
      <c r="A3" s="71"/>
      <c r="B3" s="75"/>
      <c r="C3" s="76"/>
      <c r="D3" s="75"/>
      <c r="E3" s="76"/>
      <c r="F3" s="75"/>
      <c r="G3" s="76"/>
      <c r="H3" s="75"/>
      <c r="I3" s="76"/>
      <c r="J3" s="75"/>
      <c r="K3" s="76"/>
      <c r="L3" s="75"/>
      <c r="M3" s="76"/>
      <c r="N3" s="75"/>
      <c r="O3" s="76"/>
      <c r="P3" s="75"/>
      <c r="Q3" s="76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2"/>
      <c r="B4" s="77"/>
      <c r="C4" s="78"/>
      <c r="D4" s="77"/>
      <c r="E4" s="78"/>
      <c r="F4" s="77"/>
      <c r="G4" s="78"/>
      <c r="H4" s="77"/>
      <c r="I4" s="78"/>
      <c r="J4" s="77"/>
      <c r="K4" s="78"/>
      <c r="L4" s="77"/>
      <c r="M4" s="78"/>
      <c r="N4" s="77"/>
      <c r="O4" s="78"/>
      <c r="P4" s="77"/>
      <c r="Q4" s="78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250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237</v>
      </c>
    </row>
    <row r="7" spans="1:4" ht="17.25" thickBot="1" x14ac:dyDescent="0.35">
      <c r="C7" s="37">
        <v>3896.13</v>
      </c>
      <c r="D7" s="36">
        <f>+C7/3.3058</f>
        <v>1178.5740214169036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235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1384660</v>
      </c>
      <c r="E25" s="59">
        <f t="shared" si="0"/>
        <v>4577400</v>
      </c>
    </row>
    <row r="26" spans="1:5" x14ac:dyDescent="0.3">
      <c r="B26" s="2">
        <v>3</v>
      </c>
      <c r="C26" s="35" t="s">
        <v>95</v>
      </c>
      <c r="D26" s="45">
        <f>+D66</f>
        <v>133860</v>
      </c>
      <c r="E26" s="59">
        <f t="shared" si="0"/>
        <v>442510</v>
      </c>
    </row>
    <row r="27" spans="1:5" x14ac:dyDescent="0.3">
      <c r="B27" s="2">
        <v>4</v>
      </c>
      <c r="C27" s="35" t="s">
        <v>96</v>
      </c>
      <c r="D27" s="45">
        <f>+D95</f>
        <v>275610</v>
      </c>
      <c r="E27" s="59">
        <f t="shared" si="0"/>
        <v>911110</v>
      </c>
    </row>
    <row r="28" spans="1:5" x14ac:dyDescent="0.3">
      <c r="B28" s="2">
        <v>5</v>
      </c>
      <c r="C28" s="35" t="s">
        <v>97</v>
      </c>
      <c r="D28" s="45">
        <f>+D119</f>
        <v>240090</v>
      </c>
      <c r="E28" s="59">
        <f t="shared" si="0"/>
        <v>793680</v>
      </c>
    </row>
    <row r="29" spans="1:5" x14ac:dyDescent="0.3">
      <c r="B29" s="2">
        <v>6</v>
      </c>
      <c r="C29" s="35" t="s">
        <v>98</v>
      </c>
      <c r="D29" s="45">
        <f>+D133</f>
        <v>115400</v>
      </c>
      <c r="E29" s="59">
        <f t="shared" si="0"/>
        <v>381480</v>
      </c>
    </row>
    <row r="30" spans="1:5" x14ac:dyDescent="0.3">
      <c r="B30" s="2">
        <v>7</v>
      </c>
      <c r="C30" s="35" t="s">
        <v>99</v>
      </c>
      <c r="D30" s="45">
        <f>+D146</f>
        <v>36730</v>
      </c>
      <c r="E30" s="59">
        <f t="shared" si="0"/>
        <v>121420</v>
      </c>
    </row>
    <row r="31" spans="1:5" x14ac:dyDescent="0.3">
      <c r="B31" s="2">
        <v>8</v>
      </c>
      <c r="C31" s="35" t="s">
        <v>100</v>
      </c>
      <c r="D31" s="45">
        <f>+D154</f>
        <v>47640</v>
      </c>
      <c r="E31" s="59">
        <f t="shared" si="0"/>
        <v>157480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614340</v>
      </c>
      <c r="E33" s="60">
        <f t="shared" si="0"/>
        <v>2030880</v>
      </c>
    </row>
    <row r="34" spans="1:7" x14ac:dyDescent="0.3">
      <c r="C34" s="35" t="s">
        <v>112</v>
      </c>
      <c r="D34" s="44">
        <f>SUM(D24:D33)</f>
        <v>2848330</v>
      </c>
      <c r="E34" s="44">
        <f>SUM(E24:E33)</f>
        <v>9415960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113</v>
      </c>
      <c r="D39" s="57" t="s">
        <v>236</v>
      </c>
      <c r="E39" s="57" t="s">
        <v>153</v>
      </c>
      <c r="G39" s="55"/>
    </row>
    <row r="40" spans="1:7" x14ac:dyDescent="0.3">
      <c r="A40" s="2">
        <v>1</v>
      </c>
      <c r="C40" s="38" t="s">
        <v>15</v>
      </c>
      <c r="D40" s="40">
        <f>TRUNC(64910,-1)</f>
        <v>64910</v>
      </c>
      <c r="E40" s="62">
        <f t="shared" ref="E40:E59" si="1">TRUNC(+D40*3.3058,-1)</f>
        <v>214570</v>
      </c>
    </row>
    <row r="41" spans="1:7" x14ac:dyDescent="0.3">
      <c r="A41" s="2">
        <v>2</v>
      </c>
      <c r="C41" s="38" t="s">
        <v>13</v>
      </c>
      <c r="D41" s="42">
        <f>TRUNC(223505,-1)</f>
        <v>223500</v>
      </c>
      <c r="E41" s="63">
        <f t="shared" si="1"/>
        <v>738840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TRUNC(91431,-1)</f>
        <v>91430</v>
      </c>
      <c r="E43" s="63">
        <f t="shared" si="1"/>
        <v>302240</v>
      </c>
    </row>
    <row r="44" spans="1:7" x14ac:dyDescent="0.3">
      <c r="A44" s="2">
        <v>5</v>
      </c>
      <c r="C44" s="38" t="s">
        <v>17</v>
      </c>
      <c r="D44" s="42">
        <f>TRUNC(47268,-1)</f>
        <v>47260</v>
      </c>
      <c r="E44" s="63">
        <f t="shared" si="1"/>
        <v>156230</v>
      </c>
    </row>
    <row r="45" spans="1:7" x14ac:dyDescent="0.3">
      <c r="A45" s="2">
        <v>6</v>
      </c>
      <c r="C45" s="38" t="s">
        <v>18</v>
      </c>
      <c r="D45" s="42">
        <f>TRUNC(5827,-1)</f>
        <v>5820</v>
      </c>
      <c r="E45" s="63">
        <f t="shared" si="1"/>
        <v>19230</v>
      </c>
    </row>
    <row r="46" spans="1:7" x14ac:dyDescent="0.3">
      <c r="A46" s="2">
        <v>7</v>
      </c>
      <c r="C46" s="38" t="s">
        <v>19</v>
      </c>
      <c r="D46" s="42">
        <f>TRUNC(22170,-1)</f>
        <v>22170</v>
      </c>
      <c r="E46" s="63">
        <f t="shared" si="1"/>
        <v>73280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TRUNC(96531,-1)</f>
        <v>96530</v>
      </c>
      <c r="E48" s="63">
        <f t="shared" si="1"/>
        <v>319100</v>
      </c>
      <c r="F48" s="66" t="s">
        <v>251</v>
      </c>
    </row>
    <row r="49" spans="1:7" x14ac:dyDescent="0.3">
      <c r="A49" s="2">
        <v>10</v>
      </c>
      <c r="C49" s="38" t="s">
        <v>22</v>
      </c>
      <c r="D49" s="42">
        <f>TRUNC(21152,-1)</f>
        <v>21150</v>
      </c>
      <c r="E49" s="63">
        <f t="shared" si="1"/>
        <v>69910</v>
      </c>
    </row>
    <row r="50" spans="1:7" x14ac:dyDescent="0.3">
      <c r="A50" s="2">
        <v>11</v>
      </c>
      <c r="C50" s="38" t="s">
        <v>155</v>
      </c>
      <c r="D50" s="42">
        <f>TRUNC(48764,-1)</f>
        <v>48760</v>
      </c>
      <c r="E50" s="63">
        <f t="shared" si="1"/>
        <v>161190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TRUNC(10053,-1)</f>
        <v>10050</v>
      </c>
      <c r="E52" s="63">
        <f t="shared" si="1"/>
        <v>33220</v>
      </c>
    </row>
    <row r="53" spans="1:7" x14ac:dyDescent="0.3">
      <c r="A53" s="2">
        <v>14</v>
      </c>
      <c r="C53" s="38" t="s">
        <v>25</v>
      </c>
      <c r="D53" s="42">
        <f>TRUNC(384729,-1)</f>
        <v>384720</v>
      </c>
      <c r="E53" s="63">
        <f t="shared" si="1"/>
        <v>1271800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TRUNC(33631+9077-1126+1814+15937,-1)</f>
        <v>59330</v>
      </c>
      <c r="E58" s="63">
        <f t="shared" si="1"/>
        <v>196130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TRUNC(309032,-1)</f>
        <v>309030</v>
      </c>
      <c r="E59" s="64">
        <f t="shared" si="1"/>
        <v>1021590</v>
      </c>
    </row>
    <row r="60" spans="1:7" x14ac:dyDescent="0.3">
      <c r="A60" s="2">
        <v>21</v>
      </c>
      <c r="C60" s="27" t="s">
        <v>112</v>
      </c>
      <c r="D60" s="39">
        <f>SUM(D40:D59)</f>
        <v>1384660</v>
      </c>
      <c r="E60" s="39">
        <f>SUM(E40:E59)</f>
        <v>4577330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TRUNC(65567,-1)</f>
        <v>65560</v>
      </c>
      <c r="E63" s="62">
        <f>TRUNC(+D63*3.3058,-1)</f>
        <v>216720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TRUNC(68309,-1)</f>
        <v>68300</v>
      </c>
      <c r="E65" s="64">
        <f>TRUNC(+D65*3.3058,-1)</f>
        <v>225780</v>
      </c>
    </row>
    <row r="66" spans="1:7" x14ac:dyDescent="0.3">
      <c r="A66" s="2">
        <v>4</v>
      </c>
      <c r="C66" s="27" t="s">
        <v>112</v>
      </c>
      <c r="D66" s="39">
        <f>SUM(D63:D65)</f>
        <v>133860</v>
      </c>
      <c r="E66" s="65">
        <f>SUM(E63:E65)</f>
        <v>442500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TRUNC(8149,-1)</f>
        <v>8140</v>
      </c>
      <c r="E69" s="62">
        <f t="shared" ref="E69:E94" si="2">TRUNC(+D69*3.3058,-1)</f>
        <v>26900</v>
      </c>
    </row>
    <row r="70" spans="1:7" ht="16.5" customHeight="1" x14ac:dyDescent="0.3">
      <c r="A70" s="2">
        <v>2</v>
      </c>
      <c r="C70" s="38" t="s">
        <v>31</v>
      </c>
      <c r="D70" s="42">
        <f>TRUNC(168,-1)</f>
        <v>160</v>
      </c>
      <c r="E70" s="63">
        <f t="shared" si="2"/>
        <v>520</v>
      </c>
    </row>
    <row r="71" spans="1:7" x14ac:dyDescent="0.3">
      <c r="A71" s="2">
        <v>3</v>
      </c>
      <c r="C71" s="38" t="s">
        <v>32</v>
      </c>
      <c r="D71" s="42">
        <f>TRUNC(8048,-1)</f>
        <v>8040</v>
      </c>
      <c r="E71" s="63">
        <f t="shared" si="2"/>
        <v>26570</v>
      </c>
    </row>
    <row r="72" spans="1:7" x14ac:dyDescent="0.3">
      <c r="A72" s="2">
        <v>4</v>
      </c>
      <c r="C72" s="38" t="s">
        <v>33</v>
      </c>
      <c r="D72" s="42">
        <f>TRUNC(3204,-1)</f>
        <v>3200</v>
      </c>
      <c r="E72" s="63">
        <f t="shared" si="2"/>
        <v>10570</v>
      </c>
    </row>
    <row r="73" spans="1:7" x14ac:dyDescent="0.3">
      <c r="A73" s="2">
        <v>5</v>
      </c>
      <c r="C73" s="38" t="s">
        <v>34</v>
      </c>
      <c r="D73" s="42">
        <f>TRUNC(8665,-1)</f>
        <v>8660</v>
      </c>
      <c r="E73" s="63">
        <f t="shared" si="2"/>
        <v>28620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TRUNC(1159,-1)</f>
        <v>1150</v>
      </c>
      <c r="E75" s="63">
        <f t="shared" si="2"/>
        <v>3800</v>
      </c>
    </row>
    <row r="76" spans="1:7" x14ac:dyDescent="0.3">
      <c r="A76" s="2">
        <v>8</v>
      </c>
      <c r="C76" s="38" t="s">
        <v>119</v>
      </c>
      <c r="D76" s="42">
        <f>TRUNC(41606,-1)</f>
        <v>41600</v>
      </c>
      <c r="E76" s="63">
        <f t="shared" si="2"/>
        <v>137520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TRUNC(13175,-1)</f>
        <v>13170</v>
      </c>
      <c r="E89" s="63">
        <f t="shared" si="2"/>
        <v>43530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TRUNC(6878,-1)</f>
        <v>6870</v>
      </c>
      <c r="E91" s="63">
        <f t="shared" si="2"/>
        <v>22710</v>
      </c>
    </row>
    <row r="92" spans="1:7" x14ac:dyDescent="0.3">
      <c r="A92" s="2">
        <v>24</v>
      </c>
      <c r="C92" s="38" t="s">
        <v>38</v>
      </c>
      <c r="D92" s="42">
        <f>TRUNC(5634,-1)</f>
        <v>5630</v>
      </c>
      <c r="E92" s="63">
        <f t="shared" si="2"/>
        <v>18610</v>
      </c>
    </row>
    <row r="93" spans="1:7" x14ac:dyDescent="0.3">
      <c r="A93" s="2">
        <v>25</v>
      </c>
      <c r="C93" s="38" t="s">
        <v>148</v>
      </c>
      <c r="D93" s="42">
        <f>TRUNC(174978,-1)</f>
        <v>174970</v>
      </c>
      <c r="E93" s="63">
        <f t="shared" si="2"/>
        <v>578410</v>
      </c>
    </row>
    <row r="94" spans="1:7" ht="17.25" thickBot="1" x14ac:dyDescent="0.35">
      <c r="A94" s="2">
        <v>26</v>
      </c>
      <c r="C94" s="38" t="s">
        <v>47</v>
      </c>
      <c r="D94" s="43">
        <f>TRUNC(4020,-1)</f>
        <v>4020</v>
      </c>
      <c r="E94" s="64">
        <f t="shared" si="2"/>
        <v>13280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275610</v>
      </c>
      <c r="E95" s="39">
        <f>SUM(E69:E94)</f>
        <v>911040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TRUNC(32584,-1)</f>
        <v>32580</v>
      </c>
      <c r="E98" s="62">
        <f t="shared" ref="E98:E118" si="3">TRUNC(+D98*3.3058,-1)</f>
        <v>107700</v>
      </c>
    </row>
    <row r="99" spans="1:7" x14ac:dyDescent="0.3">
      <c r="A99" s="2">
        <v>2</v>
      </c>
      <c r="C99" s="38" t="s">
        <v>40</v>
      </c>
      <c r="D99" s="42">
        <f>TRUNC(14636,-1)</f>
        <v>14630</v>
      </c>
      <c r="E99" s="63">
        <f t="shared" si="3"/>
        <v>48360</v>
      </c>
    </row>
    <row r="100" spans="1:7" x14ac:dyDescent="0.3">
      <c r="A100" s="2">
        <v>3</v>
      </c>
      <c r="C100" s="38" t="s">
        <v>41</v>
      </c>
      <c r="D100" s="42">
        <f>TRUNC(43233,-1)</f>
        <v>43230</v>
      </c>
      <c r="E100" s="63">
        <f t="shared" si="3"/>
        <v>142900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TRUNC(12145,-1)</f>
        <v>12140</v>
      </c>
      <c r="E102" s="63">
        <f t="shared" si="3"/>
        <v>40130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TRUNC(573,-1)</f>
        <v>570</v>
      </c>
      <c r="E104" s="63">
        <f t="shared" si="3"/>
        <v>1880</v>
      </c>
    </row>
    <row r="105" spans="1:7" x14ac:dyDescent="0.3">
      <c r="A105" s="2">
        <v>8</v>
      </c>
      <c r="C105" s="38" t="s">
        <v>46</v>
      </c>
      <c r="D105" s="42">
        <f>TRUNC(1194,-1)</f>
        <v>1190</v>
      </c>
      <c r="E105" s="63">
        <f t="shared" si="3"/>
        <v>3930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TRUNC(4423,-1)</f>
        <v>4420</v>
      </c>
      <c r="E114" s="63">
        <f t="shared" si="3"/>
        <v>14610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TRUNC(130271,-1)</f>
        <v>130270</v>
      </c>
      <c r="E117" s="63">
        <f t="shared" si="3"/>
        <v>430640</v>
      </c>
    </row>
    <row r="118" spans="1:7" ht="17.25" thickBot="1" x14ac:dyDescent="0.35">
      <c r="A118" s="2">
        <v>21</v>
      </c>
      <c r="C118" s="38" t="s">
        <v>47</v>
      </c>
      <c r="D118" s="43">
        <f>TRUNC(1069,-1)</f>
        <v>1060</v>
      </c>
      <c r="E118" s="64">
        <f t="shared" si="3"/>
        <v>3500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240090</v>
      </c>
      <c r="E119" s="39">
        <f>SUM(E98:E118)</f>
        <v>793650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TRUNC(3697,-1)</f>
        <v>3690</v>
      </c>
      <c r="E122" s="62">
        <f t="shared" ref="E122:E132" si="4">TRUNC(+D122*3.3058,-1)</f>
        <v>12190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TRUNC(3233,-1)</f>
        <v>3230</v>
      </c>
      <c r="E124" s="63">
        <f t="shared" si="4"/>
        <v>10670</v>
      </c>
    </row>
    <row r="125" spans="1:7" x14ac:dyDescent="0.3">
      <c r="A125" s="2">
        <v>4</v>
      </c>
      <c r="C125" s="38" t="s">
        <v>138</v>
      </c>
      <c r="D125" s="42">
        <f>TRUNC(5617,-1)</f>
        <v>5610</v>
      </c>
      <c r="E125" s="63">
        <f t="shared" si="4"/>
        <v>18540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TRUNC(10328,-1)</f>
        <v>10320</v>
      </c>
      <c r="E128" s="63">
        <f t="shared" si="4"/>
        <v>34110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TRUNC(15722,-1)</f>
        <v>15720</v>
      </c>
      <c r="E130" s="63">
        <f t="shared" si="4"/>
        <v>51960</v>
      </c>
    </row>
    <row r="131" spans="1:7" x14ac:dyDescent="0.3">
      <c r="A131" s="2">
        <v>10</v>
      </c>
      <c r="C131" s="38" t="s">
        <v>148</v>
      </c>
      <c r="D131" s="42">
        <f>TRUNC(69664,-1)</f>
        <v>69660</v>
      </c>
      <c r="E131" s="63">
        <f t="shared" si="4"/>
        <v>230280</v>
      </c>
    </row>
    <row r="132" spans="1:7" ht="18" thickBot="1" x14ac:dyDescent="0.35">
      <c r="A132" s="2">
        <v>11</v>
      </c>
      <c r="C132" s="38" t="s">
        <v>47</v>
      </c>
      <c r="D132" s="43">
        <f>TRUNC(5212+1288+670,-1)</f>
        <v>7170</v>
      </c>
      <c r="E132" s="64">
        <f t="shared" si="4"/>
        <v>23700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115400</v>
      </c>
      <c r="E133" s="39">
        <f>SUM(E122:E132)</f>
        <v>381450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TRUNC(2023,-1)</f>
        <v>2020</v>
      </c>
      <c r="E137" s="63">
        <f t="shared" si="5"/>
        <v>6670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f>TRUNC(8923,-1)</f>
        <v>8920</v>
      </c>
      <c r="E138" s="63">
        <f t="shared" si="5"/>
        <v>29480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TRUNC(25791,-1)</f>
        <v>25790</v>
      </c>
      <c r="E140" s="63">
        <f t="shared" si="5"/>
        <v>85250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36730</v>
      </c>
      <c r="E146" s="39">
        <f>SUM(E136:E145)</f>
        <v>121400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TRUNC(12590+885,-1)</f>
        <v>13470</v>
      </c>
      <c r="E149" s="62">
        <f>TRUNC(+D149*3.3058,-1)</f>
        <v>44520</v>
      </c>
      <c r="F149" s="2" t="s">
        <v>260</v>
      </c>
    </row>
    <row r="150" spans="1:7" x14ac:dyDescent="0.3">
      <c r="A150" s="2">
        <v>2</v>
      </c>
      <c r="C150" s="38" t="s">
        <v>49</v>
      </c>
      <c r="D150" s="42">
        <f>TRUNC(11061,-1)</f>
        <v>11060</v>
      </c>
      <c r="E150" s="63">
        <f>TRUNC(+D150*3.3058,-1)</f>
        <v>36560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TRUNC(4846+36,-1)</f>
        <v>4880</v>
      </c>
      <c r="E152" s="63">
        <f>TRUNC(+D152*3.3058,-1)</f>
        <v>16130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f>TRUNC(18238,-1)</f>
        <v>18230</v>
      </c>
      <c r="E153" s="64">
        <f>TRUNC(+D153*3.3058,-1)</f>
        <v>60260</v>
      </c>
    </row>
    <row r="154" spans="1:7" x14ac:dyDescent="0.3">
      <c r="A154" s="2">
        <v>6</v>
      </c>
      <c r="C154" s="27" t="s">
        <v>112</v>
      </c>
      <c r="D154" s="39">
        <f>SUM(D149:D153)</f>
        <v>47640</v>
      </c>
      <c r="E154" s="39">
        <f>SUM(E149:E153)</f>
        <v>157470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2020-12-08T04:23:05Z</dcterms:modified>
</cp:coreProperties>
</file>