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2" i="4"/>
  <c r="E139" i="4"/>
  <c r="E138" i="4"/>
  <c r="E136" i="4"/>
  <c r="E129" i="4"/>
  <c r="E127" i="4"/>
  <c r="E123" i="4"/>
  <c r="E115" i="4"/>
  <c r="E114" i="4"/>
  <c r="E113" i="4"/>
  <c r="E112" i="4"/>
  <c r="E111" i="4"/>
  <c r="E110" i="4"/>
  <c r="E109" i="4"/>
  <c r="E108" i="4"/>
  <c r="E107" i="4"/>
  <c r="E106" i="4"/>
  <c r="E105" i="4"/>
  <c r="E101" i="4"/>
  <c r="E93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4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D152" i="4"/>
  <c r="E152" i="4" s="1"/>
  <c r="D150" i="4"/>
  <c r="E150" i="4" s="1"/>
  <c r="D149" i="4"/>
  <c r="D145" i="4"/>
  <c r="E145" i="4" s="1"/>
  <c r="D144" i="4"/>
  <c r="E144" i="4" s="1"/>
  <c r="D143" i="4"/>
  <c r="E143" i="4" s="1"/>
  <c r="D141" i="4"/>
  <c r="E141" i="4" s="1"/>
  <c r="D140" i="4"/>
  <c r="D137" i="4"/>
  <c r="E137" i="4" s="1"/>
  <c r="D132" i="4"/>
  <c r="E132" i="4" s="1"/>
  <c r="D131" i="4"/>
  <c r="E131" i="4" s="1"/>
  <c r="D130" i="4"/>
  <c r="E130" i="4" s="1"/>
  <c r="D128" i="4"/>
  <c r="E128" i="4" s="1"/>
  <c r="D126" i="4"/>
  <c r="E126" i="4" s="1"/>
  <c r="D125" i="4"/>
  <c r="E125" i="4" s="1"/>
  <c r="D124" i="4"/>
  <c r="E124" i="4" s="1"/>
  <c r="D122" i="4"/>
  <c r="D118" i="4"/>
  <c r="E118" i="4" s="1"/>
  <c r="D117" i="4"/>
  <c r="E117" i="4" s="1"/>
  <c r="D116" i="4"/>
  <c r="E116" i="4" s="1"/>
  <c r="D104" i="4"/>
  <c r="E104" i="4" s="1"/>
  <c r="D103" i="4"/>
  <c r="E103" i="4" s="1"/>
  <c r="D102" i="4"/>
  <c r="E102" i="4" s="1"/>
  <c r="D100" i="4"/>
  <c r="E100" i="4" s="1"/>
  <c r="D99" i="4"/>
  <c r="E99" i="4" s="1"/>
  <c r="D98" i="4"/>
  <c r="D94" i="4"/>
  <c r="E94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D65" i="4"/>
  <c r="E65" i="4" s="1"/>
  <c r="D63" i="4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D66" i="4" l="1"/>
  <c r="D26" i="4" s="1"/>
  <c r="E26" i="4" s="1"/>
  <c r="E63" i="4"/>
  <c r="E66" i="4" s="1"/>
  <c r="D95" i="4"/>
  <c r="D27" i="4" s="1"/>
  <c r="E27" i="4" s="1"/>
  <c r="E69" i="4"/>
  <c r="E95" i="4" s="1"/>
  <c r="E119" i="4"/>
  <c r="D133" i="4"/>
  <c r="D29" i="4" s="1"/>
  <c r="E29" i="4" s="1"/>
  <c r="E122" i="4"/>
  <c r="E133" i="4" s="1"/>
  <c r="D146" i="4"/>
  <c r="D30" i="4" s="1"/>
  <c r="E30" i="4" s="1"/>
  <c r="E140" i="4"/>
  <c r="E146" i="4" s="1"/>
  <c r="D161" i="4"/>
  <c r="D32" i="4" s="1"/>
  <c r="E32" i="4" s="1"/>
  <c r="E157" i="4"/>
  <c r="E161" i="4" s="1"/>
  <c r="D154" i="4"/>
  <c r="D31" i="4" s="1"/>
  <c r="E31" i="4" s="1"/>
  <c r="E149" i="4"/>
  <c r="E154" i="4" s="1"/>
  <c r="D119" i="4"/>
  <c r="D28" i="4" s="1"/>
  <c r="E28" i="4" s="1"/>
  <c r="E98" i="4"/>
  <c r="D60" i="4"/>
  <c r="D25" i="4" s="1"/>
  <c r="E25" i="4" s="1"/>
  <c r="E40" i="4"/>
  <c r="E60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<sst xmlns="http://schemas.openxmlformats.org/spreadsheetml/2006/main" count="393" uniqueCount="266">
  <si>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</si>
  <si>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</si>
  <si>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</si>
  <si>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</si>
  <si>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</si>
  <si>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</si>
  <si>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</si>
  <si>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</si>
  <si>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</si>
  <si>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</si>
  <si>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</si>
  <si>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</si>
  <si>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</si>
  <si>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</si>
  <si>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</si>
  <si>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</si>
  <si>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</si>
  <si>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</si>
  <si>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</si>
  <si>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</si>
  <si>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</si>
  <si>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</si>
  <si>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</si>
  <si>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</si>
  <si>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</si>
  <si>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</si>
  <si>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</si>
  <si>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</si>
  <si>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</si>
  <si>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</si>
  <si>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</si>
  <si>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</si>
  <si>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</si>
  <si>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</si>
  <si>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</si>
  <si>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</si>
  <si>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</si>
  <si>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</si>
  <si>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</si>
  <si>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</si>
  <si>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</si>
  <si>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</si>
  <si>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</si>
  <si>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</si>
  <si>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</si>
  <si>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</si>
  <si>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</si>
  <si>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</si>
  <si>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</si>
  <si>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</si>
  <si>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</si>
  <si>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</si>
  <si>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</si>
  <si>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</si>
  <si>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</si>
  <si>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</si>
  <si>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</si>
  <si>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</si>
  <si>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</si>
  <si>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</si>
  <si>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</si>
  <si>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</si>
  <si>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</si>
  <si>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</si>
  <si>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</si>
  <si>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</si>
  <si>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</si>
  <si>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</si>
  <si>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</si>
  <si>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</si>
  <si>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</si>
  <si>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</si>
  <si>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</si>
  <si>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</si>
  <si>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</si>
  <si>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</si>
  <si>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</si>
  <si>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</si>
  <si>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</si>
  <si>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</si>
  <si>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</si>
  <si>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</si>
  <si>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</si>
  <si>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</si>
  <si>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</si>
  <si>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</si>
  <si>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</si>
  <si>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</si>
  <si>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</si>
  <si>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</si>
  <si>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</si>
  <si>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</si>
  <si>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</si>
  <si>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</si>
  <si>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</si>
  <si>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</si>
  <si>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</si>
  <si>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</si>
  <si>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</si>
  <si>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</si>
  <si>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</si>
  <si>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</si>
  <si>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</si>
  <si>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</si>
  <si>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</si>
  <si>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</si>
  <si>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</si>
  <si>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</si>
  <si>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</si>
  <si>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</si>
  <si>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</si>
  <si>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</si>
  <si>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</si>
  <si>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</si>
  <si>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</si>
  <si>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</si>
  <si>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</si>
  <si>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</si>
  <si>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</si>
  <si>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</si>
  <si>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</si>
  <si>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</si>
  <si>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</si>
  <si>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</si>
  <si>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</si>
  <si>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</si>
  <si>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</si>
  <si>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</si>
  <si>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</si>
  <si>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</si>
  <si>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</si>
  <si>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</si>
  <si>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</si>
  <si>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</si>
  <si>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</si>
  <si>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</si>
  <si>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</si>
  <si>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</si>
  <si>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</si>
  <si>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</si>
  <si>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</si>
  <si>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</si>
  <si>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</si>
  <si>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</si>
  <si>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</si>
  <si>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</si>
  <si>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</si>
  <si>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</si>
  <si>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</si>
  <si>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</si>
  <si>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</si>
  <si>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</si>
  <si>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</si>
  <si>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</si>
  <si>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</si>
  <si>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</si>
  <si>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</si>
  <si>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</si>
  <si>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</si>
  <si>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</si>
  <si>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</si>
  <si>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</si>
  <si>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</si>
  <si>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</si>
  <si>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</si>
  <si>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</si>
  <si>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</si>
  <si>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</si>
  <si>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</si>
  <si>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</si>
  <si>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</si>
  <si>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</si>
  <si>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</si>
  <si>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</si>
  <si>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</si>
  <si>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</si>
  <si>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</si>
  <si>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</si>
  <si>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</si>
  <si>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</si>
  <si>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</si>
  <si>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</si>
  <si>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</si>
  <si>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</si>
  <si>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</si>
  <si>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</si>
  <si>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</si>
  <si>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</si>
  <si>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</si>
  <si>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</si>
  <si>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</si>
  <si>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</si>
  <si>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</si>
  <si>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</si>
  <si>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</si>
  <si>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</si>
  <si>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</si>
  <si>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</si>
  <si>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</si>
  <si>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</si>
  <si>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</si>
  <si>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</si>
  <si>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</si>
  <si>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</si>
  <si>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</si>
  <si>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</si>
  <si>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</si>
  <si>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</si>
  <si>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</si>
  <si>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</si>
  <si>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</si>
  <si>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</si>
  <si>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</si>
  <si>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</si>
  <si>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</si>
  <si>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</si>
  <si>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</si>
  <si>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</si>
  <si>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</si>
  <si>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</si>
  <si>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</si>
  <si>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</si>
  <si>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</si>
  <si>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</si>
  <si>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</si>
  <si>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</si>
  <si>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</si>
  <si>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</si>
  <si>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</si>
  <si>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</si>
  <si>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</si>
  <si>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</si>
  <si>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</si>
  <si>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</si>
  <si>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</si>
  <si>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</si>
  <si>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</si>
  <si>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</si>
  <si>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</si>
  <si>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</si>
  <si>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</si>
  <si>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</si>
  <si>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</si>
  <si>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</si>
  <si>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</si>
  <si>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</si>
  <si>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평</t>
    <phoneticPr fontId="2" type="noConversion"/>
  </si>
  <si>
    <t>(가칭)세종비즈센터 시설공사</t>
  </si>
  <si>
    <t>업무</t>
  </si>
  <si>
    <t>세종시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</si>
  <si>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</si>
  <si>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</si>
  <si>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</si>
  <si>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기초공사,해체및철거공사,골재비및운반비,작업부산물,품질시험비,기타공사</t>
    <phoneticPr fontId="2" type="noConversion"/>
  </si>
  <si>
    <t>바닥난방공사,기타공사</t>
    <phoneticPr fontId="2" type="noConversion"/>
  </si>
  <si>
    <t xml:space="preserve"> 전기인입 및 수변전 설비공사</t>
    <phoneticPr fontId="2" type="noConversion"/>
  </si>
  <si>
    <t>CCTV설비공사,주차관제설비공사,기타공사</t>
    <phoneticPr fontId="2" type="noConversion"/>
  </si>
  <si>
    <t>옥외소화배관공사,펌프실배관공사, 기타공사</t>
    <phoneticPr fontId="2" type="noConversion"/>
  </si>
  <si>
    <t xml:space="preserve">토목 </t>
  </si>
  <si>
    <t>토목 사급자재비,토목 운반비, 토목 기타공사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</si>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</sst>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246</v>
      </c>
    </row>
    <row r="7" spans="1:4" ht="17.25" thickBot="1" x14ac:dyDescent="0.35">
      <c r="C7" s="37">
        <v>10321.14</v>
      </c>
      <c r="D7" s="36">
        <f>+C7/3.3058</f>
        <v>3122.130800411398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860730</v>
      </c>
      <c r="E25" s="60">
        <f t="shared" si="0"/>
        <v>2845400</v>
      </c>
    </row>
    <row r="26" spans="1:5" x14ac:dyDescent="0.3">
      <c r="B26" s="2">
        <v>3</v>
      </c>
      <c r="C26" s="35" t="s">
        <v>95</v>
      </c>
      <c r="D26" s="45">
        <f>+D66</f>
        <v>45610</v>
      </c>
      <c r="E26" s="60">
        <f t="shared" si="0"/>
        <v>150770</v>
      </c>
    </row>
    <row r="27" spans="1:5" x14ac:dyDescent="0.3">
      <c r="B27" s="2">
        <v>4</v>
      </c>
      <c r="C27" s="35" t="s">
        <v>96</v>
      </c>
      <c r="D27" s="45">
        <f>+D95</f>
        <v>34990</v>
      </c>
      <c r="E27" s="60">
        <f t="shared" si="0"/>
        <v>115660</v>
      </c>
    </row>
    <row r="28" spans="1:5" x14ac:dyDescent="0.3">
      <c r="B28" s="2">
        <v>5</v>
      </c>
      <c r="C28" s="35" t="s">
        <v>97</v>
      </c>
      <c r="D28" s="45">
        <f>+D119</f>
        <v>165380</v>
      </c>
      <c r="E28" s="60">
        <f t="shared" si="0"/>
        <v>546710</v>
      </c>
    </row>
    <row r="29" spans="1:5" x14ac:dyDescent="0.3">
      <c r="B29" s="2">
        <v>6</v>
      </c>
      <c r="C29" s="35" t="s">
        <v>98</v>
      </c>
      <c r="D29" s="45">
        <f>+D133</f>
        <v>96360</v>
      </c>
      <c r="E29" s="60">
        <f t="shared" si="0"/>
        <v>318540</v>
      </c>
    </row>
    <row r="30" spans="1:5" x14ac:dyDescent="0.3">
      <c r="B30" s="2">
        <v>7</v>
      </c>
      <c r="C30" s="35" t="s">
        <v>99</v>
      </c>
      <c r="D30" s="45">
        <f>+D146</f>
        <v>49270</v>
      </c>
      <c r="E30" s="60">
        <f t="shared" si="0"/>
        <v>162870</v>
      </c>
    </row>
    <row r="31" spans="1:5" x14ac:dyDescent="0.3">
      <c r="B31" s="2">
        <v>8</v>
      </c>
      <c r="C31" s="35" t="s">
        <v>100</v>
      </c>
      <c r="D31" s="45">
        <f>+D154</f>
        <v>10080</v>
      </c>
      <c r="E31" s="60">
        <f t="shared" si="0"/>
        <v>33320</v>
      </c>
    </row>
    <row r="32" spans="1:5" x14ac:dyDescent="0.3">
      <c r="B32" s="2">
        <v>9</v>
      </c>
      <c r="C32" s="35" t="s">
        <v>101</v>
      </c>
      <c r="D32" s="45">
        <f>+D161</f>
        <v>17630</v>
      </c>
      <c r="E32" s="60">
        <f t="shared" si="0"/>
        <v>58280</v>
      </c>
    </row>
    <row r="33" spans="1:7" x14ac:dyDescent="0.3">
      <c r="B33" s="2">
        <v>10</v>
      </c>
      <c r="C33" s="35" t="s">
        <v>154</v>
      </c>
      <c r="D33" s="53">
        <f>TRUNC(SUM(D24:D32)*0.275,-1)</f>
        <v>352010</v>
      </c>
      <c r="E33" s="61">
        <f t="shared" si="0"/>
        <v>1163670</v>
      </c>
    </row>
    <row r="34" spans="1:7" x14ac:dyDescent="0.3">
      <c r="C34" s="35" t="s">
        <v>112</v>
      </c>
      <c r="D34" s="44">
        <f>SUM(D24:D33)</f>
        <v>1632060</v>
      </c>
      <c r="E34" s="44">
        <f>SUM(E24:E33)</f>
        <v>5395220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TRUNC(75041,-1)</f>
        <v>75040</v>
      </c>
      <c r="E40" s="63">
        <f t="shared" ref="E40:E59" si="1">TRUNC(+D40*3.3058,-1)</f>
        <v>248060</v>
      </c>
    </row>
    <row r="41" spans="1:7" x14ac:dyDescent="0.3">
      <c r="A41" s="2">
        <v>2</v>
      </c>
      <c r="C41" s="38" t="s">
        <v>13</v>
      </c>
      <c r="D41" s="42">
        <f>TRUNC(95560,-1)</f>
        <v>95560</v>
      </c>
      <c r="E41" s="64">
        <f t="shared" si="1"/>
        <v>315900</v>
      </c>
    </row>
    <row r="42" spans="1:7" x14ac:dyDescent="0.3">
      <c r="A42" s="2">
        <v>3</v>
      </c>
      <c r="C42" s="38" t="s">
        <v>14</v>
      </c>
      <c r="D42" s="42">
        <f>TRUNC(53624,-1)</f>
        <v>53620</v>
      </c>
      <c r="E42" s="64">
        <f t="shared" si="1"/>
        <v>177250</v>
      </c>
    </row>
    <row r="43" spans="1:7" x14ac:dyDescent="0.3">
      <c r="A43" s="2">
        <v>4</v>
      </c>
      <c r="C43" s="38" t="s">
        <v>16</v>
      </c>
      <c r="D43" s="42">
        <f>TRUNC(7448,-1)</f>
        <v>7440</v>
      </c>
      <c r="E43" s="64">
        <f t="shared" si="1"/>
        <v>24590</v>
      </c>
    </row>
    <row r="44" spans="1:7" x14ac:dyDescent="0.3">
      <c r="A44" s="2">
        <v>5</v>
      </c>
      <c r="C44" s="38" t="s">
        <v>17</v>
      </c>
      <c r="D44" s="42">
        <f>TRUNC(18160,-1)</f>
        <v>18160</v>
      </c>
      <c r="E44" s="64">
        <f t="shared" si="1"/>
        <v>60030</v>
      </c>
    </row>
    <row r="45" spans="1:7" x14ac:dyDescent="0.3">
      <c r="A45" s="2">
        <v>6</v>
      </c>
      <c r="C45" s="38" t="s">
        <v>18</v>
      </c>
      <c r="D45" s="42">
        <f>TRUNC(5578,-1)</f>
        <v>5570</v>
      </c>
      <c r="E45" s="64">
        <f t="shared" si="1"/>
        <v>18410</v>
      </c>
    </row>
    <row r="46" spans="1:7" x14ac:dyDescent="0.3">
      <c r="A46" s="2">
        <v>7</v>
      </c>
      <c r="C46" s="38" t="s">
        <v>19</v>
      </c>
      <c r="D46" s="42">
        <f>TRUNC(29608,-1)</f>
        <v>29600</v>
      </c>
      <c r="E46" s="64">
        <f t="shared" si="1"/>
        <v>97850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TRUNC(110812,-1)</f>
        <v>110810</v>
      </c>
      <c r="E48" s="64">
        <f t="shared" si="1"/>
        <v>366310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TRUNC(11345,-1)</f>
        <v>11340</v>
      </c>
      <c r="E49" s="64">
        <f t="shared" si="1"/>
        <v>37480</v>
      </c>
    </row>
    <row r="50" spans="1:7" x14ac:dyDescent="0.3">
      <c r="A50" s="2">
        <v>11</v>
      </c>
      <c r="C50" s="38" t="s">
        <v>155</v>
      </c>
      <c r="D50" s="42">
        <f>TRUNC(36866,-1)</f>
        <v>36860</v>
      </c>
      <c r="E50" s="64">
        <f t="shared" si="1"/>
        <v>121850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TRUNC(8735,-1)</f>
        <v>8730</v>
      </c>
      <c r="E52" s="64">
        <f t="shared" si="1"/>
        <v>28850</v>
      </c>
    </row>
    <row r="53" spans="1:7" x14ac:dyDescent="0.3">
      <c r="A53" s="2">
        <v>14</v>
      </c>
      <c r="C53" s="38" t="s">
        <v>25</v>
      </c>
      <c r="D53" s="42">
        <f>TRUNC(56902,-1)</f>
        <v>56900</v>
      </c>
      <c r="E53" s="64">
        <f t="shared" si="1"/>
        <v>188100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TRUNC(16847+902+2232-577+286+7570,-1)</f>
        <v>27260</v>
      </c>
      <c r="E58" s="64">
        <f t="shared" si="1"/>
        <v>90110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TRUNC(323848,-1)</f>
        <v>323840</v>
      </c>
      <c r="E59" s="65">
        <f t="shared" si="1"/>
        <v>1070550</v>
      </c>
    </row>
    <row r="60" spans="1:7" x14ac:dyDescent="0.3">
      <c r="A60" s="2">
        <v>21</v>
      </c>
      <c r="C60" s="27" t="s">
        <v>112</v>
      </c>
      <c r="D60" s="39">
        <f>SUM(D40:D59)</f>
        <v>860730</v>
      </c>
      <c r="E60" s="39">
        <f>SUM(E40:E59)</f>
        <v>2845340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TRUNC(19039,-1)</f>
        <v>19030</v>
      </c>
      <c r="E63" s="63">
        <f>TRUNC(+D63*3.3058,-1)</f>
        <v>62900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TRUNC(26582,-1)</f>
        <v>26580</v>
      </c>
      <c r="E65" s="65">
        <f>TRUNC(+D65*3.3058,-1)</f>
        <v>87860</v>
      </c>
    </row>
    <row r="66" spans="1:7" x14ac:dyDescent="0.3">
      <c r="A66" s="2">
        <v>4</v>
      </c>
      <c r="C66" s="27" t="s">
        <v>112</v>
      </c>
      <c r="D66" s="57">
        <f>SUM(D63:D65)</f>
        <v>45610</v>
      </c>
      <c r="E66" s="57">
        <f>SUM(E63:E65)</f>
        <v>150760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TRUNC(8455,-1)</f>
        <v>8450</v>
      </c>
      <c r="E69" s="63">
        <f t="shared" ref="E69:E94" si="2">TRUNC(+D69*3.3058,-1)</f>
        <v>27930</v>
      </c>
    </row>
    <row r="70" spans="1:7" ht="16.5" customHeight="1" x14ac:dyDescent="0.3">
      <c r="A70" s="2">
        <v>2</v>
      </c>
      <c r="C70" s="38" t="s">
        <v>31</v>
      </c>
      <c r="D70" s="42">
        <f>TRUNC(261,-1)</f>
        <v>260</v>
      </c>
      <c r="E70" s="64">
        <f t="shared" si="2"/>
        <v>850</v>
      </c>
    </row>
    <row r="71" spans="1:7" x14ac:dyDescent="0.3">
      <c r="A71" s="2">
        <v>3</v>
      </c>
      <c r="C71" s="38" t="s">
        <v>32</v>
      </c>
      <c r="D71" s="42">
        <f>TRUNC(2155,-1)</f>
        <v>2150</v>
      </c>
      <c r="E71" s="64">
        <f t="shared" si="2"/>
        <v>7100</v>
      </c>
    </row>
    <row r="72" spans="1:7" x14ac:dyDescent="0.3">
      <c r="A72" s="2">
        <v>4</v>
      </c>
      <c r="C72" s="38" t="s">
        <v>33</v>
      </c>
      <c r="D72" s="42">
        <f>TRUNC(2619,-1)</f>
        <v>2610</v>
      </c>
      <c r="E72" s="64">
        <f t="shared" si="2"/>
        <v>8620</v>
      </c>
    </row>
    <row r="73" spans="1:7" x14ac:dyDescent="0.3">
      <c r="A73" s="2">
        <v>5</v>
      </c>
      <c r="C73" s="38" t="s">
        <v>34</v>
      </c>
      <c r="D73" s="42">
        <f>TRUNC(5228,-1)</f>
        <v>5220</v>
      </c>
      <c r="E73" s="64">
        <f t="shared" si="2"/>
        <v>17250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TRUNC(892,-1)</f>
        <v>890</v>
      </c>
      <c r="E75" s="64">
        <f t="shared" si="2"/>
        <v>2940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TRUNC(3016,-1)</f>
        <v>3010</v>
      </c>
      <c r="E89" s="64">
        <f t="shared" si="2"/>
        <v>9950</v>
      </c>
    </row>
    <row r="90" spans="1:7" x14ac:dyDescent="0.3">
      <c r="A90" s="2">
        <v>22</v>
      </c>
      <c r="C90" s="38" t="s">
        <v>36</v>
      </c>
      <c r="D90" s="42">
        <f>TRUNC(2102,-1)</f>
        <v>2100</v>
      </c>
      <c r="E90" s="64">
        <f t="shared" si="2"/>
        <v>6940</v>
      </c>
    </row>
    <row r="91" spans="1:7" x14ac:dyDescent="0.3">
      <c r="A91" s="2">
        <v>23</v>
      </c>
      <c r="C91" s="38" t="s">
        <v>37</v>
      </c>
      <c r="D91" s="42">
        <f>TRUNC(4214,-1)</f>
        <v>4210</v>
      </c>
      <c r="E91" s="64">
        <f t="shared" si="2"/>
        <v>13910</v>
      </c>
    </row>
    <row r="92" spans="1:7" x14ac:dyDescent="0.3">
      <c r="A92" s="2">
        <v>24</v>
      </c>
      <c r="C92" s="38" t="s">
        <v>38</v>
      </c>
      <c r="D92" s="42">
        <f>TRUNC(4719,-1)</f>
        <v>4710</v>
      </c>
      <c r="E92" s="64">
        <f t="shared" si="2"/>
        <v>15570</v>
      </c>
    </row>
    <row r="93" spans="1:7" x14ac:dyDescent="0.3">
      <c r="A93" s="2">
        <v>25</v>
      </c>
      <c r="C93" s="38" t="s">
        <v>148</v>
      </c>
      <c r="D93" s="42">
        <v>0</v>
      </c>
      <c r="E93" s="64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TRUNC(199+1184,-1)</f>
        <v>1380</v>
      </c>
      <c r="E94" s="65">
        <f t="shared" si="2"/>
        <v>4560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34990</v>
      </c>
      <c r="E95" s="39">
        <f>SUM(E69:E94)</f>
        <v>115620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TRUNC(14087,-1)</f>
        <v>14080</v>
      </c>
      <c r="E98" s="63">
        <f t="shared" ref="E98:E118" si="3">TRUNC(+D98*3.3058,-1)</f>
        <v>46540</v>
      </c>
    </row>
    <row r="99" spans="1:7" x14ac:dyDescent="0.3">
      <c r="A99" s="2">
        <v>2</v>
      </c>
      <c r="C99" s="38" t="s">
        <v>40</v>
      </c>
      <c r="D99" s="42">
        <f>TRUNC(1645,-1)</f>
        <v>1640</v>
      </c>
      <c r="E99" s="64">
        <f t="shared" si="3"/>
        <v>5420</v>
      </c>
    </row>
    <row r="100" spans="1:7" x14ac:dyDescent="0.3">
      <c r="A100" s="2">
        <v>3</v>
      </c>
      <c r="C100" s="38" t="s">
        <v>41</v>
      </c>
      <c r="D100" s="42">
        <f>TRUNC(21624,-1)</f>
        <v>21620</v>
      </c>
      <c r="E100" s="64">
        <f t="shared" si="3"/>
        <v>71470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TRUNC(11226,-1)</f>
        <v>11220</v>
      </c>
      <c r="E102" s="64">
        <f t="shared" si="3"/>
        <v>37090</v>
      </c>
    </row>
    <row r="103" spans="1:7" x14ac:dyDescent="0.3">
      <c r="A103" s="2">
        <v>6</v>
      </c>
      <c r="C103" s="38" t="s">
        <v>44</v>
      </c>
      <c r="D103" s="42">
        <f>TRUNC(3559,-1)</f>
        <v>3550</v>
      </c>
      <c r="E103" s="64">
        <f t="shared" si="3"/>
        <v>11730</v>
      </c>
    </row>
    <row r="104" spans="1:7" x14ac:dyDescent="0.3">
      <c r="A104" s="2">
        <v>7</v>
      </c>
      <c r="C104" s="38" t="s">
        <v>45</v>
      </c>
      <c r="D104" s="42">
        <f>TRUNC(3506,-1)</f>
        <v>3500</v>
      </c>
      <c r="E104" s="64">
        <f t="shared" si="3"/>
        <v>11570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TRUNC(6493,-1)</f>
        <v>6490</v>
      </c>
      <c r="E116" s="64">
        <f t="shared" si="3"/>
        <v>21450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TRUNC(97370,-1)</f>
        <v>97370</v>
      </c>
      <c r="E117" s="64">
        <f t="shared" si="3"/>
        <v>321880</v>
      </c>
    </row>
    <row r="118" spans="1:7" ht="17.25" thickBot="1" x14ac:dyDescent="0.35">
      <c r="A118" s="2">
        <v>21</v>
      </c>
      <c r="C118" s="38" t="s">
        <v>47</v>
      </c>
      <c r="D118" s="43">
        <f>TRUNC(1311+4608,-1)</f>
        <v>5910</v>
      </c>
      <c r="E118" s="65">
        <f t="shared" si="3"/>
        <v>19530</v>
      </c>
    </row>
    <row r="119" spans="1:7" x14ac:dyDescent="0.3">
      <c r="A119" s="2">
        <v>22</v>
      </c>
      <c r="C119" s="27" t="s">
        <v>112</v>
      </c>
      <c r="D119" s="39">
        <f>SUM(D98:D118)</f>
        <v>165380</v>
      </c>
      <c r="E119" s="39">
        <f>SUM(E98:E118)</f>
        <v>546680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TRUNC(3702,-1)</f>
        <v>3700</v>
      </c>
      <c r="E122" s="63">
        <f t="shared" ref="E122:E132" si="4">TRUNC(+D122*3.3058,-1)</f>
        <v>12230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TRUNC(3040,-1)</f>
        <v>3040</v>
      </c>
      <c r="E124" s="64">
        <f t="shared" si="4"/>
        <v>10040</v>
      </c>
    </row>
    <row r="125" spans="1:7" x14ac:dyDescent="0.3">
      <c r="A125" s="2">
        <v>4</v>
      </c>
      <c r="C125" s="38" t="s">
        <v>138</v>
      </c>
      <c r="D125" s="42">
        <f>TRUNC(5049,-1)</f>
        <v>5040</v>
      </c>
      <c r="E125" s="64">
        <f t="shared" si="4"/>
        <v>16660</v>
      </c>
    </row>
    <row r="126" spans="1:7" x14ac:dyDescent="0.3">
      <c r="A126" s="2">
        <v>5</v>
      </c>
      <c r="C126" s="38" t="s">
        <v>53</v>
      </c>
      <c r="D126" s="42">
        <f>TRUNC(3143,-1)</f>
        <v>3140</v>
      </c>
      <c r="E126" s="64">
        <f t="shared" si="4"/>
        <v>10380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TRUNC(2747,-1)</f>
        <v>2740</v>
      </c>
      <c r="E128" s="64">
        <f t="shared" si="4"/>
        <v>9050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TRUNC(23953,-1)</f>
        <v>23950</v>
      </c>
      <c r="E130" s="64">
        <f t="shared" si="4"/>
        <v>79170</v>
      </c>
    </row>
    <row r="131" spans="1:7" x14ac:dyDescent="0.3">
      <c r="A131" s="2">
        <v>10</v>
      </c>
      <c r="C131" s="38" t="s">
        <v>148</v>
      </c>
      <c r="D131" s="42">
        <f>TRUNC(50034,-1)</f>
        <v>50030</v>
      </c>
      <c r="E131" s="64">
        <f t="shared" si="4"/>
        <v>165380</v>
      </c>
    </row>
    <row r="132" spans="1:7" ht="17.25" thickBot="1" x14ac:dyDescent="0.35">
      <c r="A132" s="2">
        <v>11</v>
      </c>
      <c r="C132" s="38" t="s">
        <v>47</v>
      </c>
      <c r="D132" s="43">
        <f>TRUNC(2401+1885+437,-1)</f>
        <v>4720</v>
      </c>
      <c r="E132" s="65">
        <f t="shared" si="4"/>
        <v>15600</v>
      </c>
      <c r="F132" s="2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96360</v>
      </c>
      <c r="E133" s="39">
        <f>SUM(E122:E132)</f>
        <v>318510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TRUNC(5842+1997+974,-1)</f>
        <v>8810</v>
      </c>
      <c r="E137" s="64">
        <f t="shared" si="5"/>
        <v>29120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TRUNC(1934,-1)</f>
        <v>1930</v>
      </c>
      <c r="E140" s="64">
        <f t="shared" si="5"/>
        <v>6380</v>
      </c>
    </row>
    <row r="141" spans="1:7" x14ac:dyDescent="0.3">
      <c r="A141" s="2">
        <v>6</v>
      </c>
      <c r="C141" s="38" t="s">
        <v>59</v>
      </c>
      <c r="D141" s="42">
        <f>TRUNC(20502,-1)</f>
        <v>20500</v>
      </c>
      <c r="E141" s="64">
        <f t="shared" si="5"/>
        <v>67760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TRUNC(2785,-1)</f>
        <v>2780</v>
      </c>
      <c r="E143" s="64">
        <f t="shared" si="5"/>
        <v>9190</v>
      </c>
    </row>
    <row r="144" spans="1:7" x14ac:dyDescent="0.3">
      <c r="A144" s="2">
        <v>9</v>
      </c>
      <c r="C144" s="38" t="s">
        <v>63</v>
      </c>
      <c r="D144" s="42">
        <f>TRUNC(10552,-1)</f>
        <v>10550</v>
      </c>
      <c r="E144" s="64">
        <f t="shared" si="5"/>
        <v>34870</v>
      </c>
    </row>
    <row r="145" spans="1:7" ht="17.25" thickBot="1" x14ac:dyDescent="0.35">
      <c r="A145" s="2">
        <v>10</v>
      </c>
      <c r="C145" s="38" t="s">
        <v>148</v>
      </c>
      <c r="D145" s="43">
        <f>TRUNC(4709,-1)</f>
        <v>4700</v>
      </c>
      <c r="E145" s="65">
        <f t="shared" si="5"/>
        <v>15530</v>
      </c>
    </row>
    <row r="146" spans="1:7" x14ac:dyDescent="0.3">
      <c r="A146" s="2">
        <v>11</v>
      </c>
      <c r="C146" s="27" t="s">
        <v>112</v>
      </c>
      <c r="D146" s="39">
        <f>SUM(D136:D145)</f>
        <v>49270</v>
      </c>
      <c r="E146" s="39">
        <f>SUM(E136:E145)</f>
        <v>162850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TRUNC(1738+556,-1)</f>
        <v>2290</v>
      </c>
      <c r="E149" s="63">
        <f>TRUNC(+D149*3.3058,-1)</f>
        <v>7570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TRUNC(1190,-1)</f>
        <v>1190</v>
      </c>
      <c r="E150" s="64">
        <f>TRUNC(+D150*3.3058,-1)</f>
        <v>3930</v>
      </c>
      <c r="F150" s="2" t="s">
        <v>258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TRUNC(5066+367+1174,-1)</f>
        <v>6600</v>
      </c>
      <c r="E152" s="64">
        <f>TRUNC(+D152*3.3058,-1)</f>
        <v>21810</v>
      </c>
      <c r="F152" s="58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10080</v>
      </c>
      <c r="E154" s="39">
        <f>SUM(E149:E153)</f>
        <v>33310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TRUNC(6544,-1)</f>
        <v>6540</v>
      </c>
      <c r="E157" s="63">
        <f>TRUNC(+D157*3.3058,-1)</f>
        <v>21610</v>
      </c>
    </row>
    <row r="158" spans="1:7" x14ac:dyDescent="0.3">
      <c r="A158" s="2">
        <v>2</v>
      </c>
      <c r="C158" s="38" t="s">
        <v>52</v>
      </c>
      <c r="D158" s="42">
        <f>TRUNC(8363,-1)</f>
        <v>8360</v>
      </c>
      <c r="E158" s="64">
        <f>TRUNC(+D158*3.3058,-1)</f>
        <v>27630</v>
      </c>
    </row>
    <row r="159" spans="1:7" x14ac:dyDescent="0.3">
      <c r="A159" s="2">
        <v>3</v>
      </c>
      <c r="C159" s="38" t="s">
        <v>47</v>
      </c>
      <c r="D159" s="42">
        <f>TRUNC(2735,-1)</f>
        <v>2730</v>
      </c>
      <c r="E159" s="64">
        <f>TRUNC(+D159*3.3058,-1)</f>
        <v>9020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17630</v>
      </c>
      <c r="E161" s="39">
        <f>SUM(E157:E160)</f>
        <v>58260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2020-12-07T10:05:57Z</dcterms:modified>
</cp:coreProperties>
</file>