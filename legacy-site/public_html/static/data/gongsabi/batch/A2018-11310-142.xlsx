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59" i="4" l="1"/>
  <c r="D158" i="4"/>
  <c r="D157" i="4"/>
  <c r="D152" i="4"/>
  <c r="D151" i="4"/>
  <c r="D150" i="4"/>
  <c r="D149" i="4"/>
  <c r="D144" i="4"/>
  <c r="D143" i="4"/>
  <c r="D139" i="4"/>
  <c r="D141" i="4"/>
  <c r="D137" i="4"/>
  <c r="D142" i="4"/>
  <c r="D140" i="4"/>
  <c r="D132" i="4"/>
  <c r="D128" i="4"/>
  <c r="D124" i="4"/>
  <c r="D125" i="4"/>
  <c r="D122" i="4"/>
  <c r="D130" i="4"/>
  <c r="D118" i="4"/>
  <c r="D105" i="4"/>
  <c r="D104" i="4"/>
  <c r="D103" i="4"/>
  <c r="D102" i="4"/>
  <c r="D100" i="4"/>
  <c r="D99" i="4"/>
  <c r="D98" i="4"/>
  <c r="D114" i="4"/>
  <c r="D116" i="4"/>
  <c r="D92" i="4"/>
  <c r="D91" i="4"/>
  <c r="D89" i="4"/>
  <c r="D75" i="4"/>
  <c r="D73" i="4"/>
  <c r="D72" i="4"/>
  <c r="D71" i="4"/>
  <c r="D70" i="4"/>
  <c r="D69" i="4"/>
  <c r="D63" i="4"/>
  <c r="D58" i="4"/>
  <c r="D53" i="4"/>
  <c r="D52" i="4"/>
  <c r="D50" i="4"/>
  <c r="D49" i="4"/>
  <c r="D48" i="4"/>
  <c r="D46" i="4"/>
  <c r="D44" i="4"/>
  <c r="D43" i="4"/>
  <c r="D42" i="4"/>
  <c r="D41" i="4"/>
  <c r="D40" i="4"/>
  <c r="D131" i="4"/>
  <c r="D117" i="4"/>
  <c r="D5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19" i="4"/>
  <c r="E95" i="4"/>
  <c r="E60" i="4"/>
  <c r="E133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66" i="4"/>
  <c r="D26" i="4" s="1"/>
  <c r="E26" i="4" s="1"/>
  <c r="D60" i="4"/>
  <c r="D25" i="4" s="1"/>
  <c r="E25" i="4" s="1"/>
  <c r="D24" i="4"/>
  <c r="E24" i="4" s="1"/>
  <c r="D27" i="4"/>
  <c r="E27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 l="1"/>
  <c r="E34" i="4"/>
</calcChain>
</file>

<file path=xl/sharedStrings.xml><?xml version="1.0" encoding="utf-8"?>
<sst xmlns="http://schemas.openxmlformats.org/spreadsheetml/2006/main" count="395" uniqueCount="270">
  <si>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</si>
  <si>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</si>
  <si>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</si>
  <si>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</si>
  <si>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</si>
  <si>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</si>
  <si>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</si>
  <si>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</si>
  <si>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</si>
  <si>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</si>
  <si>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</si>
  <si>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</si>
  <si>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</si>
  <si>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</si>
  <si>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</si>
  <si>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</si>
  <si>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</si>
  <si>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</si>
  <si>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</si>
  <si>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</si>
  <si>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</si>
  <si>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</si>
  <si>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</si>
  <si>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</si>
  <si>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</si>
  <si>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</si>
  <si>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</si>
  <si>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</si>
  <si>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</si>
  <si>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</si>
  <si>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</si>
  <si>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</si>
  <si>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</si>
  <si>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</si>
  <si>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</si>
  <si>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</si>
  <si>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</si>
  <si>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</si>
  <si>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</si>
  <si>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</si>
  <si>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</si>
  <si>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</si>
  <si>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</si>
  <si>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</si>
  <si>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</si>
  <si>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</si>
  <si>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</si>
  <si>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</si>
  <si>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</si>
  <si>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</si>
  <si>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</si>
  <si>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</si>
  <si>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</si>
  <si>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</si>
  <si>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</si>
  <si>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</si>
  <si>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</si>
  <si>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</si>
  <si>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</si>
  <si>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</si>
  <si>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</si>
  <si>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</si>
  <si>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</si>
  <si>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</si>
  <si>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</si>
  <si>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</si>
  <si>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</si>
  <si>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</si>
  <si>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</si>
  <si>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</si>
  <si>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</si>
  <si>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</si>
  <si>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</si>
  <si>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</si>
  <si>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</si>
  <si>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</si>
  <si>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</si>
  <si>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</si>
  <si>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</si>
  <si>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</si>
  <si>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</si>
  <si>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</si>
  <si>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</si>
  <si>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</si>
  <si>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</si>
  <si>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</si>
  <si>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</si>
  <si>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</si>
  <si>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</si>
  <si>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</si>
  <si>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</si>
  <si>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</si>
  <si>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</si>
  <si>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</si>
  <si>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</si>
  <si>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</si>
  <si>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</si>
  <si>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</si>
  <si>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</si>
  <si>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</si>
  <si>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</si>
  <si>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</si>
  <si>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</si>
  <si>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</si>
  <si>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</si>
  <si>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</si>
  <si>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</si>
  <si>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</si>
  <si>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</si>
  <si>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</si>
  <si>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</si>
  <si>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</si>
  <si>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</si>
  <si>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</si>
  <si>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</si>
  <si>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</si>
  <si>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</si>
  <si>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</si>
  <si>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</si>
  <si>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</si>
  <si>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</si>
  <si>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</si>
  <si>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</si>
  <si>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</si>
  <si>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</si>
  <si>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</si>
  <si>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</si>
  <si>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</si>
  <si>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</si>
  <si>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</si>
  <si>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</si>
  <si>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</si>
  <si>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</si>
  <si>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</si>
  <si>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</si>
  <si>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</si>
  <si>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</si>
  <si>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</si>
  <si>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</si>
  <si>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</si>
  <si>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</si>
  <si>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</si>
  <si>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</si>
  <si>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</si>
  <si>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</si>
  <si>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</si>
  <si>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</si>
  <si>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</si>
  <si>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</si>
  <si>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</si>
  <si>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</si>
  <si>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</si>
  <si>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</si>
  <si>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</si>
  <si>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</si>
  <si>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</si>
  <si>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</si>
  <si>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</si>
  <si>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</si>
  <si>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</si>
  <si>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</si>
  <si>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</si>
  <si>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</si>
  <si>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</si>
  <si>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</si>
  <si>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</si>
  <si>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</si>
  <si>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</si>
  <si>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</si>
  <si>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</si>
  <si>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</si>
  <si>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</si>
  <si>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</si>
  <si>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</si>
  <si>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</si>
  <si>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</si>
  <si>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</si>
  <si>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</si>
  <si>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</si>
  <si>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</si>
  <si>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</si>
  <si>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</si>
  <si>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</si>
  <si>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</si>
  <si>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</si>
  <si>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</si>
  <si>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</si>
  <si>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</si>
  <si>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</si>
  <si>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</si>
  <si>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</si>
  <si>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</si>
  <si>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</si>
  <si>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</si>
  <si>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</si>
  <si>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</si>
  <si>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</si>
  <si>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</si>
  <si>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</si>
  <si>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</si>
  <si>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</si>
  <si>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</si>
  <si>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</si>
  <si>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</si>
  <si>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</si>
  <si>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</si>
  <si>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</si>
  <si>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</si>
  <si>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</si>
  <si>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</si>
  <si>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</si>
  <si>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</si>
  <si>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</si>
  <si>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</si>
  <si>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</si>
  <si>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</si>
  <si>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</si>
  <si>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</si>
  <si>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</si>
  <si>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</si>
  <si>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</si>
  <si>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</si>
  <si>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</si>
  <si>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</si>
  <si>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</si>
  <si>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</si>
  <si>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</si>
  <si>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</si>
  <si>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</si>
  <si>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</si>
  <si>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</si>
  <si>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</si>
  <si>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</si>
  <si>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</si>
  <si>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</si>
  <si>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</si>
  <si>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</si>
  <si>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</si>
  <si>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</si>
  <si>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</si>
  <si>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</si>
  <si>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</si>
  <si>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</si>
  <si>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</si>
  <si>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</si>
  <si>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</si>
  <si>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</si>
  <si>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</si>
  <si>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가칭 유천초등학교 신축공사</t>
    <phoneticPr fontId="2" type="noConversion"/>
  </si>
  <si>
    <t>교육연구</t>
  </si>
  <si>
    <t>강원도</t>
  </si>
  <si>
    <t>포장공사,기타공사</t>
    <phoneticPr fontId="2" type="noConversion"/>
  </si>
  <si>
    <t>조경시설물</t>
    <phoneticPr fontId="2" type="noConversion"/>
  </si>
  <si>
    <t>우수공사,오수공사</t>
    <phoneticPr fontId="2" type="noConversion"/>
  </si>
  <si>
    <t>운반비,기타공사</t>
    <phoneticPr fontId="2" type="noConversion"/>
  </si>
  <si>
    <t>옥외소화배관공사,펌프실배관공사,</t>
    <phoneticPr fontId="2" type="noConversion"/>
  </si>
  <si>
    <t>CATV 및 TV 설비공사</t>
    <phoneticPr fontId="2" type="noConversion"/>
  </si>
  <si>
    <t>CCTV설비공사</t>
    <phoneticPr fontId="2" type="noConversion"/>
  </si>
  <si>
    <t xml:space="preserve">기타공사 </t>
    <phoneticPr fontId="2" type="noConversion"/>
  </si>
  <si>
    <t>전기인입 및 수변전 설비공사</t>
    <phoneticPr fontId="2" type="noConversion"/>
  </si>
  <si>
    <t>기초공사,폐기물처리비,골재비및운반비,기타공사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</si>
  <si>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</si>
  <si>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</si>
  <si>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</si>
  <si>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기타공사, 바닥난방공사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</si>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</sst>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9992.5400000000009</v>
      </c>
      <c r="D7" s="36">
        <f>+C7/3.3058</f>
        <v>3022.7297477161355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1182820</v>
      </c>
      <c r="E25" s="59">
        <f t="shared" si="0"/>
        <v>3910160</v>
      </c>
    </row>
    <row r="26" spans="1:5" x14ac:dyDescent="0.3">
      <c r="B26" s="2">
        <v>3</v>
      </c>
      <c r="C26" s="35" t="s">
        <v>95</v>
      </c>
      <c r="D26" s="45">
        <f>+D66</f>
        <v>6530</v>
      </c>
      <c r="E26" s="59">
        <f t="shared" si="0"/>
        <v>21580</v>
      </c>
    </row>
    <row r="27" spans="1:5" x14ac:dyDescent="0.3">
      <c r="B27" s="2">
        <v>4</v>
      </c>
      <c r="C27" s="35" t="s">
        <v>96</v>
      </c>
      <c r="D27" s="45">
        <f>+D95</f>
        <v>63100</v>
      </c>
      <c r="E27" s="59">
        <f t="shared" si="0"/>
        <v>208590</v>
      </c>
    </row>
    <row r="28" spans="1:5" x14ac:dyDescent="0.3">
      <c r="B28" s="2">
        <v>5</v>
      </c>
      <c r="C28" s="35" t="s">
        <v>97</v>
      </c>
      <c r="D28" s="45">
        <f>+D119</f>
        <v>206740</v>
      </c>
      <c r="E28" s="59">
        <f t="shared" si="0"/>
        <v>683440</v>
      </c>
    </row>
    <row r="29" spans="1:5" x14ac:dyDescent="0.3">
      <c r="B29" s="2">
        <v>6</v>
      </c>
      <c r="C29" s="35" t="s">
        <v>98</v>
      </c>
      <c r="D29" s="45">
        <f>+D133</f>
        <v>81000</v>
      </c>
      <c r="E29" s="59">
        <f t="shared" si="0"/>
        <v>267760</v>
      </c>
    </row>
    <row r="30" spans="1:5" x14ac:dyDescent="0.3">
      <c r="B30" s="2">
        <v>7</v>
      </c>
      <c r="C30" s="35" t="s">
        <v>99</v>
      </c>
      <c r="D30" s="45">
        <f>+D146</f>
        <v>38490</v>
      </c>
      <c r="E30" s="59">
        <f t="shared" si="0"/>
        <v>127240</v>
      </c>
    </row>
    <row r="31" spans="1:5" x14ac:dyDescent="0.3">
      <c r="B31" s="2">
        <v>8</v>
      </c>
      <c r="C31" s="35" t="s">
        <v>100</v>
      </c>
      <c r="D31" s="45">
        <f>+D154</f>
        <v>25660</v>
      </c>
      <c r="E31" s="59">
        <f t="shared" si="0"/>
        <v>84820</v>
      </c>
    </row>
    <row r="32" spans="1:5" x14ac:dyDescent="0.3">
      <c r="B32" s="2">
        <v>9</v>
      </c>
      <c r="C32" s="35" t="s">
        <v>101</v>
      </c>
      <c r="D32" s="45">
        <f>+D161</f>
        <v>42480</v>
      </c>
      <c r="E32" s="59">
        <f t="shared" si="0"/>
        <v>140430</v>
      </c>
    </row>
    <row r="33" spans="1:7" x14ac:dyDescent="0.3">
      <c r="B33" s="2">
        <v>10</v>
      </c>
      <c r="C33" s="35" t="s">
        <v>154</v>
      </c>
      <c r="D33" s="53">
        <f>TRUNC(SUM(D24:D32)*0.275,-1)</f>
        <v>452870</v>
      </c>
      <c r="E33" s="60">
        <f t="shared" si="0"/>
        <v>1497090</v>
      </c>
    </row>
    <row r="34" spans="1:7" x14ac:dyDescent="0.3">
      <c r="C34" s="35" t="s">
        <v>112</v>
      </c>
      <c r="D34" s="44">
        <f>SUM(D24:D33)</f>
        <v>2099690</v>
      </c>
      <c r="E34" s="44">
        <f>SUM(E24:E33)</f>
        <v>6941110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265</v>
      </c>
      <c r="E39" s="67" t="s">
        <v>266</v>
      </c>
      <c r="G39" s="68"/>
    </row>
    <row r="40" spans="1:7" x14ac:dyDescent="0.3">
      <c r="A40" s="2">
        <v>1</v>
      </c>
      <c r="C40" s="38" t="s">
        <v>15</v>
      </c>
      <c r="D40" s="40">
        <f>TRUNC(45051,-1)</f>
        <v>45050</v>
      </c>
      <c r="E40" s="62">
        <f t="shared" ref="E40:E59" si="1">TRUNC(+D40*3.3058,-1)</f>
        <v>148920</v>
      </c>
    </row>
    <row r="41" spans="1:7" x14ac:dyDescent="0.3">
      <c r="A41" s="2">
        <v>2</v>
      </c>
      <c r="C41" s="38" t="s">
        <v>13</v>
      </c>
      <c r="D41" s="42">
        <f>TRUNC(152344,-1)</f>
        <v>152340</v>
      </c>
      <c r="E41" s="63">
        <f t="shared" si="1"/>
        <v>503600</v>
      </c>
    </row>
    <row r="42" spans="1:7" x14ac:dyDescent="0.3">
      <c r="A42" s="2">
        <v>3</v>
      </c>
      <c r="C42" s="38" t="s">
        <v>14</v>
      </c>
      <c r="D42" s="42">
        <f>TRUNC(11753,-1)</f>
        <v>11750</v>
      </c>
      <c r="E42" s="63">
        <f t="shared" si="1"/>
        <v>38840</v>
      </c>
    </row>
    <row r="43" spans="1:7" x14ac:dyDescent="0.3">
      <c r="A43" s="2">
        <v>4</v>
      </c>
      <c r="C43" s="38" t="s">
        <v>16</v>
      </c>
      <c r="D43" s="42">
        <f>TRUNC(33122,-1)</f>
        <v>33120</v>
      </c>
      <c r="E43" s="63">
        <f t="shared" si="1"/>
        <v>109480</v>
      </c>
    </row>
    <row r="44" spans="1:7" x14ac:dyDescent="0.3">
      <c r="A44" s="2">
        <v>5</v>
      </c>
      <c r="C44" s="38" t="s">
        <v>17</v>
      </c>
      <c r="D44" s="42">
        <f>TRUNC(48026,-1)</f>
        <v>48020</v>
      </c>
      <c r="E44" s="63">
        <f t="shared" si="1"/>
        <v>158740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f>TRUNC(27054,-1)</f>
        <v>27050</v>
      </c>
      <c r="E46" s="63">
        <f t="shared" si="1"/>
        <v>89420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TRUNC(34569,-1)</f>
        <v>34560</v>
      </c>
      <c r="E48" s="63">
        <f t="shared" si="1"/>
        <v>114240</v>
      </c>
      <c r="F48" s="2" t="s">
        <v>261</v>
      </c>
    </row>
    <row r="49" spans="1:7" x14ac:dyDescent="0.3">
      <c r="A49" s="2">
        <v>10</v>
      </c>
      <c r="C49" s="38" t="s">
        <v>22</v>
      </c>
      <c r="D49" s="42">
        <f>TRUNC(3,-1)</f>
        <v>0</v>
      </c>
      <c r="E49" s="63">
        <f t="shared" si="1"/>
        <v>0</v>
      </c>
    </row>
    <row r="50" spans="1:7" x14ac:dyDescent="0.3">
      <c r="A50" s="2">
        <v>11</v>
      </c>
      <c r="C50" s="38" t="s">
        <v>155</v>
      </c>
      <c r="D50" s="42">
        <f>TRUNC(46247,-1)</f>
        <v>46240</v>
      </c>
      <c r="E50" s="63">
        <f t="shared" si="1"/>
        <v>152860</v>
      </c>
      <c r="F50" s="2" t="s">
        <v>262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TRUNC(6862,-1)</f>
        <v>6860</v>
      </c>
      <c r="E52" s="63">
        <f t="shared" si="1"/>
        <v>22670</v>
      </c>
    </row>
    <row r="53" spans="1:7" x14ac:dyDescent="0.3">
      <c r="A53" s="2">
        <v>14</v>
      </c>
      <c r="C53" s="38" t="s">
        <v>25</v>
      </c>
      <c r="D53" s="42">
        <f>TRUNC(106298,-1)</f>
        <v>106290</v>
      </c>
      <c r="E53" s="63">
        <f t="shared" si="1"/>
        <v>351370</v>
      </c>
      <c r="F53" s="2" t="s">
        <v>263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TRUNC(35656+487+4182+7954,-1)</f>
        <v>48270</v>
      </c>
      <c r="E58" s="63">
        <f t="shared" si="1"/>
        <v>159570</v>
      </c>
      <c r="F58" s="2" t="s">
        <v>260</v>
      </c>
    </row>
    <row r="59" spans="1:7" ht="17.25" thickBot="1" x14ac:dyDescent="0.35">
      <c r="A59" s="2">
        <v>20</v>
      </c>
      <c r="C59" s="38" t="s">
        <v>148</v>
      </c>
      <c r="D59" s="43">
        <f>TRUNC(623271,-1)</f>
        <v>623270</v>
      </c>
      <c r="E59" s="64">
        <f t="shared" si="1"/>
        <v>2060400</v>
      </c>
    </row>
    <row r="60" spans="1:7" x14ac:dyDescent="0.3">
      <c r="A60" s="2">
        <v>21</v>
      </c>
      <c r="C60" s="27" t="s">
        <v>112</v>
      </c>
      <c r="D60" s="39">
        <f>SUM(D40:D59)</f>
        <v>1182820</v>
      </c>
      <c r="E60" s="39">
        <f>SUM(E40:E59)</f>
        <v>3910110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TRUNC(6533,-1)</f>
        <v>6530</v>
      </c>
      <c r="E63" s="62">
        <f>TRUNC(+D63*3.3058,-1)</f>
        <v>21580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6530</v>
      </c>
      <c r="E66" s="65">
        <f>SUM(E63:E65)</f>
        <v>21580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TRUNC(4040,-1)</f>
        <v>4040</v>
      </c>
      <c r="E69" s="62">
        <f t="shared" ref="E69:E94" si="2">TRUNC(+D69*3.3058,-1)</f>
        <v>13350</v>
      </c>
    </row>
    <row r="70" spans="1:7" ht="16.5" customHeight="1" x14ac:dyDescent="0.3">
      <c r="A70" s="2">
        <v>2</v>
      </c>
      <c r="C70" s="38" t="s">
        <v>31</v>
      </c>
      <c r="D70" s="42">
        <f>TRUNC(798,-1)</f>
        <v>790</v>
      </c>
      <c r="E70" s="63">
        <f t="shared" si="2"/>
        <v>2610</v>
      </c>
    </row>
    <row r="71" spans="1:7" x14ac:dyDescent="0.3">
      <c r="A71" s="2">
        <v>3</v>
      </c>
      <c r="C71" s="38" t="s">
        <v>32</v>
      </c>
      <c r="D71" s="42">
        <f>TRUNC(7464,-1)</f>
        <v>7460</v>
      </c>
      <c r="E71" s="63">
        <f t="shared" si="2"/>
        <v>24660</v>
      </c>
    </row>
    <row r="72" spans="1:7" x14ac:dyDescent="0.3">
      <c r="A72" s="2">
        <v>4</v>
      </c>
      <c r="C72" s="38" t="s">
        <v>33</v>
      </c>
      <c r="D72" s="42">
        <f>TRUNC(2288,-1)</f>
        <v>2280</v>
      </c>
      <c r="E72" s="63">
        <f t="shared" si="2"/>
        <v>7530</v>
      </c>
    </row>
    <row r="73" spans="1:7" x14ac:dyDescent="0.3">
      <c r="A73" s="2">
        <v>5</v>
      </c>
      <c r="C73" s="38" t="s">
        <v>34</v>
      </c>
      <c r="D73" s="42">
        <f>TRUNC(17711,-1)</f>
        <v>17710</v>
      </c>
      <c r="E73" s="63">
        <f t="shared" si="2"/>
        <v>58540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TRUNC(78,-1)</f>
        <v>70</v>
      </c>
      <c r="E75" s="63">
        <f t="shared" si="2"/>
        <v>230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TRUNC(8388,-1)</f>
        <v>8380</v>
      </c>
      <c r="E89" s="63">
        <f t="shared" si="2"/>
        <v>27700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TRUNC(8855,-1)</f>
        <v>8850</v>
      </c>
      <c r="E91" s="63">
        <f t="shared" si="2"/>
        <v>29250</v>
      </c>
    </row>
    <row r="92" spans="1:7" x14ac:dyDescent="0.3">
      <c r="A92" s="2">
        <v>24</v>
      </c>
      <c r="C92" s="38" t="s">
        <v>38</v>
      </c>
      <c r="D92" s="42">
        <f>TRUNC(7971,-1)</f>
        <v>7970</v>
      </c>
      <c r="E92" s="63">
        <f t="shared" si="2"/>
        <v>26340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TRUNC(2526+3030,-1)</f>
        <v>5550</v>
      </c>
      <c r="E94" s="64">
        <f t="shared" si="2"/>
        <v>18340</v>
      </c>
      <c r="F94" s="2" t="s">
        <v>264</v>
      </c>
    </row>
    <row r="95" spans="1:7" x14ac:dyDescent="0.3">
      <c r="A95" s="2">
        <v>27</v>
      </c>
      <c r="C95" s="27" t="s">
        <v>112</v>
      </c>
      <c r="D95" s="39">
        <f>SUM(D69:D94)</f>
        <v>63100</v>
      </c>
      <c r="E95" s="39">
        <f>SUM(E69:E94)</f>
        <v>208550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TRUNC(15278,-1)</f>
        <v>15270</v>
      </c>
      <c r="E98" s="62">
        <f t="shared" ref="E98:E118" si="3">TRUNC(+D98*3.3058,-1)</f>
        <v>50470</v>
      </c>
    </row>
    <row r="99" spans="1:7" x14ac:dyDescent="0.3">
      <c r="A99" s="2">
        <v>2</v>
      </c>
      <c r="C99" s="38" t="s">
        <v>40</v>
      </c>
      <c r="D99" s="42">
        <f>TRUNC(6336,-1)</f>
        <v>6330</v>
      </c>
      <c r="E99" s="63">
        <f t="shared" si="3"/>
        <v>20920</v>
      </c>
    </row>
    <row r="100" spans="1:7" x14ac:dyDescent="0.3">
      <c r="A100" s="2">
        <v>3</v>
      </c>
      <c r="C100" s="38" t="s">
        <v>41</v>
      </c>
      <c r="D100" s="42">
        <f>TRUNC(39281,-1)</f>
        <v>39280</v>
      </c>
      <c r="E100" s="63">
        <f t="shared" si="3"/>
        <v>129850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TRUNC(13384,-1)</f>
        <v>13380</v>
      </c>
      <c r="E102" s="63">
        <f t="shared" si="3"/>
        <v>44230</v>
      </c>
    </row>
    <row r="103" spans="1:7" x14ac:dyDescent="0.3">
      <c r="A103" s="2">
        <v>6</v>
      </c>
      <c r="C103" s="38" t="s">
        <v>44</v>
      </c>
      <c r="D103" s="42">
        <f>TRUNC(8001,-1)</f>
        <v>8000</v>
      </c>
      <c r="E103" s="63">
        <f t="shared" si="3"/>
        <v>26440</v>
      </c>
    </row>
    <row r="104" spans="1:7" x14ac:dyDescent="0.3">
      <c r="A104" s="2">
        <v>7</v>
      </c>
      <c r="C104" s="38" t="s">
        <v>45</v>
      </c>
      <c r="D104" s="42">
        <f>TRUNC(3408,-1)</f>
        <v>3400</v>
      </c>
      <c r="E104" s="63">
        <f t="shared" si="3"/>
        <v>11230</v>
      </c>
    </row>
    <row r="105" spans="1:7" x14ac:dyDescent="0.3">
      <c r="A105" s="2">
        <v>8</v>
      </c>
      <c r="C105" s="38" t="s">
        <v>46</v>
      </c>
      <c r="D105" s="42">
        <f>TRUNC(7623,-1)</f>
        <v>7620</v>
      </c>
      <c r="E105" s="63">
        <f t="shared" si="3"/>
        <v>25190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TRUNC(2806,-1)</f>
        <v>2800</v>
      </c>
      <c r="E114" s="63">
        <f t="shared" si="3"/>
        <v>9250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TRUNC(2964,-1)</f>
        <v>2960</v>
      </c>
      <c r="E116" s="63">
        <f t="shared" si="3"/>
        <v>9780</v>
      </c>
      <c r="F116" s="2" t="s">
        <v>259</v>
      </c>
    </row>
    <row r="117" spans="1:7" x14ac:dyDescent="0.3">
      <c r="A117" s="2">
        <v>20</v>
      </c>
      <c r="C117" s="38" t="s">
        <v>148</v>
      </c>
      <c r="D117" s="42">
        <f>TRUNC(105970,-1)</f>
        <v>105970</v>
      </c>
      <c r="E117" s="63">
        <f t="shared" si="3"/>
        <v>350310</v>
      </c>
    </row>
    <row r="118" spans="1:7" ht="17.25" thickBot="1" x14ac:dyDescent="0.35">
      <c r="A118" s="2">
        <v>21</v>
      </c>
      <c r="C118" s="38" t="s">
        <v>47</v>
      </c>
      <c r="D118" s="43">
        <f>TRUNC(1731,-1)</f>
        <v>1730</v>
      </c>
      <c r="E118" s="64">
        <f t="shared" si="3"/>
        <v>5710</v>
      </c>
      <c r="F118" s="2" t="s">
        <v>258</v>
      </c>
    </row>
    <row r="119" spans="1:7" x14ac:dyDescent="0.3">
      <c r="A119" s="2">
        <v>22</v>
      </c>
      <c r="C119" s="27" t="s">
        <v>112</v>
      </c>
      <c r="D119" s="39">
        <f>SUM(D98:D118)</f>
        <v>206740</v>
      </c>
      <c r="E119" s="39">
        <f>SUM(E98:E118)</f>
        <v>683380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TRUNC(5655,-1)</f>
        <v>5650</v>
      </c>
      <c r="E122" s="62">
        <f t="shared" ref="E122:E132" si="4">TRUNC(+D122*3.3058,-1)</f>
        <v>18670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TRUNC(2546,-1)</f>
        <v>2540</v>
      </c>
      <c r="E124" s="63">
        <f t="shared" si="4"/>
        <v>8390</v>
      </c>
    </row>
    <row r="125" spans="1:7" x14ac:dyDescent="0.3">
      <c r="A125" s="2">
        <v>4</v>
      </c>
      <c r="C125" s="38" t="s">
        <v>138</v>
      </c>
      <c r="D125" s="42">
        <f>TRUNC(12154,-1)</f>
        <v>12150</v>
      </c>
      <c r="E125" s="63">
        <f t="shared" si="4"/>
        <v>40160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TRUNC(4863,-1)</f>
        <v>4860</v>
      </c>
      <c r="E128" s="63">
        <f t="shared" si="4"/>
        <v>16060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TRUNC(18430,-1)</f>
        <v>18430</v>
      </c>
      <c r="E130" s="63">
        <f t="shared" si="4"/>
        <v>60920</v>
      </c>
    </row>
    <row r="131" spans="1:7" x14ac:dyDescent="0.3">
      <c r="A131" s="2">
        <v>10</v>
      </c>
      <c r="C131" s="38" t="s">
        <v>148</v>
      </c>
      <c r="D131" s="42">
        <f>TRUNC(35578,-1)</f>
        <v>35570</v>
      </c>
      <c r="E131" s="63">
        <f t="shared" si="4"/>
        <v>117580</v>
      </c>
    </row>
    <row r="132" spans="1:7" ht="18" thickBot="1" x14ac:dyDescent="0.35">
      <c r="A132" s="2">
        <v>11</v>
      </c>
      <c r="C132" s="38" t="s">
        <v>47</v>
      </c>
      <c r="D132" s="43">
        <f>TRUNC(1802,-1)</f>
        <v>1800</v>
      </c>
      <c r="E132" s="64">
        <f t="shared" si="4"/>
        <v>5950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81000</v>
      </c>
      <c r="E133" s="39">
        <f>SUM(E122:E132)</f>
        <v>267730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TRUNC(234+2444,-1)</f>
        <v>2670</v>
      </c>
      <c r="E137" s="63">
        <f t="shared" si="5"/>
        <v>8820</v>
      </c>
      <c r="F137" s="2" t="s">
        <v>255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TRUNC(1076,-1)</f>
        <v>1070</v>
      </c>
      <c r="E139" s="63">
        <f t="shared" si="5"/>
        <v>3530</v>
      </c>
    </row>
    <row r="140" spans="1:7" x14ac:dyDescent="0.3">
      <c r="A140" s="2">
        <v>5</v>
      </c>
      <c r="C140" s="38" t="s">
        <v>57</v>
      </c>
      <c r="D140" s="42">
        <f>TRUNC(1841,-1)</f>
        <v>1840</v>
      </c>
      <c r="E140" s="63">
        <f t="shared" si="5"/>
        <v>6080</v>
      </c>
    </row>
    <row r="141" spans="1:7" x14ac:dyDescent="0.3">
      <c r="A141" s="2">
        <v>6</v>
      </c>
      <c r="C141" s="38" t="s">
        <v>59</v>
      </c>
      <c r="D141" s="42">
        <f>TRUNC(2473,-1)</f>
        <v>2470</v>
      </c>
      <c r="E141" s="63">
        <f t="shared" si="5"/>
        <v>8160</v>
      </c>
    </row>
    <row r="142" spans="1:7" x14ac:dyDescent="0.3">
      <c r="A142" s="2">
        <v>7</v>
      </c>
      <c r="C142" s="38" t="s">
        <v>58</v>
      </c>
      <c r="D142" s="42">
        <f>TRUNC(5660,-1)</f>
        <v>5660</v>
      </c>
      <c r="E142" s="63">
        <f t="shared" si="5"/>
        <v>18710</v>
      </c>
    </row>
    <row r="143" spans="1:7" x14ac:dyDescent="0.3">
      <c r="A143" s="2">
        <v>8</v>
      </c>
      <c r="C143" s="38" t="s">
        <v>62</v>
      </c>
      <c r="D143" s="42">
        <f>TRUNC(7515,-1)</f>
        <v>7510</v>
      </c>
      <c r="E143" s="63">
        <f t="shared" si="5"/>
        <v>24820</v>
      </c>
    </row>
    <row r="144" spans="1:7" x14ac:dyDescent="0.3">
      <c r="A144" s="2">
        <v>9</v>
      </c>
      <c r="C144" s="38" t="s">
        <v>63</v>
      </c>
      <c r="D144" s="42">
        <f>TRUNC(17272,-1)</f>
        <v>17270</v>
      </c>
      <c r="E144" s="63">
        <f t="shared" si="5"/>
        <v>57090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38490</v>
      </c>
      <c r="E146" s="39">
        <f>SUM(E136:E145)</f>
        <v>127210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TRUNC(7680+1464,-1)</f>
        <v>9140</v>
      </c>
      <c r="E149" s="62">
        <f>TRUNC(+D149*3.3058,-1)</f>
        <v>30210</v>
      </c>
      <c r="F149" s="2" t="s">
        <v>253</v>
      </c>
    </row>
    <row r="150" spans="1:7" x14ac:dyDescent="0.3">
      <c r="A150" s="2">
        <v>2</v>
      </c>
      <c r="C150" s="38" t="s">
        <v>49</v>
      </c>
      <c r="D150" s="42">
        <f>TRUNC(11257,-1)</f>
        <v>11250</v>
      </c>
      <c r="E150" s="63">
        <f>TRUNC(+D150*3.3058,-1)</f>
        <v>37190</v>
      </c>
    </row>
    <row r="151" spans="1:7" x14ac:dyDescent="0.3">
      <c r="A151" s="2">
        <v>3</v>
      </c>
      <c r="C151" s="38" t="s">
        <v>50</v>
      </c>
      <c r="D151" s="42">
        <f>TRUNC(2332,-1)</f>
        <v>2330</v>
      </c>
      <c r="E151" s="63">
        <f>TRUNC(+D151*3.3058,-1)</f>
        <v>7700</v>
      </c>
    </row>
    <row r="152" spans="1:7" x14ac:dyDescent="0.3">
      <c r="A152" s="2">
        <v>4</v>
      </c>
      <c r="C152" s="38" t="s">
        <v>47</v>
      </c>
      <c r="D152" s="42">
        <f>TRUNC(1444+1498,-1)</f>
        <v>2940</v>
      </c>
      <c r="E152" s="63">
        <f>TRUNC(+D152*3.3058,-1)</f>
        <v>9710</v>
      </c>
      <c r="F152" s="2" t="s">
        <v>254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25660</v>
      </c>
      <c r="E154" s="39">
        <f>SUM(E149:E153)</f>
        <v>84810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TRUNC(33702,-1)</f>
        <v>33700</v>
      </c>
      <c r="E157" s="62">
        <f>TRUNC(+D157*3.3058,-1)</f>
        <v>111400</v>
      </c>
    </row>
    <row r="158" spans="1:7" x14ac:dyDescent="0.3">
      <c r="A158" s="2">
        <v>2</v>
      </c>
      <c r="C158" s="38" t="s">
        <v>52</v>
      </c>
      <c r="D158" s="42">
        <f>TRUNC(6521,-1)</f>
        <v>6520</v>
      </c>
      <c r="E158" s="63">
        <f>TRUNC(+D158*3.3058,-1)</f>
        <v>21550</v>
      </c>
      <c r="F158" s="2" t="s">
        <v>252</v>
      </c>
    </row>
    <row r="159" spans="1:7" x14ac:dyDescent="0.3">
      <c r="A159" s="2">
        <v>3</v>
      </c>
      <c r="C159" s="38" t="s">
        <v>47</v>
      </c>
      <c r="D159" s="42">
        <f>TRUNC(2020+249,-1)</f>
        <v>2260</v>
      </c>
      <c r="E159" s="63">
        <f>TRUNC(+D159*3.3058,-1)</f>
        <v>7470</v>
      </c>
      <c r="F159" s="2" t="s">
        <v>251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42480</v>
      </c>
      <c r="E161" s="39">
        <f>SUM(E157:E160)</f>
        <v>140420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2020-12-08T02:47:07Z</dcterms:modified>
</cp:coreProperties>
</file>