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2" i="4"/>
  <c r="D150" i="4"/>
  <c r="D149" i="4"/>
  <c r="D145" i="4"/>
  <c r="D144" i="4"/>
  <c r="D143" i="4"/>
  <c r="D142" i="4"/>
  <c r="D141" i="4"/>
  <c r="D140" i="4"/>
  <c r="D139" i="4"/>
  <c r="D138" i="4"/>
  <c r="D137" i="4"/>
  <c r="D132" i="4"/>
  <c r="D130" i="4"/>
  <c r="D128" i="4"/>
  <c r="D127" i="4"/>
  <c r="D125" i="4"/>
  <c r="D122" i="4"/>
  <c r="D117" i="4"/>
  <c r="D116" i="4"/>
  <c r="D114" i="4"/>
  <c r="D105" i="4"/>
  <c r="D104" i="4"/>
  <c r="D103" i="4"/>
  <c r="D102" i="4"/>
  <c r="D101" i="4"/>
  <c r="D99" i="4"/>
  <c r="D98" i="4"/>
  <c r="D94" i="4"/>
  <c r="D93" i="4"/>
  <c r="D91" i="4"/>
  <c r="D89" i="4"/>
  <c r="D75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<sst xmlns="http://schemas.openxmlformats.org/spreadsheetml/2006/main" count="395" uniqueCount="272">
  <si>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</si>
  <si>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</si>
  <si>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</si>
  <si>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</si>
  <si>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</si>
  <si>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</si>
  <si>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</si>
  <si>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</si>
  <si>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</si>
  <si>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</si>
  <si>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</si>
  <si>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</si>
  <si>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</si>
  <si>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</si>
  <si>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</si>
  <si>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</si>
  <si>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</si>
  <si>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</si>
  <si>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</si>
  <si>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</si>
  <si>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</si>
  <si>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</si>
  <si>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</si>
  <si>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</si>
  <si>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</si>
  <si>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</si>
  <si>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</si>
  <si>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</si>
  <si>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</si>
  <si>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</si>
  <si>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</si>
  <si>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</si>
  <si>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</si>
  <si>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</si>
  <si>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</si>
  <si>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</si>
  <si>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</si>
  <si>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</si>
  <si>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</si>
  <si>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</si>
  <si>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</si>
  <si>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</si>
  <si>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</si>
  <si>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</si>
  <si>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</si>
  <si>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</si>
  <si>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</si>
  <si>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</si>
  <si>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</si>
  <si>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</si>
  <si>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</si>
  <si>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</si>
  <si>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</si>
  <si>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</si>
  <si>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</si>
  <si>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</si>
  <si>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</si>
  <si>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</si>
  <si>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</si>
  <si>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</si>
  <si>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</si>
  <si>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</si>
  <si>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</si>
  <si>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</si>
  <si>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</si>
  <si>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</si>
  <si>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</si>
  <si>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</si>
  <si>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</si>
  <si>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</si>
  <si>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</si>
  <si>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</si>
  <si>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</si>
  <si>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</si>
  <si>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</si>
  <si>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</si>
  <si>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</si>
  <si>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</si>
  <si>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</si>
  <si>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</si>
  <si>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</si>
  <si>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</si>
  <si>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</si>
  <si>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</si>
  <si>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</si>
  <si>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</si>
  <si>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</si>
  <si>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</si>
  <si>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</si>
  <si>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</si>
  <si>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</si>
  <si>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</si>
  <si>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</si>
  <si>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</si>
  <si>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</si>
  <si>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</si>
  <si>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</si>
  <si>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</si>
  <si>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</si>
  <si>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</si>
  <si>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</si>
  <si>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</si>
  <si>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</si>
  <si>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</si>
  <si>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</si>
  <si>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</si>
  <si>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</si>
  <si>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</si>
  <si>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</si>
  <si>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</si>
  <si>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</si>
  <si>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</si>
  <si>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</si>
  <si>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</si>
  <si>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</si>
  <si>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</si>
  <si>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</si>
  <si>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</si>
  <si>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</si>
  <si>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</si>
  <si>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</si>
  <si>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</si>
  <si>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</si>
  <si>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</si>
  <si>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</si>
  <si>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</si>
  <si>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</si>
  <si>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</si>
  <si>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</si>
  <si>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</si>
  <si>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</si>
  <si>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</si>
  <si>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</si>
  <si>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</si>
  <si>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</si>
  <si>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</si>
  <si>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</si>
  <si>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</si>
  <si>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</si>
  <si>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</si>
  <si>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</si>
  <si>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</si>
  <si>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</si>
  <si>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</si>
  <si>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</si>
  <si>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</si>
  <si>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</si>
  <si>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</si>
  <si>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</si>
  <si>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</si>
  <si>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</si>
  <si>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</si>
  <si>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</si>
  <si>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</si>
  <si>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</si>
  <si>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</si>
  <si>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</si>
  <si>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</si>
  <si>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</si>
  <si>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</si>
  <si>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</si>
  <si>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</si>
  <si>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</si>
  <si>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</si>
  <si>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</si>
  <si>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</si>
  <si>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</si>
  <si>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</si>
  <si>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</si>
  <si>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</si>
  <si>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</si>
  <si>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</si>
  <si>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</si>
  <si>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</si>
  <si>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</si>
  <si>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</si>
  <si>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</si>
  <si>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</si>
  <si>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</si>
  <si>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</si>
  <si>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</si>
  <si>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</si>
  <si>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</si>
  <si>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</si>
  <si>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</si>
  <si>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</si>
  <si>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</si>
  <si>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</si>
  <si>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</si>
  <si>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</si>
  <si>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</si>
  <si>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</si>
  <si>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</si>
  <si>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</si>
  <si>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</si>
  <si>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</si>
  <si>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</si>
  <si>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</si>
  <si>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</si>
  <si>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</si>
  <si>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</si>
  <si>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</si>
  <si>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</si>
  <si>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</si>
  <si>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</si>
  <si>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</si>
  <si>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</si>
  <si>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</si>
  <si>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</si>
  <si>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</si>
  <si>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</si>
  <si>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</si>
  <si>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</si>
  <si>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</si>
  <si>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</si>
  <si>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</si>
  <si>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</si>
  <si>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</si>
  <si>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</si>
  <si>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</si>
  <si>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</si>
  <si>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</si>
  <si>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</si>
  <si>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</si>
  <si>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</si>
  <si>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</si>
  <si>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</si>
  <si>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</si>
  <si>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</si>
  <si>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</si>
  <si>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</si>
  <si>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</si>
  <si>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</si>
  <si>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</si>
  <si>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</si>
  <si>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</si>
  <si>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</si>
  <si>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</si>
  <si>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</si>
  <si>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</si>
  <si>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</si>
  <si>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</si>
  <si>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</si>
  <si>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</si>
  <si>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</si>
  <si>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</si>
  <si>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</si>
  <si>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</si>
  <si>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</si>
  <si>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해남군 청사 신축공사</t>
    <phoneticPr fontId="2" type="noConversion"/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</si>
  <si>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</si>
  <si>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</si>
  <si>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</si>
  <si>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</si>
  <si>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기초공사,폐기물처리비,골재비및운반비,작업부산물,품질시험비,기타공사</t>
    <phoneticPr fontId="2" type="noConversion"/>
  </si>
  <si>
    <t>공조배관공사,난방배관공사,우수처리시설공사,기타공사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</si>
  <si>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</si>
  <si>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</si>
  <si>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</si>
  <si>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</si>
  <si>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오수공사</t>
    <phoneticPr fontId="2" type="noConversion"/>
  </si>
  <si>
    <t>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</si>
  <si>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</si>
  <si>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</si>
  <si>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옥외소화배관공사,펌프실배관공사,제연덕트설치공사,무선통신보조설비공사  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</si>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</sst>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18601.099999999999</v>
      </c>
      <c r="D7" s="36">
        <f>+C7/3.3058</f>
        <v>5626.8074293665677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989880</v>
      </c>
      <c r="E25" s="59">
        <f t="shared" si="0"/>
        <v>3272340</v>
      </c>
    </row>
    <row r="26" spans="1:5" x14ac:dyDescent="0.3">
      <c r="B26" s="2">
        <v>3</v>
      </c>
      <c r="C26" s="35" t="s">
        <v>95</v>
      </c>
      <c r="D26" s="45">
        <f>+D66</f>
        <v>67540</v>
      </c>
      <c r="E26" s="59">
        <f t="shared" si="0"/>
        <v>223270</v>
      </c>
    </row>
    <row r="27" spans="1:5" x14ac:dyDescent="0.3">
      <c r="B27" s="2">
        <v>4</v>
      </c>
      <c r="C27" s="35" t="s">
        <v>96</v>
      </c>
      <c r="D27" s="45">
        <f>+D95</f>
        <v>357250</v>
      </c>
      <c r="E27" s="59">
        <f t="shared" si="0"/>
        <v>1180990</v>
      </c>
    </row>
    <row r="28" spans="1:5" x14ac:dyDescent="0.3">
      <c r="B28" s="2">
        <v>5</v>
      </c>
      <c r="C28" s="35" t="s">
        <v>97</v>
      </c>
      <c r="D28" s="45">
        <f>+D119</f>
        <v>233260</v>
      </c>
      <c r="E28" s="59">
        <f t="shared" si="0"/>
        <v>771110</v>
      </c>
    </row>
    <row r="29" spans="1:5" x14ac:dyDescent="0.3">
      <c r="B29" s="2">
        <v>6</v>
      </c>
      <c r="C29" s="35" t="s">
        <v>98</v>
      </c>
      <c r="D29" s="45">
        <f>+D133</f>
        <v>221630</v>
      </c>
      <c r="E29" s="59">
        <f t="shared" si="0"/>
        <v>732660</v>
      </c>
    </row>
    <row r="30" spans="1:5" x14ac:dyDescent="0.3">
      <c r="B30" s="2">
        <v>7</v>
      </c>
      <c r="C30" s="35" t="s">
        <v>99</v>
      </c>
      <c r="D30" s="45">
        <f>+D146</f>
        <v>83000</v>
      </c>
      <c r="E30" s="59">
        <f t="shared" si="0"/>
        <v>274380</v>
      </c>
    </row>
    <row r="31" spans="1:5" x14ac:dyDescent="0.3">
      <c r="B31" s="2">
        <v>8</v>
      </c>
      <c r="C31" s="35" t="s">
        <v>100</v>
      </c>
      <c r="D31" s="45">
        <f>+D154</f>
        <v>22240</v>
      </c>
      <c r="E31" s="59">
        <f t="shared" si="0"/>
        <v>73520</v>
      </c>
    </row>
    <row r="32" spans="1:5" x14ac:dyDescent="0.3">
      <c r="B32" s="2">
        <v>9</v>
      </c>
      <c r="C32" s="35" t="s">
        <v>101</v>
      </c>
      <c r="D32" s="45">
        <f>+D161</f>
        <v>28840</v>
      </c>
      <c r="E32" s="59">
        <f t="shared" si="0"/>
        <v>95330</v>
      </c>
    </row>
    <row r="33" spans="1:7" x14ac:dyDescent="0.3">
      <c r="B33" s="2">
        <v>10</v>
      </c>
      <c r="C33" s="35" t="s">
        <v>154</v>
      </c>
      <c r="D33" s="53">
        <f>TRUNC(SUM(D24:D32)*0.275,-1)</f>
        <v>551000</v>
      </c>
      <c r="E33" s="60">
        <f t="shared" si="0"/>
        <v>1821490</v>
      </c>
    </row>
    <row r="34" spans="1:7" x14ac:dyDescent="0.3">
      <c r="C34" s="35" t="s">
        <v>112</v>
      </c>
      <c r="D34" s="44">
        <f>SUM(D24:D33)</f>
        <v>2554640</v>
      </c>
      <c r="E34" s="44">
        <f>SUM(E24:E33)</f>
        <v>8445090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265</v>
      </c>
      <c r="C39" s="56" t="s">
        <v>266</v>
      </c>
      <c r="D39" s="57" t="s">
        <v>267</v>
      </c>
      <c r="E39" s="57" t="s">
        <v>268</v>
      </c>
      <c r="G39" s="55"/>
    </row>
    <row r="40" spans="1:7" x14ac:dyDescent="0.3">
      <c r="A40" s="2">
        <v>1</v>
      </c>
      <c r="C40" s="38" t="s">
        <v>15</v>
      </c>
      <c r="D40" s="40">
        <f>TRUNC(53554,-1)</f>
        <v>53550</v>
      </c>
      <c r="E40" s="62">
        <f t="shared" ref="E40:E59" si="1">TRUNC(+D40*3.3058,-1)</f>
        <v>177020</v>
      </c>
    </row>
    <row r="41" spans="1:7" x14ac:dyDescent="0.3">
      <c r="A41" s="2">
        <v>2</v>
      </c>
      <c r="C41" s="38" t="s">
        <v>13</v>
      </c>
      <c r="D41" s="42">
        <f>TRUNC(120384,-1)</f>
        <v>120380</v>
      </c>
      <c r="E41" s="63">
        <f t="shared" si="1"/>
        <v>397950</v>
      </c>
    </row>
    <row r="42" spans="1:7" x14ac:dyDescent="0.3">
      <c r="A42" s="2">
        <v>3</v>
      </c>
      <c r="C42" s="38" t="s">
        <v>14</v>
      </c>
      <c r="D42" s="42">
        <f>TRUNC(5069,-1)</f>
        <v>5060</v>
      </c>
      <c r="E42" s="63">
        <f t="shared" si="1"/>
        <v>16720</v>
      </c>
    </row>
    <row r="43" spans="1:7" x14ac:dyDescent="0.3">
      <c r="A43" s="2">
        <v>4</v>
      </c>
      <c r="C43" s="38" t="s">
        <v>16</v>
      </c>
      <c r="D43" s="42">
        <f>TRUNC(13719,-1)</f>
        <v>13710</v>
      </c>
      <c r="E43" s="63">
        <f t="shared" si="1"/>
        <v>45320</v>
      </c>
    </row>
    <row r="44" spans="1:7" x14ac:dyDescent="0.3">
      <c r="A44" s="2">
        <v>5</v>
      </c>
      <c r="C44" s="38" t="s">
        <v>17</v>
      </c>
      <c r="D44" s="42">
        <f>TRUNC(24851,-1)</f>
        <v>24850</v>
      </c>
      <c r="E44" s="63">
        <f t="shared" si="1"/>
        <v>82140</v>
      </c>
    </row>
    <row r="45" spans="1:7" x14ac:dyDescent="0.3">
      <c r="A45" s="2">
        <v>6</v>
      </c>
      <c r="C45" s="38" t="s">
        <v>18</v>
      </c>
      <c r="D45" s="42">
        <f>TRUNC(7137,-1)</f>
        <v>7130</v>
      </c>
      <c r="E45" s="63">
        <f t="shared" si="1"/>
        <v>23570</v>
      </c>
    </row>
    <row r="46" spans="1:7" x14ac:dyDescent="0.3">
      <c r="A46" s="2">
        <v>7</v>
      </c>
      <c r="C46" s="38" t="s">
        <v>19</v>
      </c>
      <c r="D46" s="42">
        <f>TRUNC(6766,-1)</f>
        <v>6760</v>
      </c>
      <c r="E46" s="63">
        <f t="shared" si="1"/>
        <v>22340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TRUNC(40465,-1)</f>
        <v>40460</v>
      </c>
      <c r="E48" s="63">
        <f t="shared" si="1"/>
        <v>133750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TRUNC(10771,-1)</f>
        <v>10770</v>
      </c>
      <c r="E49" s="63">
        <f t="shared" si="1"/>
        <v>35600</v>
      </c>
    </row>
    <row r="50" spans="1:7" x14ac:dyDescent="0.3">
      <c r="A50" s="2">
        <v>11</v>
      </c>
      <c r="C50" s="38" t="s">
        <v>155</v>
      </c>
      <c r="D50" s="42">
        <f>TRUNC(62765,-1)</f>
        <v>62760</v>
      </c>
      <c r="E50" s="63">
        <f t="shared" si="1"/>
        <v>207470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TRUNC(17822,-1)</f>
        <v>17820</v>
      </c>
      <c r="E52" s="63">
        <f t="shared" si="1"/>
        <v>58900</v>
      </c>
    </row>
    <row r="53" spans="1:7" x14ac:dyDescent="0.3">
      <c r="A53" s="2">
        <v>14</v>
      </c>
      <c r="C53" s="38" t="s">
        <v>25</v>
      </c>
      <c r="D53" s="42">
        <f>TRUNC(156095,-1)</f>
        <v>156090</v>
      </c>
      <c r="E53" s="63">
        <f t="shared" si="1"/>
        <v>516000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TRUNC(32479+104+6220-1003+25124,-1)</f>
        <v>62920</v>
      </c>
      <c r="E58" s="63">
        <f t="shared" si="1"/>
        <v>208000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407620</v>
      </c>
      <c r="E59" s="64">
        <f t="shared" si="1"/>
        <v>1347510</v>
      </c>
    </row>
    <row r="60" spans="1:7" x14ac:dyDescent="0.3">
      <c r="A60" s="2">
        <v>21</v>
      </c>
      <c r="C60" s="27" t="s">
        <v>112</v>
      </c>
      <c r="D60" s="39">
        <f>SUM(D40:D59)</f>
        <v>989880</v>
      </c>
      <c r="E60" s="39">
        <f>SUM(E40:E59)</f>
        <v>3272290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TRUNC(16011,-1)</f>
        <v>16010</v>
      </c>
      <c r="E63" s="62">
        <f>TRUNC(+D63*3.3058,-1)</f>
        <v>52920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TRUNC(51532,-1)</f>
        <v>51530</v>
      </c>
      <c r="E65" s="64">
        <f>TRUNC(+D65*3.3058,-1)</f>
        <v>170340</v>
      </c>
    </row>
    <row r="66" spans="1:7" x14ac:dyDescent="0.3">
      <c r="A66" s="2">
        <v>4</v>
      </c>
      <c r="C66" s="27" t="s">
        <v>112</v>
      </c>
      <c r="D66" s="39">
        <f>SUM(D63:D65)</f>
        <v>67540</v>
      </c>
      <c r="E66" s="65">
        <f>SUM(E63:E65)</f>
        <v>223260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TRUNC(8734,-1)</f>
        <v>8730</v>
      </c>
      <c r="E69" s="62">
        <f t="shared" ref="E69:E94" si="2">TRUNC(+D69*3.3058,-1)</f>
        <v>28850</v>
      </c>
    </row>
    <row r="70" spans="1:7" ht="16.5" customHeight="1" x14ac:dyDescent="0.3">
      <c r="A70" s="2">
        <v>2</v>
      </c>
      <c r="C70" s="38" t="s">
        <v>31</v>
      </c>
      <c r="D70" s="42">
        <f>TRUNC(204,-1)</f>
        <v>200</v>
      </c>
      <c r="E70" s="63">
        <f t="shared" si="2"/>
        <v>660</v>
      </c>
    </row>
    <row r="71" spans="1:7" x14ac:dyDescent="0.3">
      <c r="A71" s="2">
        <v>3</v>
      </c>
      <c r="C71" s="38" t="s">
        <v>32</v>
      </c>
      <c r="D71" s="42">
        <f>TRUNC(9782,-1)</f>
        <v>9780</v>
      </c>
      <c r="E71" s="63">
        <f t="shared" si="2"/>
        <v>32330</v>
      </c>
    </row>
    <row r="72" spans="1:7" x14ac:dyDescent="0.3">
      <c r="A72" s="2">
        <v>4</v>
      </c>
      <c r="C72" s="38" t="s">
        <v>33</v>
      </c>
      <c r="D72" s="42">
        <v>1490</v>
      </c>
      <c r="E72" s="63">
        <f t="shared" si="2"/>
        <v>4920</v>
      </c>
    </row>
    <row r="73" spans="1:7" x14ac:dyDescent="0.3">
      <c r="A73" s="2">
        <v>5</v>
      </c>
      <c r="C73" s="38" t="s">
        <v>34</v>
      </c>
      <c r="D73" s="42">
        <v>6170</v>
      </c>
      <c r="E73" s="63">
        <f t="shared" si="2"/>
        <v>20390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TRUNC(4665,-1)</f>
        <v>4660</v>
      </c>
      <c r="E75" s="63">
        <f t="shared" si="2"/>
        <v>15400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TRUNC(8612,-1)</f>
        <v>8610</v>
      </c>
      <c r="E89" s="63">
        <f t="shared" si="2"/>
        <v>28460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TRUNC(26568,-1)</f>
        <v>26560</v>
      </c>
      <c r="E91" s="63">
        <f t="shared" si="2"/>
        <v>87800</v>
      </c>
    </row>
    <row r="92" spans="1:7" x14ac:dyDescent="0.3">
      <c r="A92" s="2">
        <v>24</v>
      </c>
      <c r="C92" s="38" t="s">
        <v>38</v>
      </c>
      <c r="D92" s="42">
        <v>3570</v>
      </c>
      <c r="E92" s="63">
        <f t="shared" si="2"/>
        <v>11800</v>
      </c>
    </row>
    <row r="93" spans="1:7" x14ac:dyDescent="0.3">
      <c r="A93" s="2">
        <v>25</v>
      </c>
      <c r="C93" s="38" t="s">
        <v>148</v>
      </c>
      <c r="D93" s="42">
        <f>TRUNC(244027,-1)</f>
        <v>244020</v>
      </c>
      <c r="E93" s="63">
        <f t="shared" si="2"/>
        <v>806680</v>
      </c>
    </row>
    <row r="94" spans="1:7" ht="17.25" thickBot="1" x14ac:dyDescent="0.35">
      <c r="A94" s="2">
        <v>26</v>
      </c>
      <c r="C94" s="38" t="s">
        <v>47</v>
      </c>
      <c r="D94" s="43">
        <f>TRUNC(14939+225+6977+21325,-1)</f>
        <v>43460</v>
      </c>
      <c r="E94" s="64">
        <f t="shared" si="2"/>
        <v>143670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357250</v>
      </c>
      <c r="E95" s="39">
        <f>SUM(E69:E94)</f>
        <v>1180960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TRUNC(20809,-1)</f>
        <v>20800</v>
      </c>
      <c r="E98" s="62">
        <f t="shared" ref="E98:E118" si="3">TRUNC(+D98*3.3058,-1)</f>
        <v>68760</v>
      </c>
    </row>
    <row r="99" spans="1:7" x14ac:dyDescent="0.3">
      <c r="A99" s="2">
        <v>2</v>
      </c>
      <c r="C99" s="38" t="s">
        <v>40</v>
      </c>
      <c r="D99" s="42">
        <f>TRUNC(8671,-1)</f>
        <v>8670</v>
      </c>
      <c r="E99" s="63">
        <f t="shared" si="3"/>
        <v>28660</v>
      </c>
    </row>
    <row r="100" spans="1:7" x14ac:dyDescent="0.3">
      <c r="A100" s="2">
        <v>3</v>
      </c>
      <c r="C100" s="38" t="s">
        <v>41</v>
      </c>
      <c r="D100" s="42">
        <v>38330</v>
      </c>
      <c r="E100" s="63">
        <f t="shared" si="3"/>
        <v>126710</v>
      </c>
    </row>
    <row r="101" spans="1:7" x14ac:dyDescent="0.3">
      <c r="A101" s="2">
        <v>4</v>
      </c>
      <c r="C101" s="38" t="s">
        <v>42</v>
      </c>
      <c r="D101" s="42">
        <f>TRUNC(2546,-1)</f>
        <v>2540</v>
      </c>
      <c r="E101" s="63">
        <f t="shared" si="3"/>
        <v>8390</v>
      </c>
    </row>
    <row r="102" spans="1:7" x14ac:dyDescent="0.3">
      <c r="A102" s="2">
        <v>5</v>
      </c>
      <c r="C102" s="38" t="s">
        <v>43</v>
      </c>
      <c r="D102" s="42">
        <f>TRUNC(18789,-1)</f>
        <v>18780</v>
      </c>
      <c r="E102" s="63">
        <f t="shared" si="3"/>
        <v>62080</v>
      </c>
    </row>
    <row r="103" spans="1:7" x14ac:dyDescent="0.3">
      <c r="A103" s="2">
        <v>6</v>
      </c>
      <c r="C103" s="38" t="s">
        <v>44</v>
      </c>
      <c r="D103" s="42">
        <f>TRUNC(8507,-1)</f>
        <v>8500</v>
      </c>
      <c r="E103" s="63">
        <f t="shared" si="3"/>
        <v>28090</v>
      </c>
    </row>
    <row r="104" spans="1:7" x14ac:dyDescent="0.3">
      <c r="A104" s="2">
        <v>7</v>
      </c>
      <c r="C104" s="38" t="s">
        <v>45</v>
      </c>
      <c r="D104" s="42">
        <f>TRUNC(4105,-1)</f>
        <v>4100</v>
      </c>
      <c r="E104" s="63">
        <f t="shared" si="3"/>
        <v>13550</v>
      </c>
    </row>
    <row r="105" spans="1:7" x14ac:dyDescent="0.3">
      <c r="A105" s="2">
        <v>8</v>
      </c>
      <c r="C105" s="38" t="s">
        <v>46</v>
      </c>
      <c r="D105" s="42">
        <f>TRUNC(3965,-1)</f>
        <v>3960</v>
      </c>
      <c r="E105" s="63">
        <f t="shared" si="3"/>
        <v>13090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TRUNC(1542,-1)</f>
        <v>1540</v>
      </c>
      <c r="E114" s="63">
        <f t="shared" si="3"/>
        <v>5090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TRUNC(4018,-1)</f>
        <v>4010</v>
      </c>
      <c r="E116" s="63">
        <f t="shared" si="3"/>
        <v>13250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TRUNC(118777,-1)</f>
        <v>118770</v>
      </c>
      <c r="E117" s="63">
        <f t="shared" si="3"/>
        <v>392620</v>
      </c>
    </row>
    <row r="118" spans="1:7" ht="17.25" thickBot="1" x14ac:dyDescent="0.35">
      <c r="A118" s="2">
        <v>21</v>
      </c>
      <c r="C118" s="38" t="s">
        <v>47</v>
      </c>
      <c r="D118" s="43">
        <v>3260</v>
      </c>
      <c r="E118" s="64">
        <f t="shared" si="3"/>
        <v>10770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233260</v>
      </c>
      <c r="E119" s="39">
        <f>SUM(E98:E118)</f>
        <v>771060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TRUNC(9818,-1)</f>
        <v>9810</v>
      </c>
      <c r="E122" s="62">
        <f t="shared" ref="E122:E132" si="4">TRUNC(+D122*3.3058,-1)</f>
        <v>32420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2300</v>
      </c>
      <c r="E124" s="63">
        <f t="shared" si="4"/>
        <v>7600</v>
      </c>
    </row>
    <row r="125" spans="1:7" x14ac:dyDescent="0.3">
      <c r="A125" s="2">
        <v>4</v>
      </c>
      <c r="C125" s="38" t="s">
        <v>138</v>
      </c>
      <c r="D125" s="42">
        <f>TRUNC(9797,-1)</f>
        <v>9790</v>
      </c>
      <c r="E125" s="63">
        <f t="shared" si="4"/>
        <v>32360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TRUNC(9112,-1)</f>
        <v>9110</v>
      </c>
      <c r="E127" s="63">
        <f t="shared" si="4"/>
        <v>30110</v>
      </c>
    </row>
    <row r="128" spans="1:7" x14ac:dyDescent="0.3">
      <c r="A128" s="2">
        <v>7</v>
      </c>
      <c r="C128" s="38" t="s">
        <v>46</v>
      </c>
      <c r="D128" s="42">
        <f>TRUNC(7249,-1)</f>
        <v>7240</v>
      </c>
      <c r="E128" s="63">
        <f t="shared" si="4"/>
        <v>23930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TRUNC(49906,-1)</f>
        <v>49900</v>
      </c>
      <c r="E130" s="63">
        <f t="shared" si="4"/>
        <v>164950</v>
      </c>
    </row>
    <row r="131" spans="1:7" x14ac:dyDescent="0.3">
      <c r="A131" s="2">
        <v>10</v>
      </c>
      <c r="C131" s="38" t="s">
        <v>148</v>
      </c>
      <c r="D131" s="42">
        <v>128600</v>
      </c>
      <c r="E131" s="63">
        <f t="shared" si="4"/>
        <v>425120</v>
      </c>
    </row>
    <row r="132" spans="1:7" ht="18" thickBot="1" x14ac:dyDescent="0.35">
      <c r="A132" s="2">
        <v>11</v>
      </c>
      <c r="C132" s="38" t="s">
        <v>47</v>
      </c>
      <c r="D132" s="43">
        <f>TRUNC(3582+1303,-1)</f>
        <v>4880</v>
      </c>
      <c r="E132" s="64">
        <f t="shared" si="4"/>
        <v>16130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221630</v>
      </c>
      <c r="E133" s="39">
        <f>SUM(E122:E132)</f>
        <v>732620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TRUNC(87+2287+1631+1704+1885,-1)</f>
        <v>7590</v>
      </c>
      <c r="E137" s="63">
        <f t="shared" si="5"/>
        <v>25090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f>TRUNC(8202,-1)</f>
        <v>8200</v>
      </c>
      <c r="E138" s="63">
        <f t="shared" si="5"/>
        <v>27100</v>
      </c>
    </row>
    <row r="139" spans="1:7" x14ac:dyDescent="0.3">
      <c r="A139" s="2">
        <v>4</v>
      </c>
      <c r="C139" s="38" t="s">
        <v>61</v>
      </c>
      <c r="D139" s="42">
        <f>TRUNC(2974,-1)</f>
        <v>2970</v>
      </c>
      <c r="E139" s="63">
        <f t="shared" si="5"/>
        <v>9810</v>
      </c>
    </row>
    <row r="140" spans="1:7" x14ac:dyDescent="0.3">
      <c r="A140" s="2">
        <v>5</v>
      </c>
      <c r="C140" s="38" t="s">
        <v>57</v>
      </c>
      <c r="D140" s="42">
        <f>TRUNC(368,-1)</f>
        <v>360</v>
      </c>
      <c r="E140" s="63">
        <f t="shared" si="5"/>
        <v>1190</v>
      </c>
    </row>
    <row r="141" spans="1:7" x14ac:dyDescent="0.3">
      <c r="A141" s="2">
        <v>6</v>
      </c>
      <c r="C141" s="38" t="s">
        <v>59</v>
      </c>
      <c r="D141" s="42">
        <f>TRUNC(29487,-1)</f>
        <v>29480</v>
      </c>
      <c r="E141" s="63">
        <f t="shared" si="5"/>
        <v>97450</v>
      </c>
    </row>
    <row r="142" spans="1:7" x14ac:dyDescent="0.3">
      <c r="A142" s="2">
        <v>7</v>
      </c>
      <c r="C142" s="38" t="s">
        <v>58</v>
      </c>
      <c r="D142" s="42">
        <f>TRUNC(5543,-1)</f>
        <v>5540</v>
      </c>
      <c r="E142" s="63">
        <f t="shared" si="5"/>
        <v>18310</v>
      </c>
    </row>
    <row r="143" spans="1:7" x14ac:dyDescent="0.3">
      <c r="A143" s="2">
        <v>8</v>
      </c>
      <c r="C143" s="38" t="s">
        <v>62</v>
      </c>
      <c r="D143" s="42">
        <f>TRUNC(4012,-1)</f>
        <v>4010</v>
      </c>
      <c r="E143" s="63">
        <f t="shared" si="5"/>
        <v>13250</v>
      </c>
    </row>
    <row r="144" spans="1:7" x14ac:dyDescent="0.3">
      <c r="A144" s="2">
        <v>9</v>
      </c>
      <c r="C144" s="38" t="s">
        <v>63</v>
      </c>
      <c r="D144" s="42">
        <f>TRUNC(16472,-1)</f>
        <v>16470</v>
      </c>
      <c r="E144" s="63">
        <f t="shared" si="5"/>
        <v>54440</v>
      </c>
    </row>
    <row r="145" spans="1:7" ht="17.25" thickBot="1" x14ac:dyDescent="0.35">
      <c r="A145" s="2">
        <v>10</v>
      </c>
      <c r="C145" s="38" t="s">
        <v>148</v>
      </c>
      <c r="D145" s="43">
        <f>TRUNC(8389,-1)</f>
        <v>8380</v>
      </c>
      <c r="E145" s="64">
        <f t="shared" si="5"/>
        <v>27700</v>
      </c>
    </row>
    <row r="146" spans="1:7" x14ac:dyDescent="0.3">
      <c r="A146" s="2">
        <v>11</v>
      </c>
      <c r="C146" s="27" t="s">
        <v>112</v>
      </c>
      <c r="D146" s="39">
        <f>SUM(D136:D145)</f>
        <v>83000</v>
      </c>
      <c r="E146" s="39">
        <f>SUM(E136:E145)</f>
        <v>274340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TRUNC(6601,-1)</f>
        <v>6600</v>
      </c>
      <c r="E149" s="62">
        <f>TRUNC(+D149*3.3058,-1)</f>
        <v>21810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TRUNC(1526,-1)</f>
        <v>1520</v>
      </c>
      <c r="E150" s="63">
        <f>TRUNC(+D150*3.3058,-1)</f>
        <v>5020</v>
      </c>
    </row>
    <row r="151" spans="1:7" x14ac:dyDescent="0.3">
      <c r="A151" s="2">
        <v>3</v>
      </c>
      <c r="C151" s="38" t="s">
        <v>50</v>
      </c>
      <c r="D151" s="42">
        <v>750</v>
      </c>
      <c r="E151" s="63">
        <f>TRUNC(+D151*3.3058,-1)</f>
        <v>2470</v>
      </c>
    </row>
    <row r="152" spans="1:7" x14ac:dyDescent="0.3">
      <c r="A152" s="2">
        <v>4</v>
      </c>
      <c r="C152" s="38" t="s">
        <v>47</v>
      </c>
      <c r="D152" s="42">
        <f>TRUNC(9037,-1)</f>
        <v>9030</v>
      </c>
      <c r="E152" s="63">
        <f>TRUNC(+D152*3.3058,-1)</f>
        <v>29850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4340</v>
      </c>
      <c r="E153" s="64">
        <f>TRUNC(+D153*3.3058,-1)</f>
        <v>14340</v>
      </c>
    </row>
    <row r="154" spans="1:7" x14ac:dyDescent="0.3">
      <c r="A154" s="2">
        <v>6</v>
      </c>
      <c r="C154" s="27" t="s">
        <v>112</v>
      </c>
      <c r="D154" s="39">
        <f>SUM(D149:D153)</f>
        <v>22240</v>
      </c>
      <c r="E154" s="39">
        <f>SUM(E149:E153)</f>
        <v>73490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TRUNC(11283,-1)</f>
        <v>11280</v>
      </c>
      <c r="E157" s="62">
        <f>TRUNC(+D157*3.3058,-1)</f>
        <v>37280</v>
      </c>
    </row>
    <row r="158" spans="1:7" x14ac:dyDescent="0.3">
      <c r="A158" s="2">
        <v>2</v>
      </c>
      <c r="C158" s="38" t="s">
        <v>52</v>
      </c>
      <c r="D158" s="42">
        <f>TRUNC(6508,-1)</f>
        <v>6500</v>
      </c>
      <c r="E158" s="63">
        <f>TRUNC(+D158*3.3058,-1)</f>
        <v>21480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TRUNC(3327+6,-1)</f>
        <v>3330</v>
      </c>
      <c r="E159" s="63">
        <f>TRUNC(+D159*3.3058,-1)</f>
        <v>11000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TRUNC(7736,-1)</f>
        <v>7730</v>
      </c>
      <c r="E160" s="64">
        <f>TRUNC(+D160*3.3058,-1)</f>
        <v>25550</v>
      </c>
    </row>
    <row r="161" spans="1:5" x14ac:dyDescent="0.3">
      <c r="A161" s="2">
        <v>5</v>
      </c>
      <c r="C161" s="27" t="s">
        <v>112</v>
      </c>
      <c r="D161" s="39">
        <f>SUM(D157:D160)</f>
        <v>28840</v>
      </c>
      <c r="E161" s="39">
        <f>SUM(E157:E160)</f>
        <v>95310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2020-12-08T04:49:10Z</dcterms:modified>
</cp:coreProperties>
</file>