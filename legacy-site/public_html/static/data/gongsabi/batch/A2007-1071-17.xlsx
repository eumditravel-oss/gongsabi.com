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2" i="4" l="1"/>
  <c r="D118" i="4"/>
  <c r="E160" i="4" l="1"/>
  <c r="E153" i="4"/>
  <c r="E151" i="4"/>
  <c r="E150" i="4"/>
  <c r="E149" i="4"/>
  <c r="E145" i="4"/>
  <c r="E143" i="4"/>
  <c r="E142" i="4"/>
  <c r="E141" i="4"/>
  <c r="E140" i="4"/>
  <c r="E139" i="4"/>
  <c r="E138" i="4"/>
  <c r="E129" i="4"/>
  <c r="E126" i="4"/>
  <c r="E123" i="4"/>
  <c r="E118" i="4"/>
  <c r="E116" i="4"/>
  <c r="E113" i="4"/>
  <c r="E112" i="4"/>
  <c r="E111" i="4"/>
  <c r="E110" i="4"/>
  <c r="E109" i="4"/>
  <c r="E108" i="4"/>
  <c r="E107" i="4"/>
  <c r="E106" i="4"/>
  <c r="E103" i="4"/>
  <c r="E102" i="4"/>
  <c r="E101" i="4"/>
  <c r="E92" i="4"/>
  <c r="E91" i="4"/>
  <c r="E89" i="4"/>
  <c r="E88" i="4"/>
  <c r="E87" i="4"/>
  <c r="E86" i="4"/>
  <c r="E85" i="4"/>
  <c r="E84" i="4"/>
  <c r="E83" i="4"/>
  <c r="E82" i="4"/>
  <c r="E81" i="4"/>
  <c r="E80" i="4"/>
  <c r="E79" i="4"/>
  <c r="E77" i="4"/>
  <c r="E76" i="4"/>
  <c r="E73" i="4"/>
  <c r="E64" i="4"/>
  <c r="E63" i="4"/>
  <c r="E57" i="4"/>
  <c r="E56" i="4"/>
  <c r="E47" i="4"/>
  <c r="D152" i="4" l="1"/>
  <c r="E152" i="4" s="1"/>
  <c r="E154" i="4" s="1"/>
  <c r="D132" i="4"/>
  <c r="E132" i="4" s="1"/>
  <c r="D94" i="4"/>
  <c r="E94" i="4" s="1"/>
  <c r="D58" i="4"/>
  <c r="E58" i="4" s="1"/>
  <c r="D74" i="4"/>
  <c r="E74" i="4" s="1"/>
  <c r="D136" i="4"/>
  <c r="E136" i="4" s="1"/>
  <c r="D59" i="4" l="1"/>
  <c r="E59" i="4" s="1"/>
  <c r="D55" i="4"/>
  <c r="E55" i="4" s="1"/>
  <c r="D45" i="4"/>
  <c r="E45" i="4" s="1"/>
  <c r="D41" i="4"/>
  <c r="E41" i="4" s="1"/>
  <c r="D42" i="4"/>
  <c r="E42" i="4" s="1"/>
  <c r="D50" i="4"/>
  <c r="E50" i="4" s="1"/>
  <c r="D43" i="4"/>
  <c r="E43" i="4" s="1"/>
  <c r="D54" i="4"/>
  <c r="E54" i="4" s="1"/>
  <c r="D51" i="4"/>
  <c r="E51" i="4" s="1"/>
  <c r="D53" i="4"/>
  <c r="E53" i="4" s="1"/>
  <c r="D46" i="4"/>
  <c r="E46" i="4" s="1"/>
  <c r="D44" i="4"/>
  <c r="E44" i="4" s="1"/>
  <c r="D49" i="4"/>
  <c r="E49" i="4" s="1"/>
  <c r="D52" i="4"/>
  <c r="E52" i="4" s="1"/>
  <c r="D48" i="4"/>
  <c r="E48" i="4" s="1"/>
  <c r="D37" i="4"/>
  <c r="E37" i="4" s="1"/>
  <c r="D40" i="4"/>
  <c r="E40" i="4" s="1"/>
  <c r="E60" i="4" s="1"/>
  <c r="D65" i="4"/>
  <c r="E65" i="4" s="1"/>
  <c r="E66" i="4" s="1"/>
  <c r="D159" i="4"/>
  <c r="E159" i="4" s="1"/>
  <c r="D158" i="4"/>
  <c r="E158" i="4" s="1"/>
  <c r="D157" i="4"/>
  <c r="E157" i="4" s="1"/>
  <c r="E161" i="4" s="1"/>
  <c r="D93" i="4"/>
  <c r="E93" i="4" s="1"/>
  <c r="D75" i="4"/>
  <c r="E75" i="4" s="1"/>
  <c r="D90" i="4"/>
  <c r="E90" i="4" s="1"/>
  <c r="D72" i="4"/>
  <c r="E72" i="4" s="1"/>
  <c r="D78" i="4"/>
  <c r="E78" i="4" s="1"/>
  <c r="D71" i="4"/>
  <c r="E71" i="4" s="1"/>
  <c r="D70" i="4"/>
  <c r="E70" i="4" s="1"/>
  <c r="D69" i="4"/>
  <c r="E69" i="4" s="1"/>
  <c r="E95" i="4" s="1"/>
  <c r="D137" i="4"/>
  <c r="E137" i="4" s="1"/>
  <c r="E146" i="4" s="1"/>
  <c r="D144" i="4"/>
  <c r="E144" i="4" s="1"/>
  <c r="D117" i="4"/>
  <c r="E117" i="4" s="1"/>
  <c r="D105" i="4"/>
  <c r="E105" i="4" s="1"/>
  <c r="D104" i="4"/>
  <c r="E104" i="4" s="1"/>
  <c r="D100" i="4"/>
  <c r="E100" i="4" s="1"/>
  <c r="D99" i="4"/>
  <c r="E99" i="4" s="1"/>
  <c r="D98" i="4"/>
  <c r="E98" i="4" s="1"/>
  <c r="E119" i="4" s="1"/>
  <c r="D115" i="4"/>
  <c r="E115" i="4" s="1"/>
  <c r="D114" i="4"/>
  <c r="E114" i="4" s="1"/>
  <c r="D131" i="4"/>
  <c r="E131" i="4" s="1"/>
  <c r="D128" i="4"/>
  <c r="E128" i="4" s="1"/>
  <c r="D127" i="4"/>
  <c r="E127" i="4" s="1"/>
  <c r="D122" i="4"/>
  <c r="E122" i="4" s="1"/>
  <c r="D124" i="4"/>
  <c r="E124" i="4" s="1"/>
  <c r="D125" i="4"/>
  <c r="E125" i="4" s="1"/>
  <c r="D130" i="4"/>
  <c r="E130" i="4" s="1"/>
  <c r="E133" i="4" l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7" i="4"/>
  <c r="O31" i="1"/>
  <c r="M31" i="1"/>
  <c r="D27" i="4" l="1"/>
  <c r="E27" i="4" s="1"/>
  <c r="D26" i="4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<sst xmlns="http://schemas.openxmlformats.org/spreadsheetml/2006/main" count="394" uniqueCount="329">
  <si>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</si>
  <si>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</si>
  <si>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</si>
  <si>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</si>
  <si>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</si>
  <si>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</si>
  <si>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</si>
  <si>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</si>
  <si>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</si>
  <si>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</si>
  <si>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</si>
  <si>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</si>
  <si>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</si>
  <si>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</si>
  <si>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</si>
  <si>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</si>
  <si>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</si>
  <si>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</si>
  <si>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</si>
  <si>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</si>
  <si>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</si>
  <si>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</si>
  <si>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</si>
  <si>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</si>
  <si>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</si>
  <si>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</si>
  <si>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</si>
  <si>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</si>
  <si>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</si>
  <si>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</si>
  <si>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</si>
  <si>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</si>
  <si>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</si>
  <si>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</si>
  <si>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</si>
  <si>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</si>
  <si>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</si>
  <si>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</si>
  <si>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</si>
  <si>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</si>
  <si>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</si>
  <si>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</si>
  <si>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</si>
  <si>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</si>
  <si>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</si>
  <si>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</si>
  <si>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</si>
  <si>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</si>
  <si>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</si>
  <si>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</si>
  <si>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</si>
  <si>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</si>
  <si>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</si>
  <si>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</si>
  <si>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</si>
  <si>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</si>
  <si>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</si>
  <si>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</si>
  <si>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</si>
  <si>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</si>
  <si>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</si>
  <si>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</si>
  <si>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</si>
  <si>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</si>
  <si>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</si>
  <si>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</si>
  <si>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</si>
  <si>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</si>
  <si>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</si>
  <si>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</si>
  <si>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</si>
  <si>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</si>
  <si>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</si>
  <si>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</si>
  <si>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</si>
  <si>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</si>
  <si>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</si>
  <si>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</si>
  <si>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</si>
  <si>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</si>
  <si>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</si>
  <si>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</si>
  <si>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</si>
  <si>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</si>
  <si>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</si>
  <si>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</si>
  <si>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</si>
  <si>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</si>
  <si>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</si>
  <si>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</si>
  <si>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</si>
  <si>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</si>
  <si>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</si>
  <si>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</si>
  <si>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</si>
  <si>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</si>
  <si>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</si>
  <si>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</si>
  <si>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</si>
  <si>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</si>
  <si>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</si>
  <si>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</si>
  <si>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</si>
  <si>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</si>
  <si>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</si>
  <si>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</si>
  <si>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</si>
  <si>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</si>
  <si>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</si>
  <si>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</si>
  <si>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</si>
  <si>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</si>
  <si>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</si>
  <si>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</si>
  <si>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</si>
  <si>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</si>
  <si>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</si>
  <si>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</si>
  <si>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</si>
  <si>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</si>
  <si>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</si>
  <si>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</si>
  <si>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</si>
  <si>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</si>
  <si>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</si>
  <si>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</si>
  <si>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</si>
  <si>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</si>
  <si>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</si>
  <si>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</si>
  <si>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</si>
  <si>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</si>
  <si>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</si>
  <si>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</si>
  <si>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</si>
  <si>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</si>
  <si>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</si>
  <si>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</si>
  <si>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</si>
  <si>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</si>
  <si>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</si>
  <si>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</si>
  <si>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</si>
  <si>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</si>
  <si>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</si>
  <si>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</si>
  <si>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</si>
  <si>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</si>
  <si>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</si>
  <si>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</si>
  <si>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</si>
  <si>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</si>
  <si>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</si>
  <si>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</si>
  <si>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</si>
  <si>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</si>
  <si>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</si>
  <si>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</si>
  <si>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</si>
  <si>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</si>
  <si>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</si>
  <si>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</si>
  <si>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</si>
  <si>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</si>
  <si>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</si>
  <si>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</si>
  <si>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</si>
  <si>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</si>
  <si>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</si>
  <si>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</si>
  <si>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</si>
  <si>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</si>
  <si>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</si>
  <si>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</si>
  <si>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</si>
  <si>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</si>
  <si>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</si>
  <si>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</si>
  <si>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</si>
  <si>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</si>
  <si>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</si>
  <si>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</si>
  <si>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</si>
  <si>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</si>
  <si>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</si>
  <si>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</si>
  <si>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</si>
  <si>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</si>
  <si>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</si>
  <si>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</si>
  <si>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</si>
  <si>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</si>
  <si>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</si>
  <si>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</si>
  <si>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</si>
  <si>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</si>
  <si>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</si>
  <si>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</si>
  <si>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</si>
  <si>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</si>
  <si>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</si>
  <si>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</si>
  <si>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</si>
  <si>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</si>
  <si>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</si>
  <si>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</si>
  <si>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</si>
  <si>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</si>
  <si>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</si>
  <si>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</si>
  <si>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</si>
  <si>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</si>
  <si>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</si>
  <si>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</si>
  <si>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</si>
  <si>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</si>
  <si>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</si>
  <si>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</si>
  <si>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</si>
  <si>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</si>
  <si>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</si>
  <si>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</si>
  <si>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</si>
  <si>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</si>
  <si>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</si>
  <si>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</si>
  <si>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</si>
  <si>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</si>
  <si>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</si>
  <si>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</si>
  <si>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</si>
  <si>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</si>
  <si>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</si>
  <si>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</si>
  <si>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</si>
  <si>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</si>
  <si>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</si>
  <si>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</si>
  <si>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</si>
  <si>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</si>
  <si>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</si>
  <si>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</si>
  <si>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</si>
  <si>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</si>
  <si>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</si>
  <si>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</si>
  <si>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</si>
  <si>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</si>
  <si>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</si>
  <si>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</si>
  <si>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</si>
  <si>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</si>
  <si>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</si>
  <si>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</si>
  <si>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</si>
  <si>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</si>
  <si>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</si>
  <si>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</si>
  <si>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</si>
  <si>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</si>
  <si>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</si>
  <si>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</si>
  <si>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</si>
  <si>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</si>
  <si>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</si>
  <si>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</si>
  <si>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</si>
  <si>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</si>
  <si>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</si>
  <si>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</si>
  <si>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</si>
  <si>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</si>
  <si>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</si>
  <si>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</si>
  <si>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</si>
  <si>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</si>
  <si>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</si>
  <si>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</si>
  <si>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</si>
  <si>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</si>
  <si>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</si>
  <si>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</si>
  <si>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</si>
  <si>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</si>
  <si>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</si>
  <si>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</si>
  <si>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</si>
  <si>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</si>
  <si>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</si>
  <si>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</si>
  <si>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</si>
  <si>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</si>
  <si>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</si>
  <si>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</si>
  <si>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</si>
  <si>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</si>
  <si>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</si>
  <si>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</si>
  <si>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</si>
  <si>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</si>
  <si>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</si>
  <si>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</si>
  <si>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</si>
  <si>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</si>
  <si>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</si>
  <si>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</si>
  <si>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</si>
  <si>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</si>
  <si>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통신인입설비공사,옥외방송설비공사,CCTV설비공사,수술실영상설비공사,표시설비공사,대기환자호출설비공사,너스콜설비공사,주차관제설비공사</t>
    <phoneticPr fontId="2" type="noConversion"/>
  </si>
  <si>
    <t>00중앙병원 건립공사</t>
  </si>
  <si>
    <t>의료</t>
  </si>
  <si>
    <t>서울</t>
  </si>
  <si>
    <t>옥외보안등 설비공사</t>
    <phoneticPr fontId="2" type="noConversion"/>
  </si>
  <si>
    <t>전기 자탐설비공사</t>
    <phoneticPr fontId="2" type="noConversion"/>
  </si>
  <si>
    <t>전기 무선통신설비공사</t>
    <phoneticPr fontId="2" type="noConversion"/>
  </si>
  <si>
    <t>조경시설물공사</t>
    <phoneticPr fontId="2" type="noConversion"/>
  </si>
  <si>
    <t>포장공사,분수설비공사</t>
    <phoneticPr fontId="2" type="noConversion"/>
  </si>
  <si>
    <t>본공사,병원동(부대토목),보도확폭공사,보도확폭공사철거</t>
    <phoneticPr fontId="2" type="noConversion"/>
  </si>
  <si>
    <t>홈통공사</t>
    <phoneticPr fontId="2" type="noConversion"/>
  </si>
  <si>
    <t>PC공사,기타공사,수술실판넬공사,승강기공사,액산탱크설치공사,외벽판넬공사,작업부산물,전동롤스크린공사,정화조공사,지정공사,차폐시설공사,철거공사,미확정설계공종</t>
    <phoneticPr fontId="2" type="noConversion"/>
  </si>
  <si>
    <t>공조배관공사,위생배관공사,경유배관공사,흄후드설비공사,주방기구설치공사,크린룸설비공사,무균실설비공사,진공청소설비공사,폐수처리공사,우수처리공사,단독정화조처리공사,기송관시스템공사</t>
    <phoneticPr fontId="2" type="noConversion"/>
  </si>
  <si>
    <t>의료가스설비공사</t>
    <phoneticPr fontId="2" type="noConversion"/>
  </si>
  <si>
    <t>IPS설비공사.DC등설비공사,경관조명설비공사,항공장애등설비공사,스노우멜팅설비공사,무대장치설비공사,전기시계,보도확폭공사</t>
    <phoneticPr fontId="2" type="noConversion"/>
  </si>
  <si>
    <t>전열설비공사, 의료전열설비공사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</si>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</sst>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326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309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310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86089</v>
      </c>
      <c r="D7" s="36">
        <f>+C7/3.3058</f>
        <v>26041.805311876094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311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66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327</v>
      </c>
    </row>
    <row r="19" spans="1:5" x14ac:dyDescent="0.3">
      <c r="A19" s="2">
        <v>9</v>
      </c>
      <c r="B19" s="2" t="s">
        <v>328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5670</v>
      </c>
      <c r="E24" s="59">
        <f t="shared" ref="E24:E33" si="0">TRUNC(+D24*3.3058,-1)</f>
        <v>18740</v>
      </c>
    </row>
    <row r="25" spans="1:5" x14ac:dyDescent="0.3">
      <c r="B25" s="2">
        <v>2</v>
      </c>
      <c r="C25" s="35" t="s">
        <v>45</v>
      </c>
      <c r="D25" s="47">
        <f>+D60</f>
        <v>597570</v>
      </c>
      <c r="E25" s="60">
        <f t="shared" si="0"/>
        <v>1975440</v>
      </c>
    </row>
    <row r="26" spans="1:5" x14ac:dyDescent="0.3">
      <c r="B26" s="2">
        <v>3</v>
      </c>
      <c r="C26" s="35" t="s">
        <v>29</v>
      </c>
      <c r="D26" s="47">
        <f>+D66</f>
        <v>64180</v>
      </c>
      <c r="E26" s="60">
        <f t="shared" si="0"/>
        <v>212160</v>
      </c>
    </row>
    <row r="27" spans="1:5" x14ac:dyDescent="0.3">
      <c r="B27" s="2">
        <v>4</v>
      </c>
      <c r="C27" s="35" t="s">
        <v>30</v>
      </c>
      <c r="D27" s="47">
        <f>+D95</f>
        <v>261870</v>
      </c>
      <c r="E27" s="60">
        <f t="shared" si="0"/>
        <v>865680</v>
      </c>
    </row>
    <row r="28" spans="1:5" x14ac:dyDescent="0.3">
      <c r="B28" s="2">
        <v>5</v>
      </c>
      <c r="C28" s="35" t="s">
        <v>31</v>
      </c>
      <c r="D28" s="47">
        <f>+D119</f>
        <v>155000</v>
      </c>
      <c r="E28" s="60">
        <f t="shared" si="0"/>
        <v>512390</v>
      </c>
    </row>
    <row r="29" spans="1:5" x14ac:dyDescent="0.3">
      <c r="B29" s="2">
        <v>6</v>
      </c>
      <c r="C29" s="35" t="s">
        <v>32</v>
      </c>
      <c r="D29" s="47">
        <f>+D133</f>
        <v>66550</v>
      </c>
      <c r="E29" s="60">
        <f t="shared" si="0"/>
        <v>220000</v>
      </c>
    </row>
    <row r="30" spans="1:5" x14ac:dyDescent="0.3">
      <c r="B30" s="2">
        <v>7</v>
      </c>
      <c r="C30" s="35" t="s">
        <v>33</v>
      </c>
      <c r="D30" s="47">
        <f>+D146</f>
        <v>38690</v>
      </c>
      <c r="E30" s="60">
        <f t="shared" si="0"/>
        <v>127900</v>
      </c>
    </row>
    <row r="31" spans="1:5" x14ac:dyDescent="0.3">
      <c r="B31" s="2">
        <v>8</v>
      </c>
      <c r="C31" s="35" t="s">
        <v>34</v>
      </c>
      <c r="D31" s="47">
        <f>+D154</f>
        <v>95120</v>
      </c>
      <c r="E31" s="60">
        <f t="shared" si="0"/>
        <v>314440</v>
      </c>
    </row>
    <row r="32" spans="1:5" x14ac:dyDescent="0.3">
      <c r="B32" s="2">
        <v>9</v>
      </c>
      <c r="C32" s="35" t="s">
        <v>35</v>
      </c>
      <c r="D32" s="47">
        <f>+D161</f>
        <v>22620</v>
      </c>
      <c r="E32" s="60">
        <f t="shared" si="0"/>
        <v>74770</v>
      </c>
    </row>
    <row r="33" spans="1:5" x14ac:dyDescent="0.3">
      <c r="B33" s="2">
        <v>10</v>
      </c>
      <c r="C33" s="35" t="s">
        <v>60</v>
      </c>
      <c r="D33" s="55">
        <f>TRUNC(SUM(D24:D32)*0.275,-1)</f>
        <v>359490</v>
      </c>
      <c r="E33" s="61">
        <f t="shared" si="0"/>
        <v>1188400</v>
      </c>
    </row>
    <row r="34" spans="1:5" x14ac:dyDescent="0.3">
      <c r="C34" s="35" t="s">
        <v>46</v>
      </c>
      <c r="D34" s="46">
        <f>SUM(D24:D33)</f>
        <v>1666760</v>
      </c>
      <c r="E34" s="46">
        <f>SUM(E24:E33)</f>
        <v>5509920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f>TRUNC(5676.54491282278,-1)</f>
        <v>5670</v>
      </c>
      <c r="E37" s="62">
        <f>TRUNC(+D37*3.3058,-1)</f>
        <v>18740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324</v>
      </c>
      <c r="E39" s="68" t="s">
        <v>325</v>
      </c>
    </row>
    <row r="40" spans="1:5" x14ac:dyDescent="0.3">
      <c r="A40" s="2">
        <v>1</v>
      </c>
      <c r="C40" s="39" t="s">
        <v>75</v>
      </c>
      <c r="D40" s="42">
        <f>TRUNC(18516.9360429323,-1)</f>
        <v>18510</v>
      </c>
      <c r="E40" s="63">
        <f t="shared" ref="E40:E59" si="1">TRUNC(+D40*3.3058,-1)</f>
        <v>61190</v>
      </c>
    </row>
    <row r="41" spans="1:5" x14ac:dyDescent="0.3">
      <c r="A41" s="2">
        <v>2</v>
      </c>
      <c r="C41" s="39" t="s">
        <v>6</v>
      </c>
      <c r="D41" s="44">
        <f>TRUNC(49198.6325662977,-1)</f>
        <v>49190</v>
      </c>
      <c r="E41" s="64">
        <f t="shared" si="1"/>
        <v>162610</v>
      </c>
    </row>
    <row r="42" spans="1:5" x14ac:dyDescent="0.3">
      <c r="A42" s="2">
        <v>3</v>
      </c>
      <c r="C42" s="39" t="s">
        <v>7</v>
      </c>
      <c r="D42" s="44">
        <f>TRUNC(79747.7605268966,-1)</f>
        <v>79740</v>
      </c>
      <c r="E42" s="64">
        <f t="shared" si="1"/>
        <v>263600</v>
      </c>
    </row>
    <row r="43" spans="1:5" x14ac:dyDescent="0.3">
      <c r="A43" s="2">
        <v>4</v>
      </c>
      <c r="C43" s="39" t="s">
        <v>8</v>
      </c>
      <c r="D43" s="44">
        <f>TRUNC(9609.54106796455,-1)</f>
        <v>9600</v>
      </c>
      <c r="E43" s="64">
        <f t="shared" si="1"/>
        <v>31730</v>
      </c>
    </row>
    <row r="44" spans="1:5" x14ac:dyDescent="0.3">
      <c r="A44" s="2">
        <v>5</v>
      </c>
      <c r="C44" s="39" t="s">
        <v>9</v>
      </c>
      <c r="D44" s="44">
        <f>TRUNC(18799.9945869971,-1)</f>
        <v>18790</v>
      </c>
      <c r="E44" s="64">
        <f t="shared" si="1"/>
        <v>62110</v>
      </c>
    </row>
    <row r="45" spans="1:5" x14ac:dyDescent="0.3">
      <c r="A45" s="2">
        <v>6</v>
      </c>
      <c r="C45" s="39" t="s">
        <v>10</v>
      </c>
      <c r="D45" s="44">
        <f>TRUNC(4473.36853721149,-1)</f>
        <v>4470</v>
      </c>
      <c r="E45" s="64">
        <f t="shared" si="1"/>
        <v>14770</v>
      </c>
    </row>
    <row r="46" spans="1:5" x14ac:dyDescent="0.3">
      <c r="A46" s="2">
        <v>7</v>
      </c>
      <c r="C46" s="39" t="s">
        <v>11</v>
      </c>
      <c r="D46" s="44">
        <f>TRUNC(9932.41473358966,-1)</f>
        <v>9930</v>
      </c>
      <c r="E46" s="64">
        <f t="shared" si="1"/>
        <v>32820</v>
      </c>
    </row>
    <row r="47" spans="1:5" x14ac:dyDescent="0.3">
      <c r="A47" s="2">
        <v>8</v>
      </c>
      <c r="C47" s="39" t="s">
        <v>12</v>
      </c>
      <c r="D47" s="44">
        <v>0</v>
      </c>
      <c r="E47" s="64">
        <f t="shared" si="1"/>
        <v>0</v>
      </c>
    </row>
    <row r="48" spans="1:5" x14ac:dyDescent="0.3">
      <c r="A48" s="2">
        <v>9</v>
      </c>
      <c r="C48" s="39" t="s">
        <v>13</v>
      </c>
      <c r="D48" s="44">
        <f>TRUNC(30157.0356375379,-1)</f>
        <v>30150</v>
      </c>
      <c r="E48" s="64">
        <f t="shared" si="1"/>
        <v>99660</v>
      </c>
    </row>
    <row r="49" spans="1:6" x14ac:dyDescent="0.3">
      <c r="A49" s="2">
        <v>10</v>
      </c>
      <c r="C49" s="39" t="s">
        <v>14</v>
      </c>
      <c r="D49" s="44">
        <f>TRUNC(9508.15516500366,-1)</f>
        <v>9500</v>
      </c>
      <c r="E49" s="64">
        <f t="shared" si="1"/>
        <v>31400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TRUNC(46553.7298725737,-1)</f>
        <v>46550</v>
      </c>
      <c r="E50" s="64">
        <f t="shared" si="1"/>
        <v>153880</v>
      </c>
      <c r="F50" s="2"/>
    </row>
    <row r="51" spans="1:6" x14ac:dyDescent="0.3">
      <c r="A51" s="2">
        <v>12</v>
      </c>
      <c r="C51" s="39" t="s">
        <v>16</v>
      </c>
      <c r="D51" s="44">
        <f>TRUNC(4150.61075166398,-1)</f>
        <v>4150</v>
      </c>
      <c r="E51" s="64">
        <f t="shared" si="1"/>
        <v>13710</v>
      </c>
    </row>
    <row r="52" spans="1:6" x14ac:dyDescent="0.3">
      <c r="A52" s="2">
        <v>13</v>
      </c>
      <c r="C52" s="39" t="s">
        <v>17</v>
      </c>
      <c r="D52" s="44">
        <f>TRUNC(14674.7944568993,-1)</f>
        <v>14670</v>
      </c>
      <c r="E52" s="64">
        <f t="shared" si="1"/>
        <v>48490</v>
      </c>
    </row>
    <row r="53" spans="1:6" x14ac:dyDescent="0.3">
      <c r="A53" s="2">
        <v>14</v>
      </c>
      <c r="C53" s="39" t="s">
        <v>18</v>
      </c>
      <c r="D53" s="44">
        <f>TRUNC(51214.1189466715,-1)</f>
        <v>51210</v>
      </c>
      <c r="E53" s="64">
        <f t="shared" si="1"/>
        <v>169290</v>
      </c>
    </row>
    <row r="54" spans="1:6" x14ac:dyDescent="0.3">
      <c r="A54" s="2">
        <v>15</v>
      </c>
      <c r="C54" s="39" t="s">
        <v>55</v>
      </c>
      <c r="D54" s="44">
        <f>TRUNC(26045.1719964223,-1)</f>
        <v>26040</v>
      </c>
      <c r="E54" s="64">
        <f t="shared" si="1"/>
        <v>86080</v>
      </c>
    </row>
    <row r="55" spans="1:6" x14ac:dyDescent="0.3">
      <c r="A55" s="2">
        <v>16</v>
      </c>
      <c r="C55" s="39" t="s">
        <v>52</v>
      </c>
      <c r="D55" s="44">
        <f>TRUNC(134.716851165654,-1)</f>
        <v>130</v>
      </c>
      <c r="E55" s="64">
        <f t="shared" si="1"/>
        <v>420</v>
      </c>
      <c r="F55" s="2" t="s">
        <v>318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TRUNC(40458.4406834787+767.378886965814
+3907.3168465193
+22811.2767020177
+63.8934242470002
+20943.1483697104
-847.277294427859
+618.60864918863
+161.758226951178
+108.917097422435
+11845.7549745031
+1922.15033279513
+22993.8784281383,-1)</f>
        <v>125750</v>
      </c>
      <c r="E58" s="64">
        <f t="shared" si="1"/>
        <v>415700</v>
      </c>
      <c r="F58" s="2" t="s">
        <v>319</v>
      </c>
    </row>
    <row r="59" spans="1:6" ht="17.25" thickBot="1" x14ac:dyDescent="0.35">
      <c r="A59" s="2">
        <v>20</v>
      </c>
      <c r="C59" s="39" t="s">
        <v>56</v>
      </c>
      <c r="D59" s="45">
        <f>TRUNC(99193.0444075317,-1)</f>
        <v>99190</v>
      </c>
      <c r="E59" s="65">
        <f t="shared" si="1"/>
        <v>327900</v>
      </c>
    </row>
    <row r="60" spans="1:6" x14ac:dyDescent="0.3">
      <c r="A60" s="2">
        <v>21</v>
      </c>
      <c r="C60" s="27" t="s">
        <v>46</v>
      </c>
      <c r="D60" s="40">
        <f>SUM(D40:D59)</f>
        <v>597570</v>
      </c>
      <c r="E60" s="40">
        <f>SUM(E40:E59)</f>
        <v>1975360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v>0</v>
      </c>
      <c r="E63" s="63">
        <f>TRUNC(+D63*3.3058,-1)</f>
        <v>0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6" ht="17.25" thickBot="1" x14ac:dyDescent="0.35">
      <c r="A65" s="2">
        <v>3</v>
      </c>
      <c r="C65" s="39" t="s">
        <v>21</v>
      </c>
      <c r="D65" s="45">
        <f>TRUNC(64184.8170265655,-1)</f>
        <v>64180</v>
      </c>
      <c r="E65" s="65">
        <f>TRUNC(+D65*3.3058,-1)</f>
        <v>212160</v>
      </c>
    </row>
    <row r="66" spans="1:6" x14ac:dyDescent="0.3">
      <c r="A66" s="2">
        <v>4</v>
      </c>
      <c r="C66" s="27" t="s">
        <v>46</v>
      </c>
      <c r="D66" s="40">
        <f>SUM(D63:D65)</f>
        <v>64180</v>
      </c>
      <c r="E66" s="66">
        <f>SUM(E63:E65)</f>
        <v>212160</v>
      </c>
    </row>
    <row r="67" spans="1:6" s="48" customFormat="1" x14ac:dyDescent="0.3">
      <c r="C67" s="49"/>
      <c r="D67" s="49"/>
      <c r="E67" s="49"/>
    </row>
    <row r="68" spans="1:6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6" x14ac:dyDescent="0.3">
      <c r="A69" s="2">
        <v>1</v>
      </c>
      <c r="C69" s="39" t="s">
        <v>78</v>
      </c>
      <c r="D69" s="42">
        <f>TRUNC(15118.6371545726,-1)</f>
        <v>15110</v>
      </c>
      <c r="E69" s="63">
        <f t="shared" ref="E69:E94" si="2">TRUNC(+D69*3.3058,-1)</f>
        <v>49950</v>
      </c>
    </row>
    <row r="70" spans="1:6" ht="16.5" customHeight="1" x14ac:dyDescent="0.3">
      <c r="A70" s="2">
        <v>2</v>
      </c>
      <c r="C70" s="39" t="s">
        <v>79</v>
      </c>
      <c r="D70" s="44">
        <f>TRUNC(78.4965094262914,-1)</f>
        <v>70</v>
      </c>
      <c r="E70" s="64">
        <f t="shared" si="2"/>
        <v>230</v>
      </c>
    </row>
    <row r="71" spans="1:6" x14ac:dyDescent="0.3">
      <c r="A71" s="2">
        <v>3</v>
      </c>
      <c r="C71" s="39" t="s">
        <v>80</v>
      </c>
      <c r="D71" s="44">
        <f>TRUNC(16404.4878323595,-1)</f>
        <v>16400</v>
      </c>
      <c r="E71" s="64">
        <f t="shared" si="2"/>
        <v>54210</v>
      </c>
    </row>
    <row r="72" spans="1:6" x14ac:dyDescent="0.3">
      <c r="A72" s="2">
        <v>4</v>
      </c>
      <c r="C72" s="39" t="s">
        <v>81</v>
      </c>
      <c r="D72" s="44">
        <f>TRUNC(2533.3945335641,-1)</f>
        <v>2530</v>
      </c>
      <c r="E72" s="64">
        <f t="shared" si="2"/>
        <v>8360</v>
      </c>
    </row>
    <row r="73" spans="1:6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6" x14ac:dyDescent="0.3">
      <c r="A74" s="2">
        <v>6</v>
      </c>
      <c r="C74" s="39" t="s">
        <v>83</v>
      </c>
      <c r="D74" s="44">
        <f>TRUNC(16059.2539464972,-1)</f>
        <v>16050</v>
      </c>
      <c r="E74" s="64">
        <f t="shared" si="2"/>
        <v>53050</v>
      </c>
      <c r="F74" s="2" t="s">
        <v>321</v>
      </c>
    </row>
    <row r="75" spans="1:6" x14ac:dyDescent="0.3">
      <c r="A75" s="2">
        <v>7</v>
      </c>
      <c r="C75" s="39" t="s">
        <v>84</v>
      </c>
      <c r="D75" s="44">
        <f>TRUNC(5262.34748922627,-1)</f>
        <v>5260</v>
      </c>
      <c r="E75" s="64">
        <f t="shared" si="2"/>
        <v>17380</v>
      </c>
    </row>
    <row r="76" spans="1:6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6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6" x14ac:dyDescent="0.3">
      <c r="A78" s="2">
        <v>10</v>
      </c>
      <c r="C78" s="39" t="s">
        <v>87</v>
      </c>
      <c r="D78" s="44">
        <f>TRUNC(34553.2908966302,-1)</f>
        <v>34550</v>
      </c>
      <c r="E78" s="64">
        <f t="shared" si="2"/>
        <v>114210</v>
      </c>
    </row>
    <row r="79" spans="1:6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6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6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6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6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6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6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6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6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6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6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6" x14ac:dyDescent="0.3">
      <c r="A90" s="2">
        <v>22</v>
      </c>
      <c r="C90" s="39" t="s">
        <v>99</v>
      </c>
      <c r="D90" s="44">
        <f>TRUNC(3601.42708127635,-1)</f>
        <v>3600</v>
      </c>
      <c r="E90" s="64">
        <f t="shared" si="2"/>
        <v>11900</v>
      </c>
    </row>
    <row r="91" spans="1:6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6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6" x14ac:dyDescent="0.3">
      <c r="A93" s="2">
        <v>25</v>
      </c>
      <c r="C93" s="39" t="s">
        <v>102</v>
      </c>
      <c r="D93" s="44">
        <f>TRUNC(68096.60932291,-1)</f>
        <v>68090</v>
      </c>
      <c r="E93" s="64">
        <f t="shared" si="2"/>
        <v>225090</v>
      </c>
    </row>
    <row r="94" spans="1:6" ht="17.25" thickBot="1" x14ac:dyDescent="0.35">
      <c r="A94" s="2">
        <v>26</v>
      </c>
      <c r="C94" s="39" t="s">
        <v>103</v>
      </c>
      <c r="D94" s="45">
        <f>TRUNC(21240.7106715144+29293.6990091649
+115.177618511076
+1883.06162227462
+14572.4082054618
+9377.58117761851
+5095.34098433017
+2769.87234141412
+4886.93381268222
+945.286378050622
+5250.0127542427
+4787.0099548142,-1)</f>
        <v>100210</v>
      </c>
      <c r="E94" s="65">
        <f t="shared" si="2"/>
        <v>331270</v>
      </c>
      <c r="F94" s="2" t="s">
        <v>320</v>
      </c>
    </row>
    <row r="95" spans="1:6" x14ac:dyDescent="0.3">
      <c r="A95" s="2">
        <v>27</v>
      </c>
      <c r="C95" s="27" t="s">
        <v>104</v>
      </c>
      <c r="D95" s="40">
        <f>SUM(D69:D94)</f>
        <v>261870</v>
      </c>
      <c r="E95" s="40">
        <f>SUM(E69:E94)</f>
        <v>865650</v>
      </c>
    </row>
    <row r="96" spans="1:6" s="48" customFormat="1" x14ac:dyDescent="0.3">
      <c r="C96" s="49"/>
      <c r="D96" s="49"/>
      <c r="E96" s="49"/>
    </row>
    <row r="97" spans="1:6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6" x14ac:dyDescent="0.3">
      <c r="A98" s="2">
        <v>1</v>
      </c>
      <c r="C98" s="29" t="s">
        <v>106</v>
      </c>
      <c r="D98" s="42">
        <f>TRUNC(16379.3183565845,-1)</f>
        <v>16370</v>
      </c>
      <c r="E98" s="63">
        <f t="shared" ref="E98:E118" si="3">TRUNC(+D98*3.3058,-1)</f>
        <v>54110</v>
      </c>
    </row>
    <row r="99" spans="1:6" x14ac:dyDescent="0.3">
      <c r="A99" s="2">
        <v>2</v>
      </c>
      <c r="C99" s="29" t="s">
        <v>107</v>
      </c>
      <c r="D99" s="44">
        <f>TRUNC(4682.00637712135,-1)</f>
        <v>4680</v>
      </c>
      <c r="E99" s="64">
        <f t="shared" si="3"/>
        <v>15470</v>
      </c>
    </row>
    <row r="100" spans="1:6" x14ac:dyDescent="0.3">
      <c r="A100" s="2">
        <v>3</v>
      </c>
      <c r="C100" s="29" t="s">
        <v>108</v>
      </c>
      <c r="D100" s="44">
        <f>TRUNC(21570.3892947996,-1)</f>
        <v>21570</v>
      </c>
      <c r="E100" s="64">
        <f t="shared" si="3"/>
        <v>71300</v>
      </c>
    </row>
    <row r="101" spans="1:6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6" x14ac:dyDescent="0.3">
      <c r="A102" s="2">
        <v>5</v>
      </c>
      <c r="C102" s="29" t="s">
        <v>110</v>
      </c>
      <c r="D102" s="44">
        <f>TRUNC(5627.30311654218+2659.44102033942,-1)</f>
        <v>8280</v>
      </c>
      <c r="E102" s="64">
        <f t="shared" si="3"/>
        <v>27370</v>
      </c>
      <c r="F102" s="2" t="s">
        <v>323</v>
      </c>
    </row>
    <row r="103" spans="1:6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6" x14ac:dyDescent="0.3">
      <c r="A104" s="2">
        <v>7</v>
      </c>
      <c r="C104" s="29" t="s">
        <v>112</v>
      </c>
      <c r="D104" s="44">
        <f>TRUNC(2676.8363089361,-1)</f>
        <v>2670</v>
      </c>
      <c r="E104" s="64">
        <f t="shared" si="3"/>
        <v>8820</v>
      </c>
    </row>
    <row r="105" spans="1:6" x14ac:dyDescent="0.3">
      <c r="A105" s="2">
        <v>8</v>
      </c>
      <c r="C105" s="29" t="s">
        <v>113</v>
      </c>
      <c r="D105" s="44">
        <f>TRUNC(4020.30880832627,-1)</f>
        <v>4020</v>
      </c>
      <c r="E105" s="64">
        <f t="shared" si="3"/>
        <v>13280</v>
      </c>
    </row>
    <row r="106" spans="1:6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6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6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6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6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6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6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6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6" x14ac:dyDescent="0.3">
      <c r="A114" s="2">
        <v>17</v>
      </c>
      <c r="C114" s="29" t="s">
        <v>122</v>
      </c>
      <c r="D114" s="44">
        <f>TRUNC(2517.88208714238,-1)</f>
        <v>2510</v>
      </c>
      <c r="E114" s="64">
        <f t="shared" si="3"/>
        <v>8290</v>
      </c>
      <c r="F114" s="2" t="s">
        <v>312</v>
      </c>
    </row>
    <row r="115" spans="1:6" x14ac:dyDescent="0.3">
      <c r="A115" s="2">
        <v>18</v>
      </c>
      <c r="C115" s="29" t="s">
        <v>123</v>
      </c>
      <c r="D115" s="44">
        <f>TRUNC(3891.07024126195,-1)</f>
        <v>3890</v>
      </c>
      <c r="E115" s="64">
        <f t="shared" si="3"/>
        <v>12850</v>
      </c>
    </row>
    <row r="116" spans="1:6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6" x14ac:dyDescent="0.3">
      <c r="A117" s="2">
        <v>20</v>
      </c>
      <c r="C117" s="29" t="s">
        <v>102</v>
      </c>
      <c r="D117" s="44">
        <f>TRUNC(18896.3166025857+51186.5627432076,-1)</f>
        <v>70080</v>
      </c>
      <c r="E117" s="64">
        <f t="shared" si="3"/>
        <v>231670</v>
      </c>
    </row>
    <row r="118" spans="1:6" ht="17.25" thickBot="1" x14ac:dyDescent="0.35">
      <c r="A118" s="2">
        <v>21</v>
      </c>
      <c r="C118" s="29" t="s">
        <v>103</v>
      </c>
      <c r="D118" s="45">
        <f>TRUNC(13778.0697998583
+626.475496288724
+3036.87002985283
+299.557701913136
+1060.91400759679
+687.324873096447
+865.684233758088
+578.998304080661,-1)</f>
        <v>20930</v>
      </c>
      <c r="E118" s="65">
        <f t="shared" si="3"/>
        <v>69190</v>
      </c>
      <c r="F118" s="2" t="s">
        <v>322</v>
      </c>
    </row>
    <row r="119" spans="1:6" x14ac:dyDescent="0.3">
      <c r="A119" s="2">
        <v>22</v>
      </c>
      <c r="C119" s="27" t="s">
        <v>104</v>
      </c>
      <c r="D119" s="40">
        <f>SUM(D98:D118)</f>
        <v>155000</v>
      </c>
      <c r="E119" s="40">
        <f>SUM(E98:E118)</f>
        <v>512350</v>
      </c>
    </row>
    <row r="120" spans="1:6" s="48" customFormat="1" x14ac:dyDescent="0.3">
      <c r="C120" s="49"/>
      <c r="D120" s="49"/>
      <c r="E120" s="49"/>
    </row>
    <row r="121" spans="1:6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6" x14ac:dyDescent="0.3">
      <c r="A122" s="2">
        <v>1</v>
      </c>
      <c r="C122" s="29" t="s">
        <v>126</v>
      </c>
      <c r="D122" s="42">
        <f>TRUNC(2453.02524132003,-1)</f>
        <v>2450</v>
      </c>
      <c r="E122" s="63">
        <f t="shared" ref="E122:E132" si="4">TRUNC(+D122*3.3058,-1)</f>
        <v>8090</v>
      </c>
    </row>
    <row r="123" spans="1:6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6" x14ac:dyDescent="0.3">
      <c r="A124" s="2">
        <v>3</v>
      </c>
      <c r="C124" s="29" t="s">
        <v>128</v>
      </c>
      <c r="D124" s="44">
        <f>TRUNC(142.939214069161,-1)</f>
        <v>140</v>
      </c>
      <c r="E124" s="64">
        <f t="shared" si="4"/>
        <v>460</v>
      </c>
    </row>
    <row r="125" spans="1:6" x14ac:dyDescent="0.3">
      <c r="A125" s="2">
        <v>4</v>
      </c>
      <c r="C125" s="29" t="s">
        <v>129</v>
      </c>
      <c r="D125" s="44">
        <f>TRUNC(3397.33956719209,-1)</f>
        <v>3390</v>
      </c>
      <c r="E125" s="64">
        <f t="shared" si="4"/>
        <v>11200</v>
      </c>
    </row>
    <row r="126" spans="1:6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6" x14ac:dyDescent="0.3">
      <c r="A127" s="2">
        <v>6</v>
      </c>
      <c r="C127" s="29" t="s">
        <v>131</v>
      </c>
      <c r="D127" s="44">
        <f>TRUNC(4580.45350741674,-1)</f>
        <v>4580</v>
      </c>
      <c r="E127" s="64">
        <f t="shared" si="4"/>
        <v>15140</v>
      </c>
    </row>
    <row r="128" spans="1:6" x14ac:dyDescent="0.3">
      <c r="A128" s="2">
        <v>7</v>
      </c>
      <c r="C128" s="29" t="s">
        <v>113</v>
      </c>
      <c r="D128" s="44">
        <f>TRUNC(2010.45186957683,-1)</f>
        <v>2010</v>
      </c>
      <c r="E128" s="64">
        <f t="shared" si="4"/>
        <v>6640</v>
      </c>
    </row>
    <row r="129" spans="1:6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6" ht="17.25" customHeight="1" x14ac:dyDescent="0.3">
      <c r="A130" s="2">
        <v>9</v>
      </c>
      <c r="C130" s="29" t="s">
        <v>133</v>
      </c>
      <c r="D130" s="44">
        <f>TRUNC(20471.0554542392,-1)</f>
        <v>20470</v>
      </c>
      <c r="E130" s="64">
        <f t="shared" si="4"/>
        <v>67660</v>
      </c>
    </row>
    <row r="131" spans="1:6" x14ac:dyDescent="0.3">
      <c r="A131" s="2">
        <v>10</v>
      </c>
      <c r="C131" s="29" t="s">
        <v>102</v>
      </c>
      <c r="D131" s="44">
        <f>TRUNC(23933.8359139959,-1)</f>
        <v>23930</v>
      </c>
      <c r="E131" s="64">
        <f t="shared" si="4"/>
        <v>79100</v>
      </c>
    </row>
    <row r="132" spans="1:6" ht="17.25" thickBot="1" x14ac:dyDescent="0.35">
      <c r="A132" s="2">
        <v>11</v>
      </c>
      <c r="C132" s="29" t="s">
        <v>103</v>
      </c>
      <c r="D132" s="45">
        <f>TRUNC(63.4778194659016+189.510715654729
+3005.16939446387
+626.476344248394
+1597.15235395927
+358.914704549942
+2986.67556830722
+758.513178222537,-1)</f>
        <v>9580</v>
      </c>
      <c r="E132" s="65">
        <f t="shared" si="4"/>
        <v>31660</v>
      </c>
      <c r="F132" s="2" t="s">
        <v>308</v>
      </c>
    </row>
    <row r="133" spans="1:6" x14ac:dyDescent="0.3">
      <c r="A133" s="2">
        <v>12</v>
      </c>
      <c r="C133" s="41" t="s">
        <v>104</v>
      </c>
      <c r="D133" s="40">
        <f>SUM(D122:D132)</f>
        <v>66550</v>
      </c>
      <c r="E133" s="40">
        <f>SUM(E122:E132)</f>
        <v>219950</v>
      </c>
    </row>
    <row r="134" spans="1:6" s="48" customFormat="1" x14ac:dyDescent="0.3">
      <c r="C134" s="49"/>
      <c r="D134" s="49"/>
      <c r="E134" s="49"/>
    </row>
    <row r="135" spans="1:6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6" x14ac:dyDescent="0.3">
      <c r="A136" s="2">
        <v>1</v>
      </c>
      <c r="C136" s="39" t="s">
        <v>135</v>
      </c>
      <c r="D136" s="42">
        <f>TRUNC(26897.3762385438,-1)</f>
        <v>26890</v>
      </c>
      <c r="E136" s="63">
        <f t="shared" ref="E136:E145" si="5">TRUNC(+D136*3.3058,-1)</f>
        <v>88890</v>
      </c>
    </row>
    <row r="137" spans="1:6" x14ac:dyDescent="0.3">
      <c r="A137" s="2">
        <v>2</v>
      </c>
      <c r="C137" s="39" t="s">
        <v>103</v>
      </c>
      <c r="D137" s="44">
        <f>TRUNC(978.019398529429,-1)</f>
        <v>970</v>
      </c>
      <c r="E137" s="64">
        <f t="shared" si="5"/>
        <v>3200</v>
      </c>
      <c r="F137" s="2" t="s">
        <v>314</v>
      </c>
    </row>
    <row r="138" spans="1:6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6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6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6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6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6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6" x14ac:dyDescent="0.3">
      <c r="A144" s="2">
        <v>9</v>
      </c>
      <c r="C144" s="39" t="s">
        <v>142</v>
      </c>
      <c r="D144" s="44">
        <f>TRUNC(10837.2654578401,-1)</f>
        <v>10830</v>
      </c>
      <c r="E144" s="64">
        <f t="shared" si="5"/>
        <v>35800</v>
      </c>
      <c r="F144" s="2" t="s">
        <v>313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38690</v>
      </c>
      <c r="E146" s="40">
        <f>SUM(E136:E145)</f>
        <v>127890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TRUNC(75244.7450429207+11059.9280163552
+6858.60732497764
+1960.64961841815,-1)</f>
        <v>95120</v>
      </c>
      <c r="E152" s="64">
        <f>TRUNC(+D152*3.3058,-1)</f>
        <v>314440</v>
      </c>
      <c r="F152" s="37" t="s">
        <v>317</v>
      </c>
    </row>
    <row r="153" spans="1:6" ht="17.25" thickBot="1" x14ac:dyDescent="0.35">
      <c r="A153" s="2">
        <v>5</v>
      </c>
      <c r="C153" s="39" t="s">
        <v>102</v>
      </c>
      <c r="D153" s="45">
        <v>0</v>
      </c>
      <c r="E153" s="65">
        <f>TRUNC(+D153*3.3058,-1)</f>
        <v>0</v>
      </c>
    </row>
    <row r="154" spans="1:6" x14ac:dyDescent="0.3">
      <c r="A154" s="2">
        <v>6</v>
      </c>
      <c r="C154" s="27" t="s">
        <v>104</v>
      </c>
      <c r="D154" s="40">
        <f>SUM(D149:D153)</f>
        <v>95120</v>
      </c>
      <c r="E154" s="40">
        <f>SUM(E149:E153)</f>
        <v>314440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f>TRUNC(11150.2713122466,-1)</f>
        <v>11150</v>
      </c>
      <c r="E157" s="63">
        <f>TRUNC(+D157*3.3058,-1)</f>
        <v>36850</v>
      </c>
    </row>
    <row r="158" spans="1:6" x14ac:dyDescent="0.3">
      <c r="A158" s="2">
        <v>2</v>
      </c>
      <c r="C158" s="39" t="s">
        <v>149</v>
      </c>
      <c r="D158" s="44">
        <f>TRUNC(5170.641185285,-1)</f>
        <v>5170</v>
      </c>
      <c r="E158" s="64">
        <f>TRUNC(+D158*3.3058,-1)</f>
        <v>17090</v>
      </c>
      <c r="F158" s="2" t="s">
        <v>315</v>
      </c>
    </row>
    <row r="159" spans="1:6" x14ac:dyDescent="0.3">
      <c r="A159" s="2">
        <v>3</v>
      </c>
      <c r="C159" s="39" t="s">
        <v>103</v>
      </c>
      <c r="D159" s="44">
        <f>TRUNC(4674.9804969276+1627.94425536364,-1)</f>
        <v>6300</v>
      </c>
      <c r="E159" s="64">
        <f>TRUNC(+D159*3.3058,-1)</f>
        <v>20820</v>
      </c>
      <c r="F159" s="2" t="s">
        <v>316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22620</v>
      </c>
      <c r="E161" s="40">
        <f>SUM(E157:E160)</f>
        <v>74760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2020-12-07T09:16:45Z</dcterms:modified>
</cp:coreProperties>
</file>