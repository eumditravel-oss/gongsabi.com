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4" i="4"/>
  <c r="D143" i="4"/>
  <c r="D142" i="4"/>
  <c r="D140" i="4"/>
  <c r="D139" i="4"/>
  <c r="D137" i="4"/>
  <c r="D132" i="4"/>
  <c r="D131" i="4"/>
  <c r="D128" i="4"/>
  <c r="D125" i="4"/>
  <c r="D124" i="4"/>
  <c r="D122" i="4"/>
  <c r="D118" i="4"/>
  <c r="D117" i="4"/>
  <c r="D116" i="4"/>
  <c r="D114" i="4"/>
  <c r="D105" i="4"/>
  <c r="D104" i="4"/>
  <c r="D102" i="4"/>
  <c r="D101" i="4"/>
  <c r="D100" i="4"/>
  <c r="D99" i="4"/>
  <c r="D98" i="4"/>
  <c r="D94" i="4"/>
  <c r="D93" i="4"/>
  <c r="D92" i="4"/>
  <c r="D91" i="4"/>
  <c r="D89" i="4"/>
  <c r="D76" i="4"/>
  <c r="D73" i="4"/>
  <c r="D69" i="4"/>
  <c r="D63" i="4"/>
  <c r="D58" i="4"/>
  <c r="D53" i="4"/>
  <c r="D52" i="4"/>
  <c r="D50" i="4"/>
  <c r="D49" i="4"/>
  <c r="D48" i="4"/>
  <c r="D46" i="4"/>
  <c r="D45" i="4"/>
  <c r="D44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<sst xmlns="http://schemas.openxmlformats.org/spreadsheetml/2006/main" count="392" uniqueCount="266">
  <si>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</si>
  <si>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</si>
  <si>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</si>
  <si>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</si>
  <si>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</si>
  <si>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</si>
  <si>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</si>
  <si>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</si>
  <si>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</si>
  <si>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</si>
  <si>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</si>
  <si>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</si>
  <si>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</si>
  <si>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</si>
  <si>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</si>
  <si>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</si>
  <si>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</si>
  <si>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</si>
  <si>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</si>
  <si>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</si>
  <si>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</si>
  <si>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</si>
  <si>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</si>
  <si>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</si>
  <si>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</si>
  <si>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</si>
  <si>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</si>
  <si>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</si>
  <si>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</si>
  <si>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</si>
  <si>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</si>
  <si>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</si>
  <si>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</si>
  <si>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</si>
  <si>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</si>
  <si>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</si>
  <si>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</si>
  <si>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</si>
  <si>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</si>
  <si>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</si>
  <si>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</si>
  <si>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</si>
  <si>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</si>
  <si>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</si>
  <si>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</si>
  <si>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</si>
  <si>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</si>
  <si>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</si>
  <si>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</si>
  <si>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</si>
  <si>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</si>
  <si>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</si>
  <si>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</si>
  <si>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</si>
  <si>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</si>
  <si>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</si>
  <si>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</si>
  <si>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</si>
  <si>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</si>
  <si>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</si>
  <si>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</si>
  <si>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</si>
  <si>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</si>
  <si>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</si>
  <si>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</si>
  <si>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</si>
  <si>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</si>
  <si>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</si>
  <si>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</si>
  <si>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</si>
  <si>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</si>
  <si>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</si>
  <si>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</si>
  <si>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</si>
  <si>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</si>
  <si>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</si>
  <si>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</si>
  <si>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</si>
  <si>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</si>
  <si>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</si>
  <si>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</si>
  <si>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</si>
  <si>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</si>
  <si>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</si>
  <si>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</si>
  <si>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</si>
  <si>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</si>
  <si>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</si>
  <si>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</si>
  <si>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</si>
  <si>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</si>
  <si>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</si>
  <si>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</si>
  <si>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</si>
  <si>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</si>
  <si>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</si>
  <si>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</si>
  <si>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</si>
  <si>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</si>
  <si>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</si>
  <si>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</si>
  <si>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</si>
  <si>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</si>
  <si>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</si>
  <si>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</si>
  <si>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</si>
  <si>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</si>
  <si>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</si>
  <si>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</si>
  <si>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</si>
  <si>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</si>
  <si>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</si>
  <si>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</si>
  <si>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</si>
  <si>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</si>
  <si>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</si>
  <si>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</si>
  <si>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</si>
  <si>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</si>
  <si>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</si>
  <si>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</si>
  <si>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</si>
  <si>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</si>
  <si>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</si>
  <si>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</si>
  <si>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</si>
  <si>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</si>
  <si>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</si>
  <si>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</si>
  <si>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</si>
  <si>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</si>
  <si>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</si>
  <si>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</si>
  <si>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</si>
  <si>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</si>
  <si>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</si>
  <si>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</si>
  <si>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</si>
  <si>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</si>
  <si>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</si>
  <si>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</si>
  <si>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</si>
  <si>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</si>
  <si>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</si>
  <si>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</si>
  <si>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</si>
  <si>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</si>
  <si>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</si>
  <si>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</si>
  <si>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</si>
  <si>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</si>
  <si>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</si>
  <si>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</si>
  <si>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</si>
  <si>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</si>
  <si>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</si>
  <si>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</si>
  <si>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</si>
  <si>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</si>
  <si>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</si>
  <si>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</si>
  <si>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</si>
  <si>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</si>
  <si>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</si>
  <si>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</si>
  <si>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</si>
  <si>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</si>
  <si>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</si>
  <si>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</si>
  <si>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</si>
  <si>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</si>
  <si>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</si>
  <si>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</si>
  <si>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</si>
  <si>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</si>
  <si>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</si>
  <si>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</si>
  <si>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</si>
  <si>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</si>
  <si>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</si>
  <si>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</si>
  <si>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</si>
  <si>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</si>
  <si>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</si>
  <si>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</si>
  <si>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</si>
  <si>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</si>
  <si>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</si>
  <si>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</si>
  <si>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</si>
  <si>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</si>
  <si>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</si>
  <si>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</si>
  <si>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</si>
  <si>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</si>
  <si>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</si>
  <si>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</si>
  <si>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</si>
  <si>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</si>
  <si>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</si>
  <si>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</si>
  <si>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</si>
  <si>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</si>
  <si>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</si>
  <si>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</si>
  <si>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</si>
  <si>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</si>
  <si>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</si>
  <si>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</si>
  <si>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</si>
  <si>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</si>
  <si>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</si>
  <si>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</si>
  <si>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</si>
  <si>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</si>
  <si>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</si>
  <si>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</si>
  <si>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</si>
  <si>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</si>
  <si>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</si>
  <si>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</si>
  <si>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</si>
  <si>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</si>
  <si>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</si>
  <si>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</si>
  <si>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</si>
  <si>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</si>
  <si>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</si>
  <si>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</si>
  <si>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</si>
  <si>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</si>
  <si>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</si>
  <si>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</si>
  <si>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</si>
  <si>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</si>
  <si>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</si>
  <si>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</si>
  <si>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</si>
  <si>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</si>
  <si>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</si>
  <si>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</si>
  <si>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</si>
  <si>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</si>
  <si>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</si>
  <si>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</si>
  <si>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</si>
  <si>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</si>
  <si>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</si>
  <si>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</si>
  <si>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</si>
  <si>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</si>
  <si>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</si>
  <si>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</si>
  <si>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</si>
  <si>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</si>
  <si>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</si>
  <si>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교육연구</t>
  </si>
  <si>
    <t>다정중학교 신축공사(계속비)</t>
    <phoneticPr fontId="2" type="noConversion"/>
  </si>
  <si>
    <t>세종시</t>
  </si>
  <si>
    <t>기초공사, 골재비및운반비, 작업부산물, 기타공사</t>
    <phoneticPr fontId="2" type="noConversion"/>
  </si>
  <si>
    <t>공조배관공사, 바닥난방공사, 기타공사</t>
    <phoneticPr fontId="2" type="noConversion"/>
  </si>
  <si>
    <t>CCTV설비공사, 기타공사</t>
    <phoneticPr fontId="2" type="noConversion"/>
  </si>
  <si>
    <t>사급자재비,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</si>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</sst>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13694.56</v>
      </c>
      <c r="D7" s="36">
        <f>+C7/3.3058</f>
        <v>4142.5857583640873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716180</v>
      </c>
      <c r="E25" s="59">
        <f t="shared" si="0"/>
        <v>2367540</v>
      </c>
    </row>
    <row r="26" spans="1:5" x14ac:dyDescent="0.3">
      <c r="B26" s="2">
        <v>3</v>
      </c>
      <c r="C26" s="35" t="s">
        <v>95</v>
      </c>
      <c r="D26" s="45">
        <f>+D66</f>
        <v>1780</v>
      </c>
      <c r="E26" s="59">
        <f t="shared" si="0"/>
        <v>5880</v>
      </c>
    </row>
    <row r="27" spans="1:5" x14ac:dyDescent="0.3">
      <c r="B27" s="2">
        <v>4</v>
      </c>
      <c r="C27" s="35" t="s">
        <v>96</v>
      </c>
      <c r="D27" s="45">
        <f>+D95</f>
        <v>176230</v>
      </c>
      <c r="E27" s="59">
        <f t="shared" si="0"/>
        <v>582580</v>
      </c>
    </row>
    <row r="28" spans="1:5" x14ac:dyDescent="0.3">
      <c r="B28" s="2">
        <v>5</v>
      </c>
      <c r="C28" s="35" t="s">
        <v>97</v>
      </c>
      <c r="D28" s="45">
        <f>+D119</f>
        <v>145480</v>
      </c>
      <c r="E28" s="59">
        <f t="shared" si="0"/>
        <v>480920</v>
      </c>
    </row>
    <row r="29" spans="1:5" x14ac:dyDescent="0.3">
      <c r="B29" s="2">
        <v>6</v>
      </c>
      <c r="C29" s="35" t="s">
        <v>98</v>
      </c>
      <c r="D29" s="45">
        <f>+D133</f>
        <v>59990</v>
      </c>
      <c r="E29" s="59">
        <f t="shared" si="0"/>
        <v>198310</v>
      </c>
    </row>
    <row r="30" spans="1:5" x14ac:dyDescent="0.3">
      <c r="B30" s="2">
        <v>7</v>
      </c>
      <c r="C30" s="35" t="s">
        <v>99</v>
      </c>
      <c r="D30" s="45">
        <f>+D146</f>
        <v>43310</v>
      </c>
      <c r="E30" s="59">
        <f t="shared" si="0"/>
        <v>143170</v>
      </c>
    </row>
    <row r="31" spans="1:5" x14ac:dyDescent="0.3">
      <c r="B31" s="2">
        <v>8</v>
      </c>
      <c r="C31" s="35" t="s">
        <v>100</v>
      </c>
      <c r="D31" s="45">
        <f>+D154</f>
        <v>19290</v>
      </c>
      <c r="E31" s="59">
        <f t="shared" si="0"/>
        <v>63760</v>
      </c>
    </row>
    <row r="32" spans="1:5" x14ac:dyDescent="0.3">
      <c r="B32" s="2">
        <v>9</v>
      </c>
      <c r="C32" s="35" t="s">
        <v>101</v>
      </c>
      <c r="D32" s="45">
        <f>+D161</f>
        <v>21940</v>
      </c>
      <c r="E32" s="59">
        <f t="shared" si="0"/>
        <v>72520</v>
      </c>
    </row>
    <row r="33" spans="1:7" x14ac:dyDescent="0.3">
      <c r="B33" s="2">
        <v>10</v>
      </c>
      <c r="C33" s="35" t="s">
        <v>155</v>
      </c>
      <c r="D33" s="53">
        <f>TRUNC(SUM(D24:D32)*0.275,-1)</f>
        <v>325650</v>
      </c>
      <c r="E33" s="60">
        <f t="shared" si="0"/>
        <v>1076530</v>
      </c>
    </row>
    <row r="34" spans="1:7" x14ac:dyDescent="0.3">
      <c r="C34" s="35" t="s">
        <v>112</v>
      </c>
      <c r="D34" s="44">
        <f>SUM(D24:D33)</f>
        <v>1509850</v>
      </c>
      <c r="E34" s="44">
        <f>SUM(E24:E33)</f>
        <v>4991210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TRUNC(44351,-1)</f>
        <v>44350</v>
      </c>
      <c r="E40" s="62">
        <f t="shared" ref="E40:E59" si="1">TRUNC(+D40*3.3058,-1)</f>
        <v>146610</v>
      </c>
    </row>
    <row r="41" spans="1:7" x14ac:dyDescent="0.3">
      <c r="A41" s="2">
        <v>2</v>
      </c>
      <c r="C41" s="38" t="s">
        <v>13</v>
      </c>
      <c r="D41" s="42">
        <f>TRUNC(132368,-1)</f>
        <v>132360</v>
      </c>
      <c r="E41" s="63">
        <f t="shared" si="1"/>
        <v>437550</v>
      </c>
    </row>
    <row r="42" spans="1:7" x14ac:dyDescent="0.3">
      <c r="A42" s="2">
        <v>3</v>
      </c>
      <c r="C42" s="38" t="s">
        <v>14</v>
      </c>
      <c r="D42" s="42">
        <f>TRUNC(5962,-1)</f>
        <v>5960</v>
      </c>
      <c r="E42" s="63">
        <f t="shared" si="1"/>
        <v>19700</v>
      </c>
    </row>
    <row r="43" spans="1:7" x14ac:dyDescent="0.3">
      <c r="A43" s="2">
        <v>4</v>
      </c>
      <c r="C43" s="38" t="s">
        <v>16</v>
      </c>
      <c r="D43" s="42">
        <v>39890</v>
      </c>
      <c r="E43" s="63">
        <f t="shared" si="1"/>
        <v>131860</v>
      </c>
    </row>
    <row r="44" spans="1:7" x14ac:dyDescent="0.3">
      <c r="A44" s="2">
        <v>5</v>
      </c>
      <c r="C44" s="38" t="s">
        <v>17</v>
      </c>
      <c r="D44" s="42">
        <f>TRUNC(17479,-1)</f>
        <v>17470</v>
      </c>
      <c r="E44" s="63">
        <f t="shared" si="1"/>
        <v>57750</v>
      </c>
    </row>
    <row r="45" spans="1:7" x14ac:dyDescent="0.3">
      <c r="A45" s="2">
        <v>6</v>
      </c>
      <c r="C45" s="38" t="s">
        <v>18</v>
      </c>
      <c r="D45" s="42">
        <f>TRUNC(9712,-1)</f>
        <v>9710</v>
      </c>
      <c r="E45" s="63">
        <f t="shared" si="1"/>
        <v>32090</v>
      </c>
    </row>
    <row r="46" spans="1:7" x14ac:dyDescent="0.3">
      <c r="A46" s="2">
        <v>7</v>
      </c>
      <c r="C46" s="38" t="s">
        <v>19</v>
      </c>
      <c r="D46" s="42">
        <f>TRUNC(27598,-1)</f>
        <v>27590</v>
      </c>
      <c r="E46" s="63">
        <f t="shared" si="1"/>
        <v>91200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TRUNC(39017,-1)</f>
        <v>39010</v>
      </c>
      <c r="E48" s="63">
        <f t="shared" si="1"/>
        <v>128950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TRUNC(20137,-1)</f>
        <v>20130</v>
      </c>
      <c r="E49" s="63">
        <f t="shared" si="1"/>
        <v>66540</v>
      </c>
    </row>
    <row r="50" spans="1:7" x14ac:dyDescent="0.3">
      <c r="A50" s="2">
        <v>11</v>
      </c>
      <c r="C50" s="38" t="s">
        <v>156</v>
      </c>
      <c r="D50" s="42">
        <f>TRUNC(22534,-1)</f>
        <v>22530</v>
      </c>
      <c r="E50" s="63">
        <f t="shared" si="1"/>
        <v>74470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TRUNC(9105,-1)</f>
        <v>9100</v>
      </c>
      <c r="E52" s="63">
        <f t="shared" si="1"/>
        <v>30080</v>
      </c>
    </row>
    <row r="53" spans="1:7" x14ac:dyDescent="0.3">
      <c r="A53" s="2">
        <v>14</v>
      </c>
      <c r="C53" s="38" t="s">
        <v>25</v>
      </c>
      <c r="D53" s="42">
        <f>TRUNC(63147,-1)</f>
        <v>63140</v>
      </c>
      <c r="E53" s="63">
        <f t="shared" si="1"/>
        <v>208720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TRUNC(15422+6117-464+11054,-1)</f>
        <v>32120</v>
      </c>
      <c r="E58" s="63">
        <f t="shared" si="1"/>
        <v>106180</v>
      </c>
      <c r="F58" s="2" t="s">
        <v>259</v>
      </c>
    </row>
    <row r="59" spans="1:7" ht="17.25" thickBot="1" x14ac:dyDescent="0.35">
      <c r="A59" s="2">
        <v>20</v>
      </c>
      <c r="C59" s="38" t="s">
        <v>149</v>
      </c>
      <c r="D59" s="43">
        <v>252820</v>
      </c>
      <c r="E59" s="64">
        <f t="shared" si="1"/>
        <v>835770</v>
      </c>
    </row>
    <row r="60" spans="1:7" x14ac:dyDescent="0.3">
      <c r="A60" s="2">
        <v>21</v>
      </c>
      <c r="C60" s="27" t="s">
        <v>112</v>
      </c>
      <c r="D60" s="39">
        <f>SUM(D40:D59)</f>
        <v>716180</v>
      </c>
      <c r="E60" s="39">
        <f>SUM(E40:E59)</f>
        <v>2367470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TRUNC(1782,-1)</f>
        <v>1780</v>
      </c>
      <c r="E63" s="62">
        <f>TRUNC(+D63*3.3058,-1)</f>
        <v>5880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1780</v>
      </c>
      <c r="E66" s="65">
        <f>SUM(E63:E65)</f>
        <v>5880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TRUNC(6446,-1)</f>
        <v>6440</v>
      </c>
      <c r="E69" s="62">
        <f t="shared" ref="E69:E94" si="2">TRUNC(+D69*3.3058,-1)</f>
        <v>21280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3650</v>
      </c>
      <c r="E72" s="63">
        <f t="shared" si="2"/>
        <v>12060</v>
      </c>
    </row>
    <row r="73" spans="1:7" x14ac:dyDescent="0.3">
      <c r="A73" s="2">
        <v>5</v>
      </c>
      <c r="C73" s="38" t="s">
        <v>34</v>
      </c>
      <c r="D73" s="42">
        <f>TRUNC(14935,-1)</f>
        <v>14930</v>
      </c>
      <c r="E73" s="63">
        <f t="shared" si="2"/>
        <v>49350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TRUNC(33203,-1)</f>
        <v>33200</v>
      </c>
      <c r="E76" s="63">
        <f t="shared" si="2"/>
        <v>109750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TRUNC(7526,-1)</f>
        <v>7520</v>
      </c>
      <c r="E89" s="63">
        <f t="shared" si="2"/>
        <v>24850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TRUNC(5583,-1)</f>
        <v>5580</v>
      </c>
      <c r="E91" s="63">
        <f t="shared" si="2"/>
        <v>18440</v>
      </c>
    </row>
    <row r="92" spans="1:7" x14ac:dyDescent="0.3">
      <c r="A92" s="2">
        <v>24</v>
      </c>
      <c r="C92" s="38" t="s">
        <v>38</v>
      </c>
      <c r="D92" s="42">
        <f>TRUNC(8043,-1)</f>
        <v>8040</v>
      </c>
      <c r="E92" s="63">
        <f t="shared" si="2"/>
        <v>26570</v>
      </c>
    </row>
    <row r="93" spans="1:7" x14ac:dyDescent="0.3">
      <c r="A93" s="2">
        <v>25</v>
      </c>
      <c r="C93" s="38" t="s">
        <v>149</v>
      </c>
      <c r="D93" s="42">
        <f>TRUNC(84316,-1)</f>
        <v>84310</v>
      </c>
      <c r="E93" s="63">
        <f t="shared" si="2"/>
        <v>278710</v>
      </c>
    </row>
    <row r="94" spans="1:7" ht="17.25" thickBot="1" x14ac:dyDescent="0.35">
      <c r="A94" s="2">
        <v>26</v>
      </c>
      <c r="C94" s="38" t="s">
        <v>47</v>
      </c>
      <c r="D94" s="43">
        <f>TRUNC(662+652+11253,-1)</f>
        <v>12560</v>
      </c>
      <c r="E94" s="64">
        <f t="shared" si="2"/>
        <v>41520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176230</v>
      </c>
      <c r="E95" s="39">
        <f>SUM(E69:E94)</f>
        <v>582530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TRUNC(10738,-1)</f>
        <v>10730</v>
      </c>
      <c r="E98" s="62">
        <f t="shared" ref="E98:E118" si="3">TRUNC(+D98*3.3058,-1)</f>
        <v>35470</v>
      </c>
    </row>
    <row r="99" spans="1:7" x14ac:dyDescent="0.3">
      <c r="A99" s="2">
        <v>2</v>
      </c>
      <c r="C99" s="38" t="s">
        <v>40</v>
      </c>
      <c r="D99" s="42">
        <f>TRUNC(7219,-1)</f>
        <v>7210</v>
      </c>
      <c r="E99" s="63">
        <f t="shared" si="3"/>
        <v>23830</v>
      </c>
    </row>
    <row r="100" spans="1:7" x14ac:dyDescent="0.3">
      <c r="A100" s="2">
        <v>3</v>
      </c>
      <c r="C100" s="38" t="s">
        <v>41</v>
      </c>
      <c r="D100" s="42">
        <f>TRUNC(25789,-1)</f>
        <v>25780</v>
      </c>
      <c r="E100" s="63">
        <f t="shared" si="3"/>
        <v>85220</v>
      </c>
    </row>
    <row r="101" spans="1:7" x14ac:dyDescent="0.3">
      <c r="A101" s="2">
        <v>4</v>
      </c>
      <c r="C101" s="38" t="s">
        <v>42</v>
      </c>
      <c r="D101" s="42">
        <f>TRUNC(304,-1)</f>
        <v>300</v>
      </c>
      <c r="E101" s="63">
        <f t="shared" si="3"/>
        <v>990</v>
      </c>
    </row>
    <row r="102" spans="1:7" x14ac:dyDescent="0.3">
      <c r="A102" s="2">
        <v>5</v>
      </c>
      <c r="C102" s="38" t="s">
        <v>43</v>
      </c>
      <c r="D102" s="42">
        <f>TRUNC(13232,-1)</f>
        <v>13230</v>
      </c>
      <c r="E102" s="63">
        <f t="shared" si="3"/>
        <v>43730</v>
      </c>
    </row>
    <row r="103" spans="1:7" x14ac:dyDescent="0.3">
      <c r="A103" s="2">
        <v>6</v>
      </c>
      <c r="C103" s="38" t="s">
        <v>44</v>
      </c>
      <c r="D103" s="42">
        <v>5810</v>
      </c>
      <c r="E103" s="63">
        <f t="shared" si="3"/>
        <v>19200</v>
      </c>
    </row>
    <row r="104" spans="1:7" x14ac:dyDescent="0.3">
      <c r="A104" s="2">
        <v>7</v>
      </c>
      <c r="C104" s="38" t="s">
        <v>45</v>
      </c>
      <c r="D104" s="42">
        <f>TRUNC(2049,-1)</f>
        <v>2040</v>
      </c>
      <c r="E104" s="63">
        <f t="shared" si="3"/>
        <v>6740</v>
      </c>
    </row>
    <row r="105" spans="1:7" x14ac:dyDescent="0.3">
      <c r="A105" s="2">
        <v>8</v>
      </c>
      <c r="C105" s="38" t="s">
        <v>46</v>
      </c>
      <c r="D105" s="42">
        <f>TRUNC(4061,-1)</f>
        <v>4060</v>
      </c>
      <c r="E105" s="63">
        <f t="shared" si="3"/>
        <v>13420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TRUNC(2305,-1)</f>
        <v>2300</v>
      </c>
      <c r="E114" s="63">
        <f t="shared" si="3"/>
        <v>7600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TRUNC(979,-1)</f>
        <v>970</v>
      </c>
      <c r="E116" s="63">
        <f t="shared" si="3"/>
        <v>3200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TRUNC(71463,-1)</f>
        <v>71460</v>
      </c>
      <c r="E117" s="63">
        <f t="shared" si="3"/>
        <v>236230</v>
      </c>
    </row>
    <row r="118" spans="1:7" ht="17.25" thickBot="1" x14ac:dyDescent="0.35">
      <c r="A118" s="2">
        <v>21</v>
      </c>
      <c r="C118" s="38" t="s">
        <v>47</v>
      </c>
      <c r="D118" s="43">
        <f>TRUNC(1597,-1)</f>
        <v>1590</v>
      </c>
      <c r="E118" s="64">
        <f t="shared" si="3"/>
        <v>5250</v>
      </c>
    </row>
    <row r="119" spans="1:7" x14ac:dyDescent="0.3">
      <c r="A119" s="2">
        <v>22</v>
      </c>
      <c r="C119" s="27" t="s">
        <v>112</v>
      </c>
      <c r="D119" s="39">
        <f>SUM(D98:D118)</f>
        <v>145480</v>
      </c>
      <c r="E119" s="39">
        <f>SUM(E98:E118)</f>
        <v>480880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TRUNC(3494,-1)</f>
        <v>3490</v>
      </c>
      <c r="E122" s="62">
        <f t="shared" ref="E122:E132" si="4">TRUNC(+D122*3.3058,-1)</f>
        <v>11530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TRUNC(1044,-1)</f>
        <v>1040</v>
      </c>
      <c r="E124" s="63">
        <f t="shared" si="4"/>
        <v>3430</v>
      </c>
    </row>
    <row r="125" spans="1:7" x14ac:dyDescent="0.3">
      <c r="A125" s="2">
        <v>4</v>
      </c>
      <c r="C125" s="38" t="s">
        <v>138</v>
      </c>
      <c r="D125" s="42">
        <f>TRUNC(8487,-1)</f>
        <v>8480</v>
      </c>
      <c r="E125" s="63">
        <f t="shared" si="4"/>
        <v>28030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TRUNC(6245,-1)</f>
        <v>6240</v>
      </c>
      <c r="E128" s="63">
        <f t="shared" si="4"/>
        <v>20620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13700</v>
      </c>
      <c r="E130" s="63">
        <f t="shared" si="4"/>
        <v>45280</v>
      </c>
    </row>
    <row r="131" spans="1:7" x14ac:dyDescent="0.3">
      <c r="A131" s="2">
        <v>10</v>
      </c>
      <c r="C131" s="38" t="s">
        <v>149</v>
      </c>
      <c r="D131" s="42">
        <f>TRUNC(22953,-1)</f>
        <v>22950</v>
      </c>
      <c r="E131" s="63">
        <f t="shared" si="4"/>
        <v>75860</v>
      </c>
    </row>
    <row r="132" spans="1:7" ht="18" thickBot="1" x14ac:dyDescent="0.35">
      <c r="A132" s="2">
        <v>11</v>
      </c>
      <c r="C132" s="38" t="s">
        <v>47</v>
      </c>
      <c r="D132" s="43">
        <f>TRUNC(2983+1111,-1)</f>
        <v>4090</v>
      </c>
      <c r="E132" s="64">
        <f t="shared" si="4"/>
        <v>13520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59990</v>
      </c>
      <c r="E133" s="39">
        <f>SUM(E122:E132)</f>
        <v>198270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TRUNC(9376,-1)</f>
        <v>9370</v>
      </c>
      <c r="E137" s="63">
        <f t="shared" si="5"/>
        <v>30970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TRUNC(1709,-1)</f>
        <v>1700</v>
      </c>
      <c r="E139" s="63">
        <f t="shared" si="5"/>
        <v>5610</v>
      </c>
    </row>
    <row r="140" spans="1:7" x14ac:dyDescent="0.3">
      <c r="A140" s="2">
        <v>5</v>
      </c>
      <c r="C140" s="38" t="s">
        <v>57</v>
      </c>
      <c r="D140" s="42">
        <f>TRUNC(1915,-1)</f>
        <v>1910</v>
      </c>
      <c r="E140" s="63">
        <f t="shared" si="5"/>
        <v>6310</v>
      </c>
    </row>
    <row r="141" spans="1:7" x14ac:dyDescent="0.3">
      <c r="A141" s="2">
        <v>6</v>
      </c>
      <c r="C141" s="38" t="s">
        <v>59</v>
      </c>
      <c r="D141" s="42">
        <v>9760</v>
      </c>
      <c r="E141" s="63">
        <f t="shared" si="5"/>
        <v>32260</v>
      </c>
    </row>
    <row r="142" spans="1:7" x14ac:dyDescent="0.3">
      <c r="A142" s="2">
        <v>7</v>
      </c>
      <c r="C142" s="38" t="s">
        <v>58</v>
      </c>
      <c r="D142" s="42">
        <f>TRUNC(7426,-1)</f>
        <v>7420</v>
      </c>
      <c r="E142" s="63">
        <f t="shared" si="5"/>
        <v>24520</v>
      </c>
    </row>
    <row r="143" spans="1:7" x14ac:dyDescent="0.3">
      <c r="A143" s="2">
        <v>8</v>
      </c>
      <c r="C143" s="38" t="s">
        <v>62</v>
      </c>
      <c r="D143" s="42">
        <f>TRUNC(5198,-1)</f>
        <v>5190</v>
      </c>
      <c r="E143" s="63">
        <f t="shared" si="5"/>
        <v>17150</v>
      </c>
    </row>
    <row r="144" spans="1:7" x14ac:dyDescent="0.3">
      <c r="A144" s="2">
        <v>9</v>
      </c>
      <c r="C144" s="38" t="s">
        <v>63</v>
      </c>
      <c r="D144" s="42">
        <f>TRUNC(7965,-1)</f>
        <v>7960</v>
      </c>
      <c r="E144" s="63">
        <f t="shared" si="5"/>
        <v>26310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43310</v>
      </c>
      <c r="E146" s="39">
        <f>SUM(E136:E145)</f>
        <v>143130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TRUNC(4222+910,-1)</f>
        <v>5130</v>
      </c>
      <c r="E149" s="62">
        <f>TRUNC(+D149*3.3058,-1)</f>
        <v>16950</v>
      </c>
    </row>
    <row r="150" spans="1:7" x14ac:dyDescent="0.3">
      <c r="A150" s="2">
        <v>2</v>
      </c>
      <c r="C150" s="38" t="s">
        <v>49</v>
      </c>
      <c r="D150" s="42">
        <f>TRUNC(6017,-1)</f>
        <v>6010</v>
      </c>
      <c r="E150" s="63">
        <f>TRUNC(+D150*3.3058,-1)</f>
        <v>19860</v>
      </c>
    </row>
    <row r="151" spans="1:7" x14ac:dyDescent="0.3">
      <c r="A151" s="2">
        <v>3</v>
      </c>
      <c r="C151" s="38" t="s">
        <v>50</v>
      </c>
      <c r="D151" s="42">
        <f>TRUNC(957,-1)</f>
        <v>950</v>
      </c>
      <c r="E151" s="63">
        <f>TRUNC(+D151*3.3058,-1)</f>
        <v>3140</v>
      </c>
    </row>
    <row r="152" spans="1:7" x14ac:dyDescent="0.3">
      <c r="A152" s="2">
        <v>4</v>
      </c>
      <c r="C152" s="38" t="s">
        <v>47</v>
      </c>
      <c r="D152" s="42">
        <f>TRUNC(5708+1493,-1)</f>
        <v>7200</v>
      </c>
      <c r="E152" s="63">
        <f>TRUNC(+D152*3.3058,-1)</f>
        <v>23800</v>
      </c>
      <c r="F152" s="2" t="s">
        <v>262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19290</v>
      </c>
      <c r="E154" s="39">
        <f>SUM(E149:E153)</f>
        <v>63750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TRUNC(4847,-1)</f>
        <v>4840</v>
      </c>
      <c r="E157" s="62">
        <f>TRUNC(+D157*3.3058,-1)</f>
        <v>16000</v>
      </c>
    </row>
    <row r="158" spans="1:7" x14ac:dyDescent="0.3">
      <c r="A158" s="2">
        <v>2</v>
      </c>
      <c r="C158" s="38" t="s">
        <v>52</v>
      </c>
      <c r="D158" s="42">
        <f>TRUNC(4992,-1)</f>
        <v>4990</v>
      </c>
      <c r="E158" s="63">
        <f>TRUNC(+D158*3.3058,-1)</f>
        <v>16490</v>
      </c>
    </row>
    <row r="159" spans="1:7" x14ac:dyDescent="0.3">
      <c r="A159" s="2">
        <v>3</v>
      </c>
      <c r="C159" s="38" t="s">
        <v>47</v>
      </c>
      <c r="D159" s="42">
        <f>TRUNC(994+11121,-1)</f>
        <v>12110</v>
      </c>
      <c r="E159" s="63">
        <f>TRUNC(+D159*3.3058,-1)</f>
        <v>40030</v>
      </c>
      <c r="F159" s="2" t="s">
        <v>255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21940</v>
      </c>
      <c r="E161" s="39">
        <f>SUM(E157:E160)</f>
        <v>72520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2020-12-08T01:15:25Z</dcterms:modified>
</cp:coreProperties>
</file>