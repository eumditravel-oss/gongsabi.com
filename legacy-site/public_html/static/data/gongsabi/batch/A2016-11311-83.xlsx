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38" i="4"/>
  <c r="E136" i="4"/>
  <c r="E129" i="4"/>
  <c r="E127" i="4"/>
  <c r="E126" i="4"/>
  <c r="E123" i="4"/>
  <c r="E116" i="4"/>
  <c r="E113" i="4"/>
  <c r="E112" i="4"/>
  <c r="E111" i="4"/>
  <c r="E110" i="4"/>
  <c r="E109" i="4"/>
  <c r="E108" i="4"/>
  <c r="E107" i="4"/>
  <c r="E106" i="4"/>
  <c r="E10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65" i="4"/>
  <c r="E64" i="4"/>
  <c r="E57" i="4"/>
  <c r="E56" i="4"/>
  <c r="E55" i="4"/>
  <c r="E54" i="4"/>
  <c r="E51" i="4"/>
  <c r="E47" i="4"/>
  <c r="E37" i="4"/>
  <c r="D158" i="4" l="1"/>
  <c r="E158" i="4" s="1"/>
  <c r="D157" i="4"/>
  <c r="E157" i="4" s="1"/>
  <c r="D153" i="4"/>
  <c r="E153" i="4" s="1"/>
  <c r="D151" i="4"/>
  <c r="E151" i="4" s="1"/>
  <c r="D150" i="4"/>
  <c r="E150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1" i="4"/>
  <c r="E131" i="4" s="1"/>
  <c r="D130" i="4"/>
  <c r="E130" i="4" s="1"/>
  <c r="D128" i="4"/>
  <c r="E128" i="4" s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3" i="4"/>
  <c r="E103" i="4" s="1"/>
  <c r="D102" i="4"/>
  <c r="E102" i="4" s="1"/>
  <c r="D100" i="4"/>
  <c r="E100" i="4" s="1"/>
  <c r="D99" i="4"/>
  <c r="E99" i="4" s="1"/>
  <c r="E119" i="4" s="1"/>
  <c r="D98" i="4"/>
  <c r="E98" i="4" s="1"/>
  <c r="D93" i="4"/>
  <c r="E93" i="4" s="1"/>
  <c r="D92" i="4"/>
  <c r="E92" i="4" s="1"/>
  <c r="D91" i="4"/>
  <c r="E91" i="4" s="1"/>
  <c r="D89" i="4"/>
  <c r="E89" i="4" s="1"/>
  <c r="D76" i="4"/>
  <c r="E76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37" i="4"/>
  <c r="E137" i="4" s="1"/>
  <c r="E146" i="4" s="1"/>
  <c r="D159" i="4"/>
  <c r="E159" i="4" s="1"/>
  <c r="D152" i="4"/>
  <c r="E152" i="4" s="1"/>
  <c r="D149" i="4"/>
  <c r="E149" i="4" s="1"/>
  <c r="D132" i="4"/>
  <c r="E132" i="4" s="1"/>
  <c r="D94" i="4"/>
  <c r="E94" i="4" s="1"/>
  <c r="D58" i="4"/>
  <c r="E58" i="4" s="1"/>
  <c r="E133" i="4" l="1"/>
  <c r="E95" i="4"/>
  <c r="E161" i="4"/>
  <c r="E154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<sst xmlns="http://schemas.openxmlformats.org/spreadsheetml/2006/main" count="393" uniqueCount="268">
  <si>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</si>
  <si>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</si>
  <si>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</si>
  <si>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</si>
  <si>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</si>
  <si>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</si>
  <si>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</si>
  <si>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</si>
  <si>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</si>
  <si>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</si>
  <si>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</si>
  <si>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</si>
  <si>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</si>
  <si>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</si>
  <si>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</si>
  <si>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</si>
  <si>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</si>
  <si>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</si>
  <si>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</si>
  <si>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</si>
  <si>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</si>
  <si>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</si>
  <si>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</si>
  <si>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</si>
  <si>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</si>
  <si>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</si>
  <si>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</si>
  <si>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</si>
  <si>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</si>
  <si>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</si>
  <si>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</si>
  <si>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</si>
  <si>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</si>
  <si>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</si>
  <si>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</si>
  <si>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</si>
  <si>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</si>
  <si>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</si>
  <si>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</si>
  <si>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</si>
  <si>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</si>
  <si>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</si>
  <si>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</si>
  <si>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</si>
  <si>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</si>
  <si>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</si>
  <si>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</si>
  <si>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</si>
  <si>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</si>
  <si>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</si>
  <si>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</si>
  <si>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</si>
  <si>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</si>
  <si>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</si>
  <si>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</si>
  <si>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</si>
  <si>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</si>
  <si>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</si>
  <si>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</si>
  <si>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</si>
  <si>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</si>
  <si>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</si>
  <si>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</si>
  <si>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</si>
  <si>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</si>
  <si>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</si>
  <si>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</si>
  <si>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</si>
  <si>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</si>
  <si>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</si>
  <si>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</si>
  <si>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</si>
  <si>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</si>
  <si>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</si>
  <si>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</si>
  <si>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</si>
  <si>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</si>
  <si>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</si>
  <si>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</si>
  <si>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</si>
  <si>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</si>
  <si>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</si>
  <si>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</si>
  <si>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</si>
  <si>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</si>
  <si>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</si>
  <si>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</si>
  <si>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</si>
  <si>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</si>
  <si>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</si>
  <si>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</si>
  <si>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</si>
  <si>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</si>
  <si>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</si>
  <si>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</si>
  <si>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</si>
  <si>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</si>
  <si>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</si>
  <si>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</si>
  <si>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</si>
  <si>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</si>
  <si>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</si>
  <si>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</si>
  <si>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</si>
  <si>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</si>
  <si>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</si>
  <si>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</si>
  <si>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</si>
  <si>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</si>
  <si>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</si>
  <si>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</si>
  <si>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</si>
  <si>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</si>
  <si>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</si>
  <si>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</si>
  <si>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</si>
  <si>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</si>
  <si>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</si>
  <si>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</si>
  <si>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</si>
  <si>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</si>
  <si>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</si>
  <si>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</si>
  <si>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</si>
  <si>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</si>
  <si>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</si>
  <si>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</si>
  <si>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</si>
  <si>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</si>
  <si>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</si>
  <si>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</si>
  <si>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</si>
  <si>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</si>
  <si>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</si>
  <si>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</si>
  <si>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</si>
  <si>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</si>
  <si>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</si>
  <si>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</si>
  <si>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</si>
  <si>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</si>
  <si>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</si>
  <si>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</si>
  <si>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</si>
  <si>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</si>
  <si>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</si>
  <si>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</si>
  <si>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</si>
  <si>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</si>
  <si>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</si>
  <si>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</si>
  <si>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</si>
  <si>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</si>
  <si>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</si>
  <si>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</si>
  <si>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</si>
  <si>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</si>
  <si>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</si>
  <si>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</si>
  <si>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</si>
  <si>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</si>
  <si>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</si>
  <si>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</si>
  <si>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</si>
  <si>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</si>
  <si>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</si>
  <si>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</si>
  <si>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</si>
  <si>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</si>
  <si>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</si>
  <si>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</si>
  <si>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</si>
  <si>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</si>
  <si>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</si>
  <si>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</si>
  <si>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</si>
  <si>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</si>
  <si>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</si>
  <si>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</si>
  <si>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</si>
  <si>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</si>
  <si>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</si>
  <si>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</si>
  <si>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</si>
  <si>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</si>
  <si>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</si>
  <si>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</si>
  <si>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</si>
  <si>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</si>
  <si>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</si>
  <si>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</si>
  <si>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</si>
  <si>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</si>
  <si>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</si>
  <si>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</si>
  <si>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</si>
  <si>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</si>
  <si>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</si>
  <si>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</si>
  <si>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</si>
  <si>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</si>
  <si>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</si>
  <si>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</si>
  <si>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</si>
  <si>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</si>
  <si>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</si>
  <si>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</si>
  <si>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</si>
  <si>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</si>
  <si>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</si>
  <si>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</si>
  <si>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</si>
  <si>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</si>
  <si>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</si>
  <si>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</si>
  <si>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</si>
  <si>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</si>
  <si>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</si>
  <si>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</si>
  <si>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</si>
  <si>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</si>
  <si>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</si>
  <si>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</si>
  <si>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</si>
  <si>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</si>
  <si>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</si>
  <si>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</si>
  <si>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</si>
  <si>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</si>
  <si>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</si>
  <si>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</si>
  <si>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</si>
  <si>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</si>
  <si>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</si>
  <si>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</si>
  <si>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</si>
  <si>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</si>
  <si>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</si>
  <si>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</si>
  <si>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</si>
  <si>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</si>
  <si>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</si>
  <si>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</si>
  <si>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</si>
  <si>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</si>
  <si>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</si>
  <si>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</si>
  <si>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</si>
  <si>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</si>
  <si>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</si>
  <si>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가칭 보성초등학교 교사 신축공사</t>
    <phoneticPr fontId="2" type="noConversion"/>
  </si>
  <si>
    <t>교육연구</t>
    <phoneticPr fontId="2" type="noConversion"/>
  </si>
  <si>
    <t>충청도</t>
  </si>
  <si>
    <t>기초공사,골재비및운반비,작업부산물,기타공사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</si>
  <si>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</si>
  <si>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</si>
  <si>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>창호및유리공사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</si>
  <si>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</si>
  <si>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</si>
  <si>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</si>
  <si>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펌프실배관공사,기타공사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</si>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</sst>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9433.74</v>
      </c>
      <c r="D7" s="36">
        <f>+C7/3.3058</f>
        <v>2853.6935083792123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790050</v>
      </c>
      <c r="E25" s="59">
        <f t="shared" si="0"/>
        <v>2611740</v>
      </c>
    </row>
    <row r="26" spans="1:5" x14ac:dyDescent="0.3">
      <c r="B26" s="2">
        <v>3</v>
      </c>
      <c r="C26" s="35" t="s">
        <v>95</v>
      </c>
      <c r="D26" s="45">
        <f>+D66</f>
        <v>11200</v>
      </c>
      <c r="E26" s="59">
        <f t="shared" si="0"/>
        <v>37020</v>
      </c>
    </row>
    <row r="27" spans="1:5" x14ac:dyDescent="0.3">
      <c r="B27" s="2">
        <v>4</v>
      </c>
      <c r="C27" s="35" t="s">
        <v>96</v>
      </c>
      <c r="D27" s="45">
        <f>+D95</f>
        <v>221740</v>
      </c>
      <c r="E27" s="59">
        <f t="shared" si="0"/>
        <v>733020</v>
      </c>
    </row>
    <row r="28" spans="1:5" x14ac:dyDescent="0.3">
      <c r="B28" s="2">
        <v>5</v>
      </c>
      <c r="C28" s="35" t="s">
        <v>97</v>
      </c>
      <c r="D28" s="45">
        <f>+D119</f>
        <v>143710</v>
      </c>
      <c r="E28" s="59">
        <f t="shared" si="0"/>
        <v>475070</v>
      </c>
    </row>
    <row r="29" spans="1:5" x14ac:dyDescent="0.3">
      <c r="B29" s="2">
        <v>6</v>
      </c>
      <c r="C29" s="35" t="s">
        <v>98</v>
      </c>
      <c r="D29" s="45">
        <f>+D133</f>
        <v>62860</v>
      </c>
      <c r="E29" s="59">
        <f t="shared" si="0"/>
        <v>207800</v>
      </c>
    </row>
    <row r="30" spans="1:5" x14ac:dyDescent="0.3">
      <c r="B30" s="2">
        <v>7</v>
      </c>
      <c r="C30" s="35" t="s">
        <v>99</v>
      </c>
      <c r="D30" s="45">
        <f>+D146</f>
        <v>40400</v>
      </c>
      <c r="E30" s="59">
        <f t="shared" si="0"/>
        <v>133550</v>
      </c>
    </row>
    <row r="31" spans="1:5" x14ac:dyDescent="0.3">
      <c r="B31" s="2">
        <v>8</v>
      </c>
      <c r="C31" s="35" t="s">
        <v>100</v>
      </c>
      <c r="D31" s="45">
        <f>+D154</f>
        <v>54110</v>
      </c>
      <c r="E31" s="59">
        <f t="shared" si="0"/>
        <v>178870</v>
      </c>
    </row>
    <row r="32" spans="1:5" x14ac:dyDescent="0.3">
      <c r="B32" s="2">
        <v>9</v>
      </c>
      <c r="C32" s="35" t="s">
        <v>101</v>
      </c>
      <c r="D32" s="45">
        <f>+D161</f>
        <v>35150</v>
      </c>
      <c r="E32" s="59">
        <f t="shared" si="0"/>
        <v>116190</v>
      </c>
    </row>
    <row r="33" spans="1:7" x14ac:dyDescent="0.3">
      <c r="B33" s="2">
        <v>10</v>
      </c>
      <c r="C33" s="35" t="s">
        <v>154</v>
      </c>
      <c r="D33" s="53">
        <f>TRUNC(SUM(D24:D32)*0.275,-1)</f>
        <v>373780</v>
      </c>
      <c r="E33" s="60">
        <f t="shared" si="0"/>
        <v>1235640</v>
      </c>
    </row>
    <row r="34" spans="1:7" x14ac:dyDescent="0.3">
      <c r="C34" s="35" t="s">
        <v>112</v>
      </c>
      <c r="D34" s="44">
        <f>SUM(D24:D33)</f>
        <v>1733000</v>
      </c>
      <c r="E34" s="44">
        <f>SUM(E24:E33)</f>
        <v>5728900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TRUNC(33883,-1)</f>
        <v>33880</v>
      </c>
      <c r="E40" s="62">
        <f t="shared" ref="E40:E59" si="1">TRUNC(+D40*3.3058,-1)</f>
        <v>112000</v>
      </c>
    </row>
    <row r="41" spans="1:7" x14ac:dyDescent="0.3">
      <c r="A41" s="2">
        <v>2</v>
      </c>
      <c r="C41" s="38" t="s">
        <v>13</v>
      </c>
      <c r="D41" s="42">
        <f>TRUNC(124744,-1)</f>
        <v>124740</v>
      </c>
      <c r="E41" s="63">
        <f t="shared" si="1"/>
        <v>412360</v>
      </c>
    </row>
    <row r="42" spans="1:7" x14ac:dyDescent="0.3">
      <c r="A42" s="2">
        <v>3</v>
      </c>
      <c r="C42" s="38" t="s">
        <v>14</v>
      </c>
      <c r="D42" s="42">
        <f>TRUNC(7043,-1)</f>
        <v>7040</v>
      </c>
      <c r="E42" s="63">
        <f t="shared" si="1"/>
        <v>23270</v>
      </c>
    </row>
    <row r="43" spans="1:7" x14ac:dyDescent="0.3">
      <c r="A43" s="2">
        <v>4</v>
      </c>
      <c r="C43" s="38" t="s">
        <v>16</v>
      </c>
      <c r="D43" s="42">
        <f>TRUNC(26112,-1)</f>
        <v>26110</v>
      </c>
      <c r="E43" s="63">
        <f t="shared" si="1"/>
        <v>86310</v>
      </c>
    </row>
    <row r="44" spans="1:7" x14ac:dyDescent="0.3">
      <c r="A44" s="2">
        <v>5</v>
      </c>
      <c r="C44" s="38" t="s">
        <v>17</v>
      </c>
      <c r="D44" s="42">
        <f>TRUNC(21460,-1)</f>
        <v>21460</v>
      </c>
      <c r="E44" s="63">
        <f t="shared" si="1"/>
        <v>70940</v>
      </c>
    </row>
    <row r="45" spans="1:7" x14ac:dyDescent="0.3">
      <c r="A45" s="2">
        <v>6</v>
      </c>
      <c r="C45" s="38" t="s">
        <v>18</v>
      </c>
      <c r="D45" s="42">
        <f>TRUNC(11538,-1)</f>
        <v>11530</v>
      </c>
      <c r="E45" s="63">
        <f t="shared" si="1"/>
        <v>38110</v>
      </c>
    </row>
    <row r="46" spans="1:7" x14ac:dyDescent="0.3">
      <c r="A46" s="2">
        <v>7</v>
      </c>
      <c r="C46" s="38" t="s">
        <v>19</v>
      </c>
      <c r="D46" s="42">
        <f>TRUNC(17993,-1)</f>
        <v>17990</v>
      </c>
      <c r="E46" s="63">
        <f t="shared" si="1"/>
        <v>59470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TRUNC(41942,-1)</f>
        <v>41940</v>
      </c>
      <c r="E48" s="63">
        <f t="shared" si="1"/>
        <v>138640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TRUNC(19058,-1)</f>
        <v>19050</v>
      </c>
      <c r="E49" s="63">
        <f t="shared" si="1"/>
        <v>62970</v>
      </c>
    </row>
    <row r="50" spans="1:7" x14ac:dyDescent="0.3">
      <c r="A50" s="2">
        <v>11</v>
      </c>
      <c r="C50" s="38" t="s">
        <v>155</v>
      </c>
      <c r="D50" s="42">
        <f>TRUNC(57105,-1)</f>
        <v>57100</v>
      </c>
      <c r="E50" s="63">
        <f t="shared" si="1"/>
        <v>188760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TRUNC(7752,-1)</f>
        <v>7750</v>
      </c>
      <c r="E52" s="63">
        <f t="shared" si="1"/>
        <v>25610</v>
      </c>
    </row>
    <row r="53" spans="1:7" x14ac:dyDescent="0.3">
      <c r="A53" s="2">
        <v>14</v>
      </c>
      <c r="C53" s="38" t="s">
        <v>25</v>
      </c>
      <c r="D53" s="42">
        <f>TRUNC(97773,-1)</f>
        <v>97770</v>
      </c>
      <c r="E53" s="63">
        <f t="shared" si="1"/>
        <v>323200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TRUNC(19937+6918-475+15299,-1)</f>
        <v>41670</v>
      </c>
      <c r="E58" s="63">
        <f t="shared" si="1"/>
        <v>137750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TRUNC(282027,-1)</f>
        <v>282020</v>
      </c>
      <c r="E59" s="64">
        <f t="shared" si="1"/>
        <v>932300</v>
      </c>
    </row>
    <row r="60" spans="1:7" x14ac:dyDescent="0.3">
      <c r="A60" s="2">
        <v>21</v>
      </c>
      <c r="C60" s="27" t="s">
        <v>112</v>
      </c>
      <c r="D60" s="39">
        <f>SUM(D40:D59)</f>
        <v>790050</v>
      </c>
      <c r="E60" s="39">
        <f>SUM(E40:E59)</f>
        <v>2611690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TRUNC(11204,-1)</f>
        <v>11200</v>
      </c>
      <c r="E63" s="62">
        <f>TRUNC(+D63*3.3058,-1)</f>
        <v>37020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11200</v>
      </c>
      <c r="E66" s="65">
        <f>SUM(E63:E65)</f>
        <v>37020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TRUNC(8072,-1)</f>
        <v>8070</v>
      </c>
      <c r="E69" s="62">
        <f t="shared" ref="E69:E94" si="2">TRUNC(+D69*3.3058,-1)</f>
        <v>26670</v>
      </c>
    </row>
    <row r="70" spans="1:7" ht="16.5" customHeight="1" x14ac:dyDescent="0.3">
      <c r="A70" s="2">
        <v>2</v>
      </c>
      <c r="C70" s="38" t="s">
        <v>31</v>
      </c>
      <c r="D70" s="42">
        <f>TRUNC(3855,-1)</f>
        <v>3850</v>
      </c>
      <c r="E70" s="63">
        <f t="shared" si="2"/>
        <v>12720</v>
      </c>
    </row>
    <row r="71" spans="1:7" x14ac:dyDescent="0.3">
      <c r="A71" s="2">
        <v>3</v>
      </c>
      <c r="C71" s="38" t="s">
        <v>32</v>
      </c>
      <c r="D71" s="42">
        <f>TRUNC(9296,-1)</f>
        <v>9290</v>
      </c>
      <c r="E71" s="63">
        <f t="shared" si="2"/>
        <v>30710</v>
      </c>
    </row>
    <row r="72" spans="1:7" x14ac:dyDescent="0.3">
      <c r="A72" s="2">
        <v>4</v>
      </c>
      <c r="C72" s="38" t="s">
        <v>33</v>
      </c>
      <c r="D72" s="42">
        <f>TRUNC(4698,-1)</f>
        <v>4690</v>
      </c>
      <c r="E72" s="63">
        <f t="shared" si="2"/>
        <v>15500</v>
      </c>
    </row>
    <row r="73" spans="1:7" x14ac:dyDescent="0.3">
      <c r="A73" s="2">
        <v>5</v>
      </c>
      <c r="C73" s="38" t="s">
        <v>34</v>
      </c>
      <c r="D73" s="42">
        <f>TRUNC(11535,-1)</f>
        <v>11530</v>
      </c>
      <c r="E73" s="63">
        <f t="shared" si="2"/>
        <v>38110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TRUNC(49498,-1)</f>
        <v>49490</v>
      </c>
      <c r="E76" s="63">
        <f t="shared" si="2"/>
        <v>163600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TRUNC(8143,-1)</f>
        <v>8140</v>
      </c>
      <c r="E89" s="63">
        <f t="shared" si="2"/>
        <v>26900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TRUNC(8954,-1)</f>
        <v>8950</v>
      </c>
      <c r="E91" s="63">
        <f t="shared" si="2"/>
        <v>29580</v>
      </c>
    </row>
    <row r="92" spans="1:7" x14ac:dyDescent="0.3">
      <c r="A92" s="2">
        <v>24</v>
      </c>
      <c r="C92" s="38" t="s">
        <v>38</v>
      </c>
      <c r="D92" s="42">
        <f>TRUNC(8789,-1)</f>
        <v>8780</v>
      </c>
      <c r="E92" s="63">
        <f t="shared" si="2"/>
        <v>29020</v>
      </c>
    </row>
    <row r="93" spans="1:7" x14ac:dyDescent="0.3">
      <c r="A93" s="2">
        <v>25</v>
      </c>
      <c r="C93" s="38" t="s">
        <v>148</v>
      </c>
      <c r="D93" s="42">
        <f>TRUNC(95086,-1)</f>
        <v>95080</v>
      </c>
      <c r="E93" s="63">
        <f t="shared" si="2"/>
        <v>314310</v>
      </c>
    </row>
    <row r="94" spans="1:7" ht="17.25" thickBot="1" x14ac:dyDescent="0.35">
      <c r="A94" s="2">
        <v>26</v>
      </c>
      <c r="C94" s="38" t="s">
        <v>47</v>
      </c>
      <c r="D94" s="43">
        <f>TRUNC(4177+9696,-1)</f>
        <v>13870</v>
      </c>
      <c r="E94" s="64">
        <f t="shared" si="2"/>
        <v>45850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221740</v>
      </c>
      <c r="E95" s="39">
        <f>SUM(E69:E94)</f>
        <v>732970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TRUNC(13416,-1)</f>
        <v>13410</v>
      </c>
      <c r="E98" s="62">
        <f t="shared" ref="E98:E118" si="3">TRUNC(+D98*3.3058,-1)</f>
        <v>44330</v>
      </c>
    </row>
    <row r="99" spans="1:7" x14ac:dyDescent="0.3">
      <c r="A99" s="2">
        <v>2</v>
      </c>
      <c r="C99" s="38" t="s">
        <v>40</v>
      </c>
      <c r="D99" s="42">
        <f>TRUNC(5356,-1)</f>
        <v>5350</v>
      </c>
      <c r="E99" s="63">
        <f t="shared" si="3"/>
        <v>17680</v>
      </c>
    </row>
    <row r="100" spans="1:7" x14ac:dyDescent="0.3">
      <c r="A100" s="2">
        <v>3</v>
      </c>
      <c r="C100" s="38" t="s">
        <v>41</v>
      </c>
      <c r="D100" s="42">
        <f>TRUNC(30324,-1)</f>
        <v>30320</v>
      </c>
      <c r="E100" s="63">
        <f t="shared" si="3"/>
        <v>100230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TRUNC(19333,-1)</f>
        <v>19330</v>
      </c>
      <c r="E102" s="63">
        <f t="shared" si="3"/>
        <v>63900</v>
      </c>
    </row>
    <row r="103" spans="1:7" x14ac:dyDescent="0.3">
      <c r="A103" s="2">
        <v>6</v>
      </c>
      <c r="C103" s="38" t="s">
        <v>44</v>
      </c>
      <c r="D103" s="42">
        <f>TRUNC(4806,-1)</f>
        <v>4800</v>
      </c>
      <c r="E103" s="63">
        <f t="shared" si="3"/>
        <v>15860</v>
      </c>
    </row>
    <row r="104" spans="1:7" x14ac:dyDescent="0.3">
      <c r="A104" s="2">
        <v>7</v>
      </c>
      <c r="C104" s="38" t="s">
        <v>45</v>
      </c>
      <c r="D104" s="42">
        <f>TRUNC(4222,-1)</f>
        <v>4220</v>
      </c>
      <c r="E104" s="63">
        <f t="shared" si="3"/>
        <v>13950</v>
      </c>
    </row>
    <row r="105" spans="1:7" x14ac:dyDescent="0.3">
      <c r="A105" s="2">
        <v>8</v>
      </c>
      <c r="C105" s="38" t="s">
        <v>46</v>
      </c>
      <c r="D105" s="42">
        <f>TRUNC(6203,-1)</f>
        <v>6200</v>
      </c>
      <c r="E105" s="63">
        <f t="shared" si="3"/>
        <v>20490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TRUNC(2333,-1)</f>
        <v>2330</v>
      </c>
      <c r="E114" s="63">
        <f t="shared" si="3"/>
        <v>7700</v>
      </c>
    </row>
    <row r="115" spans="1:7" x14ac:dyDescent="0.3">
      <c r="A115" s="2">
        <v>18</v>
      </c>
      <c r="C115" s="38" t="s">
        <v>116</v>
      </c>
      <c r="D115" s="42">
        <f>TRUNC(2101,-1)</f>
        <v>2100</v>
      </c>
      <c r="E115" s="63">
        <f t="shared" si="3"/>
        <v>6940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TRUNC(53829,-1)</f>
        <v>53820</v>
      </c>
      <c r="E117" s="63">
        <f t="shared" si="3"/>
        <v>177910</v>
      </c>
    </row>
    <row r="118" spans="1:7" ht="17.25" thickBot="1" x14ac:dyDescent="0.35">
      <c r="A118" s="2">
        <v>21</v>
      </c>
      <c r="C118" s="38" t="s">
        <v>47</v>
      </c>
      <c r="D118" s="43">
        <f>TRUNC(1830,-1)</f>
        <v>1830</v>
      </c>
      <c r="E118" s="64">
        <f t="shared" si="3"/>
        <v>6040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143710</v>
      </c>
      <c r="E119" s="39">
        <f>SUM(E98:E118)</f>
        <v>475030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TRUNC(3712,-1)</f>
        <v>3710</v>
      </c>
      <c r="E122" s="62">
        <f t="shared" ref="E122:E132" si="4">TRUNC(+D122*3.3058,-1)</f>
        <v>12260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TRUNC(1112,-1)</f>
        <v>1110</v>
      </c>
      <c r="E124" s="63">
        <f t="shared" si="4"/>
        <v>3660</v>
      </c>
    </row>
    <row r="125" spans="1:7" x14ac:dyDescent="0.3">
      <c r="A125" s="2">
        <v>4</v>
      </c>
      <c r="C125" s="38" t="s">
        <v>138</v>
      </c>
      <c r="D125" s="42">
        <f>TRUNC(8660,-1)</f>
        <v>8660</v>
      </c>
      <c r="E125" s="63">
        <f t="shared" si="4"/>
        <v>28620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TRUNC(5907,-1)</f>
        <v>5900</v>
      </c>
      <c r="E128" s="63">
        <f t="shared" si="4"/>
        <v>19500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TRUNC(18646,-1)</f>
        <v>18640</v>
      </c>
      <c r="E130" s="63">
        <f t="shared" si="4"/>
        <v>61620</v>
      </c>
    </row>
    <row r="131" spans="1:7" x14ac:dyDescent="0.3">
      <c r="A131" s="2">
        <v>10</v>
      </c>
      <c r="C131" s="38" t="s">
        <v>148</v>
      </c>
      <c r="D131" s="42">
        <f>TRUNC(22217,-1)</f>
        <v>22210</v>
      </c>
      <c r="E131" s="63">
        <f t="shared" si="4"/>
        <v>73420</v>
      </c>
    </row>
    <row r="132" spans="1:7" ht="18" thickBot="1" x14ac:dyDescent="0.35">
      <c r="A132" s="2">
        <v>11</v>
      </c>
      <c r="C132" s="38" t="s">
        <v>47</v>
      </c>
      <c r="D132" s="43">
        <f>TRUNC(1800+832,-1)</f>
        <v>2630</v>
      </c>
      <c r="E132" s="64">
        <f t="shared" si="4"/>
        <v>8690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62860</v>
      </c>
      <c r="E133" s="39">
        <f>SUM(E122:E132)</f>
        <v>207770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TRUNC(3752+1191,-1)</f>
        <v>4940</v>
      </c>
      <c r="E137" s="63">
        <f t="shared" si="5"/>
        <v>16330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TRUNC(2402,-1)</f>
        <v>2400</v>
      </c>
      <c r="E139" s="63">
        <f t="shared" si="5"/>
        <v>7930</v>
      </c>
    </row>
    <row r="140" spans="1:7" x14ac:dyDescent="0.3">
      <c r="A140" s="2">
        <v>5</v>
      </c>
      <c r="C140" s="38" t="s">
        <v>57</v>
      </c>
      <c r="D140" s="42">
        <f>TRUNC(2083,-1)</f>
        <v>2080</v>
      </c>
      <c r="E140" s="63">
        <f t="shared" si="5"/>
        <v>6870</v>
      </c>
    </row>
    <row r="141" spans="1:7" x14ac:dyDescent="0.3">
      <c r="A141" s="2">
        <v>6</v>
      </c>
      <c r="C141" s="38" t="s">
        <v>59</v>
      </c>
      <c r="D141" s="42">
        <f>TRUNC(5961,-1)</f>
        <v>5960</v>
      </c>
      <c r="E141" s="63">
        <f t="shared" si="5"/>
        <v>19700</v>
      </c>
    </row>
    <row r="142" spans="1:7" x14ac:dyDescent="0.3">
      <c r="A142" s="2">
        <v>7</v>
      </c>
      <c r="C142" s="38" t="s">
        <v>58</v>
      </c>
      <c r="D142" s="42">
        <f>TRUNC(6020,-1)</f>
        <v>6020</v>
      </c>
      <c r="E142" s="63">
        <f t="shared" si="5"/>
        <v>19900</v>
      </c>
    </row>
    <row r="143" spans="1:7" x14ac:dyDescent="0.3">
      <c r="A143" s="2">
        <v>8</v>
      </c>
      <c r="C143" s="38" t="s">
        <v>62</v>
      </c>
      <c r="D143" s="42">
        <f>TRUNC(4650,-1)</f>
        <v>4650</v>
      </c>
      <c r="E143" s="63">
        <f t="shared" si="5"/>
        <v>15370</v>
      </c>
    </row>
    <row r="144" spans="1:7" x14ac:dyDescent="0.3">
      <c r="A144" s="2">
        <v>9</v>
      </c>
      <c r="C144" s="38" t="s">
        <v>63</v>
      </c>
      <c r="D144" s="42">
        <f>TRUNC(14352,-1)</f>
        <v>14350</v>
      </c>
      <c r="E144" s="63">
        <f t="shared" si="5"/>
        <v>47430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40400</v>
      </c>
      <c r="E146" s="39">
        <f>SUM(E136:E145)</f>
        <v>133530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TRUNC(12041+4239,-1)</f>
        <v>16280</v>
      </c>
      <c r="E149" s="62">
        <f>TRUNC(+D149*3.3058,-1)</f>
        <v>53810</v>
      </c>
    </row>
    <row r="150" spans="1:7" x14ac:dyDescent="0.3">
      <c r="A150" s="2">
        <v>2</v>
      </c>
      <c r="C150" s="38" t="s">
        <v>49</v>
      </c>
      <c r="D150" s="42">
        <f>TRUNC(10941,-1)</f>
        <v>10940</v>
      </c>
      <c r="E150" s="63">
        <f>TRUNC(+D150*3.3058,-1)</f>
        <v>36160</v>
      </c>
    </row>
    <row r="151" spans="1:7" x14ac:dyDescent="0.3">
      <c r="A151" s="2">
        <v>3</v>
      </c>
      <c r="C151" s="38" t="s">
        <v>50</v>
      </c>
      <c r="D151" s="42">
        <f>TRUNC(2278,-1)</f>
        <v>2270</v>
      </c>
      <c r="E151" s="63">
        <f>TRUNC(+D151*3.3058,-1)</f>
        <v>7500</v>
      </c>
    </row>
    <row r="152" spans="1:7" x14ac:dyDescent="0.3">
      <c r="A152" s="2">
        <v>4</v>
      </c>
      <c r="C152" s="38" t="s">
        <v>47</v>
      </c>
      <c r="D152" s="42">
        <f>TRUNC(757,-1)</f>
        <v>750</v>
      </c>
      <c r="E152" s="63">
        <f>TRUNC(+D152*3.3058,-1)</f>
        <v>2470</v>
      </c>
    </row>
    <row r="153" spans="1:7" ht="17.25" thickBot="1" x14ac:dyDescent="0.35">
      <c r="A153" s="2">
        <v>5</v>
      </c>
      <c r="C153" s="38" t="s">
        <v>148</v>
      </c>
      <c r="D153" s="43">
        <f>TRUNC(23872,-1)</f>
        <v>23870</v>
      </c>
      <c r="E153" s="64">
        <f>TRUNC(+D153*3.3058,-1)</f>
        <v>78900</v>
      </c>
    </row>
    <row r="154" spans="1:7" x14ac:dyDescent="0.3">
      <c r="A154" s="2">
        <v>6</v>
      </c>
      <c r="C154" s="27" t="s">
        <v>112</v>
      </c>
      <c r="D154" s="39">
        <f>SUM(D149:D153)</f>
        <v>54110</v>
      </c>
      <c r="E154" s="39">
        <f>SUM(E149:E153)</f>
        <v>178840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TRUNC(20494,-1)</f>
        <v>20490</v>
      </c>
      <c r="E157" s="62">
        <f>TRUNC(+D157*3.3058,-1)</f>
        <v>67730</v>
      </c>
    </row>
    <row r="158" spans="1:7" x14ac:dyDescent="0.3">
      <c r="A158" s="2">
        <v>2</v>
      </c>
      <c r="C158" s="38" t="s">
        <v>52</v>
      </c>
      <c r="D158" s="42">
        <f>TRUNC(13457,-1)</f>
        <v>13450</v>
      </c>
      <c r="E158" s="63">
        <f>TRUNC(+D158*3.3058,-1)</f>
        <v>44460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TRUNC(743+476,-1)</f>
        <v>1210</v>
      </c>
      <c r="E159" s="63">
        <f>TRUNC(+D159*3.3058,-1)</f>
        <v>4000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35150</v>
      </c>
      <c r="E161" s="39">
        <f>SUM(E157:E160)</f>
        <v>116190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2020-12-08T01:23:40Z</dcterms:modified>
</cp:coreProperties>
</file>