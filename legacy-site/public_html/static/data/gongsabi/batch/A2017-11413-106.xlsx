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3" i="4"/>
  <c r="D140" i="4"/>
  <c r="D132" i="4"/>
  <c r="D131" i="4"/>
  <c r="D130" i="4"/>
  <c r="D128" i="4"/>
  <c r="D126" i="4"/>
  <c r="D125" i="4"/>
  <c r="D118" i="4"/>
  <c r="D117" i="4"/>
  <c r="D114" i="4"/>
  <c r="D105" i="4"/>
  <c r="D104" i="4"/>
  <c r="D101" i="4"/>
  <c r="D99" i="4"/>
  <c r="D98" i="4"/>
  <c r="D94" i="4"/>
  <c r="D92" i="4"/>
  <c r="D91" i="4"/>
  <c r="D89" i="4"/>
  <c r="D75" i="4"/>
  <c r="D73" i="4"/>
  <c r="D72" i="4"/>
  <c r="D71" i="4"/>
  <c r="D70" i="4"/>
  <c r="D69" i="4"/>
  <c r="D63" i="4"/>
  <c r="D53" i="4"/>
  <c r="D52" i="4"/>
  <c r="D50" i="4"/>
  <c r="D49" i="4"/>
  <c r="D48" i="4"/>
  <c r="D46" i="4"/>
  <c r="D45" i="4"/>
  <c r="D43" i="4"/>
  <c r="D42" i="4"/>
  <c r="D41" i="4"/>
  <c r="D40" i="4"/>
  <c r="D58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<sst xmlns="http://schemas.openxmlformats.org/spreadsheetml/2006/main" count="391" uniqueCount="268">
  <si>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</si>
  <si>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</si>
  <si>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</si>
  <si>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</si>
  <si>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</si>
  <si>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</si>
  <si>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</si>
  <si>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</si>
  <si>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</si>
  <si>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</si>
  <si>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</si>
  <si>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</si>
  <si>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</si>
  <si>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</si>
  <si>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</si>
  <si>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</si>
  <si>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</si>
  <si>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</si>
  <si>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</si>
  <si>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</si>
  <si>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</si>
  <si>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</si>
  <si>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</si>
  <si>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</si>
  <si>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</si>
  <si>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</si>
  <si>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</si>
  <si>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</si>
  <si>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</si>
  <si>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</si>
  <si>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</si>
  <si>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</si>
  <si>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</si>
  <si>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</si>
  <si>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</si>
  <si>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</si>
  <si>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</si>
  <si>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</si>
  <si>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</si>
  <si>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</si>
  <si>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</si>
  <si>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</si>
  <si>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</si>
  <si>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</si>
  <si>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</si>
  <si>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</si>
  <si>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</si>
  <si>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</si>
  <si>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</si>
  <si>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</si>
  <si>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</si>
  <si>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</si>
  <si>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</si>
  <si>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</si>
  <si>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</si>
  <si>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</si>
  <si>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</si>
  <si>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</si>
  <si>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</si>
  <si>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</si>
  <si>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</si>
  <si>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</si>
  <si>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</si>
  <si>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</si>
  <si>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</si>
  <si>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</si>
  <si>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</si>
  <si>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</si>
  <si>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</si>
  <si>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</si>
  <si>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</si>
  <si>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</si>
  <si>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</si>
  <si>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</si>
  <si>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</si>
  <si>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</si>
  <si>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</si>
  <si>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</si>
  <si>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</si>
  <si>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</si>
  <si>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</si>
  <si>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</si>
  <si>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</si>
  <si>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</si>
  <si>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</si>
  <si>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</si>
  <si>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</si>
  <si>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</si>
  <si>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</si>
  <si>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</si>
  <si>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</si>
  <si>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</si>
  <si>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</si>
  <si>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</si>
  <si>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</si>
  <si>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</si>
  <si>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</si>
  <si>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</si>
  <si>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</si>
  <si>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</si>
  <si>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</si>
  <si>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</si>
  <si>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</si>
  <si>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</si>
  <si>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</si>
  <si>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</si>
  <si>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</si>
  <si>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</si>
  <si>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</si>
  <si>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</si>
  <si>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</si>
  <si>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</si>
  <si>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</si>
  <si>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</si>
  <si>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</si>
  <si>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</si>
  <si>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</si>
  <si>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</si>
  <si>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</si>
  <si>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</si>
  <si>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</si>
  <si>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</si>
  <si>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</si>
  <si>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</si>
  <si>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</si>
  <si>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</si>
  <si>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</si>
  <si>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</si>
  <si>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</si>
  <si>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</si>
  <si>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</si>
  <si>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</si>
  <si>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</si>
  <si>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</si>
  <si>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</si>
  <si>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</si>
  <si>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</si>
  <si>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</si>
  <si>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</si>
  <si>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</si>
  <si>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</si>
  <si>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</si>
  <si>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</si>
  <si>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</si>
  <si>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</si>
  <si>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</si>
  <si>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</si>
  <si>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</si>
  <si>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</si>
  <si>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</si>
  <si>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</si>
  <si>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</si>
  <si>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</si>
  <si>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</si>
  <si>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</si>
  <si>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</si>
  <si>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</si>
  <si>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</si>
  <si>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</si>
  <si>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</si>
  <si>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</si>
  <si>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</si>
  <si>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</si>
  <si>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</si>
  <si>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</si>
  <si>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</si>
  <si>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</si>
  <si>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</si>
  <si>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</si>
  <si>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</si>
  <si>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</si>
  <si>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</si>
  <si>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</si>
  <si>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</si>
  <si>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</si>
  <si>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</si>
  <si>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</si>
  <si>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</si>
  <si>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</si>
  <si>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</si>
  <si>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</si>
  <si>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</si>
  <si>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</si>
  <si>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</si>
  <si>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</si>
  <si>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</si>
  <si>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</si>
  <si>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</si>
  <si>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</si>
  <si>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</si>
  <si>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</si>
  <si>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</si>
  <si>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</si>
  <si>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</si>
  <si>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</si>
  <si>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</si>
  <si>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</si>
  <si>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</si>
  <si>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</si>
  <si>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</si>
  <si>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</si>
  <si>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</si>
  <si>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</si>
  <si>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</si>
  <si>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</si>
  <si>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</si>
  <si>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</si>
  <si>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</si>
  <si>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</si>
  <si>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</si>
  <si>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</si>
  <si>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</si>
  <si>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</si>
  <si>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</si>
  <si>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</si>
  <si>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</si>
  <si>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</si>
  <si>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</si>
  <si>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</si>
  <si>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</si>
  <si>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</si>
  <si>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</si>
  <si>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</si>
  <si>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</si>
  <si>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</si>
  <si>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</si>
  <si>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</si>
  <si>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</si>
  <si>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</si>
  <si>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</si>
  <si>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</si>
  <si>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</si>
  <si>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</si>
  <si>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</si>
  <si>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</si>
  <si>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</si>
  <si>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</si>
  <si>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</si>
  <si>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</si>
  <si>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</si>
  <si>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</si>
  <si>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</si>
  <si>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</si>
  <si>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</si>
  <si>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</si>
  <si>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</si>
  <si>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</si>
  <si>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</si>
  <si>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</si>
  <si>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</si>
  <si>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</si>
  <si>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</si>
  <si>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</si>
  <si>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</si>
  <si>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</si>
  <si>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교육연구</t>
  </si>
  <si>
    <t>(가칭)전주양현초등학교 신축공사</t>
    <phoneticPr fontId="2" type="noConversion"/>
  </si>
  <si>
    <t>전라도</t>
  </si>
  <si>
    <t>기초공사, 골재비및운반비, 작업부산물, 품질시험비, 기타공사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</si>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</sst>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12566.86</v>
      </c>
      <c r="D7" s="36">
        <f>+C7/3.3058</f>
        <v>3801.4580434388045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959590</v>
      </c>
      <c r="E25" s="59">
        <f t="shared" si="0"/>
        <v>3172210</v>
      </c>
    </row>
    <row r="26" spans="1:5" x14ac:dyDescent="0.3">
      <c r="B26" s="2">
        <v>3</v>
      </c>
      <c r="C26" s="35" t="s">
        <v>95</v>
      </c>
      <c r="D26" s="45">
        <f>+D66</f>
        <v>520</v>
      </c>
      <c r="E26" s="59">
        <f t="shared" si="0"/>
        <v>1710</v>
      </c>
    </row>
    <row r="27" spans="1:5" x14ac:dyDescent="0.3">
      <c r="B27" s="2">
        <v>4</v>
      </c>
      <c r="C27" s="35" t="s">
        <v>96</v>
      </c>
      <c r="D27" s="45">
        <f>+D95</f>
        <v>116260</v>
      </c>
      <c r="E27" s="59">
        <f t="shared" si="0"/>
        <v>384330</v>
      </c>
    </row>
    <row r="28" spans="1:5" x14ac:dyDescent="0.3">
      <c r="B28" s="2">
        <v>5</v>
      </c>
      <c r="C28" s="35" t="s">
        <v>97</v>
      </c>
      <c r="D28" s="45">
        <f>+D119</f>
        <v>170700</v>
      </c>
      <c r="E28" s="59">
        <f t="shared" si="0"/>
        <v>564300</v>
      </c>
    </row>
    <row r="29" spans="1:5" x14ac:dyDescent="0.3">
      <c r="B29" s="2">
        <v>6</v>
      </c>
      <c r="C29" s="35" t="s">
        <v>98</v>
      </c>
      <c r="D29" s="45">
        <f>+D133</f>
        <v>81310</v>
      </c>
      <c r="E29" s="59">
        <f t="shared" si="0"/>
        <v>268790</v>
      </c>
    </row>
    <row r="30" spans="1:5" x14ac:dyDescent="0.3">
      <c r="B30" s="2">
        <v>7</v>
      </c>
      <c r="C30" s="35" t="s">
        <v>99</v>
      </c>
      <c r="D30" s="45">
        <f>+D146</f>
        <v>35960</v>
      </c>
      <c r="E30" s="59">
        <f t="shared" si="0"/>
        <v>118870</v>
      </c>
    </row>
    <row r="31" spans="1:5" x14ac:dyDescent="0.3">
      <c r="B31" s="2">
        <v>8</v>
      </c>
      <c r="C31" s="35" t="s">
        <v>100</v>
      </c>
      <c r="D31" s="45">
        <f>+D154</f>
        <v>22550</v>
      </c>
      <c r="E31" s="59">
        <f t="shared" si="0"/>
        <v>74540</v>
      </c>
    </row>
    <row r="32" spans="1:5" x14ac:dyDescent="0.3">
      <c r="B32" s="2">
        <v>9</v>
      </c>
      <c r="C32" s="35" t="s">
        <v>101</v>
      </c>
      <c r="D32" s="45">
        <f>+D161</f>
        <v>34190</v>
      </c>
      <c r="E32" s="59">
        <f t="shared" si="0"/>
        <v>113020</v>
      </c>
    </row>
    <row r="33" spans="1:7" x14ac:dyDescent="0.3">
      <c r="B33" s="2">
        <v>10</v>
      </c>
      <c r="C33" s="35" t="s">
        <v>154</v>
      </c>
      <c r="D33" s="53">
        <f>TRUNC(SUM(D24:D32)*0.275,-1)</f>
        <v>390790</v>
      </c>
      <c r="E33" s="60">
        <f t="shared" si="0"/>
        <v>1291870</v>
      </c>
    </row>
    <row r="34" spans="1:7" x14ac:dyDescent="0.3">
      <c r="C34" s="35" t="s">
        <v>112</v>
      </c>
      <c r="D34" s="44">
        <f>SUM(D24:D33)</f>
        <v>1811870</v>
      </c>
      <c r="E34" s="44">
        <f>SUM(E24:E33)</f>
        <v>5989640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261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TRUNC(49459,-1)</f>
        <v>49450</v>
      </c>
      <c r="E40" s="62">
        <f t="shared" ref="E40:E59" si="1">TRUNC(+D40*3.3058,-1)</f>
        <v>163470</v>
      </c>
    </row>
    <row r="41" spans="1:7" x14ac:dyDescent="0.3">
      <c r="A41" s="2">
        <v>2</v>
      </c>
      <c r="C41" s="38" t="s">
        <v>13</v>
      </c>
      <c r="D41" s="42">
        <f>TRUNC(137023,-1)</f>
        <v>137020</v>
      </c>
      <c r="E41" s="63">
        <f t="shared" si="1"/>
        <v>452960</v>
      </c>
    </row>
    <row r="42" spans="1:7" x14ac:dyDescent="0.3">
      <c r="A42" s="2">
        <v>3</v>
      </c>
      <c r="C42" s="38" t="s">
        <v>14</v>
      </c>
      <c r="D42" s="42">
        <f>TRUNC(7409,-1)</f>
        <v>7400</v>
      </c>
      <c r="E42" s="63">
        <f t="shared" si="1"/>
        <v>24460</v>
      </c>
    </row>
    <row r="43" spans="1:7" x14ac:dyDescent="0.3">
      <c r="A43" s="2">
        <v>4</v>
      </c>
      <c r="C43" s="38" t="s">
        <v>16</v>
      </c>
      <c r="D43" s="42">
        <f>TRUNC(32689,-1)</f>
        <v>32680</v>
      </c>
      <c r="E43" s="63">
        <f t="shared" si="1"/>
        <v>108030</v>
      </c>
    </row>
    <row r="44" spans="1:7" x14ac:dyDescent="0.3">
      <c r="A44" s="2">
        <v>5</v>
      </c>
      <c r="C44" s="38" t="s">
        <v>17</v>
      </c>
      <c r="D44" s="42">
        <v>20110</v>
      </c>
      <c r="E44" s="63">
        <f t="shared" si="1"/>
        <v>66470</v>
      </c>
    </row>
    <row r="45" spans="1:7" x14ac:dyDescent="0.3">
      <c r="A45" s="2">
        <v>6</v>
      </c>
      <c r="C45" s="38" t="s">
        <v>18</v>
      </c>
      <c r="D45" s="42">
        <f>TRUNC(8322,-1)</f>
        <v>8320</v>
      </c>
      <c r="E45" s="63">
        <f t="shared" si="1"/>
        <v>27500</v>
      </c>
    </row>
    <row r="46" spans="1:7" x14ac:dyDescent="0.3">
      <c r="A46" s="2">
        <v>7</v>
      </c>
      <c r="C46" s="38" t="s">
        <v>19</v>
      </c>
      <c r="D46" s="42">
        <f>TRUNC(11424,-1)</f>
        <v>11420</v>
      </c>
      <c r="E46" s="63">
        <f t="shared" si="1"/>
        <v>37750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TRUNC(39901,-1)</f>
        <v>39900</v>
      </c>
      <c r="E48" s="63">
        <f t="shared" si="1"/>
        <v>131900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TRUNC(19977,-1)</f>
        <v>19970</v>
      </c>
      <c r="E49" s="63">
        <f t="shared" si="1"/>
        <v>66010</v>
      </c>
    </row>
    <row r="50" spans="1:7" x14ac:dyDescent="0.3">
      <c r="A50" s="2">
        <v>11</v>
      </c>
      <c r="C50" s="38" t="s">
        <v>155</v>
      </c>
      <c r="D50" s="42">
        <f>TRUNC(49527,-1)</f>
        <v>49520</v>
      </c>
      <c r="E50" s="63">
        <f t="shared" si="1"/>
        <v>163700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TRUNC(14327,-1)</f>
        <v>14320</v>
      </c>
      <c r="E52" s="63">
        <f t="shared" si="1"/>
        <v>47330</v>
      </c>
    </row>
    <row r="53" spans="1:7" x14ac:dyDescent="0.3">
      <c r="A53" s="2">
        <v>14</v>
      </c>
      <c r="C53" s="38" t="s">
        <v>25</v>
      </c>
      <c r="D53" s="42">
        <f>TRUNC(139219,-1)</f>
        <v>139210</v>
      </c>
      <c r="E53" s="63">
        <f t="shared" si="1"/>
        <v>460200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25926+9233-636+305+25152</f>
        <v>59980</v>
      </c>
      <c r="E58" s="63">
        <f t="shared" si="1"/>
        <v>198280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v>370290</v>
      </c>
      <c r="E59" s="64">
        <f t="shared" si="1"/>
        <v>1224100</v>
      </c>
    </row>
    <row r="60" spans="1:7" x14ac:dyDescent="0.3">
      <c r="A60" s="2">
        <v>21</v>
      </c>
      <c r="C60" s="27" t="s">
        <v>112</v>
      </c>
      <c r="D60" s="39">
        <f>SUM(D40:D59)</f>
        <v>959590</v>
      </c>
      <c r="E60" s="39">
        <f>SUM(E40:E59)</f>
        <v>3172160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TRUNC(524,-1)</f>
        <v>520</v>
      </c>
      <c r="E63" s="62">
        <f>TRUNC(+D63*3.3058,-1)</f>
        <v>1710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520</v>
      </c>
      <c r="E66" s="65">
        <f>SUM(E63:E65)</f>
        <v>1710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TRUNC(6256,-1)</f>
        <v>6250</v>
      </c>
      <c r="E69" s="62">
        <f t="shared" ref="E69:E94" si="2">TRUNC(+D69*3.3058,-1)</f>
        <v>20660</v>
      </c>
    </row>
    <row r="70" spans="1:7" ht="16.5" customHeight="1" x14ac:dyDescent="0.3">
      <c r="A70" s="2">
        <v>2</v>
      </c>
      <c r="C70" s="38" t="s">
        <v>31</v>
      </c>
      <c r="D70" s="42">
        <f>TRUNC(2621,-1)</f>
        <v>2620</v>
      </c>
      <c r="E70" s="63">
        <f t="shared" si="2"/>
        <v>8660</v>
      </c>
    </row>
    <row r="71" spans="1:7" x14ac:dyDescent="0.3">
      <c r="A71" s="2">
        <v>3</v>
      </c>
      <c r="C71" s="38" t="s">
        <v>32</v>
      </c>
      <c r="D71" s="42">
        <f>TRUNC(5347,-1)</f>
        <v>5340</v>
      </c>
      <c r="E71" s="63">
        <f t="shared" si="2"/>
        <v>17650</v>
      </c>
    </row>
    <row r="72" spans="1:7" x14ac:dyDescent="0.3">
      <c r="A72" s="2">
        <v>4</v>
      </c>
      <c r="C72" s="38" t="s">
        <v>33</v>
      </c>
      <c r="D72" s="42">
        <f>TRUNC(4558,-1)</f>
        <v>4550</v>
      </c>
      <c r="E72" s="63">
        <f t="shared" si="2"/>
        <v>15040</v>
      </c>
    </row>
    <row r="73" spans="1:7" x14ac:dyDescent="0.3">
      <c r="A73" s="2">
        <v>5</v>
      </c>
      <c r="C73" s="38" t="s">
        <v>34</v>
      </c>
      <c r="D73" s="42">
        <f>TRUNC(18655,-1)</f>
        <v>18650</v>
      </c>
      <c r="E73" s="63">
        <f t="shared" si="2"/>
        <v>61650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TRUNC(209,-1)</f>
        <v>200</v>
      </c>
      <c r="E75" s="63">
        <f t="shared" si="2"/>
        <v>660</v>
      </c>
    </row>
    <row r="76" spans="1:7" x14ac:dyDescent="0.3">
      <c r="A76" s="2">
        <v>8</v>
      </c>
      <c r="C76" s="38" t="s">
        <v>119</v>
      </c>
      <c r="D76" s="42">
        <v>48290</v>
      </c>
      <c r="E76" s="63">
        <f t="shared" si="2"/>
        <v>159630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TRUNC(4338,-1)</f>
        <v>4330</v>
      </c>
      <c r="E89" s="63">
        <f t="shared" si="2"/>
        <v>14310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TRUNC(823,-1)</f>
        <v>820</v>
      </c>
      <c r="E91" s="63">
        <f t="shared" si="2"/>
        <v>2710</v>
      </c>
    </row>
    <row r="92" spans="1:7" x14ac:dyDescent="0.3">
      <c r="A92" s="2">
        <v>24</v>
      </c>
      <c r="C92" s="38" t="s">
        <v>38</v>
      </c>
      <c r="D92" s="42">
        <f>TRUNC(12082,-1)</f>
        <v>12080</v>
      </c>
      <c r="E92" s="63">
        <f t="shared" si="2"/>
        <v>39930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TRUNC(1317+4826+6995,-1)</f>
        <v>13130</v>
      </c>
      <c r="E94" s="64">
        <f t="shared" si="2"/>
        <v>43400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116260</v>
      </c>
      <c r="E95" s="39">
        <f>SUM(E69:E94)</f>
        <v>384300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TRUNC(12959,-1)</f>
        <v>12950</v>
      </c>
      <c r="E98" s="62">
        <f t="shared" ref="E98:E118" si="3">TRUNC(+D98*3.3058,-1)</f>
        <v>42810</v>
      </c>
    </row>
    <row r="99" spans="1:7" x14ac:dyDescent="0.3">
      <c r="A99" s="2">
        <v>2</v>
      </c>
      <c r="C99" s="38" t="s">
        <v>40</v>
      </c>
      <c r="D99" s="42">
        <f>TRUNC(3898,-1)</f>
        <v>3890</v>
      </c>
      <c r="E99" s="63">
        <f t="shared" si="3"/>
        <v>12850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f>TRUNC(7215,-1)</f>
        <v>7210</v>
      </c>
      <c r="E101" s="63">
        <f t="shared" si="3"/>
        <v>23830</v>
      </c>
    </row>
    <row r="102" spans="1:7" x14ac:dyDescent="0.3">
      <c r="A102" s="2">
        <v>5</v>
      </c>
      <c r="C102" s="38" t="s">
        <v>43</v>
      </c>
      <c r="D102" s="42">
        <v>16210</v>
      </c>
      <c r="E102" s="63">
        <f t="shared" si="3"/>
        <v>53580</v>
      </c>
    </row>
    <row r="103" spans="1:7" x14ac:dyDescent="0.3">
      <c r="A103" s="2">
        <v>6</v>
      </c>
      <c r="C103" s="38" t="s">
        <v>44</v>
      </c>
      <c r="D103" s="42">
        <v>8420</v>
      </c>
      <c r="E103" s="63">
        <f t="shared" si="3"/>
        <v>27830</v>
      </c>
    </row>
    <row r="104" spans="1:7" x14ac:dyDescent="0.3">
      <c r="A104" s="2">
        <v>7</v>
      </c>
      <c r="C104" s="38" t="s">
        <v>45</v>
      </c>
      <c r="D104" s="42">
        <f>TRUNC(4863,-1)</f>
        <v>4860</v>
      </c>
      <c r="E104" s="63">
        <f t="shared" si="3"/>
        <v>16060</v>
      </c>
    </row>
    <row r="105" spans="1:7" x14ac:dyDescent="0.3">
      <c r="A105" s="2">
        <v>8</v>
      </c>
      <c r="C105" s="38" t="s">
        <v>46</v>
      </c>
      <c r="D105" s="42">
        <f>TRUNC(4844,-1)</f>
        <v>4840</v>
      </c>
      <c r="E105" s="63">
        <f t="shared" si="3"/>
        <v>16000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TRUNC(28454,-1)</f>
        <v>28450</v>
      </c>
      <c r="E114" s="63">
        <f t="shared" si="3"/>
        <v>94050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2080</v>
      </c>
      <c r="E116" s="63">
        <f t="shared" si="3"/>
        <v>6870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TRUNC(79683,-1)</f>
        <v>79680</v>
      </c>
      <c r="E117" s="63">
        <f t="shared" si="3"/>
        <v>263400</v>
      </c>
    </row>
    <row r="118" spans="1:7" ht="17.25" thickBot="1" x14ac:dyDescent="0.35">
      <c r="A118" s="2">
        <v>21</v>
      </c>
      <c r="C118" s="38" t="s">
        <v>47</v>
      </c>
      <c r="D118" s="43">
        <f>TRUNC(2119,-1)</f>
        <v>2110</v>
      </c>
      <c r="E118" s="64">
        <f t="shared" si="3"/>
        <v>6970</v>
      </c>
    </row>
    <row r="119" spans="1:7" x14ac:dyDescent="0.3">
      <c r="A119" s="2">
        <v>22</v>
      </c>
      <c r="C119" s="27" t="s">
        <v>112</v>
      </c>
      <c r="D119" s="39">
        <f>SUM(D98:D118)</f>
        <v>170700</v>
      </c>
      <c r="E119" s="39">
        <f>SUM(E98:E118)</f>
        <v>564250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4750</v>
      </c>
      <c r="E122" s="62">
        <f t="shared" ref="E122:E132" si="4">TRUNC(+D122*3.3058,-1)</f>
        <v>15700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1590</v>
      </c>
      <c r="E124" s="63">
        <f t="shared" si="4"/>
        <v>5250</v>
      </c>
    </row>
    <row r="125" spans="1:7" x14ac:dyDescent="0.3">
      <c r="A125" s="2">
        <v>4</v>
      </c>
      <c r="C125" s="38" t="s">
        <v>138</v>
      </c>
      <c r="D125" s="42">
        <f>TRUNC(7129,-1)</f>
        <v>7120</v>
      </c>
      <c r="E125" s="63">
        <f t="shared" si="4"/>
        <v>23530</v>
      </c>
    </row>
    <row r="126" spans="1:7" x14ac:dyDescent="0.3">
      <c r="A126" s="2">
        <v>5</v>
      </c>
      <c r="C126" s="38" t="s">
        <v>53</v>
      </c>
      <c r="D126" s="42">
        <f>TRUNC(348,-1)</f>
        <v>340</v>
      </c>
      <c r="E126" s="63">
        <f t="shared" si="4"/>
        <v>1120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TRUNC(6508,-1)</f>
        <v>6500</v>
      </c>
      <c r="E128" s="63">
        <f t="shared" si="4"/>
        <v>21480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TRUNC(16614,-1)</f>
        <v>16610</v>
      </c>
      <c r="E130" s="63">
        <f t="shared" si="4"/>
        <v>54900</v>
      </c>
    </row>
    <row r="131" spans="1:7" x14ac:dyDescent="0.3">
      <c r="A131" s="2">
        <v>10</v>
      </c>
      <c r="C131" s="38" t="s">
        <v>148</v>
      </c>
      <c r="D131" s="42">
        <f>TRUNC(42371,-1)</f>
        <v>42370</v>
      </c>
      <c r="E131" s="63">
        <f t="shared" si="4"/>
        <v>140060</v>
      </c>
    </row>
    <row r="132" spans="1:7" ht="18" thickBot="1" x14ac:dyDescent="0.35">
      <c r="A132" s="2">
        <v>11</v>
      </c>
      <c r="C132" s="38" t="s">
        <v>47</v>
      </c>
      <c r="D132" s="43">
        <f>TRUNC(464+1567,-1)</f>
        <v>2030</v>
      </c>
      <c r="E132" s="64">
        <f t="shared" si="4"/>
        <v>6710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81310</v>
      </c>
      <c r="E133" s="39">
        <f>SUM(E122:E132)</f>
        <v>268750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TRUNC(17668,-1)</f>
        <v>17660</v>
      </c>
      <c r="E140" s="63">
        <f t="shared" si="5"/>
        <v>58380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TRUNC(3939,-1)</f>
        <v>3930</v>
      </c>
      <c r="E143" s="63">
        <f t="shared" si="5"/>
        <v>12990</v>
      </c>
    </row>
    <row r="144" spans="1:7" x14ac:dyDescent="0.3">
      <c r="A144" s="2">
        <v>9</v>
      </c>
      <c r="C144" s="38" t="s">
        <v>63</v>
      </c>
      <c r="D144" s="42">
        <v>14370</v>
      </c>
      <c r="E144" s="63">
        <f t="shared" si="5"/>
        <v>47500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35960</v>
      </c>
      <c r="E146" s="39">
        <f>SUM(E136:E145)</f>
        <v>118870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TRUNC(7484+757,-1)</f>
        <v>8240</v>
      </c>
      <c r="E149" s="62">
        <f>TRUNC(+D149*3.3058,-1)</f>
        <v>27230</v>
      </c>
    </row>
    <row r="150" spans="1:7" x14ac:dyDescent="0.3">
      <c r="A150" s="2">
        <v>2</v>
      </c>
      <c r="C150" s="38" t="s">
        <v>49</v>
      </c>
      <c r="D150" s="42">
        <f>TRUNC(10966,-1)</f>
        <v>10960</v>
      </c>
      <c r="E150" s="63">
        <f>TRUNC(+D150*3.3058,-1)</f>
        <v>36230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TRUNC(28+3325,-1)</f>
        <v>3350</v>
      </c>
      <c r="E152" s="63">
        <f>TRUNC(+D152*3.3058,-1)</f>
        <v>11070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22550</v>
      </c>
      <c r="E154" s="39">
        <f>SUM(E149:E153)</f>
        <v>74530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TRUNC(19546,-1)</f>
        <v>19540</v>
      </c>
      <c r="E157" s="62">
        <f>TRUNC(+D157*3.3058,-1)</f>
        <v>64590</v>
      </c>
    </row>
    <row r="158" spans="1:7" x14ac:dyDescent="0.3">
      <c r="A158" s="2">
        <v>2</v>
      </c>
      <c r="C158" s="38" t="s">
        <v>52</v>
      </c>
      <c r="D158" s="42">
        <f>TRUNC(14596,-1)</f>
        <v>14590</v>
      </c>
      <c r="E158" s="63">
        <f>TRUNC(+D158*3.3058,-1)</f>
        <v>48230</v>
      </c>
    </row>
    <row r="159" spans="1:7" x14ac:dyDescent="0.3">
      <c r="A159" s="2">
        <v>3</v>
      </c>
      <c r="C159" s="38" t="s">
        <v>47</v>
      </c>
      <c r="D159" s="42">
        <f>TRUNC(64,-1)</f>
        <v>60</v>
      </c>
      <c r="E159" s="63">
        <f>TRUNC(+D159*3.3058,-1)</f>
        <v>190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34190</v>
      </c>
      <c r="E161" s="39">
        <f>SUM(E157:E160)</f>
        <v>113010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2020-12-08T01:56:49Z</dcterms:modified>
</cp:coreProperties>
</file>