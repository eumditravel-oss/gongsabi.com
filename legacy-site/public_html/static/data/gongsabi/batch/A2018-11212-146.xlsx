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37" i="4"/>
  <c r="D144" i="4"/>
  <c r="D143" i="4"/>
  <c r="D132" i="4"/>
  <c r="D128" i="4"/>
  <c r="D125" i="4"/>
  <c r="D124" i="4"/>
  <c r="D122" i="4"/>
  <c r="D130" i="4"/>
  <c r="D118" i="4"/>
  <c r="D105" i="4"/>
  <c r="D103" i="4"/>
  <c r="D102" i="4"/>
  <c r="D100" i="4"/>
  <c r="D99" i="4"/>
  <c r="D98" i="4"/>
  <c r="D92" i="4"/>
  <c r="D91" i="4"/>
  <c r="D89" i="4"/>
  <c r="D73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D117" i="4"/>
  <c r="D93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54" i="4"/>
  <c r="E146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4" i="4"/>
  <c r="E24" i="4" s="1"/>
  <c r="D25" i="4"/>
  <c r="E25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<sst xmlns="http://schemas.openxmlformats.org/spreadsheetml/2006/main" count="393" uniqueCount="268">
  <si>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</si>
  <si>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</si>
  <si>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</si>
  <si>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</si>
  <si>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</si>
  <si>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</si>
  <si>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</si>
  <si>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</si>
  <si>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</si>
  <si>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</si>
  <si>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</si>
  <si>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</si>
  <si>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</si>
  <si>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</si>
  <si>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</si>
  <si>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</si>
  <si>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</si>
  <si>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</si>
  <si>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</si>
  <si>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</si>
  <si>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</si>
  <si>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</si>
  <si>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</si>
  <si>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</si>
  <si>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</si>
  <si>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</si>
  <si>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</si>
  <si>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</si>
  <si>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</si>
  <si>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</si>
  <si>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</si>
  <si>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</si>
  <si>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</si>
  <si>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</si>
  <si>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</si>
  <si>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</si>
  <si>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</si>
  <si>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</si>
  <si>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</si>
  <si>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</si>
  <si>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</si>
  <si>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</si>
  <si>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</si>
  <si>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</si>
  <si>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</si>
  <si>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</si>
  <si>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</si>
  <si>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</si>
  <si>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</si>
  <si>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</si>
  <si>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</si>
  <si>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</si>
  <si>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</si>
  <si>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</si>
  <si>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</si>
  <si>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</si>
  <si>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</si>
  <si>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</si>
  <si>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</si>
  <si>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</si>
  <si>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</si>
  <si>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</si>
  <si>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</si>
  <si>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</si>
  <si>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</si>
  <si>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</si>
  <si>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</si>
  <si>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</si>
  <si>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</si>
  <si>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</si>
  <si>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</si>
  <si>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</si>
  <si>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</si>
  <si>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</si>
  <si>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</si>
  <si>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</si>
  <si>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</si>
  <si>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</si>
  <si>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</si>
  <si>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</si>
  <si>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</si>
  <si>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</si>
  <si>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</si>
  <si>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</si>
  <si>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</si>
  <si>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</si>
  <si>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</si>
  <si>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</si>
  <si>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</si>
  <si>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</si>
  <si>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</si>
  <si>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</si>
  <si>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</si>
  <si>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</si>
  <si>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</si>
  <si>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</si>
  <si>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</si>
  <si>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</si>
  <si>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</si>
  <si>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</si>
  <si>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</si>
  <si>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</si>
  <si>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</si>
  <si>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</si>
  <si>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</si>
  <si>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</si>
  <si>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</si>
  <si>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</si>
  <si>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</si>
  <si>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</si>
  <si>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</si>
  <si>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</si>
  <si>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</si>
  <si>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</si>
  <si>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</si>
  <si>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</si>
  <si>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</si>
  <si>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</si>
  <si>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</si>
  <si>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</si>
  <si>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</si>
  <si>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</si>
  <si>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</si>
  <si>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</si>
  <si>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</si>
  <si>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</si>
  <si>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</si>
  <si>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</si>
  <si>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</si>
  <si>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</si>
  <si>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</si>
  <si>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</si>
  <si>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</si>
  <si>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</si>
  <si>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</si>
  <si>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</si>
  <si>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</si>
  <si>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</si>
  <si>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</si>
  <si>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</si>
  <si>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</si>
  <si>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</si>
  <si>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</si>
  <si>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</si>
  <si>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</si>
  <si>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</si>
  <si>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</si>
  <si>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</si>
  <si>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</si>
  <si>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</si>
  <si>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</si>
  <si>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</si>
  <si>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</si>
  <si>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</si>
  <si>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</si>
  <si>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</si>
  <si>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</si>
  <si>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</si>
  <si>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</si>
  <si>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</si>
  <si>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</si>
  <si>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</si>
  <si>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</si>
  <si>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</si>
  <si>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</si>
  <si>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</si>
  <si>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</si>
  <si>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</si>
  <si>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</si>
  <si>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</si>
  <si>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</si>
  <si>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</si>
  <si>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</si>
  <si>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</si>
  <si>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</si>
  <si>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</si>
  <si>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</si>
  <si>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</si>
  <si>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</si>
  <si>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</si>
  <si>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</si>
  <si>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</si>
  <si>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</si>
  <si>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</si>
  <si>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</si>
  <si>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</si>
  <si>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</si>
  <si>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</si>
  <si>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</si>
  <si>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</si>
  <si>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</si>
  <si>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</si>
  <si>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</si>
  <si>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</si>
  <si>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</si>
  <si>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</si>
  <si>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</si>
  <si>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</si>
  <si>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</si>
  <si>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</si>
  <si>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</si>
  <si>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</si>
  <si>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</si>
  <si>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</si>
  <si>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</si>
  <si>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</si>
  <si>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</si>
  <si>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</si>
  <si>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</si>
  <si>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</si>
  <si>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</si>
  <si>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</si>
  <si>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</si>
  <si>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</si>
  <si>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</si>
  <si>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</si>
  <si>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</si>
  <si>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</si>
  <si>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</si>
  <si>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</si>
  <si>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</si>
  <si>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</si>
  <si>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</si>
  <si>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</si>
  <si>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</si>
  <si>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</si>
  <si>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</si>
  <si>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</si>
  <si>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</si>
  <si>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</si>
  <si>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</si>
  <si>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</si>
  <si>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</si>
  <si>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</si>
  <si>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</si>
  <si>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</si>
  <si>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</si>
  <si>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</si>
  <si>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</si>
  <si>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</si>
  <si>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</si>
  <si>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</si>
  <si>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</si>
  <si>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</si>
  <si>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</si>
  <si>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</si>
  <si>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</si>
  <si>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</si>
  <si>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포항제철초등학교 창의융합센터 증축 공사</t>
    <phoneticPr fontId="2" type="noConversion"/>
  </si>
  <si>
    <t>교육연구</t>
  </si>
  <si>
    <t>경상도</t>
  </si>
  <si>
    <t>조경시설물</t>
    <phoneticPr fontId="2" type="noConversion"/>
  </si>
  <si>
    <t>포장공사,기타공사</t>
    <phoneticPr fontId="2" type="noConversion"/>
  </si>
  <si>
    <t>우수공사</t>
    <phoneticPr fontId="2" type="noConversion"/>
  </si>
  <si>
    <t>상수도공사,사급자재비,운반비,기타공사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</si>
  <si>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</si>
  <si>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</si>
  <si>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</t>
    <phoneticPr fontId="2" type="noConversion"/>
  </si>
  <si>
    <t xml:space="preserve">기타공사 </t>
    <phoneticPr fontId="2" type="noConversion"/>
  </si>
  <si>
    <t>기초공사,골재비및운반비,작업부산물,기타공사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</si>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</sst>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2654.26</v>
      </c>
      <c r="D7" s="36">
        <f>+C7/3.3058</f>
        <v>802.91003690483399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1200570</v>
      </c>
      <c r="E25" s="59">
        <f t="shared" si="0"/>
        <v>3968840</v>
      </c>
    </row>
    <row r="26" spans="1:5" x14ac:dyDescent="0.3">
      <c r="B26" s="2">
        <v>3</v>
      </c>
      <c r="C26" s="35" t="s">
        <v>95</v>
      </c>
      <c r="D26" s="45">
        <f>+D66</f>
        <v>12000</v>
      </c>
      <c r="E26" s="59">
        <f t="shared" si="0"/>
        <v>39660</v>
      </c>
    </row>
    <row r="27" spans="1:5" x14ac:dyDescent="0.3">
      <c r="B27" s="2">
        <v>4</v>
      </c>
      <c r="C27" s="35" t="s">
        <v>96</v>
      </c>
      <c r="D27" s="45">
        <f>+D95</f>
        <v>97950</v>
      </c>
      <c r="E27" s="59">
        <f t="shared" si="0"/>
        <v>323800</v>
      </c>
    </row>
    <row r="28" spans="1:5" x14ac:dyDescent="0.3">
      <c r="B28" s="2">
        <v>5</v>
      </c>
      <c r="C28" s="35" t="s">
        <v>97</v>
      </c>
      <c r="D28" s="45">
        <f>+D119</f>
        <v>140030</v>
      </c>
      <c r="E28" s="59">
        <f t="shared" si="0"/>
        <v>462910</v>
      </c>
    </row>
    <row r="29" spans="1:5" x14ac:dyDescent="0.3">
      <c r="B29" s="2">
        <v>6</v>
      </c>
      <c r="C29" s="35" t="s">
        <v>98</v>
      </c>
      <c r="D29" s="45">
        <f>+D133</f>
        <v>42280</v>
      </c>
      <c r="E29" s="59">
        <f t="shared" si="0"/>
        <v>139760</v>
      </c>
    </row>
    <row r="30" spans="1:5" x14ac:dyDescent="0.3">
      <c r="B30" s="2">
        <v>7</v>
      </c>
      <c r="C30" s="35" t="s">
        <v>99</v>
      </c>
      <c r="D30" s="45">
        <f>+D146</f>
        <v>20870</v>
      </c>
      <c r="E30" s="59">
        <f t="shared" si="0"/>
        <v>68990</v>
      </c>
    </row>
    <row r="31" spans="1:5" x14ac:dyDescent="0.3">
      <c r="B31" s="2">
        <v>8</v>
      </c>
      <c r="C31" s="35" t="s">
        <v>100</v>
      </c>
      <c r="D31" s="45">
        <f>+D154</f>
        <v>22130</v>
      </c>
      <c r="E31" s="59">
        <f t="shared" si="0"/>
        <v>73150</v>
      </c>
    </row>
    <row r="32" spans="1:5" x14ac:dyDescent="0.3">
      <c r="B32" s="2">
        <v>9</v>
      </c>
      <c r="C32" s="35" t="s">
        <v>101</v>
      </c>
      <c r="D32" s="45">
        <f>+D161</f>
        <v>57800</v>
      </c>
      <c r="E32" s="59">
        <f t="shared" si="0"/>
        <v>191070</v>
      </c>
    </row>
    <row r="33" spans="1:7" x14ac:dyDescent="0.3">
      <c r="B33" s="2">
        <v>10</v>
      </c>
      <c r="C33" s="35" t="s">
        <v>154</v>
      </c>
      <c r="D33" s="53">
        <f>TRUNC(SUM(D24:D32)*0.275,-1)</f>
        <v>438240</v>
      </c>
      <c r="E33" s="60">
        <f t="shared" si="0"/>
        <v>1448730</v>
      </c>
    </row>
    <row r="34" spans="1:7" x14ac:dyDescent="0.3">
      <c r="C34" s="35" t="s">
        <v>112</v>
      </c>
      <c r="D34" s="44">
        <f>SUM(D24:D33)</f>
        <v>2031870</v>
      </c>
      <c r="E34" s="44">
        <f>SUM(E24:E33)</f>
        <v>6716910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TRUNC(64296,-1)</f>
        <v>64290</v>
      </c>
      <c r="E40" s="62">
        <f t="shared" ref="E40:E59" si="1">TRUNC(+D40*3.3058,-1)</f>
        <v>212520</v>
      </c>
    </row>
    <row r="41" spans="1:7" x14ac:dyDescent="0.3">
      <c r="A41" s="2">
        <v>2</v>
      </c>
      <c r="C41" s="38" t="s">
        <v>13</v>
      </c>
      <c r="D41" s="42">
        <f>TRUNC(240603,-1)</f>
        <v>240600</v>
      </c>
      <c r="E41" s="63">
        <f t="shared" si="1"/>
        <v>795370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TRUNC(76892,-1)</f>
        <v>76890</v>
      </c>
      <c r="E43" s="63">
        <f t="shared" si="1"/>
        <v>254180</v>
      </c>
    </row>
    <row r="44" spans="1:7" x14ac:dyDescent="0.3">
      <c r="A44" s="2">
        <v>5</v>
      </c>
      <c r="C44" s="38" t="s">
        <v>17</v>
      </c>
      <c r="D44" s="42">
        <f>TRUNC(43200,-1)</f>
        <v>43200</v>
      </c>
      <c r="E44" s="63">
        <f t="shared" si="1"/>
        <v>142810</v>
      </c>
    </row>
    <row r="45" spans="1:7" x14ac:dyDescent="0.3">
      <c r="A45" s="2">
        <v>6</v>
      </c>
      <c r="C45" s="38" t="s">
        <v>18</v>
      </c>
      <c r="D45" s="42">
        <f>TRUNC(6826,-1)</f>
        <v>6820</v>
      </c>
      <c r="E45" s="63">
        <f t="shared" si="1"/>
        <v>22540</v>
      </c>
    </row>
    <row r="46" spans="1:7" x14ac:dyDescent="0.3">
      <c r="A46" s="2">
        <v>7</v>
      </c>
      <c r="C46" s="38" t="s">
        <v>19</v>
      </c>
      <c r="D46" s="42">
        <f>TRUNC(19959,-1)</f>
        <v>19950</v>
      </c>
      <c r="E46" s="63">
        <f t="shared" si="1"/>
        <v>65950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TRUNC(40154,-1)</f>
        <v>40150</v>
      </c>
      <c r="E48" s="63">
        <f t="shared" si="1"/>
        <v>132720</v>
      </c>
      <c r="F48" s="2" t="s">
        <v>260</v>
      </c>
    </row>
    <row r="49" spans="1:7" x14ac:dyDescent="0.3">
      <c r="A49" s="2">
        <v>10</v>
      </c>
      <c r="C49" s="38" t="s">
        <v>22</v>
      </c>
      <c r="D49" s="42">
        <f>TRUNC(20207,-1)</f>
        <v>20200</v>
      </c>
      <c r="E49" s="63">
        <f t="shared" si="1"/>
        <v>66770</v>
      </c>
    </row>
    <row r="50" spans="1:7" x14ac:dyDescent="0.3">
      <c r="A50" s="2">
        <v>11</v>
      </c>
      <c r="C50" s="38" t="s">
        <v>155</v>
      </c>
      <c r="D50" s="42">
        <f>TRUNC(57749,-1)</f>
        <v>57740</v>
      </c>
      <c r="E50" s="63">
        <f t="shared" si="1"/>
        <v>190870</v>
      </c>
      <c r="F50" s="2" t="s">
        <v>261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TRUNC(10128,-1)</f>
        <v>10120</v>
      </c>
      <c r="E52" s="63">
        <f t="shared" si="1"/>
        <v>33450</v>
      </c>
    </row>
    <row r="53" spans="1:7" x14ac:dyDescent="0.3">
      <c r="A53" s="2">
        <v>14</v>
      </c>
      <c r="C53" s="38" t="s">
        <v>25</v>
      </c>
      <c r="D53" s="42">
        <f>TRUNC(199173,-1)</f>
        <v>199170</v>
      </c>
      <c r="E53" s="63">
        <f t="shared" si="1"/>
        <v>658410</v>
      </c>
      <c r="F53" s="2" t="s">
        <v>262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TRUNC(30031+6163-958+1659,-1)</f>
        <v>36890</v>
      </c>
      <c r="E58" s="63">
        <f t="shared" si="1"/>
        <v>121950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f>TRUNC(384553,-1)</f>
        <v>384550</v>
      </c>
      <c r="E59" s="64">
        <f t="shared" si="1"/>
        <v>1271240</v>
      </c>
    </row>
    <row r="60" spans="1:7" x14ac:dyDescent="0.3">
      <c r="A60" s="2">
        <v>21</v>
      </c>
      <c r="C60" s="27" t="s">
        <v>112</v>
      </c>
      <c r="D60" s="39">
        <f>SUM(D40:D59)</f>
        <v>1200570</v>
      </c>
      <c r="E60" s="39">
        <f>SUM(E40:E59)</f>
        <v>3968780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TRUNC(12003,-1)</f>
        <v>12000</v>
      </c>
      <c r="E63" s="62">
        <f>TRUNC(+D63*3.3058,-1)</f>
        <v>39660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12000</v>
      </c>
      <c r="E66" s="65">
        <f>SUM(E63:E65)</f>
        <v>39660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TRUNC(6010,-1)</f>
        <v>6010</v>
      </c>
      <c r="E69" s="62">
        <f t="shared" ref="E69:E94" si="2">TRUNC(+D69*3.3058,-1)</f>
        <v>19860</v>
      </c>
    </row>
    <row r="70" spans="1:7" ht="16.5" customHeight="1" x14ac:dyDescent="0.3">
      <c r="A70" s="2">
        <v>2</v>
      </c>
      <c r="C70" s="38" t="s">
        <v>31</v>
      </c>
      <c r="D70" s="42">
        <f>TRUNC(1646,-1)</f>
        <v>1640</v>
      </c>
      <c r="E70" s="63">
        <f t="shared" si="2"/>
        <v>5420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TRUNC(11095,-1)</f>
        <v>11090</v>
      </c>
      <c r="E73" s="63">
        <f t="shared" si="2"/>
        <v>36660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TRUNC(3503,-1)</f>
        <v>3500</v>
      </c>
      <c r="E89" s="63">
        <f t="shared" si="2"/>
        <v>11570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TRUNC(5906,-1)</f>
        <v>5900</v>
      </c>
      <c r="E91" s="63">
        <f t="shared" si="2"/>
        <v>19500</v>
      </c>
    </row>
    <row r="92" spans="1:7" x14ac:dyDescent="0.3">
      <c r="A92" s="2">
        <v>24</v>
      </c>
      <c r="C92" s="38" t="s">
        <v>38</v>
      </c>
      <c r="D92" s="42">
        <f>TRUNC(3335,-1)</f>
        <v>3330</v>
      </c>
      <c r="E92" s="63">
        <f t="shared" si="2"/>
        <v>11000</v>
      </c>
    </row>
    <row r="93" spans="1:7" x14ac:dyDescent="0.3">
      <c r="A93" s="2">
        <v>25</v>
      </c>
      <c r="C93" s="38" t="s">
        <v>148</v>
      </c>
      <c r="D93" s="42">
        <f>TRUNC(66488,-1)</f>
        <v>66480</v>
      </c>
      <c r="E93" s="63">
        <f t="shared" si="2"/>
        <v>219760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97950</v>
      </c>
      <c r="E95" s="39">
        <f>SUM(E69:E94)</f>
        <v>323770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TRUNC(43118,-1)</f>
        <v>43110</v>
      </c>
      <c r="E98" s="62">
        <f t="shared" ref="E98:E118" si="3">TRUNC(+D98*3.3058,-1)</f>
        <v>142510</v>
      </c>
    </row>
    <row r="99" spans="1:7" x14ac:dyDescent="0.3">
      <c r="A99" s="2">
        <v>2</v>
      </c>
      <c r="C99" s="38" t="s">
        <v>40</v>
      </c>
      <c r="D99" s="42">
        <f>TRUNC(545,-1)</f>
        <v>540</v>
      </c>
      <c r="E99" s="63">
        <f t="shared" si="3"/>
        <v>1780</v>
      </c>
    </row>
    <row r="100" spans="1:7" x14ac:dyDescent="0.3">
      <c r="A100" s="2">
        <v>3</v>
      </c>
      <c r="C100" s="38" t="s">
        <v>41</v>
      </c>
      <c r="D100" s="42">
        <f>TRUNC(30112,-1)</f>
        <v>30110</v>
      </c>
      <c r="E100" s="63">
        <f t="shared" si="3"/>
        <v>99530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TRUNC(14637,-1)</f>
        <v>14630</v>
      </c>
      <c r="E102" s="63">
        <f t="shared" si="3"/>
        <v>48360</v>
      </c>
    </row>
    <row r="103" spans="1:7" x14ac:dyDescent="0.3">
      <c r="A103" s="2">
        <v>6</v>
      </c>
      <c r="C103" s="38" t="s">
        <v>44</v>
      </c>
      <c r="D103" s="42">
        <f>TRUNC(6128,-1)</f>
        <v>6120</v>
      </c>
      <c r="E103" s="63">
        <f t="shared" si="3"/>
        <v>20230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TRUNC(8874,-1)</f>
        <v>8870</v>
      </c>
      <c r="E105" s="63">
        <f t="shared" si="3"/>
        <v>29320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TRUNC(35214,-1)</f>
        <v>35210</v>
      </c>
      <c r="E117" s="63">
        <f t="shared" si="3"/>
        <v>116390</v>
      </c>
    </row>
    <row r="118" spans="1:7" ht="17.25" thickBot="1" x14ac:dyDescent="0.35">
      <c r="A118" s="2">
        <v>21</v>
      </c>
      <c r="C118" s="38" t="s">
        <v>47</v>
      </c>
      <c r="D118" s="43">
        <f>TRUNC(1449,-1)</f>
        <v>1440</v>
      </c>
      <c r="E118" s="64">
        <f t="shared" si="3"/>
        <v>4760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140030</v>
      </c>
      <c r="E119" s="39">
        <f>SUM(E98:E118)</f>
        <v>462880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TRUNC(6003,-1)</f>
        <v>6000</v>
      </c>
      <c r="E122" s="62">
        <f t="shared" ref="E122:E132" si="4">TRUNC(+D122*3.3058,-1)</f>
        <v>19830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TRUNC(922,-1)</f>
        <v>920</v>
      </c>
      <c r="E124" s="63">
        <f t="shared" si="4"/>
        <v>3040</v>
      </c>
    </row>
    <row r="125" spans="1:7" x14ac:dyDescent="0.3">
      <c r="A125" s="2">
        <v>4</v>
      </c>
      <c r="C125" s="38" t="s">
        <v>138</v>
      </c>
      <c r="D125" s="42">
        <f>TRUNC(2208,-1)</f>
        <v>2200</v>
      </c>
      <c r="E125" s="63">
        <f t="shared" si="4"/>
        <v>7270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TRUNC(8345,-1)</f>
        <v>8340</v>
      </c>
      <c r="E128" s="63">
        <f t="shared" si="4"/>
        <v>27570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TRUNC(22624,-1)</f>
        <v>22620</v>
      </c>
      <c r="E130" s="63">
        <f t="shared" si="4"/>
        <v>74770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TRUNC(2208,-1)</f>
        <v>2200</v>
      </c>
      <c r="E132" s="64">
        <f t="shared" si="4"/>
        <v>7270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42280</v>
      </c>
      <c r="E133" s="39">
        <f>SUM(E122:E132)</f>
        <v>139750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TRUNC(1808,-1)</f>
        <v>1800</v>
      </c>
      <c r="E137" s="63">
        <f t="shared" si="5"/>
        <v>5950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TRUNC(6160,-1)</f>
        <v>6160</v>
      </c>
      <c r="E143" s="63">
        <f t="shared" si="5"/>
        <v>20360</v>
      </c>
    </row>
    <row r="144" spans="1:7" x14ac:dyDescent="0.3">
      <c r="A144" s="2">
        <v>9</v>
      </c>
      <c r="C144" s="38" t="s">
        <v>63</v>
      </c>
      <c r="D144" s="42">
        <f>TRUNC(12911,-1)</f>
        <v>12910</v>
      </c>
      <c r="E144" s="63">
        <f t="shared" si="5"/>
        <v>42670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20870</v>
      </c>
      <c r="E146" s="39">
        <f>SUM(E136:E145)</f>
        <v>68980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TRUNC(4578,-1)</f>
        <v>4570</v>
      </c>
      <c r="E149" s="62">
        <f>TRUNC(+D149*3.3058,-1)</f>
        <v>15100</v>
      </c>
      <c r="F149" s="2" t="s">
        <v>253</v>
      </c>
    </row>
    <row r="150" spans="1:7" x14ac:dyDescent="0.3">
      <c r="A150" s="2">
        <v>2</v>
      </c>
      <c r="C150" s="38" t="s">
        <v>49</v>
      </c>
      <c r="D150" s="42">
        <f>TRUNC(2458,-1)</f>
        <v>2450</v>
      </c>
      <c r="E150" s="63">
        <f>TRUNC(+D150*3.3058,-1)</f>
        <v>8090</v>
      </c>
    </row>
    <row r="151" spans="1:7" x14ac:dyDescent="0.3">
      <c r="A151" s="2">
        <v>3</v>
      </c>
      <c r="C151" s="38" t="s">
        <v>50</v>
      </c>
      <c r="D151" s="42">
        <f>TRUNC(3427,-1)</f>
        <v>3420</v>
      </c>
      <c r="E151" s="63">
        <f>TRUNC(+D151*3.3058,-1)</f>
        <v>11300</v>
      </c>
    </row>
    <row r="152" spans="1:7" x14ac:dyDescent="0.3">
      <c r="A152" s="2">
        <v>4</v>
      </c>
      <c r="C152" s="38" t="s">
        <v>47</v>
      </c>
      <c r="D152" s="42">
        <f>TRUNC(195+3286+218+7999,-1)</f>
        <v>11690</v>
      </c>
      <c r="E152" s="63">
        <f>TRUNC(+D152*3.3058,-1)</f>
        <v>38640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22130</v>
      </c>
      <c r="E154" s="39">
        <f>SUM(E149:E153)</f>
        <v>73130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TRUNC(18518,-1)</f>
        <v>18510</v>
      </c>
      <c r="E157" s="62">
        <f>TRUNC(+D157*3.3058,-1)</f>
        <v>61190</v>
      </c>
    </row>
    <row r="158" spans="1:7" x14ac:dyDescent="0.3">
      <c r="A158" s="2">
        <v>2</v>
      </c>
      <c r="C158" s="38" t="s">
        <v>52</v>
      </c>
      <c r="D158" s="42">
        <f>TRUNC(18848,-1)</f>
        <v>18840</v>
      </c>
      <c r="E158" s="63">
        <f>TRUNC(+D158*3.3058,-1)</f>
        <v>62280</v>
      </c>
      <c r="F158" s="2" t="s">
        <v>251</v>
      </c>
    </row>
    <row r="159" spans="1:7" x14ac:dyDescent="0.3">
      <c r="A159" s="2">
        <v>3</v>
      </c>
      <c r="C159" s="38" t="s">
        <v>47</v>
      </c>
      <c r="D159" s="42">
        <f>TRUNC(11171+9279,-1)</f>
        <v>20450</v>
      </c>
      <c r="E159" s="63">
        <f>TRUNC(+D159*3.3058,-1)</f>
        <v>67600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57800</v>
      </c>
      <c r="E161" s="39">
        <f>SUM(E157:E160)</f>
        <v>191070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2020-12-08T02:32:33Z</dcterms:modified>
</cp:coreProperties>
</file>