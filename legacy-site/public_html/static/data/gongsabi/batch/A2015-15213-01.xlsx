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61" i="4" s="1"/>
  <c r="E151" i="4"/>
  <c r="E145" i="4"/>
  <c r="E141" i="4"/>
  <c r="E139" i="4"/>
  <c r="E138" i="4"/>
  <c r="E136" i="4"/>
  <c r="E132" i="4"/>
  <c r="E131" i="4"/>
  <c r="E130" i="4"/>
  <c r="E129" i="4"/>
  <c r="E128" i="4"/>
  <c r="E127" i="4"/>
  <c r="E123" i="4"/>
  <c r="E118" i="4"/>
  <c r="E115" i="4"/>
  <c r="E113" i="4"/>
  <c r="E112" i="4"/>
  <c r="E111" i="4"/>
  <c r="E110" i="4"/>
  <c r="E109" i="4"/>
  <c r="E108" i="4"/>
  <c r="E107" i="4"/>
  <c r="E106" i="4"/>
  <c r="E103" i="4"/>
  <c r="E101" i="4"/>
  <c r="E94" i="4"/>
  <c r="E93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1" i="4"/>
  <c r="E70" i="4"/>
  <c r="E69" i="4"/>
  <c r="E65" i="4"/>
  <c r="E64" i="4"/>
  <c r="E57" i="4"/>
  <c r="E56" i="4"/>
  <c r="E55" i="4"/>
  <c r="E54" i="4"/>
  <c r="E51" i="4"/>
  <c r="E47" i="4"/>
  <c r="E37" i="4"/>
  <c r="D153" i="4" l="1"/>
  <c r="E153" i="4" s="1"/>
  <c r="D152" i="4"/>
  <c r="E152" i="4" s="1"/>
  <c r="D150" i="4"/>
  <c r="E150" i="4" s="1"/>
  <c r="D149" i="4"/>
  <c r="E149" i="4" s="1"/>
  <c r="E154" i="4" s="1"/>
  <c r="D144" i="4"/>
  <c r="E144" i="4" s="1"/>
  <c r="D143" i="4"/>
  <c r="E143" i="4" s="1"/>
  <c r="D142" i="4"/>
  <c r="E142" i="4" s="1"/>
  <c r="D140" i="4"/>
  <c r="E140" i="4" s="1"/>
  <c r="E146" i="4" s="1"/>
  <c r="D137" i="4"/>
  <c r="E137" i="4" s="1"/>
  <c r="D126" i="4"/>
  <c r="E126" i="4" s="1"/>
  <c r="D125" i="4"/>
  <c r="E125" i="4" s="1"/>
  <c r="D124" i="4"/>
  <c r="E124" i="4" s="1"/>
  <c r="D122" i="4"/>
  <c r="E122" i="4" s="1"/>
  <c r="D117" i="4"/>
  <c r="E117" i="4" s="1"/>
  <c r="D116" i="4"/>
  <c r="E116" i="4" s="1"/>
  <c r="D114" i="4"/>
  <c r="E114" i="4" s="1"/>
  <c r="D105" i="4"/>
  <c r="E105" i="4" s="1"/>
  <c r="D104" i="4"/>
  <c r="E104" i="4" s="1"/>
  <c r="D102" i="4"/>
  <c r="E102" i="4" s="1"/>
  <c r="D100" i="4"/>
  <c r="E100" i="4" s="1"/>
  <c r="D99" i="4"/>
  <c r="E99" i="4" s="1"/>
  <c r="D98" i="4"/>
  <c r="E98" i="4" s="1"/>
  <c r="D92" i="4"/>
  <c r="E92" i="4" s="1"/>
  <c r="D73" i="4"/>
  <c r="E73" i="4" s="1"/>
  <c r="E95" i="4" s="1"/>
  <c r="D72" i="4"/>
  <c r="E72" i="4" s="1"/>
  <c r="D63" i="4"/>
  <c r="E63" i="4" s="1"/>
  <c r="E66" i="4" s="1"/>
  <c r="D59" i="4"/>
  <c r="E59" i="4" s="1"/>
  <c r="D58" i="4"/>
  <c r="E58" i="4" s="1"/>
  <c r="D53" i="4"/>
  <c r="E53" i="4" s="1"/>
  <c r="D52" i="4"/>
  <c r="E52" i="4" s="1"/>
  <c r="D50" i="4"/>
  <c r="E50" i="4" s="1"/>
  <c r="D49" i="4"/>
  <c r="E49" i="4" s="1"/>
  <c r="D48" i="4"/>
  <c r="E48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E60" i="4" s="1"/>
  <c r="E119" i="4" l="1"/>
  <c r="E133" i="4"/>
  <c r="D161" i="4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<sst xmlns="http://schemas.openxmlformats.org/spreadsheetml/2006/main" count="397" uniqueCount="268">
  <si>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</si>
  <si>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</si>
  <si>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</si>
  <si>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</si>
  <si>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</si>
  <si>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</si>
  <si>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</si>
  <si>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</si>
  <si>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</si>
  <si>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</si>
  <si>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</si>
  <si>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</si>
  <si>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</si>
  <si>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</si>
  <si>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</si>
  <si>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</si>
  <si>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</si>
  <si>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</si>
  <si>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</si>
  <si>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</si>
  <si>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</si>
  <si>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</si>
  <si>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</si>
  <si>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</si>
  <si>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</si>
  <si>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</si>
  <si>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</si>
  <si>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</si>
  <si>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</si>
  <si>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</si>
  <si>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</si>
  <si>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</si>
  <si>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</si>
  <si>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</si>
  <si>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</si>
  <si>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</si>
  <si>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</si>
  <si>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</si>
  <si>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</si>
  <si>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</si>
  <si>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</si>
  <si>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</si>
  <si>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</si>
  <si>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</si>
  <si>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</si>
  <si>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</si>
  <si>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</si>
  <si>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</si>
  <si>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</si>
  <si>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</si>
  <si>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</si>
  <si>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</si>
  <si>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</si>
  <si>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</si>
  <si>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</si>
  <si>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</si>
  <si>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</si>
  <si>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</si>
  <si>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</si>
  <si>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</si>
  <si>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</si>
  <si>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</si>
  <si>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</si>
  <si>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</si>
  <si>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</si>
  <si>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</si>
  <si>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</si>
  <si>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</si>
  <si>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</si>
  <si>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</si>
  <si>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</si>
  <si>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</si>
  <si>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</si>
  <si>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</si>
  <si>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</si>
  <si>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</si>
  <si>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</si>
  <si>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</si>
  <si>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</si>
  <si>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</si>
  <si>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</si>
  <si>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</si>
  <si>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</si>
  <si>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</si>
  <si>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</si>
  <si>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</si>
  <si>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</si>
  <si>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</si>
  <si>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</si>
  <si>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</si>
  <si>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</si>
  <si>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</si>
  <si>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</si>
  <si>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</si>
  <si>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</si>
  <si>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</si>
  <si>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</si>
  <si>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</si>
  <si>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</si>
  <si>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</si>
  <si>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</si>
  <si>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</si>
  <si>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</si>
  <si>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</si>
  <si>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</si>
  <si>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</si>
  <si>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</si>
  <si>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</si>
  <si>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</si>
  <si>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</si>
  <si>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</si>
  <si>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</si>
  <si>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</si>
  <si>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</si>
  <si>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</si>
  <si>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</si>
  <si>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</si>
  <si>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</si>
  <si>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</si>
  <si>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</si>
  <si>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</si>
  <si>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</si>
  <si>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</si>
  <si>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</si>
  <si>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</si>
  <si>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</si>
  <si>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</si>
  <si>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</si>
  <si>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</si>
  <si>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</si>
  <si>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</si>
  <si>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</si>
  <si>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</si>
  <si>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</si>
  <si>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</si>
  <si>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</si>
  <si>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</si>
  <si>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</si>
  <si>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</si>
  <si>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</si>
  <si>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</si>
  <si>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</si>
  <si>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</si>
  <si>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</si>
  <si>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</si>
  <si>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</si>
  <si>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</si>
  <si>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</si>
  <si>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</si>
  <si>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</si>
  <si>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</si>
  <si>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</si>
  <si>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</si>
  <si>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</si>
  <si>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</si>
  <si>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</si>
  <si>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</si>
  <si>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</si>
  <si>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</si>
  <si>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</si>
  <si>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</si>
  <si>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</si>
  <si>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</si>
  <si>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</si>
  <si>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</si>
  <si>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</si>
  <si>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</si>
  <si>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</si>
  <si>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</si>
  <si>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</si>
  <si>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</si>
  <si>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</si>
  <si>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</si>
  <si>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</si>
  <si>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</si>
  <si>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</si>
  <si>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</si>
  <si>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</si>
  <si>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</si>
  <si>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</si>
  <si>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</si>
  <si>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</si>
  <si>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</si>
  <si>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</si>
  <si>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</si>
  <si>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</si>
  <si>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</si>
  <si>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</si>
  <si>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</si>
  <si>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</si>
  <si>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</si>
  <si>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</si>
  <si>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</si>
  <si>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</si>
  <si>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</si>
  <si>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</si>
  <si>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</si>
  <si>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</si>
  <si>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</si>
  <si>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</si>
  <si>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</si>
  <si>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</si>
  <si>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</si>
  <si>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</si>
  <si>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</si>
  <si>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</si>
  <si>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</si>
  <si>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</si>
  <si>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</si>
  <si>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</si>
  <si>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</si>
  <si>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</si>
  <si>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</si>
  <si>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</si>
  <si>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</si>
  <si>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</si>
  <si>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</si>
  <si>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</si>
  <si>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</si>
  <si>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</si>
  <si>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</si>
  <si>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</si>
  <si>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</si>
  <si>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</si>
  <si>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</si>
  <si>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</si>
  <si>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</si>
  <si>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</si>
  <si>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</si>
  <si>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</si>
  <si>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</si>
  <si>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</si>
  <si>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</si>
  <si>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</si>
  <si>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</si>
  <si>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</si>
  <si>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</si>
  <si>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</si>
  <si>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</si>
  <si>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</si>
  <si>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</si>
  <si>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</si>
  <si>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</si>
  <si>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</si>
  <si>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</si>
  <si>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</si>
  <si>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</si>
  <si>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</si>
  <si>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</si>
  <si>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</si>
  <si>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</si>
  <si>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우수처리시설공사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</si>
  <si>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</si>
  <si>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</si>
  <si>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</si>
  <si>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포장공사</t>
    <phoneticPr fontId="2" type="noConversion"/>
  </si>
  <si>
    <t>전기인입 및 수변전 설비공사</t>
    <phoneticPr fontId="2" type="noConversion"/>
  </si>
  <si>
    <t>남원 친환경 화장품 GMP생산시설 신축공사</t>
    <phoneticPr fontId="2" type="noConversion"/>
  </si>
  <si>
    <t>전라도</t>
  </si>
  <si>
    <t>공장</t>
  </si>
  <si>
    <t>기초공사,폐기물처리비, 골재비및운반비, 작업부산물</t>
    <phoneticPr fontId="2" type="noConversion"/>
  </si>
  <si>
    <t>펌프실배관공사</t>
    <phoneticPr fontId="2" type="noConversion"/>
  </si>
  <si>
    <t>토목 운반비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</si>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</sst>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156</v>
      </c>
      <c r="B2" s="74" t="s">
        <v>0</v>
      </c>
      <c r="C2" s="75"/>
      <c r="D2" s="74" t="s">
        <v>1</v>
      </c>
      <c r="E2" s="75"/>
      <c r="F2" s="74" t="s">
        <v>157</v>
      </c>
      <c r="G2" s="75"/>
      <c r="H2" s="74" t="s">
        <v>2</v>
      </c>
      <c r="I2" s="75"/>
      <c r="J2" s="74" t="s">
        <v>3</v>
      </c>
      <c r="K2" s="75"/>
      <c r="L2" s="74" t="s">
        <v>158</v>
      </c>
      <c r="M2" s="75"/>
      <c r="N2" s="74" t="s">
        <v>159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3006.81</v>
      </c>
      <c r="D7" s="36">
        <f>+C7/3.3058</f>
        <v>909.55593199830594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473180</v>
      </c>
      <c r="E25" s="58">
        <f t="shared" si="0"/>
        <v>1564230</v>
      </c>
    </row>
    <row r="26" spans="1:5" x14ac:dyDescent="0.3">
      <c r="B26" s="2">
        <v>3</v>
      </c>
      <c r="C26" s="35" t="s">
        <v>95</v>
      </c>
      <c r="D26" s="45">
        <f>+D66</f>
        <v>8070</v>
      </c>
      <c r="E26" s="58">
        <f t="shared" si="0"/>
        <v>26670</v>
      </c>
    </row>
    <row r="27" spans="1:5" x14ac:dyDescent="0.3">
      <c r="B27" s="2">
        <v>4</v>
      </c>
      <c r="C27" s="35" t="s">
        <v>96</v>
      </c>
      <c r="D27" s="45">
        <f>+D95</f>
        <v>22630</v>
      </c>
      <c r="E27" s="58">
        <f t="shared" si="0"/>
        <v>74810</v>
      </c>
    </row>
    <row r="28" spans="1:5" x14ac:dyDescent="0.3">
      <c r="B28" s="2">
        <v>5</v>
      </c>
      <c r="C28" s="35" t="s">
        <v>97</v>
      </c>
      <c r="D28" s="45">
        <f>+D119</f>
        <v>169330</v>
      </c>
      <c r="E28" s="58">
        <f t="shared" si="0"/>
        <v>559770</v>
      </c>
    </row>
    <row r="29" spans="1:5" x14ac:dyDescent="0.3">
      <c r="B29" s="2">
        <v>6</v>
      </c>
      <c r="C29" s="35" t="s">
        <v>98</v>
      </c>
      <c r="D29" s="45">
        <f>+D133</f>
        <v>28500</v>
      </c>
      <c r="E29" s="58">
        <f t="shared" si="0"/>
        <v>94210</v>
      </c>
    </row>
    <row r="30" spans="1:5" x14ac:dyDescent="0.3">
      <c r="B30" s="2">
        <v>7</v>
      </c>
      <c r="C30" s="35" t="s">
        <v>99</v>
      </c>
      <c r="D30" s="45">
        <f>+D146</f>
        <v>30350</v>
      </c>
      <c r="E30" s="58">
        <f t="shared" si="0"/>
        <v>100330</v>
      </c>
    </row>
    <row r="31" spans="1:5" x14ac:dyDescent="0.3">
      <c r="B31" s="2">
        <v>8</v>
      </c>
      <c r="C31" s="35" t="s">
        <v>100</v>
      </c>
      <c r="D31" s="45">
        <f>+D154</f>
        <v>62970</v>
      </c>
      <c r="E31" s="58">
        <f t="shared" si="0"/>
        <v>208160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8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218630</v>
      </c>
      <c r="E33" s="59">
        <f t="shared" si="0"/>
        <v>722740</v>
      </c>
    </row>
    <row r="34" spans="1:7" x14ac:dyDescent="0.3">
      <c r="C34" s="35" t="s">
        <v>112</v>
      </c>
      <c r="D34" s="44">
        <f>SUM(D24:D33)</f>
        <v>1013660</v>
      </c>
      <c r="E34" s="44">
        <f>SUM(E24:E33)</f>
        <v>3350920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235</v>
      </c>
      <c r="E36" s="56" t="s">
        <v>153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263</v>
      </c>
      <c r="E39" s="66" t="s">
        <v>264</v>
      </c>
      <c r="G39" s="67"/>
    </row>
    <row r="40" spans="1:7" x14ac:dyDescent="0.3">
      <c r="A40" s="2">
        <v>1</v>
      </c>
      <c r="C40" s="38" t="s">
        <v>15</v>
      </c>
      <c r="D40" s="40">
        <f>TRUNC(22046,-1)</f>
        <v>22040</v>
      </c>
      <c r="E40" s="61">
        <f t="shared" ref="E40:E59" si="1">TRUNC(+D40*3.3058,-1)</f>
        <v>72850</v>
      </c>
    </row>
    <row r="41" spans="1:7" x14ac:dyDescent="0.3">
      <c r="A41" s="2">
        <v>2</v>
      </c>
      <c r="C41" s="38" t="s">
        <v>13</v>
      </c>
      <c r="D41" s="42">
        <f>TRUNC(39559,-1)</f>
        <v>39550</v>
      </c>
      <c r="E41" s="62">
        <f t="shared" si="1"/>
        <v>130740</v>
      </c>
    </row>
    <row r="42" spans="1:7" x14ac:dyDescent="0.3">
      <c r="A42" s="2">
        <v>3</v>
      </c>
      <c r="C42" s="38" t="s">
        <v>14</v>
      </c>
      <c r="D42" s="42">
        <f>TRUNC(135431,-1)</f>
        <v>135430</v>
      </c>
      <c r="E42" s="62">
        <f t="shared" si="1"/>
        <v>447700</v>
      </c>
    </row>
    <row r="43" spans="1:7" x14ac:dyDescent="0.3">
      <c r="A43" s="2">
        <v>4</v>
      </c>
      <c r="C43" s="38" t="s">
        <v>16</v>
      </c>
      <c r="D43" s="42">
        <f>TRUNC(4283,-1)</f>
        <v>4280</v>
      </c>
      <c r="E43" s="62">
        <f t="shared" si="1"/>
        <v>14140</v>
      </c>
    </row>
    <row r="44" spans="1:7" x14ac:dyDescent="0.3">
      <c r="A44" s="2">
        <v>5</v>
      </c>
      <c r="C44" s="38" t="s">
        <v>17</v>
      </c>
      <c r="D44" s="42">
        <f>TRUNC(15919,-1)</f>
        <v>15910</v>
      </c>
      <c r="E44" s="62">
        <f t="shared" si="1"/>
        <v>52590</v>
      </c>
    </row>
    <row r="45" spans="1:7" x14ac:dyDescent="0.3">
      <c r="A45" s="2">
        <v>6</v>
      </c>
      <c r="C45" s="38" t="s">
        <v>18</v>
      </c>
      <c r="D45" s="42">
        <f>TRUNC(5388,-1)</f>
        <v>5380</v>
      </c>
      <c r="E45" s="62">
        <f t="shared" si="1"/>
        <v>17780</v>
      </c>
    </row>
    <row r="46" spans="1:7" x14ac:dyDescent="0.3">
      <c r="A46" s="2">
        <v>7</v>
      </c>
      <c r="C46" s="38" t="s">
        <v>19</v>
      </c>
      <c r="D46" s="42">
        <f>TRUNC(1006,-1)</f>
        <v>1000</v>
      </c>
      <c r="E46" s="62">
        <f t="shared" si="1"/>
        <v>3300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TRUNC(71744,-1)</f>
        <v>71740</v>
      </c>
      <c r="E48" s="62">
        <f t="shared" si="1"/>
        <v>237150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TRUNC(4728,-1)</f>
        <v>4720</v>
      </c>
      <c r="E49" s="62">
        <f t="shared" si="1"/>
        <v>15600</v>
      </c>
    </row>
    <row r="50" spans="1:7" x14ac:dyDescent="0.3">
      <c r="A50" s="2">
        <v>11</v>
      </c>
      <c r="C50" s="38" t="s">
        <v>155</v>
      </c>
      <c r="D50" s="42">
        <f>TRUNC(32837,-1)</f>
        <v>32830</v>
      </c>
      <c r="E50" s="62">
        <f t="shared" si="1"/>
        <v>108520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TRUNC(3867,-1)</f>
        <v>3860</v>
      </c>
      <c r="E52" s="62">
        <f t="shared" si="1"/>
        <v>12760</v>
      </c>
    </row>
    <row r="53" spans="1:7" x14ac:dyDescent="0.3">
      <c r="A53" s="2">
        <v>14</v>
      </c>
      <c r="C53" s="38" t="s">
        <v>25</v>
      </c>
      <c r="D53" s="42">
        <f>TRUNC(29216,-1)</f>
        <v>29210</v>
      </c>
      <c r="E53" s="62">
        <f t="shared" si="1"/>
        <v>96560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TRUNC(6667+1041+6552-1537,-1)</f>
        <v>12720</v>
      </c>
      <c r="E58" s="62">
        <f t="shared" si="1"/>
        <v>42040</v>
      </c>
      <c r="F58" s="2" t="s">
        <v>260</v>
      </c>
    </row>
    <row r="59" spans="1:7" ht="17.25" thickBot="1" x14ac:dyDescent="0.35">
      <c r="A59" s="2">
        <v>20</v>
      </c>
      <c r="C59" s="38" t="s">
        <v>148</v>
      </c>
      <c r="D59" s="43">
        <f>TRUNC(94518,-1)</f>
        <v>94510</v>
      </c>
      <c r="E59" s="63">
        <f t="shared" si="1"/>
        <v>312430</v>
      </c>
    </row>
    <row r="60" spans="1:7" x14ac:dyDescent="0.3">
      <c r="A60" s="2">
        <v>21</v>
      </c>
      <c r="C60" s="27" t="s">
        <v>112</v>
      </c>
      <c r="D60" s="39">
        <f>SUM(D40:D59)</f>
        <v>473180</v>
      </c>
      <c r="E60" s="39">
        <f>SUM(E40:E59)</f>
        <v>1564160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153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TRUNC(8075,-1)</f>
        <v>8070</v>
      </c>
      <c r="E63" s="61">
        <f>TRUNC(+D63*3.3058,-1)</f>
        <v>26670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8070</v>
      </c>
      <c r="E66" s="64">
        <f>SUM(E63:E65)</f>
        <v>26670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235</v>
      </c>
      <c r="E68" s="56" t="s">
        <v>153</v>
      </c>
      <c r="F68" s="54"/>
      <c r="G68" s="54"/>
    </row>
    <row r="69" spans="1:7" x14ac:dyDescent="0.3">
      <c r="A69" s="2">
        <v>1</v>
      </c>
      <c r="C69" s="38" t="s">
        <v>30</v>
      </c>
      <c r="D69" s="40">
        <v>0</v>
      </c>
      <c r="E69" s="61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2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2">
        <f t="shared" si="2"/>
        <v>0</v>
      </c>
    </row>
    <row r="72" spans="1:7" x14ac:dyDescent="0.3">
      <c r="A72" s="2">
        <v>4</v>
      </c>
      <c r="C72" s="38" t="s">
        <v>33</v>
      </c>
      <c r="D72" s="42">
        <f>TRUNC(6343,-1)</f>
        <v>6340</v>
      </c>
      <c r="E72" s="62">
        <f t="shared" si="2"/>
        <v>20950</v>
      </c>
    </row>
    <row r="73" spans="1:7" x14ac:dyDescent="0.3">
      <c r="A73" s="2">
        <v>5</v>
      </c>
      <c r="C73" s="38" t="s">
        <v>34</v>
      </c>
      <c r="D73" s="42">
        <f>TRUNC(12093,-1)</f>
        <v>12090</v>
      </c>
      <c r="E73" s="62">
        <f t="shared" si="2"/>
        <v>39960</v>
      </c>
    </row>
    <row r="74" spans="1:7" x14ac:dyDescent="0.3">
      <c r="A74" s="2">
        <v>6</v>
      </c>
      <c r="C74" s="38" t="s">
        <v>176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2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2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2">
        <f t="shared" si="2"/>
        <v>0</v>
      </c>
    </row>
    <row r="92" spans="1:7" x14ac:dyDescent="0.3">
      <c r="A92" s="2">
        <v>24</v>
      </c>
      <c r="C92" s="38" t="s">
        <v>38</v>
      </c>
      <c r="D92" s="42">
        <f>TRUNC(4208,-1)</f>
        <v>4200</v>
      </c>
      <c r="E92" s="62">
        <f t="shared" si="2"/>
        <v>13880</v>
      </c>
    </row>
    <row r="93" spans="1:7" x14ac:dyDescent="0.3">
      <c r="A93" s="2">
        <v>25</v>
      </c>
      <c r="C93" s="38" t="s">
        <v>148</v>
      </c>
      <c r="D93" s="42">
        <v>0</v>
      </c>
      <c r="E93" s="62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3">
        <f t="shared" si="2"/>
        <v>0</v>
      </c>
      <c r="F94" s="2" t="s">
        <v>251</v>
      </c>
    </row>
    <row r="95" spans="1:7" x14ac:dyDescent="0.3">
      <c r="A95" s="2">
        <v>27</v>
      </c>
      <c r="C95" s="27" t="s">
        <v>112</v>
      </c>
      <c r="D95" s="39">
        <f>SUM(D69:D94)</f>
        <v>22630</v>
      </c>
      <c r="E95" s="39">
        <f>SUM(E69:E94)</f>
        <v>74790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235</v>
      </c>
      <c r="E97" s="56" t="s">
        <v>153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TRUNC(12148,-1)</f>
        <v>12140</v>
      </c>
      <c r="E98" s="61">
        <f t="shared" ref="E98:E118" si="3">TRUNC(+D98*3.3058,-1)</f>
        <v>40130</v>
      </c>
    </row>
    <row r="99" spans="1:7" x14ac:dyDescent="0.3">
      <c r="A99" s="2">
        <v>2</v>
      </c>
      <c r="C99" s="38" t="s">
        <v>40</v>
      </c>
      <c r="D99" s="42">
        <f>TRUNC(10462,-1)</f>
        <v>10460</v>
      </c>
      <c r="E99" s="62">
        <f t="shared" si="3"/>
        <v>34570</v>
      </c>
    </row>
    <row r="100" spans="1:7" x14ac:dyDescent="0.3">
      <c r="A100" s="2">
        <v>3</v>
      </c>
      <c r="C100" s="38" t="s">
        <v>41</v>
      </c>
      <c r="D100" s="42">
        <f>TRUNC(29445,-1)</f>
        <v>29440</v>
      </c>
      <c r="E100" s="62">
        <f t="shared" si="3"/>
        <v>97320</v>
      </c>
    </row>
    <row r="101" spans="1:7" x14ac:dyDescent="0.3">
      <c r="A101" s="2">
        <v>4</v>
      </c>
      <c r="C101" s="38" t="s">
        <v>42</v>
      </c>
      <c r="D101" s="42">
        <v>0</v>
      </c>
      <c r="E101" s="62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TRUNC(17976,-1)</f>
        <v>17970</v>
      </c>
      <c r="E102" s="62">
        <f t="shared" si="3"/>
        <v>59400</v>
      </c>
    </row>
    <row r="103" spans="1:7" x14ac:dyDescent="0.3">
      <c r="A103" s="2">
        <v>6</v>
      </c>
      <c r="C103" s="38" t="s">
        <v>44</v>
      </c>
      <c r="D103" s="42">
        <v>3430</v>
      </c>
      <c r="E103" s="62">
        <f t="shared" si="3"/>
        <v>11330</v>
      </c>
    </row>
    <row r="104" spans="1:7" x14ac:dyDescent="0.3">
      <c r="A104" s="2">
        <v>7</v>
      </c>
      <c r="C104" s="38" t="s">
        <v>45</v>
      </c>
      <c r="D104" s="42">
        <f>TRUNC(3266,-1)</f>
        <v>3260</v>
      </c>
      <c r="E104" s="62">
        <f t="shared" si="3"/>
        <v>10770</v>
      </c>
    </row>
    <row r="105" spans="1:7" x14ac:dyDescent="0.3">
      <c r="A105" s="2">
        <v>8</v>
      </c>
      <c r="C105" s="38" t="s">
        <v>46</v>
      </c>
      <c r="D105" s="42">
        <f>TRUNC(4124,-1)</f>
        <v>4120</v>
      </c>
      <c r="E105" s="62">
        <f t="shared" si="3"/>
        <v>13610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TRUNC(6767,-1)</f>
        <v>6760</v>
      </c>
      <c r="E114" s="62">
        <f t="shared" si="3"/>
        <v>22340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TRUNC(12242,-1)</f>
        <v>12240</v>
      </c>
      <c r="E116" s="62">
        <f t="shared" si="3"/>
        <v>40460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TRUNC(69517,-1)</f>
        <v>69510</v>
      </c>
      <c r="E117" s="62">
        <f t="shared" si="3"/>
        <v>229780</v>
      </c>
    </row>
    <row r="118" spans="1:7" ht="17.25" thickBot="1" x14ac:dyDescent="0.35">
      <c r="A118" s="2">
        <v>21</v>
      </c>
      <c r="C118" s="38" t="s">
        <v>47</v>
      </c>
      <c r="D118" s="43">
        <v>0</v>
      </c>
      <c r="E118" s="63">
        <f t="shared" si="3"/>
        <v>0</v>
      </c>
    </row>
    <row r="119" spans="1:7" x14ac:dyDescent="0.3">
      <c r="A119" s="2">
        <v>22</v>
      </c>
      <c r="C119" s="27" t="s">
        <v>112</v>
      </c>
      <c r="D119" s="39">
        <f>SUM(D98:D118)</f>
        <v>169330</v>
      </c>
      <c r="E119" s="39">
        <f>SUM(E98:E118)</f>
        <v>559710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235</v>
      </c>
      <c r="E121" s="56" t="s">
        <v>153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f>TRUNC(2397,-1)</f>
        <v>2390</v>
      </c>
      <c r="E122" s="61">
        <f t="shared" ref="E122:E132" si="4">TRUNC(+D122*3.3058,-1)</f>
        <v>7900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TRUNC(2254,-1)</f>
        <v>2250</v>
      </c>
      <c r="E124" s="62">
        <f t="shared" si="4"/>
        <v>7430</v>
      </c>
    </row>
    <row r="125" spans="1:7" x14ac:dyDescent="0.3">
      <c r="A125" s="2">
        <v>4</v>
      </c>
      <c r="C125" s="38" t="s">
        <v>138</v>
      </c>
      <c r="D125" s="42">
        <f>TRUNC(8624,-1)</f>
        <v>8620</v>
      </c>
      <c r="E125" s="62">
        <f t="shared" si="4"/>
        <v>28490</v>
      </c>
    </row>
    <row r="126" spans="1:7" x14ac:dyDescent="0.3">
      <c r="A126" s="2">
        <v>5</v>
      </c>
      <c r="C126" s="38" t="s">
        <v>53</v>
      </c>
      <c r="D126" s="42">
        <f>TRUNC(14043,-1)</f>
        <v>14040</v>
      </c>
      <c r="E126" s="62">
        <f t="shared" si="4"/>
        <v>46410</v>
      </c>
    </row>
    <row r="127" spans="1:7" x14ac:dyDescent="0.3">
      <c r="A127" s="2">
        <v>6</v>
      </c>
      <c r="C127" s="38" t="s">
        <v>56</v>
      </c>
      <c r="D127" s="42">
        <v>0</v>
      </c>
      <c r="E127" s="62">
        <f t="shared" si="4"/>
        <v>0</v>
      </c>
    </row>
    <row r="128" spans="1:7" x14ac:dyDescent="0.3">
      <c r="A128" s="2">
        <v>7</v>
      </c>
      <c r="C128" s="38" t="s">
        <v>46</v>
      </c>
      <c r="D128" s="42">
        <v>1200</v>
      </c>
      <c r="E128" s="62">
        <f t="shared" si="4"/>
        <v>3960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2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2">
        <f t="shared" si="4"/>
        <v>0</v>
      </c>
    </row>
    <row r="132" spans="1:7" ht="17.25" thickBot="1" x14ac:dyDescent="0.35">
      <c r="A132" s="2">
        <v>11</v>
      </c>
      <c r="C132" s="38" t="s">
        <v>47</v>
      </c>
      <c r="D132" s="43">
        <v>0</v>
      </c>
      <c r="E132" s="63">
        <f t="shared" si="4"/>
        <v>0</v>
      </c>
      <c r="F132" s="2" t="s">
        <v>254</v>
      </c>
    </row>
    <row r="133" spans="1:7" x14ac:dyDescent="0.3">
      <c r="A133" s="2">
        <v>12</v>
      </c>
      <c r="C133" s="27" t="s">
        <v>112</v>
      </c>
      <c r="D133" s="39">
        <f>SUM(D122:D132)</f>
        <v>28500</v>
      </c>
      <c r="E133" s="39">
        <f>SUM(E122:E132)</f>
        <v>94190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235</v>
      </c>
      <c r="E135" s="56" t="s">
        <v>153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TRUNC(6014,-1)</f>
        <v>6010</v>
      </c>
      <c r="E137" s="62">
        <f t="shared" si="5"/>
        <v>19860</v>
      </c>
      <c r="F137" s="2" t="s">
        <v>261</v>
      </c>
    </row>
    <row r="138" spans="1:7" x14ac:dyDescent="0.3">
      <c r="A138" s="2">
        <v>3</v>
      </c>
      <c r="C138" s="38" t="s">
        <v>60</v>
      </c>
      <c r="D138" s="42">
        <v>0</v>
      </c>
      <c r="E138" s="62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TRUNC(1599,-1)</f>
        <v>1590</v>
      </c>
      <c r="E140" s="62">
        <f t="shared" si="5"/>
        <v>5250</v>
      </c>
    </row>
    <row r="141" spans="1:7" x14ac:dyDescent="0.3">
      <c r="A141" s="2">
        <v>6</v>
      </c>
      <c r="C141" s="38" t="s">
        <v>59</v>
      </c>
      <c r="D141" s="42">
        <v>0</v>
      </c>
      <c r="E141" s="62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TRUNC(3343,-1)</f>
        <v>3340</v>
      </c>
      <c r="E142" s="62">
        <f t="shared" si="5"/>
        <v>11040</v>
      </c>
    </row>
    <row r="143" spans="1:7" x14ac:dyDescent="0.3">
      <c r="A143" s="2">
        <v>8</v>
      </c>
      <c r="C143" s="38" t="s">
        <v>62</v>
      </c>
      <c r="D143" s="42">
        <f>TRUNC(5225,-1)</f>
        <v>5220</v>
      </c>
      <c r="E143" s="62">
        <f t="shared" si="5"/>
        <v>17250</v>
      </c>
    </row>
    <row r="144" spans="1:7" x14ac:dyDescent="0.3">
      <c r="A144" s="2">
        <v>9</v>
      </c>
      <c r="C144" s="38" t="s">
        <v>63</v>
      </c>
      <c r="D144" s="42">
        <f>TRUNC(14199,-1)</f>
        <v>14190</v>
      </c>
      <c r="E144" s="62">
        <f t="shared" si="5"/>
        <v>46900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3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30350</v>
      </c>
      <c r="E146" s="39">
        <f>SUM(E136:E145)</f>
        <v>100300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235</v>
      </c>
      <c r="E148" s="56" t="s">
        <v>153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TRUNC(19501+5083,-1)</f>
        <v>24580</v>
      </c>
      <c r="E149" s="61">
        <f>TRUNC(+D149*3.3058,-1)</f>
        <v>81250</v>
      </c>
      <c r="F149" s="2" t="s">
        <v>232</v>
      </c>
    </row>
    <row r="150" spans="1:7" x14ac:dyDescent="0.3">
      <c r="A150" s="2">
        <v>2</v>
      </c>
      <c r="C150" s="38" t="s">
        <v>49</v>
      </c>
      <c r="D150" s="42">
        <f>TRUNC(19512,-1)</f>
        <v>19510</v>
      </c>
      <c r="E150" s="62">
        <f>TRUNC(+D150*3.3058,-1)</f>
        <v>64490</v>
      </c>
      <c r="F150" s="2" t="s">
        <v>232</v>
      </c>
    </row>
    <row r="151" spans="1:7" x14ac:dyDescent="0.3">
      <c r="A151" s="2">
        <v>3</v>
      </c>
      <c r="C151" s="38" t="s">
        <v>50</v>
      </c>
      <c r="D151" s="42">
        <v>0</v>
      </c>
      <c r="E151" s="62">
        <f>TRUNC(+D151*3.3058,-1)</f>
        <v>0</v>
      </c>
      <c r="F151" s="2" t="s">
        <v>232</v>
      </c>
    </row>
    <row r="152" spans="1:7" x14ac:dyDescent="0.3">
      <c r="A152" s="2">
        <v>4</v>
      </c>
      <c r="C152" s="38" t="s">
        <v>47</v>
      </c>
      <c r="D152" s="42">
        <f>TRUNC(563,-1)</f>
        <v>560</v>
      </c>
      <c r="E152" s="62">
        <f>TRUNC(+D152*3.3058,-1)</f>
        <v>1850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TRUNC(18322,-1)</f>
        <v>18320</v>
      </c>
      <c r="E153" s="63">
        <f>TRUNC(+D153*3.3058,-1)</f>
        <v>60560</v>
      </c>
      <c r="F153" s="2" t="s">
        <v>232</v>
      </c>
    </row>
    <row r="154" spans="1:7" x14ac:dyDescent="0.3">
      <c r="A154" s="2">
        <v>6</v>
      </c>
      <c r="C154" s="27" t="s">
        <v>112</v>
      </c>
      <c r="D154" s="39">
        <f>SUM(D149:D153)</f>
        <v>62970</v>
      </c>
      <c r="E154" s="39">
        <f>SUM(E149:E153)</f>
        <v>208150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235</v>
      </c>
      <c r="E156" s="56" t="s">
        <v>153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0</v>
      </c>
      <c r="E157" s="61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2">
        <f>TRUNC(+D159*3.3058,-1)</f>
        <v>0</v>
      </c>
      <c r="F159" s="2" t="s">
        <v>255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2020-12-07T10:20:09Z</dcterms:modified>
</cp:coreProperties>
</file>