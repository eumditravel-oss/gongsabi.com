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9" i="4"/>
  <c r="D137" i="4"/>
  <c r="D131" i="4"/>
  <c r="D128" i="4"/>
  <c r="D127" i="4"/>
  <c r="D126" i="4"/>
  <c r="D125" i="4"/>
  <c r="D124" i="4"/>
  <c r="D122" i="4"/>
  <c r="D118" i="4"/>
  <c r="D116" i="4"/>
  <c r="D114" i="4"/>
  <c r="D105" i="4"/>
  <c r="D104" i="4"/>
  <c r="D103" i="4"/>
  <c r="D102" i="4"/>
  <c r="D101" i="4"/>
  <c r="D99" i="4"/>
  <c r="D98" i="4"/>
  <c r="D94" i="4"/>
  <c r="D93" i="4"/>
  <c r="D92" i="4"/>
  <c r="D91" i="4"/>
  <c r="D89" i="4"/>
  <c r="D75" i="4"/>
  <c r="D73" i="4"/>
  <c r="D71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6" i="4"/>
  <c r="E60" i="4"/>
  <c r="E133" i="4"/>
  <c r="E146" i="4"/>
  <c r="E119" i="4"/>
  <c r="E95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<sst xmlns="http://schemas.openxmlformats.org/spreadsheetml/2006/main" count="393" uniqueCount="270">
  <si>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</si>
  <si>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</si>
  <si>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</si>
  <si>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</si>
  <si>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</si>
  <si>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</si>
  <si>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</si>
  <si>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</si>
  <si>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</si>
  <si>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</si>
  <si>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</si>
  <si>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</si>
  <si>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</si>
  <si>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</si>
  <si>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</si>
  <si>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</si>
  <si>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</si>
  <si>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</si>
  <si>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</si>
  <si>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</si>
  <si>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</si>
  <si>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</si>
  <si>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</si>
  <si>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</si>
  <si>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</si>
  <si>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</si>
  <si>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</si>
  <si>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</si>
  <si>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</si>
  <si>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</si>
  <si>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</si>
  <si>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</si>
  <si>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</si>
  <si>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</si>
  <si>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</si>
  <si>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</si>
  <si>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</si>
  <si>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</si>
  <si>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</si>
  <si>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</si>
  <si>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</si>
  <si>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</si>
  <si>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</si>
  <si>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</si>
  <si>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</si>
  <si>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</si>
  <si>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</si>
  <si>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</si>
  <si>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</si>
  <si>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</si>
  <si>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</si>
  <si>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</si>
  <si>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</si>
  <si>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</si>
  <si>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</si>
  <si>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</si>
  <si>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</si>
  <si>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</si>
  <si>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</si>
  <si>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</si>
  <si>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</si>
  <si>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</si>
  <si>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</si>
  <si>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</si>
  <si>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</si>
  <si>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</si>
  <si>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</si>
  <si>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</si>
  <si>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</si>
  <si>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</si>
  <si>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</si>
  <si>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</si>
  <si>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</si>
  <si>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</si>
  <si>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</si>
  <si>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</si>
  <si>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</si>
  <si>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</si>
  <si>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</si>
  <si>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</si>
  <si>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</si>
  <si>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</si>
  <si>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</si>
  <si>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</si>
  <si>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</si>
  <si>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</si>
  <si>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</si>
  <si>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</si>
  <si>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</si>
  <si>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</si>
  <si>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</si>
  <si>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</si>
  <si>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</si>
  <si>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</si>
  <si>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</si>
  <si>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</si>
  <si>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</si>
  <si>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</si>
  <si>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</si>
  <si>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</si>
  <si>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</si>
  <si>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</si>
  <si>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</si>
  <si>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</si>
  <si>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</si>
  <si>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</si>
  <si>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</si>
  <si>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</si>
  <si>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</si>
  <si>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</si>
  <si>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</si>
  <si>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</si>
  <si>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</si>
  <si>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</si>
  <si>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</si>
  <si>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</si>
  <si>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</si>
  <si>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</si>
  <si>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</si>
  <si>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</si>
  <si>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</si>
  <si>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</si>
  <si>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</si>
  <si>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</si>
  <si>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</si>
  <si>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</si>
  <si>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</si>
  <si>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</si>
  <si>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</si>
  <si>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</si>
  <si>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</si>
  <si>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</si>
  <si>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</si>
  <si>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</si>
  <si>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</si>
  <si>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</si>
  <si>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</si>
  <si>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</si>
  <si>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</si>
  <si>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</si>
  <si>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</si>
  <si>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</si>
  <si>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</si>
  <si>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</si>
  <si>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</si>
  <si>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</si>
  <si>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</si>
  <si>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</si>
  <si>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</si>
  <si>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</si>
  <si>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</si>
  <si>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</si>
  <si>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</si>
  <si>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</si>
  <si>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</si>
  <si>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</si>
  <si>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</si>
  <si>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</si>
  <si>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</si>
  <si>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</si>
  <si>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</si>
  <si>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</si>
  <si>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</si>
  <si>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</si>
  <si>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</si>
  <si>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</si>
  <si>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</si>
  <si>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</si>
  <si>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</si>
  <si>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</si>
  <si>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</si>
  <si>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</si>
  <si>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</si>
  <si>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</si>
  <si>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</si>
  <si>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</si>
  <si>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</si>
  <si>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</si>
  <si>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</si>
  <si>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</si>
  <si>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</si>
  <si>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</si>
  <si>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</si>
  <si>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</si>
  <si>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</si>
  <si>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</si>
  <si>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</si>
  <si>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</si>
  <si>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</si>
  <si>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</si>
  <si>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</si>
  <si>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</si>
  <si>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</si>
  <si>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</si>
  <si>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</si>
  <si>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</si>
  <si>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</si>
  <si>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</si>
  <si>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</si>
  <si>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</si>
  <si>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</si>
  <si>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</si>
  <si>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</si>
  <si>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</si>
  <si>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</si>
  <si>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</si>
  <si>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</si>
  <si>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</si>
  <si>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</si>
  <si>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</si>
  <si>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</si>
  <si>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</si>
  <si>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</si>
  <si>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</si>
  <si>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</si>
  <si>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</si>
  <si>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</si>
  <si>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</si>
  <si>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</si>
  <si>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</si>
  <si>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</si>
  <si>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</si>
  <si>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</si>
  <si>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</si>
  <si>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</si>
  <si>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</si>
  <si>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</si>
  <si>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</si>
  <si>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</si>
  <si>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</si>
  <si>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</si>
  <si>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</si>
  <si>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</si>
  <si>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</si>
  <si>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</si>
  <si>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</si>
  <si>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</si>
  <si>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</si>
  <si>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</si>
  <si>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</si>
  <si>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</si>
  <si>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</si>
  <si>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</si>
  <si>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</si>
  <si>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</si>
  <si>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</si>
  <si>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</si>
  <si>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</si>
  <si>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</si>
  <si>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</si>
  <si>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</si>
  <si>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</si>
  <si>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</si>
  <si>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</si>
  <si>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</si>
  <si>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헌법재판소 청사증축 사업</t>
    <phoneticPr fontId="2" type="noConversion"/>
  </si>
  <si>
    <t>업무</t>
  </si>
  <si>
    <t>서울</t>
  </si>
  <si>
    <t>해체및철거공사, 골재비및운반비, 품질시험비, 기타공사</t>
    <phoneticPr fontId="2" type="noConversion"/>
  </si>
  <si>
    <t>공조배관공사, 우수처리시설공사, 기타공사</t>
    <phoneticPr fontId="2" type="noConversion"/>
  </si>
  <si>
    <t>CCTV설비공사</t>
    <phoneticPr fontId="2" type="noConversion"/>
  </si>
  <si>
    <t>옥외소화배관공사, 제연덕트설치공사, 무선통신보조설비공사, 기타공사</t>
    <phoneticPr fontId="2" type="noConversion"/>
  </si>
  <si>
    <t xml:space="preserve"> 상수도공사, 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</si>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</sst>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7800</v>
      </c>
      <c r="D7" s="36">
        <f>+C7/3.3058</f>
        <v>2359.4893822977797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693900</v>
      </c>
      <c r="E25" s="59">
        <f t="shared" si="0"/>
        <v>2293890</v>
      </c>
    </row>
    <row r="26" spans="1:5" x14ac:dyDescent="0.3">
      <c r="B26" s="2">
        <v>3</v>
      </c>
      <c r="C26" s="35" t="s">
        <v>95</v>
      </c>
      <c r="D26" s="45">
        <f>+D66</f>
        <v>154660</v>
      </c>
      <c r="E26" s="59">
        <f t="shared" si="0"/>
        <v>511270</v>
      </c>
    </row>
    <row r="27" spans="1:5" x14ac:dyDescent="0.3">
      <c r="B27" s="2">
        <v>4</v>
      </c>
      <c r="C27" s="35" t="s">
        <v>96</v>
      </c>
      <c r="D27" s="45">
        <f>+D95</f>
        <v>296960</v>
      </c>
      <c r="E27" s="59">
        <f t="shared" si="0"/>
        <v>981690</v>
      </c>
    </row>
    <row r="28" spans="1:5" x14ac:dyDescent="0.3">
      <c r="B28" s="2">
        <v>5</v>
      </c>
      <c r="C28" s="35" t="s">
        <v>97</v>
      </c>
      <c r="D28" s="45">
        <f>+D119</f>
        <v>122650</v>
      </c>
      <c r="E28" s="59">
        <f t="shared" si="0"/>
        <v>405450</v>
      </c>
    </row>
    <row r="29" spans="1:5" x14ac:dyDescent="0.3">
      <c r="B29" s="2">
        <v>6</v>
      </c>
      <c r="C29" s="35" t="s">
        <v>98</v>
      </c>
      <c r="D29" s="45">
        <f>+D133</f>
        <v>97020</v>
      </c>
      <c r="E29" s="59">
        <f t="shared" si="0"/>
        <v>320720</v>
      </c>
    </row>
    <row r="30" spans="1:5" x14ac:dyDescent="0.3">
      <c r="B30" s="2">
        <v>7</v>
      </c>
      <c r="C30" s="35" t="s">
        <v>99</v>
      </c>
      <c r="D30" s="45">
        <f>+D146</f>
        <v>71480</v>
      </c>
      <c r="E30" s="59">
        <f t="shared" si="0"/>
        <v>236290</v>
      </c>
    </row>
    <row r="31" spans="1:5" x14ac:dyDescent="0.3">
      <c r="B31" s="2">
        <v>8</v>
      </c>
      <c r="C31" s="35" t="s">
        <v>100</v>
      </c>
      <c r="D31" s="45">
        <f>+D154</f>
        <v>59650</v>
      </c>
      <c r="E31" s="59">
        <f t="shared" si="0"/>
        <v>197190</v>
      </c>
    </row>
    <row r="32" spans="1:5" x14ac:dyDescent="0.3">
      <c r="B32" s="2">
        <v>9</v>
      </c>
      <c r="C32" s="35" t="s">
        <v>101</v>
      </c>
      <c r="D32" s="45">
        <f>+D161</f>
        <v>40230</v>
      </c>
      <c r="E32" s="59">
        <f t="shared" si="0"/>
        <v>132990</v>
      </c>
    </row>
    <row r="33" spans="1:7" x14ac:dyDescent="0.3">
      <c r="B33" s="2">
        <v>10</v>
      </c>
      <c r="C33" s="35" t="s">
        <v>154</v>
      </c>
      <c r="D33" s="53">
        <f>TRUNC(SUM(D24:D32)*0.275,-1)</f>
        <v>422550</v>
      </c>
      <c r="E33" s="60">
        <f t="shared" si="0"/>
        <v>1396860</v>
      </c>
    </row>
    <row r="34" spans="1:7" x14ac:dyDescent="0.3">
      <c r="C34" s="35" t="s">
        <v>112</v>
      </c>
      <c r="D34" s="44">
        <f>SUM(D24:D33)</f>
        <v>1959100</v>
      </c>
      <c r="E34" s="44">
        <f>SUM(E24:E33)</f>
        <v>6476350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TRUNC(45091,-1)</f>
        <v>45090</v>
      </c>
      <c r="E40" s="62">
        <f t="shared" ref="E40:E59" si="1">TRUNC(+D40*3.3058,-1)</f>
        <v>149050</v>
      </c>
    </row>
    <row r="41" spans="1:7" x14ac:dyDescent="0.3">
      <c r="A41" s="2">
        <v>2</v>
      </c>
      <c r="C41" s="38" t="s">
        <v>13</v>
      </c>
      <c r="D41" s="42">
        <f>TRUNC(124816,-1)</f>
        <v>124810</v>
      </c>
      <c r="E41" s="63">
        <f t="shared" si="1"/>
        <v>412590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TRUNC(12769,-1)</f>
        <v>12760</v>
      </c>
      <c r="E43" s="63">
        <f t="shared" si="1"/>
        <v>42180</v>
      </c>
    </row>
    <row r="44" spans="1:7" x14ac:dyDescent="0.3">
      <c r="A44" s="2">
        <v>5</v>
      </c>
      <c r="C44" s="38" t="s">
        <v>17</v>
      </c>
      <c r="D44" s="42">
        <f>TRUNC(21156,-1)</f>
        <v>21150</v>
      </c>
      <c r="E44" s="63">
        <f t="shared" si="1"/>
        <v>69910</v>
      </c>
    </row>
    <row r="45" spans="1:7" x14ac:dyDescent="0.3">
      <c r="A45" s="2">
        <v>6</v>
      </c>
      <c r="C45" s="38" t="s">
        <v>18</v>
      </c>
      <c r="D45" s="42">
        <f>TRUNC(2234,-1)</f>
        <v>2230</v>
      </c>
      <c r="E45" s="63">
        <f t="shared" si="1"/>
        <v>7370</v>
      </c>
    </row>
    <row r="46" spans="1:7" x14ac:dyDescent="0.3">
      <c r="A46" s="2">
        <v>7</v>
      </c>
      <c r="C46" s="38" t="s">
        <v>19</v>
      </c>
      <c r="D46" s="42">
        <f>TRUNC(71019,-1)</f>
        <v>71010</v>
      </c>
      <c r="E46" s="63">
        <f t="shared" si="1"/>
        <v>234740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TRUNC(25321,-1)</f>
        <v>25320</v>
      </c>
      <c r="E48" s="63">
        <f t="shared" si="1"/>
        <v>83700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TRUNC(12017,-1)</f>
        <v>12010</v>
      </c>
      <c r="E49" s="63">
        <f t="shared" si="1"/>
        <v>39700</v>
      </c>
    </row>
    <row r="50" spans="1:7" x14ac:dyDescent="0.3">
      <c r="A50" s="2">
        <v>11</v>
      </c>
      <c r="C50" s="38" t="s">
        <v>155</v>
      </c>
      <c r="D50" s="42">
        <f>TRUNC(31232,-1)</f>
        <v>31230</v>
      </c>
      <c r="E50" s="63">
        <f t="shared" si="1"/>
        <v>103240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TRUNC(5945,-1)</f>
        <v>5940</v>
      </c>
      <c r="E52" s="63">
        <f t="shared" si="1"/>
        <v>19630</v>
      </c>
    </row>
    <row r="53" spans="1:7" x14ac:dyDescent="0.3">
      <c r="A53" s="2">
        <v>14</v>
      </c>
      <c r="C53" s="38" t="s">
        <v>25</v>
      </c>
      <c r="D53" s="42">
        <f>TRUNC(109564,-1)</f>
        <v>109560</v>
      </c>
      <c r="E53" s="63">
        <f t="shared" si="1"/>
        <v>362180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TRUNC(5138+2676+4013+27924,-1)</f>
        <v>39750</v>
      </c>
      <c r="E58" s="63">
        <f t="shared" si="1"/>
        <v>131400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TRUNC(193042,-1)</f>
        <v>193040</v>
      </c>
      <c r="E59" s="64">
        <f t="shared" si="1"/>
        <v>638150</v>
      </c>
    </row>
    <row r="60" spans="1:7" x14ac:dyDescent="0.3">
      <c r="A60" s="2">
        <v>21</v>
      </c>
      <c r="C60" s="27" t="s">
        <v>112</v>
      </c>
      <c r="D60" s="39">
        <f>SUM(D40:D59)</f>
        <v>693900</v>
      </c>
      <c r="E60" s="39">
        <f>SUM(E40:E59)</f>
        <v>2293840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TRUNC(2452,-1)</f>
        <v>2450</v>
      </c>
      <c r="E63" s="62">
        <f>TRUNC(+D63*3.3058,-1)</f>
        <v>8090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TRUNC(152214,-1)</f>
        <v>152210</v>
      </c>
      <c r="E65" s="64">
        <f>TRUNC(+D65*3.3058,-1)</f>
        <v>503170</v>
      </c>
    </row>
    <row r="66" spans="1:7" x14ac:dyDescent="0.3">
      <c r="A66" s="2">
        <v>4</v>
      </c>
      <c r="C66" s="27" t="s">
        <v>112</v>
      </c>
      <c r="D66" s="39">
        <f>SUM(D63:D65)</f>
        <v>154660</v>
      </c>
      <c r="E66" s="65">
        <f>SUM(E63:E65)</f>
        <v>511260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TRUNC(12794,-1)</f>
        <v>12790</v>
      </c>
      <c r="E69" s="62">
        <f t="shared" ref="E69:E94" si="2">TRUNC(+D69*3.3058,-1)</f>
        <v>42280</v>
      </c>
    </row>
    <row r="70" spans="1:7" ht="16.5" customHeight="1" x14ac:dyDescent="0.3">
      <c r="A70" s="2">
        <v>2</v>
      </c>
      <c r="C70" s="38" t="s">
        <v>31</v>
      </c>
      <c r="D70" s="42">
        <v>120</v>
      </c>
      <c r="E70" s="63">
        <f t="shared" si="2"/>
        <v>390</v>
      </c>
    </row>
    <row r="71" spans="1:7" x14ac:dyDescent="0.3">
      <c r="A71" s="2">
        <v>3</v>
      </c>
      <c r="C71" s="38" t="s">
        <v>32</v>
      </c>
      <c r="D71" s="42">
        <f>TRUNC(15146,-1)</f>
        <v>15140</v>
      </c>
      <c r="E71" s="63">
        <f t="shared" si="2"/>
        <v>50040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TRUNC(6736,-1)</f>
        <v>6730</v>
      </c>
      <c r="E73" s="63">
        <f t="shared" si="2"/>
        <v>22240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TRUNC(712,-1)</f>
        <v>710</v>
      </c>
      <c r="E75" s="63">
        <f t="shared" si="2"/>
        <v>2340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TRUNC(8892,-1)</f>
        <v>8890</v>
      </c>
      <c r="E89" s="63">
        <f t="shared" si="2"/>
        <v>29380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TRUNC(26968,-1)</f>
        <v>26960</v>
      </c>
      <c r="E91" s="63">
        <f t="shared" si="2"/>
        <v>89120</v>
      </c>
    </row>
    <row r="92" spans="1:7" x14ac:dyDescent="0.3">
      <c r="A92" s="2">
        <v>24</v>
      </c>
      <c r="C92" s="38" t="s">
        <v>38</v>
      </c>
      <c r="D92" s="42">
        <f>TRUNC(2086,-1)</f>
        <v>2080</v>
      </c>
      <c r="E92" s="63">
        <f t="shared" si="2"/>
        <v>6870</v>
      </c>
    </row>
    <row r="93" spans="1:7" x14ac:dyDescent="0.3">
      <c r="A93" s="2">
        <v>25</v>
      </c>
      <c r="C93" s="38" t="s">
        <v>148</v>
      </c>
      <c r="D93" s="42">
        <f>TRUNC(196474,-1)</f>
        <v>196470</v>
      </c>
      <c r="E93" s="63">
        <f t="shared" si="2"/>
        <v>649490</v>
      </c>
    </row>
    <row r="94" spans="1:7" ht="17.25" thickBot="1" x14ac:dyDescent="0.35">
      <c r="A94" s="2">
        <v>26</v>
      </c>
      <c r="C94" s="38" t="s">
        <v>47</v>
      </c>
      <c r="D94" s="43">
        <f>TRUNC(22603+872+3600,-1)</f>
        <v>27070</v>
      </c>
      <c r="E94" s="64">
        <f t="shared" si="2"/>
        <v>89480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296960</v>
      </c>
      <c r="E95" s="39">
        <f>SUM(E69:E94)</f>
        <v>981630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TRUNC(8859,-1)</f>
        <v>8850</v>
      </c>
      <c r="E98" s="62">
        <f t="shared" ref="E98:E118" si="3">TRUNC(+D98*3.3058,-1)</f>
        <v>29250</v>
      </c>
    </row>
    <row r="99" spans="1:7" x14ac:dyDescent="0.3">
      <c r="A99" s="2">
        <v>2</v>
      </c>
      <c r="C99" s="38" t="s">
        <v>40</v>
      </c>
      <c r="D99" s="42">
        <f>TRUNC(3167,-1)</f>
        <v>3160</v>
      </c>
      <c r="E99" s="63">
        <f t="shared" si="3"/>
        <v>10440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TRUNC(1128,-1)</f>
        <v>1120</v>
      </c>
      <c r="E101" s="63">
        <f t="shared" si="3"/>
        <v>3700</v>
      </c>
    </row>
    <row r="102" spans="1:7" x14ac:dyDescent="0.3">
      <c r="A102" s="2">
        <v>5</v>
      </c>
      <c r="C102" s="38" t="s">
        <v>43</v>
      </c>
      <c r="D102" s="42">
        <f>TRUNC(8528,-1)</f>
        <v>8520</v>
      </c>
      <c r="E102" s="63">
        <f t="shared" si="3"/>
        <v>28160</v>
      </c>
    </row>
    <row r="103" spans="1:7" x14ac:dyDescent="0.3">
      <c r="A103" s="2">
        <v>6</v>
      </c>
      <c r="C103" s="38" t="s">
        <v>44</v>
      </c>
      <c r="D103" s="42">
        <f>TRUNC(4669,-1)</f>
        <v>4660</v>
      </c>
      <c r="E103" s="63">
        <f t="shared" si="3"/>
        <v>15400</v>
      </c>
    </row>
    <row r="104" spans="1:7" x14ac:dyDescent="0.3">
      <c r="A104" s="2">
        <v>7</v>
      </c>
      <c r="C104" s="38" t="s">
        <v>45</v>
      </c>
      <c r="D104" s="42">
        <f>TRUNC(1064,-1)</f>
        <v>1060</v>
      </c>
      <c r="E104" s="63">
        <f t="shared" si="3"/>
        <v>3500</v>
      </c>
    </row>
    <row r="105" spans="1:7" x14ac:dyDescent="0.3">
      <c r="A105" s="2">
        <v>8</v>
      </c>
      <c r="C105" s="38" t="s">
        <v>46</v>
      </c>
      <c r="D105" s="42">
        <f>TRUNC(1262,-1)</f>
        <v>1260</v>
      </c>
      <c r="E105" s="63">
        <f t="shared" si="3"/>
        <v>4160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TRUNC(32086,-1)</f>
        <v>32080</v>
      </c>
      <c r="E114" s="63">
        <f t="shared" si="3"/>
        <v>106050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TRUNC(9649,-1)</f>
        <v>9640</v>
      </c>
      <c r="E116" s="63">
        <f t="shared" si="3"/>
        <v>31860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47340</v>
      </c>
      <c r="E117" s="63">
        <f t="shared" si="3"/>
        <v>156490</v>
      </c>
    </row>
    <row r="118" spans="1:7" ht="17.25" thickBot="1" x14ac:dyDescent="0.35">
      <c r="A118" s="2">
        <v>21</v>
      </c>
      <c r="C118" s="38" t="s">
        <v>47</v>
      </c>
      <c r="D118" s="43">
        <f>TRUNC(4961,-1)</f>
        <v>4960</v>
      </c>
      <c r="E118" s="64">
        <f t="shared" si="3"/>
        <v>16390</v>
      </c>
    </row>
    <row r="119" spans="1:7" x14ac:dyDescent="0.3">
      <c r="A119" s="2">
        <v>22</v>
      </c>
      <c r="C119" s="27" t="s">
        <v>112</v>
      </c>
      <c r="D119" s="39">
        <f>SUM(D98:D118)</f>
        <v>122650</v>
      </c>
      <c r="E119" s="39">
        <f>SUM(E98:E118)</f>
        <v>405400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TRUNC(3182,-1)</f>
        <v>3180</v>
      </c>
      <c r="E122" s="62">
        <f t="shared" ref="E122:E132" si="4">TRUNC(+D122*3.3058,-1)</f>
        <v>10510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TRUNC(789,-1)</f>
        <v>780</v>
      </c>
      <c r="E124" s="63">
        <f t="shared" si="4"/>
        <v>2570</v>
      </c>
    </row>
    <row r="125" spans="1:7" x14ac:dyDescent="0.3">
      <c r="A125" s="2">
        <v>4</v>
      </c>
      <c r="C125" s="38" t="s">
        <v>138</v>
      </c>
      <c r="D125" s="42">
        <f>TRUNC(3665,-1)</f>
        <v>3660</v>
      </c>
      <c r="E125" s="63">
        <f t="shared" si="4"/>
        <v>12090</v>
      </c>
    </row>
    <row r="126" spans="1:7" x14ac:dyDescent="0.3">
      <c r="A126" s="2">
        <v>5</v>
      </c>
      <c r="C126" s="38" t="s">
        <v>53</v>
      </c>
      <c r="D126" s="42">
        <f>TRUNC(14986,-1)</f>
        <v>14980</v>
      </c>
      <c r="E126" s="63">
        <f t="shared" si="4"/>
        <v>49520</v>
      </c>
    </row>
    <row r="127" spans="1:7" x14ac:dyDescent="0.3">
      <c r="A127" s="2">
        <v>6</v>
      </c>
      <c r="C127" s="38" t="s">
        <v>56</v>
      </c>
      <c r="D127" s="42">
        <f>TRUNC(4246,-1)</f>
        <v>4240</v>
      </c>
      <c r="E127" s="63">
        <f t="shared" si="4"/>
        <v>14010</v>
      </c>
    </row>
    <row r="128" spans="1:7" x14ac:dyDescent="0.3">
      <c r="A128" s="2">
        <v>7</v>
      </c>
      <c r="C128" s="38" t="s">
        <v>46</v>
      </c>
      <c r="D128" s="42">
        <f>TRUNC(2279,-1)</f>
        <v>2270</v>
      </c>
      <c r="E128" s="63">
        <f t="shared" si="4"/>
        <v>7500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TRUNC(66009,-1)</f>
        <v>66000</v>
      </c>
      <c r="E131" s="63">
        <f t="shared" si="4"/>
        <v>218180</v>
      </c>
    </row>
    <row r="132" spans="1:7" ht="18" thickBot="1" x14ac:dyDescent="0.35">
      <c r="A132" s="2">
        <v>11</v>
      </c>
      <c r="C132" s="38" t="s">
        <v>47</v>
      </c>
      <c r="D132" s="43">
        <v>1910</v>
      </c>
      <c r="E132" s="64">
        <f t="shared" si="4"/>
        <v>6310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97020</v>
      </c>
      <c r="E133" s="39">
        <f>SUM(E122:E132)</f>
        <v>320690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TRUNC(231+5254+4986+1433,-1)</f>
        <v>11900</v>
      </c>
      <c r="E137" s="63">
        <f t="shared" si="5"/>
        <v>39330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2980</v>
      </c>
      <c r="E138" s="63">
        <f t="shared" si="5"/>
        <v>9850</v>
      </c>
    </row>
    <row r="139" spans="1:7" x14ac:dyDescent="0.3">
      <c r="A139" s="2">
        <v>4</v>
      </c>
      <c r="C139" s="38" t="s">
        <v>61</v>
      </c>
      <c r="D139" s="42">
        <f>TRUNC(2347,-1)</f>
        <v>2340</v>
      </c>
      <c r="E139" s="63">
        <f t="shared" si="5"/>
        <v>7730</v>
      </c>
    </row>
    <row r="140" spans="1:7" x14ac:dyDescent="0.3">
      <c r="A140" s="2">
        <v>5</v>
      </c>
      <c r="C140" s="38" t="s">
        <v>57</v>
      </c>
      <c r="D140" s="42">
        <f>TRUNC(639,-1)</f>
        <v>630</v>
      </c>
      <c r="E140" s="63">
        <f t="shared" si="5"/>
        <v>2080</v>
      </c>
    </row>
    <row r="141" spans="1:7" x14ac:dyDescent="0.3">
      <c r="A141" s="2">
        <v>6</v>
      </c>
      <c r="C141" s="38" t="s">
        <v>59</v>
      </c>
      <c r="D141" s="42">
        <f>TRUNC(27068,-1)</f>
        <v>27060</v>
      </c>
      <c r="E141" s="63">
        <f t="shared" si="5"/>
        <v>89450</v>
      </c>
    </row>
    <row r="142" spans="1:7" x14ac:dyDescent="0.3">
      <c r="A142" s="2">
        <v>7</v>
      </c>
      <c r="C142" s="38" t="s">
        <v>58</v>
      </c>
      <c r="D142" s="42">
        <f>TRUNC(4779,-1)</f>
        <v>4770</v>
      </c>
      <c r="E142" s="63">
        <f t="shared" si="5"/>
        <v>15760</v>
      </c>
    </row>
    <row r="143" spans="1:7" x14ac:dyDescent="0.3">
      <c r="A143" s="2">
        <v>8</v>
      </c>
      <c r="C143" s="38" t="s">
        <v>62</v>
      </c>
      <c r="D143" s="42">
        <f>TRUNC(2726,-1)</f>
        <v>2720</v>
      </c>
      <c r="E143" s="63">
        <f t="shared" si="5"/>
        <v>8990</v>
      </c>
    </row>
    <row r="144" spans="1:7" x14ac:dyDescent="0.3">
      <c r="A144" s="2">
        <v>9</v>
      </c>
      <c r="C144" s="38" t="s">
        <v>63</v>
      </c>
      <c r="D144" s="42">
        <f>TRUNC(19085,-1)</f>
        <v>19080</v>
      </c>
      <c r="E144" s="63">
        <f t="shared" si="5"/>
        <v>63070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71480</v>
      </c>
      <c r="E146" s="39">
        <f>SUM(E136:E145)</f>
        <v>236260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TRUNC(5285+1088,-1)</f>
        <v>6370</v>
      </c>
      <c r="E149" s="62">
        <f>TRUNC(+D149*3.3058,-1)</f>
        <v>21050</v>
      </c>
    </row>
    <row r="150" spans="1:7" x14ac:dyDescent="0.3">
      <c r="A150" s="2">
        <v>2</v>
      </c>
      <c r="C150" s="38" t="s">
        <v>49</v>
      </c>
      <c r="D150" s="42">
        <f>TRUNC(5205,-1)</f>
        <v>5200</v>
      </c>
      <c r="E150" s="63">
        <f>TRUNC(+D150*3.3058,-1)</f>
        <v>17190</v>
      </c>
    </row>
    <row r="151" spans="1:7" x14ac:dyDescent="0.3">
      <c r="A151" s="2">
        <v>3</v>
      </c>
      <c r="C151" s="38" t="s">
        <v>50</v>
      </c>
      <c r="D151" s="42">
        <f>TRUNC(9387,-1)</f>
        <v>9380</v>
      </c>
      <c r="E151" s="63">
        <f>TRUNC(+D151*3.3058,-1)</f>
        <v>31000</v>
      </c>
    </row>
    <row r="152" spans="1:7" x14ac:dyDescent="0.3">
      <c r="A152" s="2">
        <v>4</v>
      </c>
      <c r="C152" s="38" t="s">
        <v>47</v>
      </c>
      <c r="D152" s="42">
        <f>TRUNC(307+1936+7145,-1)</f>
        <v>9380</v>
      </c>
      <c r="E152" s="63">
        <f>TRUNC(+D152*3.3058,-1)</f>
        <v>31000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TRUNC(29321,-1)</f>
        <v>29320</v>
      </c>
      <c r="E153" s="64">
        <f>TRUNC(+D153*3.3058,-1)</f>
        <v>96920</v>
      </c>
    </row>
    <row r="154" spans="1:7" x14ac:dyDescent="0.3">
      <c r="A154" s="2">
        <v>6</v>
      </c>
      <c r="C154" s="27" t="s">
        <v>112</v>
      </c>
      <c r="D154" s="39">
        <f>SUM(D149:D153)</f>
        <v>59650</v>
      </c>
      <c r="E154" s="39">
        <f>SUM(E149:E153)</f>
        <v>197160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TRUNC(22586,-1)</f>
        <v>22580</v>
      </c>
      <c r="E157" s="62">
        <f>TRUNC(+D157*3.3058,-1)</f>
        <v>74640</v>
      </c>
    </row>
    <row r="158" spans="1:7" x14ac:dyDescent="0.3">
      <c r="A158" s="2">
        <v>2</v>
      </c>
      <c r="C158" s="38" t="s">
        <v>52</v>
      </c>
      <c r="D158" s="42">
        <f>TRUNC(5684,-1)</f>
        <v>5680</v>
      </c>
      <c r="E158" s="63">
        <f>TRUNC(+D158*3.3058,-1)</f>
        <v>18770</v>
      </c>
    </row>
    <row r="159" spans="1:7" x14ac:dyDescent="0.3">
      <c r="A159" s="2">
        <v>3</v>
      </c>
      <c r="C159" s="38" t="s">
        <v>47</v>
      </c>
      <c r="D159" s="42">
        <f>TRUNC(11717+261,-1)</f>
        <v>11970</v>
      </c>
      <c r="E159" s="63">
        <f>TRUNC(+D159*3.3058,-1)</f>
        <v>39570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40230</v>
      </c>
      <c r="E161" s="39">
        <f>SUM(E157:E160)</f>
        <v>132980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2020-12-08T01:44:35Z</dcterms:modified>
</cp:coreProperties>
</file>