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6" i="4"/>
  <c r="D125" i="4"/>
  <c r="D124" i="4"/>
  <c r="D122" i="4"/>
  <c r="D118" i="4"/>
  <c r="D117" i="4"/>
  <c r="D114" i="4"/>
  <c r="D105" i="4"/>
  <c r="D104" i="4"/>
  <c r="D102" i="4"/>
  <c r="D101" i="4"/>
  <c r="D100" i="4"/>
  <c r="D99" i="4"/>
  <c r="D98" i="4"/>
  <c r="D94" i="4"/>
  <c r="D92" i="4"/>
  <c r="D91" i="4"/>
  <c r="D89" i="4"/>
  <c r="D76" i="4"/>
  <c r="D73" i="4"/>
  <c r="D72" i="4"/>
  <c r="D69" i="4"/>
  <c r="D63" i="4"/>
  <c r="D59" i="4"/>
  <c r="D58" i="4"/>
  <c r="D53" i="4"/>
  <c r="D52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<sst xmlns="http://schemas.openxmlformats.org/spreadsheetml/2006/main" count="391" uniqueCount="265">
  <si>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</si>
  <si>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</si>
  <si>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</si>
  <si>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</si>
  <si>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</si>
  <si>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</si>
  <si>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</si>
  <si>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</si>
  <si>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</si>
  <si>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</si>
  <si>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</si>
  <si>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</si>
  <si>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</si>
  <si>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</si>
  <si>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</si>
  <si>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</si>
  <si>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</si>
  <si>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</si>
  <si>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</si>
  <si>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</si>
  <si>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</si>
  <si>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</si>
  <si>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</si>
  <si>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</si>
  <si>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</si>
  <si>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</si>
  <si>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</si>
  <si>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</si>
  <si>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</si>
  <si>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</si>
  <si>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</si>
  <si>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</si>
  <si>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</si>
  <si>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</si>
  <si>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</si>
  <si>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</si>
  <si>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</si>
  <si>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</si>
  <si>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</si>
  <si>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</si>
  <si>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</si>
  <si>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</si>
  <si>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</si>
  <si>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</si>
  <si>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</si>
  <si>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</si>
  <si>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</si>
  <si>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</si>
  <si>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</si>
  <si>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</si>
  <si>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</si>
  <si>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</si>
  <si>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</si>
  <si>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</si>
  <si>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</si>
  <si>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</si>
  <si>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</si>
  <si>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</si>
  <si>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</si>
  <si>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</si>
  <si>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</si>
  <si>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</si>
  <si>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</si>
  <si>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</si>
  <si>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</si>
  <si>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</si>
  <si>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</si>
  <si>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</si>
  <si>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</si>
  <si>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</si>
  <si>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</si>
  <si>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</si>
  <si>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</si>
  <si>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</si>
  <si>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</si>
  <si>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</si>
  <si>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</si>
  <si>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</si>
  <si>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</si>
  <si>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</si>
  <si>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</si>
  <si>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</si>
  <si>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</si>
  <si>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</si>
  <si>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</si>
  <si>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</si>
  <si>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</si>
  <si>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</si>
  <si>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</si>
  <si>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</si>
  <si>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</si>
  <si>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</si>
  <si>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</si>
  <si>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</si>
  <si>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</si>
  <si>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</si>
  <si>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</si>
  <si>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</si>
  <si>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</si>
  <si>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</si>
  <si>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</si>
  <si>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</si>
  <si>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</si>
  <si>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</si>
  <si>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</si>
  <si>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</si>
  <si>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</si>
  <si>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</si>
  <si>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</si>
  <si>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</si>
  <si>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</si>
  <si>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</si>
  <si>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</si>
  <si>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</si>
  <si>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</si>
  <si>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</si>
  <si>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</si>
  <si>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</si>
  <si>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</si>
  <si>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</si>
  <si>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</si>
  <si>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</si>
  <si>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</si>
  <si>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</si>
  <si>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</si>
  <si>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</si>
  <si>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</si>
  <si>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</si>
  <si>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</si>
  <si>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</si>
  <si>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</si>
  <si>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</si>
  <si>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</si>
  <si>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</si>
  <si>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</si>
  <si>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</si>
  <si>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</si>
  <si>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</si>
  <si>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</si>
  <si>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</si>
  <si>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</si>
  <si>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</si>
  <si>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</si>
  <si>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</si>
  <si>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</si>
  <si>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</si>
  <si>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</si>
  <si>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</si>
  <si>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</si>
  <si>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</si>
  <si>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</si>
  <si>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</si>
  <si>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</si>
  <si>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</si>
  <si>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</si>
  <si>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</si>
  <si>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</si>
  <si>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</si>
  <si>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</si>
  <si>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</si>
  <si>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</si>
  <si>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</si>
  <si>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</si>
  <si>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</si>
  <si>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</si>
  <si>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</si>
  <si>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</si>
  <si>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</si>
  <si>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</si>
  <si>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</si>
  <si>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</si>
  <si>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</si>
  <si>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</si>
  <si>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</si>
  <si>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</si>
  <si>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</si>
  <si>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</si>
  <si>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</si>
  <si>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</si>
  <si>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</si>
  <si>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</si>
  <si>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</si>
  <si>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</si>
  <si>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</si>
  <si>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</si>
  <si>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</si>
  <si>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</si>
  <si>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</si>
  <si>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</si>
  <si>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</si>
  <si>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</si>
  <si>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</si>
  <si>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</si>
  <si>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</si>
  <si>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</si>
  <si>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</si>
  <si>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</si>
  <si>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</si>
  <si>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</si>
  <si>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</si>
  <si>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</si>
  <si>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</si>
  <si>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</si>
  <si>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</si>
  <si>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</si>
  <si>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</si>
  <si>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</si>
  <si>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</si>
  <si>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</si>
  <si>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</si>
  <si>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</si>
  <si>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</si>
  <si>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</si>
  <si>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</si>
  <si>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</si>
  <si>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</si>
  <si>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</si>
  <si>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</si>
  <si>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</si>
  <si>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</si>
  <si>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</si>
  <si>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</si>
  <si>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</si>
  <si>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</si>
  <si>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</si>
  <si>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</si>
  <si>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</si>
  <si>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</si>
  <si>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</si>
  <si>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</si>
  <si>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</si>
  <si>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</si>
  <si>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</si>
  <si>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</si>
  <si>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</si>
  <si>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</si>
  <si>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</si>
  <si>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</si>
  <si>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</si>
  <si>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</si>
  <si>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</si>
  <si>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</si>
  <si>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</si>
  <si>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</si>
  <si>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</si>
  <si>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</si>
  <si>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</si>
  <si>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</si>
  <si>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</si>
  <si>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</si>
  <si>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</si>
  <si>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</si>
  <si>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</si>
  <si>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</si>
  <si>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</si>
  <si>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</si>
  <si>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</si>
  <si>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</si>
  <si>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CCTV설비공사, 기타공사</t>
    <phoneticPr fontId="2" type="noConversion"/>
  </si>
  <si>
    <t>성연초등학교 이전 신축공사</t>
    <phoneticPr fontId="2" type="noConversion"/>
  </si>
  <si>
    <t>충청도</t>
  </si>
  <si>
    <t>기초공사, 골재비및운반비, 작업부산물,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</si>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</sst>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15985.29</v>
      </c>
      <c r="D7" s="36">
        <f>+C7/3.3058</f>
        <v>4835.5284651219072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826970</v>
      </c>
      <c r="E25" s="59">
        <f t="shared" si="0"/>
        <v>2733790</v>
      </c>
    </row>
    <row r="26" spans="1:5" x14ac:dyDescent="0.3">
      <c r="B26" s="2">
        <v>3</v>
      </c>
      <c r="C26" s="35" t="s">
        <v>95</v>
      </c>
      <c r="D26" s="45">
        <f>+D66</f>
        <v>21720</v>
      </c>
      <c r="E26" s="59">
        <f t="shared" si="0"/>
        <v>71800</v>
      </c>
    </row>
    <row r="27" spans="1:5" x14ac:dyDescent="0.3">
      <c r="B27" s="2">
        <v>4</v>
      </c>
      <c r="C27" s="35" t="s">
        <v>96</v>
      </c>
      <c r="D27" s="45">
        <f>+D95</f>
        <v>63540</v>
      </c>
      <c r="E27" s="59">
        <f t="shared" si="0"/>
        <v>210050</v>
      </c>
    </row>
    <row r="28" spans="1:5" x14ac:dyDescent="0.3">
      <c r="B28" s="2">
        <v>5</v>
      </c>
      <c r="C28" s="35" t="s">
        <v>97</v>
      </c>
      <c r="D28" s="45">
        <f>+D119</f>
        <v>158530</v>
      </c>
      <c r="E28" s="59">
        <f t="shared" si="0"/>
        <v>524060</v>
      </c>
    </row>
    <row r="29" spans="1:5" x14ac:dyDescent="0.3">
      <c r="B29" s="2">
        <v>6</v>
      </c>
      <c r="C29" s="35" t="s">
        <v>98</v>
      </c>
      <c r="D29" s="45">
        <f>+D133</f>
        <v>64680</v>
      </c>
      <c r="E29" s="59">
        <f t="shared" si="0"/>
        <v>213810</v>
      </c>
    </row>
    <row r="30" spans="1:5" x14ac:dyDescent="0.3">
      <c r="B30" s="2">
        <v>7</v>
      </c>
      <c r="C30" s="35" t="s">
        <v>99</v>
      </c>
      <c r="D30" s="45">
        <f>+D146</f>
        <v>37130</v>
      </c>
      <c r="E30" s="59">
        <f t="shared" si="0"/>
        <v>122740</v>
      </c>
    </row>
    <row r="31" spans="1:5" x14ac:dyDescent="0.3">
      <c r="B31" s="2">
        <v>8</v>
      </c>
      <c r="C31" s="35" t="s">
        <v>100</v>
      </c>
      <c r="D31" s="45">
        <f>+D154</f>
        <v>31960</v>
      </c>
      <c r="E31" s="59">
        <f t="shared" si="0"/>
        <v>105650</v>
      </c>
    </row>
    <row r="32" spans="1:5" x14ac:dyDescent="0.3">
      <c r="B32" s="2">
        <v>9</v>
      </c>
      <c r="C32" s="35" t="s">
        <v>101</v>
      </c>
      <c r="D32" s="45">
        <f>+D161</f>
        <v>11240</v>
      </c>
      <c r="E32" s="59">
        <f t="shared" si="0"/>
        <v>37150</v>
      </c>
    </row>
    <row r="33" spans="1:7" x14ac:dyDescent="0.3">
      <c r="B33" s="2">
        <v>10</v>
      </c>
      <c r="C33" s="35" t="s">
        <v>155</v>
      </c>
      <c r="D33" s="53">
        <f>TRUNC(SUM(D24:D32)*0.275,-1)</f>
        <v>334330</v>
      </c>
      <c r="E33" s="60">
        <f t="shared" si="0"/>
        <v>1105220</v>
      </c>
    </row>
    <row r="34" spans="1:7" x14ac:dyDescent="0.3">
      <c r="C34" s="35" t="s">
        <v>112</v>
      </c>
      <c r="D34" s="44">
        <f>SUM(D24:D33)</f>
        <v>1550100</v>
      </c>
      <c r="E34" s="44">
        <f>SUM(E24:E33)</f>
        <v>5124270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TRUNC(31627,-1)</f>
        <v>31620</v>
      </c>
      <c r="E40" s="62">
        <f t="shared" ref="E40:E59" si="1">TRUNC(+D40*3.3058,-1)</f>
        <v>104520</v>
      </c>
    </row>
    <row r="41" spans="1:7" x14ac:dyDescent="0.3">
      <c r="A41" s="2">
        <v>2</v>
      </c>
      <c r="C41" s="38" t="s">
        <v>13</v>
      </c>
      <c r="D41" s="42">
        <f>TRUNC(122875,-1)</f>
        <v>122870</v>
      </c>
      <c r="E41" s="63">
        <f t="shared" si="1"/>
        <v>406180</v>
      </c>
    </row>
    <row r="42" spans="1:7" x14ac:dyDescent="0.3">
      <c r="A42" s="2">
        <v>3</v>
      </c>
      <c r="C42" s="38" t="s">
        <v>14</v>
      </c>
      <c r="D42" s="42">
        <f>TRUNC(11242,-1)</f>
        <v>11240</v>
      </c>
      <c r="E42" s="63">
        <f t="shared" si="1"/>
        <v>37150</v>
      </c>
    </row>
    <row r="43" spans="1:7" x14ac:dyDescent="0.3">
      <c r="A43" s="2">
        <v>4</v>
      </c>
      <c r="C43" s="38" t="s">
        <v>16</v>
      </c>
      <c r="D43" s="42">
        <f>TRUNC(39127,-1)</f>
        <v>39120</v>
      </c>
      <c r="E43" s="63">
        <f t="shared" si="1"/>
        <v>129320</v>
      </c>
    </row>
    <row r="44" spans="1:7" x14ac:dyDescent="0.3">
      <c r="A44" s="2">
        <v>5</v>
      </c>
      <c r="C44" s="38" t="s">
        <v>17</v>
      </c>
      <c r="D44" s="42">
        <f>TRUNC(22491,-1)</f>
        <v>22490</v>
      </c>
      <c r="E44" s="63">
        <f t="shared" si="1"/>
        <v>74340</v>
      </c>
    </row>
    <row r="45" spans="1:7" x14ac:dyDescent="0.3">
      <c r="A45" s="2">
        <v>6</v>
      </c>
      <c r="C45" s="38" t="s">
        <v>18</v>
      </c>
      <c r="D45" s="42">
        <f>TRUNC(9599,-1)</f>
        <v>9590</v>
      </c>
      <c r="E45" s="63">
        <f t="shared" si="1"/>
        <v>31700</v>
      </c>
    </row>
    <row r="46" spans="1:7" x14ac:dyDescent="0.3">
      <c r="A46" s="2">
        <v>7</v>
      </c>
      <c r="C46" s="38" t="s">
        <v>19</v>
      </c>
      <c r="D46" s="42">
        <f>TRUNC(13607,-1)</f>
        <v>13600</v>
      </c>
      <c r="E46" s="63">
        <f t="shared" si="1"/>
        <v>44950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TRUNC(40816,-1)</f>
        <v>40810</v>
      </c>
      <c r="E48" s="63">
        <f t="shared" si="1"/>
        <v>134900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TRUNC(19256,-1)</f>
        <v>19250</v>
      </c>
      <c r="E49" s="63">
        <f t="shared" si="1"/>
        <v>63630</v>
      </c>
    </row>
    <row r="50" spans="1:7" x14ac:dyDescent="0.3">
      <c r="A50" s="2">
        <v>11</v>
      </c>
      <c r="C50" s="38" t="s">
        <v>156</v>
      </c>
      <c r="D50" s="42">
        <v>36830</v>
      </c>
      <c r="E50" s="63">
        <f t="shared" si="1"/>
        <v>121750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TRUNC(9291,-1)</f>
        <v>9290</v>
      </c>
      <c r="E52" s="63">
        <f t="shared" si="1"/>
        <v>30710</v>
      </c>
    </row>
    <row r="53" spans="1:7" x14ac:dyDescent="0.3">
      <c r="A53" s="2">
        <v>14</v>
      </c>
      <c r="C53" s="38" t="s">
        <v>25</v>
      </c>
      <c r="D53" s="42">
        <f>TRUNC(71559,-1)</f>
        <v>71550</v>
      </c>
      <c r="E53" s="63">
        <f t="shared" si="1"/>
        <v>236520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TRUNC(1469+3986-484+8038,-1)</f>
        <v>13000</v>
      </c>
      <c r="E58" s="63">
        <f t="shared" si="1"/>
        <v>42970</v>
      </c>
      <c r="F58" s="2" t="s">
        <v>261</v>
      </c>
    </row>
    <row r="59" spans="1:7" ht="17.25" thickBot="1" x14ac:dyDescent="0.35">
      <c r="A59" s="2">
        <v>20</v>
      </c>
      <c r="C59" s="38" t="s">
        <v>149</v>
      </c>
      <c r="D59" s="43">
        <f>TRUNC(385716,-1)</f>
        <v>385710</v>
      </c>
      <c r="E59" s="64">
        <f t="shared" si="1"/>
        <v>1275080</v>
      </c>
    </row>
    <row r="60" spans="1:7" x14ac:dyDescent="0.3">
      <c r="A60" s="2">
        <v>21</v>
      </c>
      <c r="C60" s="27" t="s">
        <v>112</v>
      </c>
      <c r="D60" s="39">
        <f>SUM(D40:D59)</f>
        <v>826970</v>
      </c>
      <c r="E60" s="39">
        <f>SUM(E40:E59)</f>
        <v>2733720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TRUNC(21725,-1)</f>
        <v>21720</v>
      </c>
      <c r="E63" s="62">
        <f>TRUNC(+D63*3.3058,-1)</f>
        <v>71800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21720</v>
      </c>
      <c r="E66" s="65">
        <f>SUM(E63:E65)</f>
        <v>71800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TRUNC(6316,-1)</f>
        <v>6310</v>
      </c>
      <c r="E69" s="62">
        <f t="shared" ref="E69:E94" si="2">TRUNC(+D69*3.3058,-1)</f>
        <v>20850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TRUNC(2899,-1)</f>
        <v>2890</v>
      </c>
      <c r="E72" s="63">
        <f t="shared" si="2"/>
        <v>9550</v>
      </c>
    </row>
    <row r="73" spans="1:7" x14ac:dyDescent="0.3">
      <c r="A73" s="2">
        <v>5</v>
      </c>
      <c r="C73" s="38" t="s">
        <v>34</v>
      </c>
      <c r="D73" s="42">
        <f>TRUNC(13126,-1)</f>
        <v>13120</v>
      </c>
      <c r="E73" s="63">
        <f t="shared" si="2"/>
        <v>43370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TRUNC(15975,-1)</f>
        <v>15970</v>
      </c>
      <c r="E76" s="63">
        <f t="shared" si="2"/>
        <v>52790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TRUNC(6972,-1)</f>
        <v>6970</v>
      </c>
      <c r="E89" s="63">
        <f t="shared" si="2"/>
        <v>23040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TRUNC(3448,-1)</f>
        <v>3440</v>
      </c>
      <c r="E91" s="63">
        <f t="shared" si="2"/>
        <v>11370</v>
      </c>
    </row>
    <row r="92" spans="1:7" x14ac:dyDescent="0.3">
      <c r="A92" s="2">
        <v>24</v>
      </c>
      <c r="C92" s="38" t="s">
        <v>38</v>
      </c>
      <c r="D92" s="42">
        <f>TRUNC(8421,-1)</f>
        <v>8420</v>
      </c>
      <c r="E92" s="63">
        <f t="shared" si="2"/>
        <v>27830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TRUNC(459+1908+893+3161,-1)</f>
        <v>6420</v>
      </c>
      <c r="E94" s="64">
        <f t="shared" si="2"/>
        <v>21220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63540</v>
      </c>
      <c r="E95" s="39">
        <f>SUM(E69:E94)</f>
        <v>210020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TRUNC(11236,-1)</f>
        <v>11230</v>
      </c>
      <c r="E98" s="62">
        <f t="shared" ref="E98:E118" si="3">TRUNC(+D98*3.3058,-1)</f>
        <v>37120</v>
      </c>
    </row>
    <row r="99" spans="1:7" x14ac:dyDescent="0.3">
      <c r="A99" s="2">
        <v>2</v>
      </c>
      <c r="C99" s="38" t="s">
        <v>40</v>
      </c>
      <c r="D99" s="42">
        <f>TRUNC(4252,-1)</f>
        <v>4250</v>
      </c>
      <c r="E99" s="63">
        <f t="shared" si="3"/>
        <v>14040</v>
      </c>
    </row>
    <row r="100" spans="1:7" x14ac:dyDescent="0.3">
      <c r="A100" s="2">
        <v>3</v>
      </c>
      <c r="C100" s="38" t="s">
        <v>41</v>
      </c>
      <c r="D100" s="42">
        <f>TRUNC(25016,-1)</f>
        <v>25010</v>
      </c>
      <c r="E100" s="63">
        <f t="shared" si="3"/>
        <v>82670</v>
      </c>
    </row>
    <row r="101" spans="1:7" x14ac:dyDescent="0.3">
      <c r="A101" s="2">
        <v>4</v>
      </c>
      <c r="C101" s="38" t="s">
        <v>42</v>
      </c>
      <c r="D101" s="42">
        <f>TRUNC(1291,-1)</f>
        <v>1290</v>
      </c>
      <c r="E101" s="63">
        <f t="shared" si="3"/>
        <v>4260</v>
      </c>
    </row>
    <row r="102" spans="1:7" x14ac:dyDescent="0.3">
      <c r="A102" s="2">
        <v>5</v>
      </c>
      <c r="C102" s="38" t="s">
        <v>43</v>
      </c>
      <c r="D102" s="42">
        <f>TRUNC(13608,-1)</f>
        <v>13600</v>
      </c>
      <c r="E102" s="63">
        <f t="shared" si="3"/>
        <v>44950</v>
      </c>
    </row>
    <row r="103" spans="1:7" x14ac:dyDescent="0.3">
      <c r="A103" s="2">
        <v>6</v>
      </c>
      <c r="C103" s="38" t="s">
        <v>44</v>
      </c>
      <c r="D103" s="42">
        <v>3010</v>
      </c>
      <c r="E103" s="63">
        <f t="shared" si="3"/>
        <v>9950</v>
      </c>
    </row>
    <row r="104" spans="1:7" x14ac:dyDescent="0.3">
      <c r="A104" s="2">
        <v>7</v>
      </c>
      <c r="C104" s="38" t="s">
        <v>45</v>
      </c>
      <c r="D104" s="42">
        <f>TRUNC(2656,-1)</f>
        <v>2650</v>
      </c>
      <c r="E104" s="63">
        <f t="shared" si="3"/>
        <v>8760</v>
      </c>
    </row>
    <row r="105" spans="1:7" x14ac:dyDescent="0.3">
      <c r="A105" s="2">
        <v>8</v>
      </c>
      <c r="C105" s="38" t="s">
        <v>46</v>
      </c>
      <c r="D105" s="42">
        <f>TRUNC(7453,-1)</f>
        <v>7450</v>
      </c>
      <c r="E105" s="63">
        <f t="shared" si="3"/>
        <v>24620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TRUNC(1648,-1)</f>
        <v>1640</v>
      </c>
      <c r="E114" s="63">
        <f t="shared" si="3"/>
        <v>5420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3520</v>
      </c>
      <c r="E116" s="63">
        <f t="shared" si="3"/>
        <v>11630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TRUNC(82337,-1)</f>
        <v>82330</v>
      </c>
      <c r="E117" s="63">
        <f t="shared" si="3"/>
        <v>272160</v>
      </c>
    </row>
    <row r="118" spans="1:7" ht="17.25" thickBot="1" x14ac:dyDescent="0.35">
      <c r="A118" s="2">
        <v>21</v>
      </c>
      <c r="C118" s="38" t="s">
        <v>47</v>
      </c>
      <c r="D118" s="43">
        <f>TRUNC(2551,-1)</f>
        <v>2550</v>
      </c>
      <c r="E118" s="64">
        <f t="shared" si="3"/>
        <v>8420</v>
      </c>
    </row>
    <row r="119" spans="1:7" x14ac:dyDescent="0.3">
      <c r="A119" s="2">
        <v>22</v>
      </c>
      <c r="C119" s="27" t="s">
        <v>112</v>
      </c>
      <c r="D119" s="39">
        <f>SUM(D98:D118)</f>
        <v>158530</v>
      </c>
      <c r="E119" s="39">
        <f>SUM(E98:E118)</f>
        <v>524000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TRUNC(3514,-1)</f>
        <v>3510</v>
      </c>
      <c r="E122" s="62">
        <f t="shared" ref="E122:E132" si="4">TRUNC(+D122*3.3058,-1)</f>
        <v>11600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TRUNC(843,-1)</f>
        <v>840</v>
      </c>
      <c r="E124" s="63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TRUNC(6531,-1)</f>
        <v>6530</v>
      </c>
      <c r="E125" s="63">
        <f t="shared" si="4"/>
        <v>21580</v>
      </c>
    </row>
    <row r="126" spans="1:7" x14ac:dyDescent="0.3">
      <c r="A126" s="2">
        <v>5</v>
      </c>
      <c r="C126" s="38" t="s">
        <v>53</v>
      </c>
      <c r="D126" s="42">
        <f>TRUNC(631,-1)</f>
        <v>630</v>
      </c>
      <c r="E126" s="63">
        <f t="shared" si="4"/>
        <v>2080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TRUNC(4129,-1)</f>
        <v>4120</v>
      </c>
      <c r="E128" s="63">
        <f t="shared" si="4"/>
        <v>13610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TRUNC(11035,-1)</f>
        <v>11030</v>
      </c>
      <c r="E130" s="63">
        <f t="shared" si="4"/>
        <v>36460</v>
      </c>
    </row>
    <row r="131" spans="1:7" x14ac:dyDescent="0.3">
      <c r="A131" s="2">
        <v>10</v>
      </c>
      <c r="C131" s="38" t="s">
        <v>149</v>
      </c>
      <c r="D131" s="42">
        <f>TRUNC(34973,-1)</f>
        <v>34970</v>
      </c>
      <c r="E131" s="63">
        <f t="shared" si="4"/>
        <v>115600</v>
      </c>
    </row>
    <row r="132" spans="1:7" ht="18" thickBot="1" x14ac:dyDescent="0.35">
      <c r="A132" s="2">
        <v>11</v>
      </c>
      <c r="C132" s="38" t="s">
        <v>47</v>
      </c>
      <c r="D132" s="43">
        <f>TRUNC(1696+1361,-1)</f>
        <v>3050</v>
      </c>
      <c r="E132" s="64">
        <f t="shared" si="4"/>
        <v>10080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64680</v>
      </c>
      <c r="E133" s="39">
        <f>SUM(E122:E132)</f>
        <v>213780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TRUNC(1022,-1)</f>
        <v>1020</v>
      </c>
      <c r="E137" s="63">
        <f t="shared" si="5"/>
        <v>3370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TRUNC(812,-1)</f>
        <v>810</v>
      </c>
      <c r="E140" s="63">
        <f t="shared" si="5"/>
        <v>2670</v>
      </c>
    </row>
    <row r="141" spans="1:7" x14ac:dyDescent="0.3">
      <c r="A141" s="2">
        <v>6</v>
      </c>
      <c r="C141" s="38" t="s">
        <v>59</v>
      </c>
      <c r="D141" s="42">
        <f>TRUNC(10181,-1)</f>
        <v>10180</v>
      </c>
      <c r="E141" s="63">
        <f t="shared" si="5"/>
        <v>33650</v>
      </c>
    </row>
    <row r="142" spans="1:7" x14ac:dyDescent="0.3">
      <c r="A142" s="2">
        <v>7</v>
      </c>
      <c r="C142" s="38" t="s">
        <v>58</v>
      </c>
      <c r="D142" s="42">
        <f>TRUNC(6675,-1)</f>
        <v>6670</v>
      </c>
      <c r="E142" s="63">
        <f t="shared" si="5"/>
        <v>22040</v>
      </c>
    </row>
    <row r="143" spans="1:7" x14ac:dyDescent="0.3">
      <c r="A143" s="2">
        <v>8</v>
      </c>
      <c r="C143" s="38" t="s">
        <v>62</v>
      </c>
      <c r="D143" s="42">
        <f>TRUNC(1775,-1)</f>
        <v>1770</v>
      </c>
      <c r="E143" s="63">
        <f t="shared" si="5"/>
        <v>5850</v>
      </c>
    </row>
    <row r="144" spans="1:7" x14ac:dyDescent="0.3">
      <c r="A144" s="2">
        <v>9</v>
      </c>
      <c r="C144" s="38" t="s">
        <v>63</v>
      </c>
      <c r="D144" s="42">
        <f>TRUNC(16688,-1)</f>
        <v>16680</v>
      </c>
      <c r="E144" s="63">
        <f t="shared" si="5"/>
        <v>55140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37130</v>
      </c>
      <c r="E146" s="39">
        <f>SUM(E136:E145)</f>
        <v>122720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TRUNC(13966,-1)</f>
        <v>13960</v>
      </c>
      <c r="E149" s="62">
        <f>TRUNC(+D149*3.3058,-1)</f>
        <v>46140</v>
      </c>
    </row>
    <row r="150" spans="1:7" x14ac:dyDescent="0.3">
      <c r="A150" s="2">
        <v>2</v>
      </c>
      <c r="C150" s="38" t="s">
        <v>49</v>
      </c>
      <c r="D150" s="42">
        <f>TRUNC(10038,-1)</f>
        <v>10030</v>
      </c>
      <c r="E150" s="63">
        <f>TRUNC(+D150*3.3058,-1)</f>
        <v>33150</v>
      </c>
    </row>
    <row r="151" spans="1:7" x14ac:dyDescent="0.3">
      <c r="A151" s="2">
        <v>3</v>
      </c>
      <c r="C151" s="38" t="s">
        <v>50</v>
      </c>
      <c r="D151" s="42">
        <f>TRUNC(7937,-1)</f>
        <v>7930</v>
      </c>
      <c r="E151" s="63">
        <f>TRUNC(+D151*3.3058,-1)</f>
        <v>26210</v>
      </c>
    </row>
    <row r="152" spans="1:7" x14ac:dyDescent="0.3">
      <c r="A152" s="2">
        <v>4</v>
      </c>
      <c r="C152" s="38" t="s">
        <v>47</v>
      </c>
      <c r="D152" s="42">
        <f>TRUNC(42,-1)</f>
        <v>40</v>
      </c>
      <c r="E152" s="63">
        <f>TRUNC(+D152*3.3058,-1)</f>
        <v>130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31960</v>
      </c>
      <c r="E154" s="39">
        <f>SUM(E149:E153)</f>
        <v>105630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TRUNC(7346,-1)</f>
        <v>7340</v>
      </c>
      <c r="E157" s="62">
        <f>TRUNC(+D157*3.3058,-1)</f>
        <v>24260</v>
      </c>
    </row>
    <row r="158" spans="1:7" x14ac:dyDescent="0.3">
      <c r="A158" s="2">
        <v>2</v>
      </c>
      <c r="C158" s="38" t="s">
        <v>52</v>
      </c>
      <c r="D158" s="42">
        <f>TRUNC(2275,-1)</f>
        <v>2270</v>
      </c>
      <c r="E158" s="63">
        <f>TRUNC(+D158*3.3058,-1)</f>
        <v>7500</v>
      </c>
    </row>
    <row r="159" spans="1:7" x14ac:dyDescent="0.3">
      <c r="A159" s="2">
        <v>3</v>
      </c>
      <c r="C159" s="38" t="s">
        <v>47</v>
      </c>
      <c r="D159" s="42">
        <f>TRUNC(874+757,-1)</f>
        <v>1630</v>
      </c>
      <c r="E159" s="63">
        <f>TRUNC(+D159*3.3058,-1)</f>
        <v>5380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11240</v>
      </c>
      <c r="E161" s="39">
        <f>SUM(E157:E160)</f>
        <v>37140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2020-12-08T01:32:00Z</dcterms:modified>
</cp:coreProperties>
</file>