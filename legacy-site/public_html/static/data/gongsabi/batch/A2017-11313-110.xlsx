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59" i="4" l="1"/>
  <c r="D157" i="4"/>
  <c r="D151" i="4"/>
  <c r="D150" i="4"/>
  <c r="D149" i="4"/>
  <c r="D144" i="4"/>
  <c r="D143" i="4"/>
  <c r="D140" i="4"/>
  <c r="D132" i="4"/>
  <c r="D131" i="4"/>
  <c r="D130" i="4"/>
  <c r="D128" i="4"/>
  <c r="D125" i="4"/>
  <c r="D124" i="4"/>
  <c r="D118" i="4"/>
  <c r="D114" i="4"/>
  <c r="D105" i="4"/>
  <c r="D104" i="4"/>
  <c r="D103" i="4"/>
  <c r="D102" i="4"/>
  <c r="D100" i="4"/>
  <c r="D99" i="4"/>
  <c r="D98" i="4"/>
  <c r="D94" i="4"/>
  <c r="D93" i="4"/>
  <c r="D92" i="4"/>
  <c r="D91" i="4"/>
  <c r="D89" i="4"/>
  <c r="D76" i="4"/>
  <c r="D75" i="4"/>
  <c r="D73" i="4"/>
  <c r="D72" i="4"/>
  <c r="D71" i="4"/>
  <c r="D70" i="4"/>
  <c r="D69" i="4"/>
  <c r="D65" i="4"/>
  <c r="D63" i="4"/>
  <c r="D59" i="4"/>
  <c r="D58" i="4"/>
  <c r="D53" i="4"/>
  <c r="D52" i="4"/>
  <c r="D50" i="4"/>
  <c r="D49" i="4"/>
  <c r="D48" i="4"/>
  <c r="D45" i="4"/>
  <c r="D44" i="4"/>
  <c r="D43" i="4"/>
  <c r="D42" i="4"/>
  <c r="D41" i="4"/>
  <c r="D40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66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<sst xmlns="http://schemas.openxmlformats.org/spreadsheetml/2006/main" count="392" uniqueCount="268">
  <si>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</si>
  <si>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</si>
  <si>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</si>
  <si>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</si>
  <si>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</si>
  <si>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</si>
  <si>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</si>
  <si>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</si>
  <si>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</si>
  <si>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</si>
  <si>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</si>
  <si>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</si>
  <si>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</si>
  <si>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</si>
  <si>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</si>
  <si>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</si>
  <si>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</si>
  <si>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</si>
  <si>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</si>
  <si>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</si>
  <si>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</si>
  <si>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</si>
  <si>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</si>
  <si>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</si>
  <si>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</si>
  <si>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</si>
  <si>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</si>
  <si>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</si>
  <si>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</si>
  <si>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</si>
  <si>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</si>
  <si>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</si>
  <si>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</si>
  <si>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</si>
  <si>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</si>
  <si>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</si>
  <si>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</si>
  <si>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</si>
  <si>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</si>
  <si>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</si>
  <si>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</si>
  <si>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</si>
  <si>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</si>
  <si>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</si>
  <si>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</si>
  <si>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</si>
  <si>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</si>
  <si>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</si>
  <si>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</si>
  <si>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</si>
  <si>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</si>
  <si>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</si>
  <si>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</si>
  <si>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</si>
  <si>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</si>
  <si>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</si>
  <si>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</si>
  <si>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</si>
  <si>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</si>
  <si>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</si>
  <si>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</si>
  <si>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</si>
  <si>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</si>
  <si>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</si>
  <si>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</si>
  <si>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</si>
  <si>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</si>
  <si>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</si>
  <si>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</si>
  <si>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</si>
  <si>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</si>
  <si>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</si>
  <si>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</si>
  <si>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</si>
  <si>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</si>
  <si>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</si>
  <si>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</si>
  <si>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</si>
  <si>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</si>
  <si>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</si>
  <si>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</si>
  <si>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</si>
  <si>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</si>
  <si>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</si>
  <si>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</si>
  <si>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</si>
  <si>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</si>
  <si>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</si>
  <si>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</si>
  <si>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</si>
  <si>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</si>
  <si>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</si>
  <si>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</si>
  <si>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</si>
  <si>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</si>
  <si>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</si>
  <si>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</si>
  <si>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</si>
  <si>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</si>
  <si>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</si>
  <si>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</si>
  <si>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</si>
  <si>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</si>
  <si>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</si>
  <si>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</si>
  <si>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</si>
  <si>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</si>
  <si>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</si>
  <si>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</si>
  <si>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</si>
  <si>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</si>
  <si>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</si>
  <si>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</si>
  <si>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</si>
  <si>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</si>
  <si>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</si>
  <si>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</si>
  <si>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</si>
  <si>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</si>
  <si>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</si>
  <si>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</si>
  <si>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</si>
  <si>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</si>
  <si>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</si>
  <si>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</si>
  <si>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</si>
  <si>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</si>
  <si>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</si>
  <si>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</si>
  <si>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</si>
  <si>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</si>
  <si>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</si>
  <si>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</si>
  <si>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</si>
  <si>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</si>
  <si>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</si>
  <si>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</si>
  <si>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</si>
  <si>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</si>
  <si>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</si>
  <si>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</si>
  <si>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</si>
  <si>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</si>
  <si>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</si>
  <si>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</si>
  <si>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</si>
  <si>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</si>
  <si>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</si>
  <si>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</si>
  <si>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</si>
  <si>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</si>
  <si>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</si>
  <si>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</si>
  <si>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</si>
  <si>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</si>
  <si>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</si>
  <si>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</si>
  <si>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</si>
  <si>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</si>
  <si>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</si>
  <si>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</si>
  <si>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</si>
  <si>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</si>
  <si>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</si>
  <si>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</si>
  <si>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</si>
  <si>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</si>
  <si>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</si>
  <si>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</si>
  <si>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</si>
  <si>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</si>
  <si>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</si>
  <si>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</si>
  <si>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</si>
  <si>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</si>
  <si>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</si>
  <si>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</si>
  <si>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</si>
  <si>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</si>
  <si>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</si>
  <si>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</si>
  <si>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</si>
  <si>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</si>
  <si>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</si>
  <si>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</si>
  <si>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</si>
  <si>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</si>
  <si>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</si>
  <si>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</si>
  <si>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</si>
  <si>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</si>
  <si>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</si>
  <si>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</si>
  <si>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</si>
  <si>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</si>
  <si>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</si>
  <si>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</si>
  <si>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</si>
  <si>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</si>
  <si>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</si>
  <si>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</si>
  <si>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</si>
  <si>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</si>
  <si>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</si>
  <si>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</si>
  <si>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</si>
  <si>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</si>
  <si>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</si>
  <si>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</si>
  <si>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</si>
  <si>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</si>
  <si>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</si>
  <si>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</si>
  <si>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</si>
  <si>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</si>
  <si>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</si>
  <si>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</si>
  <si>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</si>
  <si>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</si>
  <si>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</si>
  <si>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</si>
  <si>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</si>
  <si>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</si>
  <si>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</si>
  <si>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</si>
  <si>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</si>
  <si>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</si>
  <si>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</si>
  <si>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</si>
  <si>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</si>
  <si>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</si>
  <si>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</si>
  <si>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</si>
  <si>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</si>
  <si>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</si>
  <si>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</si>
  <si>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</si>
  <si>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</si>
  <si>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</si>
  <si>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</si>
  <si>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</si>
  <si>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</si>
  <si>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</si>
  <si>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</si>
  <si>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</si>
  <si>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</si>
  <si>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</si>
  <si>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</si>
  <si>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</si>
  <si>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</si>
  <si>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</si>
  <si>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</si>
  <si>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</si>
  <si>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</si>
  <si>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포장공사, 기타공사</t>
    <phoneticPr fontId="2" type="noConversion"/>
  </si>
  <si>
    <t>교육연구</t>
  </si>
  <si>
    <t>(가칭)완주둔산초등학교 신축공사</t>
    <phoneticPr fontId="2" type="noConversion"/>
  </si>
  <si>
    <t>전라도</t>
  </si>
  <si>
    <t>기초공사, 골재비및운반비, 품질시험비, 기타공사</t>
    <phoneticPr fontId="2" type="noConversion"/>
  </si>
  <si>
    <t>바닥난방공사, 기타공사</t>
    <phoneticPr fontId="2" type="noConversion"/>
  </si>
  <si>
    <t>CCTV설비공사, 기타공사</t>
    <phoneticPr fontId="2" type="noConversion"/>
  </si>
  <si>
    <t xml:space="preserve"> 상수도공사</t>
    <phoneticPr fontId="2" type="noConversion"/>
  </si>
  <si>
    <t>항 목</t>
    <phoneticPr fontId="2" type="noConversion"/>
  </si>
  <si>
    <t>원/ m2</t>
    <phoneticPr fontId="2" type="noConversion"/>
  </si>
  <si>
    <t>원 /평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</si>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</sst>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8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69" t="s">
        <v>156</v>
      </c>
      <c r="B2" s="72" t="s">
        <v>0</v>
      </c>
      <c r="C2" s="73"/>
      <c r="D2" s="72" t="s">
        <v>1</v>
      </c>
      <c r="E2" s="73"/>
      <c r="F2" s="72" t="s">
        <v>157</v>
      </c>
      <c r="G2" s="73"/>
      <c r="H2" s="72" t="s">
        <v>2</v>
      </c>
      <c r="I2" s="73"/>
      <c r="J2" s="72" t="s">
        <v>3</v>
      </c>
      <c r="K2" s="73"/>
      <c r="L2" s="72" t="s">
        <v>158</v>
      </c>
      <c r="M2" s="73"/>
      <c r="N2" s="72" t="s">
        <v>159</v>
      </c>
      <c r="O2" s="73"/>
      <c r="P2" s="72" t="s">
        <v>5</v>
      </c>
      <c r="Q2" s="73"/>
      <c r="R2" s="66" t="s">
        <v>94</v>
      </c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8"/>
    </row>
    <row r="3" spans="1:33" x14ac:dyDescent="0.3">
      <c r="A3" s="70"/>
      <c r="B3" s="74"/>
      <c r="C3" s="75"/>
      <c r="D3" s="74"/>
      <c r="E3" s="75"/>
      <c r="F3" s="74"/>
      <c r="G3" s="75"/>
      <c r="H3" s="74"/>
      <c r="I3" s="75"/>
      <c r="J3" s="74"/>
      <c r="K3" s="75"/>
      <c r="L3" s="74"/>
      <c r="M3" s="75"/>
      <c r="N3" s="74"/>
      <c r="O3" s="75"/>
      <c r="P3" s="74"/>
      <c r="Q3" s="75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1"/>
      <c r="B4" s="76"/>
      <c r="C4" s="77"/>
      <c r="D4" s="76"/>
      <c r="E4" s="77"/>
      <c r="F4" s="76"/>
      <c r="G4" s="77"/>
      <c r="H4" s="76"/>
      <c r="I4" s="77"/>
      <c r="J4" s="76"/>
      <c r="K4" s="77"/>
      <c r="L4" s="76"/>
      <c r="M4" s="77"/>
      <c r="N4" s="76"/>
      <c r="O4" s="77"/>
      <c r="P4" s="76"/>
      <c r="Q4" s="77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265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256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255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9640.74</v>
      </c>
      <c r="D7" s="36">
        <f>+C7/3.3058</f>
        <v>2916.31072660173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257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207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266</v>
      </c>
    </row>
    <row r="19" spans="1:5" x14ac:dyDescent="0.3">
      <c r="A19" s="2">
        <v>9</v>
      </c>
      <c r="B19" s="2" t="s">
        <v>267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1020290</v>
      </c>
      <c r="E25" s="59">
        <f t="shared" si="0"/>
        <v>3372870</v>
      </c>
    </row>
    <row r="26" spans="1:5" x14ac:dyDescent="0.3">
      <c r="B26" s="2">
        <v>3</v>
      </c>
      <c r="C26" s="35" t="s">
        <v>95</v>
      </c>
      <c r="D26" s="45">
        <f>+D66</f>
        <v>89450</v>
      </c>
      <c r="E26" s="59">
        <f t="shared" si="0"/>
        <v>295700</v>
      </c>
    </row>
    <row r="27" spans="1:5" x14ac:dyDescent="0.3">
      <c r="B27" s="2">
        <v>4</v>
      </c>
      <c r="C27" s="35" t="s">
        <v>96</v>
      </c>
      <c r="D27" s="45">
        <f>+D95</f>
        <v>189490</v>
      </c>
      <c r="E27" s="59">
        <f t="shared" si="0"/>
        <v>626410</v>
      </c>
    </row>
    <row r="28" spans="1:5" x14ac:dyDescent="0.3">
      <c r="B28" s="2">
        <v>5</v>
      </c>
      <c r="C28" s="35" t="s">
        <v>97</v>
      </c>
      <c r="D28" s="45">
        <f>+D119</f>
        <v>95550</v>
      </c>
      <c r="E28" s="59">
        <f t="shared" si="0"/>
        <v>315860</v>
      </c>
    </row>
    <row r="29" spans="1:5" x14ac:dyDescent="0.3">
      <c r="B29" s="2">
        <v>6</v>
      </c>
      <c r="C29" s="35" t="s">
        <v>98</v>
      </c>
      <c r="D29" s="45">
        <f>+D133</f>
        <v>95670</v>
      </c>
      <c r="E29" s="59">
        <f t="shared" si="0"/>
        <v>316260</v>
      </c>
    </row>
    <row r="30" spans="1:5" x14ac:dyDescent="0.3">
      <c r="B30" s="2">
        <v>7</v>
      </c>
      <c r="C30" s="35" t="s">
        <v>99</v>
      </c>
      <c r="D30" s="45">
        <f>+D146</f>
        <v>36410</v>
      </c>
      <c r="E30" s="59">
        <f t="shared" si="0"/>
        <v>120360</v>
      </c>
    </row>
    <row r="31" spans="1:5" x14ac:dyDescent="0.3">
      <c r="B31" s="2">
        <v>8</v>
      </c>
      <c r="C31" s="35" t="s">
        <v>100</v>
      </c>
      <c r="D31" s="45">
        <f>+D154</f>
        <v>103000</v>
      </c>
      <c r="E31" s="59">
        <f t="shared" si="0"/>
        <v>340490</v>
      </c>
    </row>
    <row r="32" spans="1:5" x14ac:dyDescent="0.3">
      <c r="B32" s="2">
        <v>9</v>
      </c>
      <c r="C32" s="35" t="s">
        <v>101</v>
      </c>
      <c r="D32" s="45">
        <f>+D161</f>
        <v>58510</v>
      </c>
      <c r="E32" s="59">
        <f t="shared" si="0"/>
        <v>193420</v>
      </c>
    </row>
    <row r="33" spans="1:7" x14ac:dyDescent="0.3">
      <c r="B33" s="2">
        <v>10</v>
      </c>
      <c r="C33" s="35" t="s">
        <v>154</v>
      </c>
      <c r="D33" s="53">
        <f>TRUNC(SUM(D24:D32)*0.275,-1)</f>
        <v>464300</v>
      </c>
      <c r="E33" s="60">
        <f t="shared" si="0"/>
        <v>1534880</v>
      </c>
    </row>
    <row r="34" spans="1:7" x14ac:dyDescent="0.3">
      <c r="C34" s="35" t="s">
        <v>112</v>
      </c>
      <c r="D34" s="44">
        <f>SUM(D24:D33)</f>
        <v>2152670</v>
      </c>
      <c r="E34" s="44">
        <f>SUM(E24:E33)</f>
        <v>7116250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6</v>
      </c>
      <c r="C39" s="56" t="s">
        <v>262</v>
      </c>
      <c r="D39" s="57" t="s">
        <v>263</v>
      </c>
      <c r="E39" s="57" t="s">
        <v>264</v>
      </c>
      <c r="G39" s="55"/>
    </row>
    <row r="40" spans="1:7" x14ac:dyDescent="0.3">
      <c r="A40" s="2">
        <v>1</v>
      </c>
      <c r="C40" s="38" t="s">
        <v>15</v>
      </c>
      <c r="D40" s="40">
        <f>TRUNC(66995,-1)</f>
        <v>66990</v>
      </c>
      <c r="E40" s="62">
        <f t="shared" ref="E40:E59" si="1">TRUNC(+D40*3.3058,-1)</f>
        <v>221450</v>
      </c>
    </row>
    <row r="41" spans="1:7" x14ac:dyDescent="0.3">
      <c r="A41" s="2">
        <v>2</v>
      </c>
      <c r="C41" s="38" t="s">
        <v>13</v>
      </c>
      <c r="D41" s="42">
        <f>TRUNC(137315,-1)</f>
        <v>137310</v>
      </c>
      <c r="E41" s="63">
        <f t="shared" si="1"/>
        <v>453910</v>
      </c>
    </row>
    <row r="42" spans="1:7" x14ac:dyDescent="0.3">
      <c r="A42" s="2">
        <v>3</v>
      </c>
      <c r="C42" s="38" t="s">
        <v>14</v>
      </c>
      <c r="D42" s="42">
        <f>TRUNC(11604,-1)</f>
        <v>11600</v>
      </c>
      <c r="E42" s="63">
        <f t="shared" si="1"/>
        <v>38340</v>
      </c>
    </row>
    <row r="43" spans="1:7" x14ac:dyDescent="0.3">
      <c r="A43" s="2">
        <v>4</v>
      </c>
      <c r="C43" s="38" t="s">
        <v>16</v>
      </c>
      <c r="D43" s="42">
        <f>TRUNC(28267,-1)</f>
        <v>28260</v>
      </c>
      <c r="E43" s="63">
        <f t="shared" si="1"/>
        <v>93420</v>
      </c>
    </row>
    <row r="44" spans="1:7" x14ac:dyDescent="0.3">
      <c r="A44" s="2">
        <v>5</v>
      </c>
      <c r="C44" s="38" t="s">
        <v>17</v>
      </c>
      <c r="D44" s="42">
        <f>TRUNC(20831,-1)</f>
        <v>20830</v>
      </c>
      <c r="E44" s="63">
        <f t="shared" si="1"/>
        <v>68850</v>
      </c>
    </row>
    <row r="45" spans="1:7" x14ac:dyDescent="0.3">
      <c r="A45" s="2">
        <v>6</v>
      </c>
      <c r="C45" s="38" t="s">
        <v>18</v>
      </c>
      <c r="D45" s="42">
        <f>TRUNC(8188,-1)</f>
        <v>8180</v>
      </c>
      <c r="E45" s="63">
        <f t="shared" si="1"/>
        <v>27040</v>
      </c>
    </row>
    <row r="46" spans="1:7" x14ac:dyDescent="0.3">
      <c r="A46" s="2">
        <v>7</v>
      </c>
      <c r="C46" s="38" t="s">
        <v>19</v>
      </c>
      <c r="D46" s="42">
        <v>27220</v>
      </c>
      <c r="E46" s="63">
        <f t="shared" si="1"/>
        <v>89980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TRUNC(65728,-1)</f>
        <v>65720</v>
      </c>
      <c r="E48" s="63">
        <f t="shared" si="1"/>
        <v>217250</v>
      </c>
      <c r="F48" s="2" t="s">
        <v>248</v>
      </c>
    </row>
    <row r="49" spans="1:7" x14ac:dyDescent="0.3">
      <c r="A49" s="2">
        <v>10</v>
      </c>
      <c r="C49" s="38" t="s">
        <v>22</v>
      </c>
      <c r="D49" s="42">
        <f>TRUNC(18969,-1)</f>
        <v>18960</v>
      </c>
      <c r="E49" s="63">
        <f t="shared" si="1"/>
        <v>62670</v>
      </c>
    </row>
    <row r="50" spans="1:7" x14ac:dyDescent="0.3">
      <c r="A50" s="2">
        <v>11</v>
      </c>
      <c r="C50" s="38" t="s">
        <v>155</v>
      </c>
      <c r="D50" s="42">
        <f>TRUNC(46611,-1)</f>
        <v>46610</v>
      </c>
      <c r="E50" s="63">
        <f t="shared" si="1"/>
        <v>154080</v>
      </c>
      <c r="F50" s="2" t="s">
        <v>249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TRUNC(12697,-1)</f>
        <v>12690</v>
      </c>
      <c r="E52" s="63">
        <f t="shared" si="1"/>
        <v>41950</v>
      </c>
    </row>
    <row r="53" spans="1:7" x14ac:dyDescent="0.3">
      <c r="A53" s="2">
        <v>14</v>
      </c>
      <c r="C53" s="38" t="s">
        <v>25</v>
      </c>
      <c r="D53" s="42">
        <f>TRUNC(101947,-1)</f>
        <v>101940</v>
      </c>
      <c r="E53" s="63">
        <f t="shared" si="1"/>
        <v>336990</v>
      </c>
      <c r="F53" s="2" t="s">
        <v>250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TRUNC(8316+9113+749+18950,-1)</f>
        <v>37120</v>
      </c>
      <c r="E58" s="63">
        <f t="shared" si="1"/>
        <v>122710</v>
      </c>
      <c r="F58" s="2" t="s">
        <v>258</v>
      </c>
    </row>
    <row r="59" spans="1:7" ht="17.25" thickBot="1" x14ac:dyDescent="0.35">
      <c r="A59" s="2">
        <v>20</v>
      </c>
      <c r="C59" s="38" t="s">
        <v>148</v>
      </c>
      <c r="D59" s="43">
        <f>TRUNC(436862,-1)</f>
        <v>436860</v>
      </c>
      <c r="E59" s="64">
        <f t="shared" si="1"/>
        <v>1444170</v>
      </c>
    </row>
    <row r="60" spans="1:7" x14ac:dyDescent="0.3">
      <c r="A60" s="2">
        <v>21</v>
      </c>
      <c r="C60" s="27" t="s">
        <v>112</v>
      </c>
      <c r="D60" s="39">
        <f>SUM(D40:D59)</f>
        <v>1020290</v>
      </c>
      <c r="E60" s="39">
        <f>SUM(E40:E59)</f>
        <v>3372810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TRUNC(67885,-1)</f>
        <v>67880</v>
      </c>
      <c r="E63" s="62">
        <f>TRUNC(+D63*3.3058,-1)</f>
        <v>224390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f>TRUNC(21578,-1)</f>
        <v>21570</v>
      </c>
      <c r="E65" s="64">
        <f>TRUNC(+D65*3.3058,-1)</f>
        <v>71300</v>
      </c>
    </row>
    <row r="66" spans="1:7" x14ac:dyDescent="0.3">
      <c r="A66" s="2">
        <v>4</v>
      </c>
      <c r="C66" s="27" t="s">
        <v>112</v>
      </c>
      <c r="D66" s="39">
        <f>SUM(D63:D65)</f>
        <v>89450</v>
      </c>
      <c r="E66" s="65">
        <f>SUM(E63:E65)</f>
        <v>295690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TRUNC(9448,-1)</f>
        <v>9440</v>
      </c>
      <c r="E69" s="62">
        <f t="shared" ref="E69:E94" si="2">TRUNC(+D69*3.3058,-1)</f>
        <v>31200</v>
      </c>
    </row>
    <row r="70" spans="1:7" ht="16.5" customHeight="1" x14ac:dyDescent="0.3">
      <c r="A70" s="2">
        <v>2</v>
      </c>
      <c r="C70" s="38" t="s">
        <v>31</v>
      </c>
      <c r="D70" s="42">
        <f>TRUNC(1916,-1)</f>
        <v>1910</v>
      </c>
      <c r="E70" s="63">
        <f t="shared" si="2"/>
        <v>6310</v>
      </c>
    </row>
    <row r="71" spans="1:7" x14ac:dyDescent="0.3">
      <c r="A71" s="2">
        <v>3</v>
      </c>
      <c r="C71" s="38" t="s">
        <v>32</v>
      </c>
      <c r="D71" s="42">
        <f>TRUNC(6584,-1)</f>
        <v>6580</v>
      </c>
      <c r="E71" s="63">
        <f t="shared" si="2"/>
        <v>21750</v>
      </c>
    </row>
    <row r="72" spans="1:7" x14ac:dyDescent="0.3">
      <c r="A72" s="2">
        <v>4</v>
      </c>
      <c r="C72" s="38" t="s">
        <v>33</v>
      </c>
      <c r="D72" s="42">
        <f>TRUNC(5974,-1)</f>
        <v>5970</v>
      </c>
      <c r="E72" s="63">
        <f t="shared" si="2"/>
        <v>19730</v>
      </c>
    </row>
    <row r="73" spans="1:7" x14ac:dyDescent="0.3">
      <c r="A73" s="2">
        <v>5</v>
      </c>
      <c r="C73" s="38" t="s">
        <v>34</v>
      </c>
      <c r="D73" s="42">
        <f>TRUNC(16328,-1)</f>
        <v>16320</v>
      </c>
      <c r="E73" s="63">
        <f t="shared" si="2"/>
        <v>53950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TRUNC(1028,-1)</f>
        <v>1020</v>
      </c>
      <c r="E75" s="63">
        <f t="shared" si="2"/>
        <v>3370</v>
      </c>
    </row>
    <row r="76" spans="1:7" x14ac:dyDescent="0.3">
      <c r="A76" s="2">
        <v>8</v>
      </c>
      <c r="C76" s="38" t="s">
        <v>119</v>
      </c>
      <c r="D76" s="42">
        <f>TRUNC(28928,-1)</f>
        <v>28920</v>
      </c>
      <c r="E76" s="63">
        <f t="shared" si="2"/>
        <v>95600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TRUNC(5327,-1)</f>
        <v>5320</v>
      </c>
      <c r="E89" s="63">
        <f t="shared" si="2"/>
        <v>17580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TRUNC(6143,-1)</f>
        <v>6140</v>
      </c>
      <c r="E91" s="63">
        <f t="shared" si="2"/>
        <v>20290</v>
      </c>
    </row>
    <row r="92" spans="1:7" x14ac:dyDescent="0.3">
      <c r="A92" s="2">
        <v>24</v>
      </c>
      <c r="C92" s="38" t="s">
        <v>38</v>
      </c>
      <c r="D92" s="42">
        <f>TRUNC(11657,-1)</f>
        <v>11650</v>
      </c>
      <c r="E92" s="63">
        <f t="shared" si="2"/>
        <v>38510</v>
      </c>
    </row>
    <row r="93" spans="1:7" x14ac:dyDescent="0.3">
      <c r="A93" s="2">
        <v>25</v>
      </c>
      <c r="C93" s="38" t="s">
        <v>148</v>
      </c>
      <c r="D93" s="42">
        <f>TRUNC(91356,-1)</f>
        <v>91350</v>
      </c>
      <c r="E93" s="63">
        <f t="shared" si="2"/>
        <v>301980</v>
      </c>
    </row>
    <row r="94" spans="1:7" ht="17.25" thickBot="1" x14ac:dyDescent="0.35">
      <c r="A94" s="2">
        <v>26</v>
      </c>
      <c r="C94" s="38" t="s">
        <v>47</v>
      </c>
      <c r="D94" s="43">
        <f>TRUNC(4563+310,-1)</f>
        <v>4870</v>
      </c>
      <c r="E94" s="64">
        <f t="shared" si="2"/>
        <v>16090</v>
      </c>
      <c r="F94" s="2" t="s">
        <v>259</v>
      </c>
    </row>
    <row r="95" spans="1:7" x14ac:dyDescent="0.3">
      <c r="A95" s="2">
        <v>27</v>
      </c>
      <c r="C95" s="27" t="s">
        <v>112</v>
      </c>
      <c r="D95" s="39">
        <f>SUM(D69:D94)</f>
        <v>189490</v>
      </c>
      <c r="E95" s="39">
        <f>SUM(E69:E94)</f>
        <v>626360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TRUNC(17616,-1)</f>
        <v>17610</v>
      </c>
      <c r="E98" s="62">
        <f t="shared" ref="E98:E118" si="3">TRUNC(+D98*3.3058,-1)</f>
        <v>58210</v>
      </c>
    </row>
    <row r="99" spans="1:7" x14ac:dyDescent="0.3">
      <c r="A99" s="2">
        <v>2</v>
      </c>
      <c r="C99" s="38" t="s">
        <v>40</v>
      </c>
      <c r="D99" s="42">
        <f>TRUNC(4021,-1)</f>
        <v>4020</v>
      </c>
      <c r="E99" s="63">
        <f t="shared" si="3"/>
        <v>13280</v>
      </c>
    </row>
    <row r="100" spans="1:7" x14ac:dyDescent="0.3">
      <c r="A100" s="2">
        <v>3</v>
      </c>
      <c r="C100" s="38" t="s">
        <v>41</v>
      </c>
      <c r="D100" s="42">
        <f>TRUNC(32741,-1)</f>
        <v>32740</v>
      </c>
      <c r="E100" s="63">
        <f t="shared" si="3"/>
        <v>108230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TRUNC(15938,-1)</f>
        <v>15930</v>
      </c>
      <c r="E102" s="63">
        <f t="shared" si="3"/>
        <v>52660</v>
      </c>
    </row>
    <row r="103" spans="1:7" x14ac:dyDescent="0.3">
      <c r="A103" s="2">
        <v>6</v>
      </c>
      <c r="C103" s="38" t="s">
        <v>44</v>
      </c>
      <c r="D103" s="42">
        <f>TRUNC(8161,-1)</f>
        <v>8160</v>
      </c>
      <c r="E103" s="63">
        <f t="shared" si="3"/>
        <v>26970</v>
      </c>
    </row>
    <row r="104" spans="1:7" x14ac:dyDescent="0.3">
      <c r="A104" s="2">
        <v>7</v>
      </c>
      <c r="C104" s="38" t="s">
        <v>45</v>
      </c>
      <c r="D104" s="42">
        <f>TRUNC(5586,-1)</f>
        <v>5580</v>
      </c>
      <c r="E104" s="63">
        <f t="shared" si="3"/>
        <v>18440</v>
      </c>
    </row>
    <row r="105" spans="1:7" x14ac:dyDescent="0.3">
      <c r="A105" s="2">
        <v>8</v>
      </c>
      <c r="C105" s="38" t="s">
        <v>46</v>
      </c>
      <c r="D105" s="42">
        <f>TRUNC(2269,-1)</f>
        <v>2260</v>
      </c>
      <c r="E105" s="63">
        <f t="shared" si="3"/>
        <v>7470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TRUNC(1518,-1)</f>
        <v>1510</v>
      </c>
      <c r="E114" s="63">
        <f t="shared" si="3"/>
        <v>4990</v>
      </c>
      <c r="F114" s="2" t="s">
        <v>251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v>3740</v>
      </c>
      <c r="E116" s="63">
        <f t="shared" si="3"/>
        <v>12360</v>
      </c>
      <c r="F116" s="2" t="s">
        <v>252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TRUNC(4003,-1)</f>
        <v>4000</v>
      </c>
      <c r="E118" s="64">
        <f t="shared" si="3"/>
        <v>13220</v>
      </c>
    </row>
    <row r="119" spans="1:7" x14ac:dyDescent="0.3">
      <c r="A119" s="2">
        <v>22</v>
      </c>
      <c r="C119" s="27" t="s">
        <v>112</v>
      </c>
      <c r="D119" s="39">
        <f>SUM(D98:D118)</f>
        <v>95550</v>
      </c>
      <c r="E119" s="39">
        <f>SUM(E98:E118)</f>
        <v>315830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v>4240</v>
      </c>
      <c r="E122" s="62">
        <f t="shared" ref="E122:E132" si="4">TRUNC(+D122*3.3058,-1)</f>
        <v>14010</v>
      </c>
      <c r="F122" s="2" t="s">
        <v>253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TRUNC(1786,-1)</f>
        <v>1780</v>
      </c>
      <c r="E124" s="63">
        <f t="shared" si="4"/>
        <v>5880</v>
      </c>
    </row>
    <row r="125" spans="1:7" x14ac:dyDescent="0.3">
      <c r="A125" s="2">
        <v>4</v>
      </c>
      <c r="C125" s="38" t="s">
        <v>138</v>
      </c>
      <c r="D125" s="42">
        <f>TRUNC(10056,-1)</f>
        <v>10050</v>
      </c>
      <c r="E125" s="63">
        <f t="shared" si="4"/>
        <v>33220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TRUNC(4695,-1)</f>
        <v>4690</v>
      </c>
      <c r="E128" s="63">
        <f t="shared" si="4"/>
        <v>15500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TRUNC(11054,-1)</f>
        <v>11050</v>
      </c>
      <c r="E130" s="63">
        <f t="shared" si="4"/>
        <v>36520</v>
      </c>
    </row>
    <row r="131" spans="1:7" x14ac:dyDescent="0.3">
      <c r="A131" s="2">
        <v>10</v>
      </c>
      <c r="C131" s="38" t="s">
        <v>148</v>
      </c>
      <c r="D131" s="42">
        <f>TRUNC(60522,-1)</f>
        <v>60520</v>
      </c>
      <c r="E131" s="63">
        <f t="shared" si="4"/>
        <v>200060</v>
      </c>
    </row>
    <row r="132" spans="1:7" ht="18" thickBot="1" x14ac:dyDescent="0.35">
      <c r="A132" s="2">
        <v>11</v>
      </c>
      <c r="C132" s="38" t="s">
        <v>47</v>
      </c>
      <c r="D132" s="43">
        <f>TRUNC(3150+193,-1)</f>
        <v>3340</v>
      </c>
      <c r="E132" s="64">
        <f t="shared" si="4"/>
        <v>11040</v>
      </c>
      <c r="F132" s="54" t="s">
        <v>260</v>
      </c>
    </row>
    <row r="133" spans="1:7" x14ac:dyDescent="0.3">
      <c r="A133" s="2">
        <v>12</v>
      </c>
      <c r="C133" s="27" t="s">
        <v>112</v>
      </c>
      <c r="D133" s="39">
        <f>SUM(D122:D132)</f>
        <v>95670</v>
      </c>
      <c r="E133" s="39">
        <f>SUM(E122:E132)</f>
        <v>316230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v>0</v>
      </c>
      <c r="E137" s="63">
        <f t="shared" si="5"/>
        <v>0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TRUNC(19606,-1)</f>
        <v>19600</v>
      </c>
      <c r="E140" s="63">
        <f t="shared" si="5"/>
        <v>64790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f>TRUNC(3445,-1)</f>
        <v>3440</v>
      </c>
      <c r="E143" s="63">
        <f t="shared" si="5"/>
        <v>11370</v>
      </c>
    </row>
    <row r="144" spans="1:7" x14ac:dyDescent="0.3">
      <c r="A144" s="2">
        <v>9</v>
      </c>
      <c r="C144" s="38" t="s">
        <v>63</v>
      </c>
      <c r="D144" s="42">
        <f>TRUNC(13373,-1)</f>
        <v>13370</v>
      </c>
      <c r="E144" s="63">
        <f t="shared" si="5"/>
        <v>44190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36410</v>
      </c>
      <c r="E146" s="39">
        <f>SUM(E136:E145)</f>
        <v>120350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TRUNC(13311+2783,-1)</f>
        <v>16090</v>
      </c>
      <c r="E149" s="62">
        <f>TRUNC(+D149*3.3058,-1)</f>
        <v>53190</v>
      </c>
    </row>
    <row r="150" spans="1:7" x14ac:dyDescent="0.3">
      <c r="A150" s="2">
        <v>2</v>
      </c>
      <c r="C150" s="38" t="s">
        <v>49</v>
      </c>
      <c r="D150" s="42">
        <f>TRUNC(29287,-1)</f>
        <v>29280</v>
      </c>
      <c r="E150" s="63">
        <f>TRUNC(+D150*3.3058,-1)</f>
        <v>96790</v>
      </c>
    </row>
    <row r="151" spans="1:7" x14ac:dyDescent="0.3">
      <c r="A151" s="2">
        <v>3</v>
      </c>
      <c r="C151" s="38" t="s">
        <v>50</v>
      </c>
      <c r="D151" s="42">
        <f>TRUNC(54114,-1)</f>
        <v>54110</v>
      </c>
      <c r="E151" s="63">
        <f>TRUNC(+D151*3.3058,-1)</f>
        <v>178870</v>
      </c>
    </row>
    <row r="152" spans="1:7" x14ac:dyDescent="0.3">
      <c r="A152" s="2">
        <v>4</v>
      </c>
      <c r="C152" s="38" t="s">
        <v>47</v>
      </c>
      <c r="D152" s="42">
        <v>3520</v>
      </c>
      <c r="E152" s="63">
        <f>TRUNC(+D152*3.3058,-1)</f>
        <v>11630</v>
      </c>
      <c r="F152" s="2" t="s">
        <v>261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103000</v>
      </c>
      <c r="E154" s="39">
        <f>SUM(E149:E153)</f>
        <v>340480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f>TRUNC(34641,-1)</f>
        <v>34640</v>
      </c>
      <c r="E157" s="62">
        <f>TRUNC(+D157*3.3058,-1)</f>
        <v>114510</v>
      </c>
    </row>
    <row r="158" spans="1:7" x14ac:dyDescent="0.3">
      <c r="A158" s="2">
        <v>2</v>
      </c>
      <c r="C158" s="38" t="s">
        <v>52</v>
      </c>
      <c r="D158" s="42">
        <v>19890</v>
      </c>
      <c r="E158" s="63">
        <f>TRUNC(+D158*3.3058,-1)</f>
        <v>65750</v>
      </c>
    </row>
    <row r="159" spans="1:7" x14ac:dyDescent="0.3">
      <c r="A159" s="2">
        <v>3</v>
      </c>
      <c r="C159" s="38" t="s">
        <v>47</v>
      </c>
      <c r="D159" s="42">
        <f>TRUNC(473+3511,-1)</f>
        <v>3980</v>
      </c>
      <c r="E159" s="63">
        <f>TRUNC(+D159*3.3058,-1)</f>
        <v>13150</v>
      </c>
      <c r="F159" s="2" t="s">
        <v>254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58510</v>
      </c>
      <c r="E161" s="39">
        <f>SUM(E157:E160)</f>
        <v>193410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2020-12-08T02:00:08Z</dcterms:modified>
</cp:coreProperties>
</file>