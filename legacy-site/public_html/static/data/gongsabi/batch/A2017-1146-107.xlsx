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9" i="4"/>
  <c r="D144" i="4"/>
  <c r="D143" i="4"/>
  <c r="D142" i="4"/>
  <c r="D141" i="4"/>
  <c r="D139" i="4"/>
  <c r="D137" i="4"/>
  <c r="D132" i="4"/>
  <c r="D131" i="4"/>
  <c r="D130" i="4"/>
  <c r="D128" i="4"/>
  <c r="D126" i="4"/>
  <c r="D118" i="4"/>
  <c r="D117" i="4"/>
  <c r="D116" i="4"/>
  <c r="D114" i="4"/>
  <c r="D105" i="4"/>
  <c r="D104" i="4"/>
  <c r="D103" i="4"/>
  <c r="D102" i="4"/>
  <c r="D100" i="4"/>
  <c r="D99" i="4"/>
  <c r="D98" i="4"/>
  <c r="D94" i="4"/>
  <c r="D91" i="4"/>
  <c r="D89" i="4"/>
  <c r="D72" i="4"/>
  <c r="D71" i="4"/>
  <c r="D70" i="4"/>
  <c r="D69" i="4"/>
  <c r="D63" i="4"/>
  <c r="D58" i="4"/>
  <c r="D59" i="4"/>
  <c r="D53" i="4"/>
  <c r="D52" i="4"/>
  <c r="D50" i="4"/>
  <c r="D49" i="4"/>
  <c r="D48" i="4"/>
  <c r="D46" i="4"/>
  <c r="D45" i="4"/>
  <c r="D44" i="4"/>
  <c r="D43" i="4"/>
  <c r="D42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<sst xmlns="http://schemas.openxmlformats.org/spreadsheetml/2006/main" count="391" uniqueCount="267">
  <si>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</si>
  <si>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</si>
  <si>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</si>
  <si>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</si>
  <si>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</si>
  <si>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</si>
  <si>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</si>
  <si>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</si>
  <si>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</si>
  <si>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</si>
  <si>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</si>
  <si>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</si>
  <si>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</si>
  <si>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</si>
  <si>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</si>
  <si>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</si>
  <si>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</si>
  <si>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</si>
  <si>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</si>
  <si>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</si>
  <si>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</si>
  <si>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</si>
  <si>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</si>
  <si>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</si>
  <si>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</si>
  <si>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</si>
  <si>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</si>
  <si>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</si>
  <si>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</si>
  <si>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</si>
  <si>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</si>
  <si>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</si>
  <si>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</si>
  <si>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</si>
  <si>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</si>
  <si>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</si>
  <si>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</si>
  <si>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</si>
  <si>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</si>
  <si>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</si>
  <si>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</si>
  <si>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</si>
  <si>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</si>
  <si>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</si>
  <si>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</si>
  <si>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</si>
  <si>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</si>
  <si>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</si>
  <si>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</si>
  <si>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</si>
  <si>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</si>
  <si>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</si>
  <si>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</si>
  <si>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</si>
  <si>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</si>
  <si>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</si>
  <si>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</si>
  <si>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</si>
  <si>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</si>
  <si>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</si>
  <si>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</si>
  <si>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</si>
  <si>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</si>
  <si>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</si>
  <si>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</si>
  <si>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</si>
  <si>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</si>
  <si>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</si>
  <si>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</si>
  <si>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</si>
  <si>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</si>
  <si>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</si>
  <si>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</si>
  <si>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</si>
  <si>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</si>
  <si>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</si>
  <si>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</si>
  <si>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</si>
  <si>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</si>
  <si>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</si>
  <si>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</si>
  <si>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</si>
  <si>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</si>
  <si>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</si>
  <si>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</si>
  <si>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</si>
  <si>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</si>
  <si>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</si>
  <si>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</si>
  <si>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</si>
  <si>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</si>
  <si>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</si>
  <si>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</si>
  <si>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</si>
  <si>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</si>
  <si>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</si>
  <si>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</si>
  <si>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</si>
  <si>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</si>
  <si>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</si>
  <si>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</si>
  <si>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</si>
  <si>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</si>
  <si>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</si>
  <si>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</si>
  <si>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</si>
  <si>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</si>
  <si>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</si>
  <si>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</si>
  <si>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</si>
  <si>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</si>
  <si>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</si>
  <si>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</si>
  <si>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</si>
  <si>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</si>
  <si>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</si>
  <si>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</si>
  <si>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</si>
  <si>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</si>
  <si>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</si>
  <si>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</si>
  <si>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</si>
  <si>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</si>
  <si>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</si>
  <si>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</si>
  <si>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</si>
  <si>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</si>
  <si>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</si>
  <si>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</si>
  <si>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</si>
  <si>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</si>
  <si>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</si>
  <si>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</si>
  <si>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</si>
  <si>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</si>
  <si>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</si>
  <si>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</si>
  <si>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</si>
  <si>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</si>
  <si>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</si>
  <si>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</si>
  <si>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</si>
  <si>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</si>
  <si>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</si>
  <si>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</si>
  <si>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</si>
  <si>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</si>
  <si>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</si>
  <si>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</si>
  <si>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</si>
  <si>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</si>
  <si>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</si>
  <si>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</si>
  <si>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</si>
  <si>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</si>
  <si>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</si>
  <si>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</si>
  <si>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</si>
  <si>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</si>
  <si>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</si>
  <si>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</si>
  <si>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</si>
  <si>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</si>
  <si>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</si>
  <si>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</si>
  <si>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</si>
  <si>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</si>
  <si>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</si>
  <si>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</si>
  <si>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</si>
  <si>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</si>
  <si>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</si>
  <si>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</si>
  <si>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</si>
  <si>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</si>
  <si>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</si>
  <si>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</si>
  <si>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</si>
  <si>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</si>
  <si>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</si>
  <si>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</si>
  <si>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</si>
  <si>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</si>
  <si>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</si>
  <si>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</si>
  <si>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</si>
  <si>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</si>
  <si>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</si>
  <si>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</si>
  <si>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</si>
  <si>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</si>
  <si>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</si>
  <si>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</si>
  <si>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</si>
  <si>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</si>
  <si>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</si>
  <si>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</si>
  <si>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</si>
  <si>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</si>
  <si>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</si>
  <si>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</si>
  <si>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</si>
  <si>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</si>
  <si>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</si>
  <si>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</si>
  <si>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</si>
  <si>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</si>
  <si>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</si>
  <si>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</si>
  <si>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</si>
  <si>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</si>
  <si>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</si>
  <si>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</si>
  <si>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</si>
  <si>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</si>
  <si>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</si>
  <si>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</si>
  <si>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</si>
  <si>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</si>
  <si>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</si>
  <si>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</si>
  <si>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</si>
  <si>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</si>
  <si>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</si>
  <si>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</si>
  <si>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</si>
  <si>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</si>
  <si>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</si>
  <si>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</si>
  <si>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</si>
  <si>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</si>
  <si>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</si>
  <si>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</si>
  <si>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</si>
  <si>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</si>
  <si>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</si>
  <si>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</si>
  <si>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</si>
  <si>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</si>
  <si>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</si>
  <si>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</si>
  <si>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</si>
  <si>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</si>
  <si>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</si>
  <si>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</si>
  <si>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</si>
  <si>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</si>
  <si>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</si>
  <si>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</si>
  <si>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</si>
  <si>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</si>
  <si>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</si>
  <si>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</si>
  <si>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</si>
  <si>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교육연구</t>
  </si>
  <si>
    <t>가칭)옥포1중학교 신축공사</t>
    <phoneticPr fontId="2" type="noConversion"/>
  </si>
  <si>
    <t>대구시</t>
  </si>
  <si>
    <t>CCTV설비공사, 기타공사</t>
    <phoneticPr fontId="2" type="noConversion"/>
  </si>
  <si>
    <t>펌프실배관공사, 기타공사</t>
    <phoneticPr fontId="2" type="noConversion"/>
  </si>
  <si>
    <t>운반비, 기타공사</t>
    <phoneticPr fontId="2" type="noConversion"/>
  </si>
  <si>
    <t>기초공사, 골재비및운반비, 기타공사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</si>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</sst>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10774.87</v>
      </c>
      <c r="D7" s="36">
        <f>+C7/3.3058</f>
        <v>3259.3835077742151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1004790</v>
      </c>
      <c r="E25" s="59">
        <f t="shared" si="0"/>
        <v>3321630</v>
      </c>
    </row>
    <row r="26" spans="1:5" x14ac:dyDescent="0.3">
      <c r="B26" s="2">
        <v>3</v>
      </c>
      <c r="C26" s="35" t="s">
        <v>95</v>
      </c>
      <c r="D26" s="45">
        <f>+D66</f>
        <v>6180</v>
      </c>
      <c r="E26" s="59">
        <f t="shared" si="0"/>
        <v>20420</v>
      </c>
    </row>
    <row r="27" spans="1:5" x14ac:dyDescent="0.3">
      <c r="B27" s="2">
        <v>4</v>
      </c>
      <c r="C27" s="35" t="s">
        <v>96</v>
      </c>
      <c r="D27" s="45">
        <f>+D95</f>
        <v>77440</v>
      </c>
      <c r="E27" s="59">
        <f t="shared" si="0"/>
        <v>256000</v>
      </c>
    </row>
    <row r="28" spans="1:5" x14ac:dyDescent="0.3">
      <c r="B28" s="2">
        <v>5</v>
      </c>
      <c r="C28" s="35" t="s">
        <v>97</v>
      </c>
      <c r="D28" s="45">
        <f>+D119</f>
        <v>211220</v>
      </c>
      <c r="E28" s="59">
        <f t="shared" si="0"/>
        <v>698250</v>
      </c>
    </row>
    <row r="29" spans="1:5" x14ac:dyDescent="0.3">
      <c r="B29" s="2">
        <v>6</v>
      </c>
      <c r="C29" s="35" t="s">
        <v>98</v>
      </c>
      <c r="D29" s="45">
        <f>+D133</f>
        <v>52220</v>
      </c>
      <c r="E29" s="59">
        <f t="shared" si="0"/>
        <v>172620</v>
      </c>
    </row>
    <row r="30" spans="1:5" x14ac:dyDescent="0.3">
      <c r="B30" s="2">
        <v>7</v>
      </c>
      <c r="C30" s="35" t="s">
        <v>99</v>
      </c>
      <c r="D30" s="45">
        <f>+D146</f>
        <v>38820</v>
      </c>
      <c r="E30" s="59">
        <f t="shared" si="0"/>
        <v>128330</v>
      </c>
    </row>
    <row r="31" spans="1:5" x14ac:dyDescent="0.3">
      <c r="B31" s="2">
        <v>8</v>
      </c>
      <c r="C31" s="35" t="s">
        <v>100</v>
      </c>
      <c r="D31" s="45">
        <f>+D154</f>
        <v>35030</v>
      </c>
      <c r="E31" s="59">
        <f t="shared" si="0"/>
        <v>115800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392060</v>
      </c>
      <c r="E33" s="60">
        <f t="shared" si="0"/>
        <v>1296070</v>
      </c>
    </row>
    <row r="34" spans="1:7" x14ac:dyDescent="0.3">
      <c r="C34" s="35" t="s">
        <v>112</v>
      </c>
      <c r="D34" s="44">
        <f>SUM(D24:D33)</f>
        <v>1817760</v>
      </c>
      <c r="E34" s="44">
        <f>SUM(E24:E33)</f>
        <v>6009120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261</v>
      </c>
      <c r="D39" s="57" t="s">
        <v>262</v>
      </c>
      <c r="E39" s="57" t="s">
        <v>263</v>
      </c>
      <c r="G39" s="55"/>
    </row>
    <row r="40" spans="1:7" x14ac:dyDescent="0.3">
      <c r="A40" s="2">
        <v>1</v>
      </c>
      <c r="C40" s="38" t="s">
        <v>15</v>
      </c>
      <c r="D40" s="40">
        <f>TRUNC(43699,-1)</f>
        <v>43690</v>
      </c>
      <c r="E40" s="62">
        <f t="shared" ref="E40:E59" si="1">TRUNC(+D40*3.3058,-1)</f>
        <v>144430</v>
      </c>
    </row>
    <row r="41" spans="1:7" x14ac:dyDescent="0.3">
      <c r="A41" s="2">
        <v>2</v>
      </c>
      <c r="C41" s="38" t="s">
        <v>13</v>
      </c>
      <c r="D41" s="42">
        <v>190610</v>
      </c>
      <c r="E41" s="63">
        <f t="shared" si="1"/>
        <v>630110</v>
      </c>
    </row>
    <row r="42" spans="1:7" x14ac:dyDescent="0.3">
      <c r="A42" s="2">
        <v>3</v>
      </c>
      <c r="C42" s="38" t="s">
        <v>14</v>
      </c>
      <c r="D42" s="42">
        <f>TRUNC(13261,-1)</f>
        <v>13260</v>
      </c>
      <c r="E42" s="63">
        <f t="shared" si="1"/>
        <v>43830</v>
      </c>
    </row>
    <row r="43" spans="1:7" x14ac:dyDescent="0.3">
      <c r="A43" s="2">
        <v>4</v>
      </c>
      <c r="C43" s="38" t="s">
        <v>16</v>
      </c>
      <c r="D43" s="42">
        <f>TRUNC(25928,-1)</f>
        <v>25920</v>
      </c>
      <c r="E43" s="63">
        <f t="shared" si="1"/>
        <v>85680</v>
      </c>
    </row>
    <row r="44" spans="1:7" x14ac:dyDescent="0.3">
      <c r="A44" s="2">
        <v>5</v>
      </c>
      <c r="C44" s="38" t="s">
        <v>17</v>
      </c>
      <c r="D44" s="42">
        <f>TRUNC(22895,-1)</f>
        <v>22890</v>
      </c>
      <c r="E44" s="63">
        <f t="shared" si="1"/>
        <v>75660</v>
      </c>
    </row>
    <row r="45" spans="1:7" x14ac:dyDescent="0.3">
      <c r="A45" s="2">
        <v>6</v>
      </c>
      <c r="C45" s="38" t="s">
        <v>18</v>
      </c>
      <c r="D45" s="42">
        <f>TRUNC(5672,-1)</f>
        <v>5670</v>
      </c>
      <c r="E45" s="63">
        <f t="shared" si="1"/>
        <v>18740</v>
      </c>
    </row>
    <row r="46" spans="1:7" x14ac:dyDescent="0.3">
      <c r="A46" s="2">
        <v>7</v>
      </c>
      <c r="C46" s="38" t="s">
        <v>19</v>
      </c>
      <c r="D46" s="42">
        <f>TRUNC(64844,-1)</f>
        <v>64840</v>
      </c>
      <c r="E46" s="63">
        <f t="shared" si="1"/>
        <v>214340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TRUNC(71158,-1)</f>
        <v>71150</v>
      </c>
      <c r="E48" s="63">
        <f t="shared" si="1"/>
        <v>235200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TRUNC(21263,-1)</f>
        <v>21260</v>
      </c>
      <c r="E49" s="63">
        <f t="shared" si="1"/>
        <v>70280</v>
      </c>
    </row>
    <row r="50" spans="1:7" x14ac:dyDescent="0.3">
      <c r="A50" s="2">
        <v>11</v>
      </c>
      <c r="C50" s="38" t="s">
        <v>155</v>
      </c>
      <c r="D50" s="42">
        <f>TRUNC(58346,-1)</f>
        <v>58340</v>
      </c>
      <c r="E50" s="63">
        <f t="shared" si="1"/>
        <v>192860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TRUNC(13362,-1)</f>
        <v>13360</v>
      </c>
      <c r="E52" s="63">
        <f t="shared" si="1"/>
        <v>44160</v>
      </c>
    </row>
    <row r="53" spans="1:7" x14ac:dyDescent="0.3">
      <c r="A53" s="2">
        <v>14</v>
      </c>
      <c r="C53" s="38" t="s">
        <v>25</v>
      </c>
      <c r="D53" s="42">
        <f>TRUNC(79899,-1)</f>
        <v>79890</v>
      </c>
      <c r="E53" s="63">
        <f t="shared" si="1"/>
        <v>264100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TRUNC(9829+4236+21417,-1)</f>
        <v>35480</v>
      </c>
      <c r="E58" s="63">
        <f t="shared" si="1"/>
        <v>117280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TRUNC(358438,-1)</f>
        <v>358430</v>
      </c>
      <c r="E59" s="64">
        <f t="shared" si="1"/>
        <v>1184890</v>
      </c>
    </row>
    <row r="60" spans="1:7" x14ac:dyDescent="0.3">
      <c r="A60" s="2">
        <v>21</v>
      </c>
      <c r="C60" s="27" t="s">
        <v>112</v>
      </c>
      <c r="D60" s="39">
        <f>SUM(D40:D59)</f>
        <v>1004790</v>
      </c>
      <c r="E60" s="39">
        <f>SUM(E40:E59)</f>
        <v>3321560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TRUNC(6184,-1)</f>
        <v>6180</v>
      </c>
      <c r="E63" s="62">
        <f>TRUNC(+D63*3.3058,-1)</f>
        <v>20420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6180</v>
      </c>
      <c r="E66" s="65">
        <f>SUM(E63:E65)</f>
        <v>20420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TRUNC(8626,-1)</f>
        <v>8620</v>
      </c>
      <c r="E69" s="62">
        <f t="shared" ref="E69:E94" si="2">TRUNC(+D69*3.3058,-1)</f>
        <v>28490</v>
      </c>
    </row>
    <row r="70" spans="1:7" ht="16.5" customHeight="1" x14ac:dyDescent="0.3">
      <c r="A70" s="2">
        <v>2</v>
      </c>
      <c r="C70" s="38" t="s">
        <v>31</v>
      </c>
      <c r="D70" s="42">
        <f>TRUNC(2707,-1)</f>
        <v>2700</v>
      </c>
      <c r="E70" s="63">
        <f t="shared" si="2"/>
        <v>8920</v>
      </c>
    </row>
    <row r="71" spans="1:7" x14ac:dyDescent="0.3">
      <c r="A71" s="2">
        <v>3</v>
      </c>
      <c r="C71" s="38" t="s">
        <v>32</v>
      </c>
      <c r="D71" s="42">
        <f>TRUNC(6871,-1)</f>
        <v>6870</v>
      </c>
      <c r="E71" s="63">
        <f t="shared" si="2"/>
        <v>22710</v>
      </c>
    </row>
    <row r="72" spans="1:7" x14ac:dyDescent="0.3">
      <c r="A72" s="2">
        <v>4</v>
      </c>
      <c r="C72" s="38" t="s">
        <v>33</v>
      </c>
      <c r="D72" s="42">
        <f>TRUNC(5128,-1)</f>
        <v>5120</v>
      </c>
      <c r="E72" s="63">
        <f t="shared" si="2"/>
        <v>16920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TRUNC(28163,-1)</f>
        <v>28160</v>
      </c>
      <c r="E89" s="63">
        <f t="shared" si="2"/>
        <v>93090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TRUNC(4223,-1)</f>
        <v>4220</v>
      </c>
      <c r="E91" s="63">
        <f t="shared" si="2"/>
        <v>13950</v>
      </c>
    </row>
    <row r="92" spans="1:7" x14ac:dyDescent="0.3">
      <c r="A92" s="2">
        <v>24</v>
      </c>
      <c r="C92" s="38" t="s">
        <v>38</v>
      </c>
      <c r="D92" s="42">
        <v>15680</v>
      </c>
      <c r="E92" s="63">
        <f t="shared" si="2"/>
        <v>51830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TRUNC(1067+452+4554,-1)</f>
        <v>6070</v>
      </c>
      <c r="E94" s="64">
        <f t="shared" si="2"/>
        <v>20060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77440</v>
      </c>
      <c r="E95" s="39">
        <f>SUM(E69:E94)</f>
        <v>255970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TRUNC(7988,-1)</f>
        <v>7980</v>
      </c>
      <c r="E98" s="62">
        <f t="shared" ref="E98:E118" si="3">TRUNC(+D98*3.3058,-1)</f>
        <v>26380</v>
      </c>
    </row>
    <row r="99" spans="1:7" x14ac:dyDescent="0.3">
      <c r="A99" s="2">
        <v>2</v>
      </c>
      <c r="C99" s="38" t="s">
        <v>40</v>
      </c>
      <c r="D99" s="42">
        <f>TRUNC(3077,-1)</f>
        <v>3070</v>
      </c>
      <c r="E99" s="63">
        <f t="shared" si="3"/>
        <v>10140</v>
      </c>
    </row>
    <row r="100" spans="1:7" x14ac:dyDescent="0.3">
      <c r="A100" s="2">
        <v>3</v>
      </c>
      <c r="C100" s="38" t="s">
        <v>41</v>
      </c>
      <c r="D100" s="42">
        <f>TRUNC(25856,-1)</f>
        <v>25850</v>
      </c>
      <c r="E100" s="63">
        <f t="shared" si="3"/>
        <v>85450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TRUNC(10728,-1)</f>
        <v>10720</v>
      </c>
      <c r="E102" s="63">
        <f t="shared" si="3"/>
        <v>35430</v>
      </c>
    </row>
    <row r="103" spans="1:7" x14ac:dyDescent="0.3">
      <c r="A103" s="2">
        <v>6</v>
      </c>
      <c r="C103" s="38" t="s">
        <v>44</v>
      </c>
      <c r="D103" s="42">
        <f>TRUNC(8725,-1)</f>
        <v>8720</v>
      </c>
      <c r="E103" s="63">
        <f t="shared" si="3"/>
        <v>28820</v>
      </c>
    </row>
    <row r="104" spans="1:7" x14ac:dyDescent="0.3">
      <c r="A104" s="2">
        <v>7</v>
      </c>
      <c r="C104" s="38" t="s">
        <v>45</v>
      </c>
      <c r="D104" s="42">
        <f>TRUNC(2226,-1)</f>
        <v>2220</v>
      </c>
      <c r="E104" s="63">
        <f t="shared" si="3"/>
        <v>7330</v>
      </c>
    </row>
    <row r="105" spans="1:7" x14ac:dyDescent="0.3">
      <c r="A105" s="2">
        <v>8</v>
      </c>
      <c r="C105" s="38" t="s">
        <v>46</v>
      </c>
      <c r="D105" s="42">
        <f>TRUNC(3465,-1)</f>
        <v>3460</v>
      </c>
      <c r="E105" s="63">
        <f t="shared" si="3"/>
        <v>11430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TRUNC(5248,-1)</f>
        <v>5240</v>
      </c>
      <c r="E114" s="63">
        <f t="shared" si="3"/>
        <v>17320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TRUNC(3822,-1)</f>
        <v>3820</v>
      </c>
      <c r="E116" s="63">
        <f t="shared" si="3"/>
        <v>12620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TRUNC(125024,-1)</f>
        <v>125020</v>
      </c>
      <c r="E117" s="63">
        <f t="shared" si="3"/>
        <v>413290</v>
      </c>
    </row>
    <row r="118" spans="1:7" ht="17.25" thickBot="1" x14ac:dyDescent="0.35">
      <c r="A118" s="2">
        <v>21</v>
      </c>
      <c r="C118" s="38" t="s">
        <v>47</v>
      </c>
      <c r="D118" s="43">
        <f>TRUNC(15126,-1)</f>
        <v>15120</v>
      </c>
      <c r="E118" s="64">
        <f t="shared" si="3"/>
        <v>49980</v>
      </c>
    </row>
    <row r="119" spans="1:7" x14ac:dyDescent="0.3">
      <c r="A119" s="2">
        <v>22</v>
      </c>
      <c r="C119" s="27" t="s">
        <v>112</v>
      </c>
      <c r="D119" s="39">
        <f>SUM(D98:D118)</f>
        <v>211220</v>
      </c>
      <c r="E119" s="39">
        <f>SUM(E98:E118)</f>
        <v>698190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9870</v>
      </c>
      <c r="E125" s="63">
        <f t="shared" si="4"/>
        <v>32620</v>
      </c>
    </row>
    <row r="126" spans="1:7" x14ac:dyDescent="0.3">
      <c r="A126" s="2">
        <v>5</v>
      </c>
      <c r="C126" s="38" t="s">
        <v>53</v>
      </c>
      <c r="D126" s="42">
        <f>TRUNC(1289,-1)</f>
        <v>1280</v>
      </c>
      <c r="E126" s="63">
        <f t="shared" si="4"/>
        <v>4230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TRUNC(2761,-1)</f>
        <v>2760</v>
      </c>
      <c r="E128" s="63">
        <f t="shared" si="4"/>
        <v>9120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TRUNC(7812,-1)</f>
        <v>7810</v>
      </c>
      <c r="E130" s="63">
        <f t="shared" si="4"/>
        <v>25810</v>
      </c>
    </row>
    <row r="131" spans="1:7" x14ac:dyDescent="0.3">
      <c r="A131" s="2">
        <v>10</v>
      </c>
      <c r="C131" s="38" t="s">
        <v>148</v>
      </c>
      <c r="D131" s="42">
        <f>TRUNC(26667,-1)</f>
        <v>26660</v>
      </c>
      <c r="E131" s="63">
        <f t="shared" si="4"/>
        <v>88130</v>
      </c>
    </row>
    <row r="132" spans="1:7" ht="18" thickBot="1" x14ac:dyDescent="0.35">
      <c r="A132" s="2">
        <v>11</v>
      </c>
      <c r="C132" s="38" t="s">
        <v>47</v>
      </c>
      <c r="D132" s="43">
        <f>TRUNC(1740+2107,-1)</f>
        <v>3840</v>
      </c>
      <c r="E132" s="64">
        <f t="shared" si="4"/>
        <v>12690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52220</v>
      </c>
      <c r="E133" s="39">
        <f>SUM(E122:E132)</f>
        <v>172600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TRUNC(4592+10509,-1)</f>
        <v>15100</v>
      </c>
      <c r="E137" s="63">
        <f t="shared" si="5"/>
        <v>49910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TRUNC(1748,-1)</f>
        <v>1740</v>
      </c>
      <c r="E139" s="63">
        <f t="shared" si="5"/>
        <v>5750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TRUNC(5167,-1)</f>
        <v>5160</v>
      </c>
      <c r="E141" s="63">
        <f t="shared" si="5"/>
        <v>17050</v>
      </c>
    </row>
    <row r="142" spans="1:7" x14ac:dyDescent="0.3">
      <c r="A142" s="2">
        <v>7</v>
      </c>
      <c r="C142" s="38" t="s">
        <v>58</v>
      </c>
      <c r="D142" s="42">
        <f>TRUNC(7865,-1)</f>
        <v>7860</v>
      </c>
      <c r="E142" s="63">
        <f t="shared" si="5"/>
        <v>25980</v>
      </c>
    </row>
    <row r="143" spans="1:7" x14ac:dyDescent="0.3">
      <c r="A143" s="2">
        <v>8</v>
      </c>
      <c r="C143" s="38" t="s">
        <v>62</v>
      </c>
      <c r="D143" s="42">
        <f>TRUNC(2771,-1)</f>
        <v>2770</v>
      </c>
      <c r="E143" s="63">
        <f t="shared" si="5"/>
        <v>9150</v>
      </c>
    </row>
    <row r="144" spans="1:7" x14ac:dyDescent="0.3">
      <c r="A144" s="2">
        <v>9</v>
      </c>
      <c r="C144" s="38" t="s">
        <v>63</v>
      </c>
      <c r="D144" s="42">
        <f>TRUNC(6193,-1)</f>
        <v>6190</v>
      </c>
      <c r="E144" s="63">
        <f t="shared" si="5"/>
        <v>20460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38820</v>
      </c>
      <c r="E146" s="39">
        <f>SUM(E136:E145)</f>
        <v>128300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TRUNC(10529,-1)</f>
        <v>10520</v>
      </c>
      <c r="E149" s="62">
        <f>TRUNC(+D149*3.3058,-1)</f>
        <v>34770</v>
      </c>
    </row>
    <row r="150" spans="1:7" x14ac:dyDescent="0.3">
      <c r="A150" s="2">
        <v>2</v>
      </c>
      <c r="C150" s="38" t="s">
        <v>49</v>
      </c>
      <c r="D150" s="42">
        <f>TRUNC(9667,-1)</f>
        <v>9660</v>
      </c>
      <c r="E150" s="63">
        <f>TRUNC(+D150*3.3058,-1)</f>
        <v>31930</v>
      </c>
    </row>
    <row r="151" spans="1:7" x14ac:dyDescent="0.3">
      <c r="A151" s="2">
        <v>3</v>
      </c>
      <c r="C151" s="38" t="s">
        <v>50</v>
      </c>
      <c r="D151" s="42">
        <f>TRUNC(14208,-1)</f>
        <v>14200</v>
      </c>
      <c r="E151" s="63">
        <f>TRUNC(+D151*3.3058,-1)</f>
        <v>46940</v>
      </c>
    </row>
    <row r="152" spans="1:7" x14ac:dyDescent="0.3">
      <c r="A152" s="2">
        <v>4</v>
      </c>
      <c r="C152" s="38" t="s">
        <v>47</v>
      </c>
      <c r="D152" s="42">
        <f>TRUNC(214+444,-1)</f>
        <v>650</v>
      </c>
      <c r="E152" s="63">
        <f>TRUNC(+D152*3.3058,-1)</f>
        <v>2140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35030</v>
      </c>
      <c r="E154" s="39">
        <f>SUM(E149:E153)</f>
        <v>115780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2020-12-08T01:46:30Z</dcterms:modified>
</cp:coreProperties>
</file>