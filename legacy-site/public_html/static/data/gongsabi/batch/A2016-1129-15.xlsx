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1" i="4"/>
  <c r="D150" i="4"/>
  <c r="D149" i="4"/>
  <c r="D144" i="4"/>
  <c r="D143" i="4"/>
  <c r="D142" i="4"/>
  <c r="D141" i="4"/>
  <c r="D140" i="4"/>
  <c r="D139" i="4"/>
  <c r="D131" i="4"/>
  <c r="D130" i="4"/>
  <c r="D128" i="4"/>
  <c r="D126" i="4"/>
  <c r="D125" i="4"/>
  <c r="D124" i="4"/>
  <c r="D122" i="4"/>
  <c r="D118" i="4"/>
  <c r="D117" i="4"/>
  <c r="D105" i="4"/>
  <c r="D104" i="4"/>
  <c r="D103" i="4"/>
  <c r="D102" i="4"/>
  <c r="D100" i="4"/>
  <c r="D99" i="4"/>
  <c r="D98" i="4"/>
  <c r="D94" i="4"/>
  <c r="D93" i="4"/>
  <c r="D92" i="4"/>
  <c r="D91" i="4"/>
  <c r="D89" i="4"/>
  <c r="D73" i="4"/>
  <c r="D71" i="4"/>
  <c r="D70" i="4"/>
  <c r="D69" i="4"/>
  <c r="D63" i="4"/>
  <c r="D59" i="4"/>
  <c r="D58" i="4"/>
  <c r="D53" i="4"/>
  <c r="D50" i="4"/>
  <c r="D49" i="4"/>
  <c r="D48" i="4"/>
  <c r="D45" i="4"/>
  <c r="D44" i="4"/>
  <c r="D43" i="4"/>
  <c r="D42" i="4"/>
  <c r="D41" i="4"/>
  <c r="D40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<sst xmlns="http://schemas.openxmlformats.org/spreadsheetml/2006/main" count="390" uniqueCount="265">
  <si>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</si>
  <si>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</si>
  <si>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</si>
  <si>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</si>
  <si>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</si>
  <si>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</si>
  <si>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</si>
  <si>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</si>
  <si>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</si>
  <si>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</si>
  <si>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</si>
  <si>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</si>
  <si>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</si>
  <si>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</si>
  <si>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</si>
  <si>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</si>
  <si>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</si>
  <si>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</si>
  <si>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</si>
  <si>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</si>
  <si>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</si>
  <si>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</si>
  <si>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</si>
  <si>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</si>
  <si>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</si>
  <si>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</si>
  <si>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</si>
  <si>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</si>
  <si>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</si>
  <si>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</si>
  <si>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</si>
  <si>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</si>
  <si>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</si>
  <si>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</si>
  <si>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</si>
  <si>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</si>
  <si>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</si>
  <si>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</si>
  <si>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</si>
  <si>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</si>
  <si>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</si>
  <si>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</si>
  <si>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</si>
  <si>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</si>
  <si>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</si>
  <si>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</si>
  <si>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</si>
  <si>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</si>
  <si>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</si>
  <si>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</si>
  <si>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</si>
  <si>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</si>
  <si>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</si>
  <si>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</si>
  <si>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</si>
  <si>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</si>
  <si>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</si>
  <si>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</si>
  <si>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</si>
  <si>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</si>
  <si>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</si>
  <si>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</si>
  <si>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</si>
  <si>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</si>
  <si>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</si>
  <si>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</si>
  <si>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</si>
  <si>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</si>
  <si>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</si>
  <si>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</si>
  <si>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</si>
  <si>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</si>
  <si>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</si>
  <si>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</si>
  <si>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</si>
  <si>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</si>
  <si>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</si>
  <si>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</si>
  <si>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</si>
  <si>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</si>
  <si>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</si>
  <si>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</si>
  <si>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</si>
  <si>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</si>
  <si>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</si>
  <si>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</si>
  <si>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</si>
  <si>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</si>
  <si>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</si>
  <si>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</si>
  <si>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</si>
  <si>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</si>
  <si>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</si>
  <si>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</si>
  <si>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</si>
  <si>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</si>
  <si>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</si>
  <si>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</si>
  <si>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</si>
  <si>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</si>
  <si>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</si>
  <si>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</si>
  <si>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</si>
  <si>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</si>
  <si>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</si>
  <si>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</si>
  <si>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</si>
  <si>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</si>
  <si>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</si>
  <si>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</si>
  <si>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</si>
  <si>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</si>
  <si>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</si>
  <si>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</si>
  <si>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</si>
  <si>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</si>
  <si>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</si>
  <si>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</si>
  <si>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</si>
  <si>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</si>
  <si>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</si>
  <si>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</si>
  <si>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</si>
  <si>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</si>
  <si>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</si>
  <si>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</si>
  <si>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</si>
  <si>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</si>
  <si>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</si>
  <si>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</si>
  <si>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</si>
  <si>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</si>
  <si>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</si>
  <si>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</si>
  <si>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</si>
  <si>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</si>
  <si>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</si>
  <si>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</si>
  <si>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</si>
  <si>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</si>
  <si>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</si>
  <si>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</si>
  <si>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</si>
  <si>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</si>
  <si>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</si>
  <si>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</si>
  <si>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</si>
  <si>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</si>
  <si>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</si>
  <si>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</si>
  <si>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</si>
  <si>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</si>
  <si>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</si>
  <si>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</si>
  <si>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</si>
  <si>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</si>
  <si>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</si>
  <si>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</si>
  <si>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</si>
  <si>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</si>
  <si>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</si>
  <si>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</si>
  <si>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</si>
  <si>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</si>
  <si>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</si>
  <si>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</si>
  <si>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</si>
  <si>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</si>
  <si>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</si>
  <si>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</si>
  <si>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</si>
  <si>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</si>
  <si>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</si>
  <si>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</si>
  <si>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</si>
  <si>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</si>
  <si>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</si>
  <si>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</si>
  <si>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</si>
  <si>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</si>
  <si>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</si>
  <si>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</si>
  <si>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</si>
  <si>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</si>
  <si>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</si>
  <si>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</si>
  <si>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</si>
  <si>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</si>
  <si>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</si>
  <si>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</si>
  <si>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</si>
  <si>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</si>
  <si>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</si>
  <si>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</si>
  <si>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</si>
  <si>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</si>
  <si>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</si>
  <si>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</si>
  <si>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</si>
  <si>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</si>
  <si>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</si>
  <si>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</si>
  <si>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</si>
  <si>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</si>
  <si>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</si>
  <si>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</si>
  <si>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</si>
  <si>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</si>
  <si>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</si>
  <si>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</si>
  <si>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</si>
  <si>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</si>
  <si>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</si>
  <si>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</si>
  <si>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</si>
  <si>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</si>
  <si>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</si>
  <si>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</si>
  <si>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</si>
  <si>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</si>
  <si>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</si>
  <si>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</si>
  <si>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</si>
  <si>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</si>
  <si>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</si>
  <si>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</si>
  <si>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</si>
  <si>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</si>
  <si>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</si>
  <si>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</si>
  <si>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</si>
  <si>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</si>
  <si>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</si>
  <si>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</si>
  <si>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</si>
  <si>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</si>
  <si>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</si>
  <si>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</si>
  <si>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</si>
  <si>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</si>
  <si>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</si>
  <si>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</si>
  <si>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</si>
  <si>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</si>
  <si>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</si>
  <si>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</si>
  <si>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</si>
  <si>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</si>
  <si>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</si>
  <si>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</si>
  <si>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</si>
  <si>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 xml:space="preserve">지한유치원 교사 신축공사(가칭) </t>
    <phoneticPr fontId="2" type="noConversion"/>
  </si>
  <si>
    <t>교육연구</t>
  </si>
  <si>
    <t>광주시</t>
  </si>
  <si>
    <t>기초공사, 폐기물처리비, 골재비및운반비</t>
    <phoneticPr fontId="2" type="noConversion"/>
  </si>
  <si>
    <t>바닥난방공사, 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</si>
  <si>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</si>
  <si>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</si>
  <si>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운반비,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</si>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</sst>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252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2995.28</v>
      </c>
      <c r="D7" s="36">
        <f>+C7/3.3058</f>
        <v>906.06812269344789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1075470</v>
      </c>
      <c r="E25" s="59">
        <f t="shared" si="0"/>
        <v>3555280</v>
      </c>
    </row>
    <row r="26" spans="1:5" x14ac:dyDescent="0.3">
      <c r="B26" s="2">
        <v>3</v>
      </c>
      <c r="C26" s="35" t="s">
        <v>95</v>
      </c>
      <c r="D26" s="45">
        <f>+D66</f>
        <v>9140</v>
      </c>
      <c r="E26" s="59">
        <f t="shared" si="0"/>
        <v>30210</v>
      </c>
    </row>
    <row r="27" spans="1:5" x14ac:dyDescent="0.3">
      <c r="B27" s="2">
        <v>4</v>
      </c>
      <c r="C27" s="35" t="s">
        <v>96</v>
      </c>
      <c r="D27" s="45">
        <f>+D95</f>
        <v>232580</v>
      </c>
      <c r="E27" s="59">
        <f t="shared" si="0"/>
        <v>768860</v>
      </c>
    </row>
    <row r="28" spans="1:5" x14ac:dyDescent="0.3">
      <c r="B28" s="2">
        <v>5</v>
      </c>
      <c r="C28" s="35" t="s">
        <v>97</v>
      </c>
      <c r="D28" s="45">
        <f>+D119</f>
        <v>217850</v>
      </c>
      <c r="E28" s="59">
        <f t="shared" si="0"/>
        <v>720160</v>
      </c>
    </row>
    <row r="29" spans="1:5" x14ac:dyDescent="0.3">
      <c r="B29" s="2">
        <v>6</v>
      </c>
      <c r="C29" s="35" t="s">
        <v>98</v>
      </c>
      <c r="D29" s="45">
        <f>+D133</f>
        <v>47110</v>
      </c>
      <c r="E29" s="59">
        <f t="shared" si="0"/>
        <v>155730</v>
      </c>
    </row>
    <row r="30" spans="1:5" x14ac:dyDescent="0.3">
      <c r="B30" s="2">
        <v>7</v>
      </c>
      <c r="C30" s="35" t="s">
        <v>99</v>
      </c>
      <c r="D30" s="45">
        <f>+D146</f>
        <v>114230</v>
      </c>
      <c r="E30" s="59">
        <f t="shared" si="0"/>
        <v>377620</v>
      </c>
    </row>
    <row r="31" spans="1:5" x14ac:dyDescent="0.3">
      <c r="B31" s="2">
        <v>8</v>
      </c>
      <c r="C31" s="35" t="s">
        <v>100</v>
      </c>
      <c r="D31" s="45">
        <f>+D154</f>
        <v>84720</v>
      </c>
      <c r="E31" s="59">
        <f t="shared" si="0"/>
        <v>280060</v>
      </c>
    </row>
    <row r="32" spans="1:5" x14ac:dyDescent="0.3">
      <c r="B32" s="2">
        <v>9</v>
      </c>
      <c r="C32" s="35" t="s">
        <v>101</v>
      </c>
      <c r="D32" s="45">
        <f>+D161</f>
        <v>25310</v>
      </c>
      <c r="E32" s="59">
        <f t="shared" si="0"/>
        <v>83660</v>
      </c>
    </row>
    <row r="33" spans="1:7" x14ac:dyDescent="0.3">
      <c r="B33" s="2">
        <v>10</v>
      </c>
      <c r="C33" s="35" t="s">
        <v>154</v>
      </c>
      <c r="D33" s="53">
        <f>TRUNC(SUM(D24:D32)*0.275,-1)</f>
        <v>496760</v>
      </c>
      <c r="E33" s="60">
        <f t="shared" si="0"/>
        <v>1642180</v>
      </c>
    </row>
    <row r="34" spans="1:7" x14ac:dyDescent="0.3">
      <c r="C34" s="35" t="s">
        <v>112</v>
      </c>
      <c r="D34" s="44">
        <f>SUM(D24:D33)</f>
        <v>2303170</v>
      </c>
      <c r="E34" s="44">
        <f>SUM(E24:E33)</f>
        <v>7613760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TRUNC(49617,-1)</f>
        <v>49610</v>
      </c>
      <c r="E40" s="62">
        <f t="shared" ref="E40:E59" si="1">TRUNC(+D40*3.3058,-1)</f>
        <v>164000</v>
      </c>
    </row>
    <row r="41" spans="1:7" x14ac:dyDescent="0.3">
      <c r="A41" s="2">
        <v>2</v>
      </c>
      <c r="C41" s="38" t="s">
        <v>13</v>
      </c>
      <c r="D41" s="42">
        <f>TRUNC(200410,-1)</f>
        <v>200410</v>
      </c>
      <c r="E41" s="63">
        <f t="shared" si="1"/>
        <v>662510</v>
      </c>
    </row>
    <row r="42" spans="1:7" x14ac:dyDescent="0.3">
      <c r="A42" s="2">
        <v>3</v>
      </c>
      <c r="C42" s="38" t="s">
        <v>14</v>
      </c>
      <c r="D42" s="42">
        <f>TRUNC(4159,-1)</f>
        <v>4150</v>
      </c>
      <c r="E42" s="63">
        <f t="shared" si="1"/>
        <v>13710</v>
      </c>
    </row>
    <row r="43" spans="1:7" x14ac:dyDescent="0.3">
      <c r="A43" s="2">
        <v>4</v>
      </c>
      <c r="C43" s="38" t="s">
        <v>16</v>
      </c>
      <c r="D43" s="42">
        <f>TRUNC(48347,-1)</f>
        <v>48340</v>
      </c>
      <c r="E43" s="63">
        <f t="shared" si="1"/>
        <v>159800</v>
      </c>
    </row>
    <row r="44" spans="1:7" x14ac:dyDescent="0.3">
      <c r="A44" s="2">
        <v>5</v>
      </c>
      <c r="C44" s="38" t="s">
        <v>17</v>
      </c>
      <c r="D44" s="42">
        <f>TRUNC(36046,-1)</f>
        <v>36040</v>
      </c>
      <c r="E44" s="63">
        <f t="shared" si="1"/>
        <v>119140</v>
      </c>
    </row>
    <row r="45" spans="1:7" x14ac:dyDescent="0.3">
      <c r="A45" s="2">
        <v>6</v>
      </c>
      <c r="C45" s="38" t="s">
        <v>18</v>
      </c>
      <c r="D45" s="42">
        <f>TRUNC(9458,-1)</f>
        <v>9450</v>
      </c>
      <c r="E45" s="63">
        <f t="shared" si="1"/>
        <v>31230</v>
      </c>
    </row>
    <row r="46" spans="1:7" x14ac:dyDescent="0.3">
      <c r="A46" s="2">
        <v>7</v>
      </c>
      <c r="C46" s="38" t="s">
        <v>19</v>
      </c>
      <c r="D46" s="42">
        <v>6160</v>
      </c>
      <c r="E46" s="63">
        <f t="shared" si="1"/>
        <v>20360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TRUNC(99524,-1)</f>
        <v>99520</v>
      </c>
      <c r="E48" s="63">
        <f t="shared" si="1"/>
        <v>328990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TRUNC(41909,-1)</f>
        <v>41900</v>
      </c>
      <c r="E49" s="63">
        <f t="shared" si="1"/>
        <v>138510</v>
      </c>
    </row>
    <row r="50" spans="1:7" x14ac:dyDescent="0.3">
      <c r="A50" s="2">
        <v>11</v>
      </c>
      <c r="C50" s="38" t="s">
        <v>155</v>
      </c>
      <c r="D50" s="42">
        <f>TRUNC(54064,-1)</f>
        <v>54060</v>
      </c>
      <c r="E50" s="63">
        <f t="shared" si="1"/>
        <v>178710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14230</v>
      </c>
      <c r="E52" s="63">
        <f t="shared" si="1"/>
        <v>47040</v>
      </c>
    </row>
    <row r="53" spans="1:7" x14ac:dyDescent="0.3">
      <c r="A53" s="2">
        <v>14</v>
      </c>
      <c r="C53" s="38" t="s">
        <v>25</v>
      </c>
      <c r="D53" s="42">
        <f>TRUNC(114879,-1)</f>
        <v>114870</v>
      </c>
      <c r="E53" s="63">
        <f t="shared" si="1"/>
        <v>379730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TRUNC(27510+1271+5633-607+12679,-1)</f>
        <v>46480</v>
      </c>
      <c r="E58" s="63">
        <f t="shared" si="1"/>
        <v>153650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TRUNC(350253,-1)</f>
        <v>350250</v>
      </c>
      <c r="E59" s="64">
        <f t="shared" si="1"/>
        <v>1157850</v>
      </c>
    </row>
    <row r="60" spans="1:7" x14ac:dyDescent="0.3">
      <c r="A60" s="2">
        <v>21</v>
      </c>
      <c r="C60" s="27" t="s">
        <v>112</v>
      </c>
      <c r="D60" s="39">
        <f>SUM(D40:D59)</f>
        <v>1075470</v>
      </c>
      <c r="E60" s="39">
        <f>SUM(E40:E59)</f>
        <v>3555230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TRUNC(9146,-1)</f>
        <v>9140</v>
      </c>
      <c r="E63" s="62">
        <f>TRUNC(+D63*3.3058,-1)</f>
        <v>30210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9140</v>
      </c>
      <c r="E66" s="65">
        <f>SUM(E63:E65)</f>
        <v>30210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TRUNC(16492,-1)</f>
        <v>16490</v>
      </c>
      <c r="E69" s="62">
        <f t="shared" ref="E69:E94" si="2">TRUNC(+D69*3.3058,-1)</f>
        <v>54510</v>
      </c>
    </row>
    <row r="70" spans="1:7" ht="16.5" customHeight="1" x14ac:dyDescent="0.3">
      <c r="A70" s="2">
        <v>2</v>
      </c>
      <c r="C70" s="38" t="s">
        <v>31</v>
      </c>
      <c r="D70" s="42">
        <f>TRUNC(1131,-1)</f>
        <v>1130</v>
      </c>
      <c r="E70" s="63">
        <f t="shared" si="2"/>
        <v>3730</v>
      </c>
    </row>
    <row r="71" spans="1:7" x14ac:dyDescent="0.3">
      <c r="A71" s="2">
        <v>3</v>
      </c>
      <c r="C71" s="38" t="s">
        <v>32</v>
      </c>
      <c r="D71" s="42">
        <f>TRUNC(6402,-1)</f>
        <v>6400</v>
      </c>
      <c r="E71" s="63">
        <f t="shared" si="2"/>
        <v>21150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TRUNC(19906,-1)</f>
        <v>19900</v>
      </c>
      <c r="E73" s="63">
        <f t="shared" si="2"/>
        <v>65780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TRUNC(9685,-1)</f>
        <v>9680</v>
      </c>
      <c r="E89" s="63">
        <f t="shared" si="2"/>
        <v>32000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TRUNC(3932,-1)</f>
        <v>3930</v>
      </c>
      <c r="E91" s="63">
        <f t="shared" si="2"/>
        <v>12990</v>
      </c>
    </row>
    <row r="92" spans="1:7" x14ac:dyDescent="0.3">
      <c r="A92" s="2">
        <v>24</v>
      </c>
      <c r="C92" s="38" t="s">
        <v>38</v>
      </c>
      <c r="D92" s="42">
        <f>TRUNC(9734,-1)</f>
        <v>9730</v>
      </c>
      <c r="E92" s="63">
        <f t="shared" si="2"/>
        <v>32160</v>
      </c>
    </row>
    <row r="93" spans="1:7" x14ac:dyDescent="0.3">
      <c r="A93" s="2">
        <v>25</v>
      </c>
      <c r="C93" s="38" t="s">
        <v>148</v>
      </c>
      <c r="D93" s="42">
        <f>TRUNC(113544,-1)</f>
        <v>113540</v>
      </c>
      <c r="E93" s="63">
        <f t="shared" si="2"/>
        <v>375340</v>
      </c>
    </row>
    <row r="94" spans="1:7" ht="17.25" thickBot="1" x14ac:dyDescent="0.35">
      <c r="A94" s="2">
        <v>26</v>
      </c>
      <c r="C94" s="38" t="s">
        <v>47</v>
      </c>
      <c r="D94" s="43">
        <f>TRUNC(34232+17556,-1)</f>
        <v>51780</v>
      </c>
      <c r="E94" s="64">
        <f t="shared" si="2"/>
        <v>171170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232580</v>
      </c>
      <c r="E95" s="39">
        <f>SUM(E69:E94)</f>
        <v>768830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TRUNC(30180,-1)</f>
        <v>30180</v>
      </c>
      <c r="E98" s="62">
        <f t="shared" ref="E98:E118" si="3">TRUNC(+D98*3.3058,-1)</f>
        <v>99760</v>
      </c>
    </row>
    <row r="99" spans="1:7" x14ac:dyDescent="0.3">
      <c r="A99" s="2">
        <v>2</v>
      </c>
      <c r="C99" s="38" t="s">
        <v>40</v>
      </c>
      <c r="D99" s="42">
        <f>TRUNC(9847,-1)</f>
        <v>9840</v>
      </c>
      <c r="E99" s="63">
        <f t="shared" si="3"/>
        <v>32520</v>
      </c>
    </row>
    <row r="100" spans="1:7" x14ac:dyDescent="0.3">
      <c r="A100" s="2">
        <v>3</v>
      </c>
      <c r="C100" s="38" t="s">
        <v>41</v>
      </c>
      <c r="D100" s="42">
        <f>TRUNC(30641,-1)</f>
        <v>30640</v>
      </c>
      <c r="E100" s="63">
        <f t="shared" si="3"/>
        <v>101280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TRUNC(11856,-1)</f>
        <v>11850</v>
      </c>
      <c r="E102" s="63">
        <f t="shared" si="3"/>
        <v>39170</v>
      </c>
    </row>
    <row r="103" spans="1:7" x14ac:dyDescent="0.3">
      <c r="A103" s="2">
        <v>6</v>
      </c>
      <c r="C103" s="38" t="s">
        <v>44</v>
      </c>
      <c r="D103" s="42">
        <f>TRUNC(4086,-1)</f>
        <v>4080</v>
      </c>
      <c r="E103" s="63">
        <f t="shared" si="3"/>
        <v>13480</v>
      </c>
    </row>
    <row r="104" spans="1:7" x14ac:dyDescent="0.3">
      <c r="A104" s="2">
        <v>7</v>
      </c>
      <c r="C104" s="38" t="s">
        <v>45</v>
      </c>
      <c r="D104" s="42">
        <f>TRUNC(2646,-1)</f>
        <v>2640</v>
      </c>
      <c r="E104" s="63">
        <f t="shared" si="3"/>
        <v>8720</v>
      </c>
    </row>
    <row r="105" spans="1:7" x14ac:dyDescent="0.3">
      <c r="A105" s="2">
        <v>8</v>
      </c>
      <c r="C105" s="38" t="s">
        <v>46</v>
      </c>
      <c r="D105" s="42">
        <f>TRUNC(8388,-1)</f>
        <v>8380</v>
      </c>
      <c r="E105" s="63">
        <f t="shared" si="3"/>
        <v>27700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TRUNC(114585,-1)</f>
        <v>114580</v>
      </c>
      <c r="E117" s="63">
        <f t="shared" si="3"/>
        <v>378770</v>
      </c>
    </row>
    <row r="118" spans="1:7" ht="17.25" thickBot="1" x14ac:dyDescent="0.35">
      <c r="A118" s="2">
        <v>21</v>
      </c>
      <c r="C118" s="38" t="s">
        <v>47</v>
      </c>
      <c r="D118" s="43">
        <f>TRUNC(5666,-1)</f>
        <v>5660</v>
      </c>
      <c r="E118" s="64">
        <f t="shared" si="3"/>
        <v>18710</v>
      </c>
    </row>
    <row r="119" spans="1:7" x14ac:dyDescent="0.3">
      <c r="A119" s="2">
        <v>22</v>
      </c>
      <c r="C119" s="27" t="s">
        <v>112</v>
      </c>
      <c r="D119" s="39">
        <f>SUM(D98:D118)</f>
        <v>217850</v>
      </c>
      <c r="E119" s="39">
        <f>SUM(E98:E118)</f>
        <v>720110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TRUNC(2794,-1)</f>
        <v>2790</v>
      </c>
      <c r="E122" s="62">
        <f t="shared" ref="E122:E132" si="4">TRUNC(+D122*3.3058,-1)</f>
        <v>9220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TRUNC(1811,-1)</f>
        <v>1810</v>
      </c>
      <c r="E124" s="63">
        <f t="shared" si="4"/>
        <v>5980</v>
      </c>
    </row>
    <row r="125" spans="1:7" x14ac:dyDescent="0.3">
      <c r="A125" s="2">
        <v>4</v>
      </c>
      <c r="C125" s="38" t="s">
        <v>138</v>
      </c>
      <c r="D125" s="42">
        <f>TRUNC(4309,-1)</f>
        <v>4300</v>
      </c>
      <c r="E125" s="63">
        <f t="shared" si="4"/>
        <v>14210</v>
      </c>
    </row>
    <row r="126" spans="1:7" x14ac:dyDescent="0.3">
      <c r="A126" s="2">
        <v>5</v>
      </c>
      <c r="C126" s="38" t="s">
        <v>53</v>
      </c>
      <c r="D126" s="42">
        <f>TRUNC(1185,-1)</f>
        <v>1180</v>
      </c>
      <c r="E126" s="63">
        <f t="shared" si="4"/>
        <v>3900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TRUNC(2545,-1)</f>
        <v>2540</v>
      </c>
      <c r="E128" s="63">
        <f t="shared" si="4"/>
        <v>8390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TRUNC(12732,-1)</f>
        <v>12730</v>
      </c>
      <c r="E130" s="63">
        <f t="shared" si="4"/>
        <v>42080</v>
      </c>
    </row>
    <row r="131" spans="1:7" x14ac:dyDescent="0.3">
      <c r="A131" s="2">
        <v>10</v>
      </c>
      <c r="C131" s="38" t="s">
        <v>148</v>
      </c>
      <c r="D131" s="42">
        <f>TRUNC(16846,-1)</f>
        <v>16840</v>
      </c>
      <c r="E131" s="63">
        <f t="shared" si="4"/>
        <v>55660</v>
      </c>
    </row>
    <row r="132" spans="1:7" ht="18" thickBot="1" x14ac:dyDescent="0.35">
      <c r="A132" s="2">
        <v>11</v>
      </c>
      <c r="C132" s="38" t="s">
        <v>47</v>
      </c>
      <c r="D132" s="43">
        <v>4920</v>
      </c>
      <c r="E132" s="64">
        <f t="shared" si="4"/>
        <v>16260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47110</v>
      </c>
      <c r="E133" s="39">
        <f>SUM(E122:E132)</f>
        <v>155700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TRUNC(11761,-1)</f>
        <v>11760</v>
      </c>
      <c r="E139" s="63">
        <f t="shared" si="5"/>
        <v>38870</v>
      </c>
    </row>
    <row r="140" spans="1:7" x14ac:dyDescent="0.3">
      <c r="A140" s="2">
        <v>5</v>
      </c>
      <c r="C140" s="38" t="s">
        <v>57</v>
      </c>
      <c r="D140" s="42">
        <f>TRUNC(27972,-1)</f>
        <v>27970</v>
      </c>
      <c r="E140" s="63">
        <f t="shared" si="5"/>
        <v>92460</v>
      </c>
    </row>
    <row r="141" spans="1:7" x14ac:dyDescent="0.3">
      <c r="A141" s="2">
        <v>6</v>
      </c>
      <c r="C141" s="38" t="s">
        <v>59</v>
      </c>
      <c r="D141" s="42">
        <f>TRUNC(36374,-1)</f>
        <v>36370</v>
      </c>
      <c r="E141" s="63">
        <f t="shared" si="5"/>
        <v>120230</v>
      </c>
    </row>
    <row r="142" spans="1:7" x14ac:dyDescent="0.3">
      <c r="A142" s="2">
        <v>7</v>
      </c>
      <c r="C142" s="38" t="s">
        <v>58</v>
      </c>
      <c r="D142" s="42">
        <f>TRUNC(10849,-1)</f>
        <v>10840</v>
      </c>
      <c r="E142" s="63">
        <f t="shared" si="5"/>
        <v>35830</v>
      </c>
    </row>
    <row r="143" spans="1:7" x14ac:dyDescent="0.3">
      <c r="A143" s="2">
        <v>8</v>
      </c>
      <c r="C143" s="38" t="s">
        <v>62</v>
      </c>
      <c r="D143" s="42">
        <f>TRUNC(4221,-1)</f>
        <v>4220</v>
      </c>
      <c r="E143" s="63">
        <f t="shared" si="5"/>
        <v>13950</v>
      </c>
    </row>
    <row r="144" spans="1:7" x14ac:dyDescent="0.3">
      <c r="A144" s="2">
        <v>9</v>
      </c>
      <c r="C144" s="38" t="s">
        <v>63</v>
      </c>
      <c r="D144" s="42">
        <f>TRUNC(23078,-1)</f>
        <v>23070</v>
      </c>
      <c r="E144" s="63">
        <f t="shared" si="5"/>
        <v>76260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114230</v>
      </c>
      <c r="E146" s="39">
        <f>SUM(E136:E145)</f>
        <v>377600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TRUNC(20558+3872,-1)</f>
        <v>24430</v>
      </c>
      <c r="E149" s="62">
        <f>TRUNC(+D149*3.3058,-1)</f>
        <v>80760</v>
      </c>
    </row>
    <row r="150" spans="1:7" x14ac:dyDescent="0.3">
      <c r="A150" s="2">
        <v>2</v>
      </c>
      <c r="C150" s="38" t="s">
        <v>49</v>
      </c>
      <c r="D150" s="42">
        <f>TRUNC(20748,-1)</f>
        <v>20740</v>
      </c>
      <c r="E150" s="63">
        <f>TRUNC(+D150*3.3058,-1)</f>
        <v>68560</v>
      </c>
    </row>
    <row r="151" spans="1:7" x14ac:dyDescent="0.3">
      <c r="A151" s="2">
        <v>3</v>
      </c>
      <c r="C151" s="38" t="s">
        <v>50</v>
      </c>
      <c r="D151" s="42">
        <f>TRUNC(11582,-1)</f>
        <v>11580</v>
      </c>
      <c r="E151" s="63">
        <f>TRUNC(+D151*3.3058,-1)</f>
        <v>38280</v>
      </c>
    </row>
    <row r="152" spans="1:7" x14ac:dyDescent="0.3">
      <c r="A152" s="2">
        <v>4</v>
      </c>
      <c r="C152" s="38" t="s">
        <v>47</v>
      </c>
      <c r="D152" s="42">
        <f>552+14238</f>
        <v>14790</v>
      </c>
      <c r="E152" s="63">
        <f>TRUNC(+D152*3.3058,-1)</f>
        <v>48890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TRUNC(13188,-1)</f>
        <v>13180</v>
      </c>
      <c r="E153" s="64">
        <f>TRUNC(+D153*3.3058,-1)</f>
        <v>43570</v>
      </c>
    </row>
    <row r="154" spans="1:7" x14ac:dyDescent="0.3">
      <c r="A154" s="2">
        <v>6</v>
      </c>
      <c r="C154" s="27" t="s">
        <v>112</v>
      </c>
      <c r="D154" s="39">
        <f>SUM(D149:D153)</f>
        <v>84720</v>
      </c>
      <c r="E154" s="39">
        <f>SUM(E149:E153)</f>
        <v>280060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TRUNC(18009,-1)</f>
        <v>18000</v>
      </c>
      <c r="E157" s="62">
        <f>TRUNC(+D157*3.3058,-1)</f>
        <v>59500</v>
      </c>
    </row>
    <row r="158" spans="1:7" x14ac:dyDescent="0.3">
      <c r="A158" s="2">
        <v>2</v>
      </c>
      <c r="C158" s="38" t="s">
        <v>52</v>
      </c>
      <c r="D158" s="42">
        <f>TRUNC(5973,-1)</f>
        <v>5970</v>
      </c>
      <c r="E158" s="63">
        <f>TRUNC(+D158*3.3058,-1)</f>
        <v>19730</v>
      </c>
    </row>
    <row r="159" spans="1:7" x14ac:dyDescent="0.3">
      <c r="A159" s="2">
        <v>3</v>
      </c>
      <c r="C159" s="38" t="s">
        <v>47</v>
      </c>
      <c r="D159" s="42">
        <f>TRUNC(1349,-1)</f>
        <v>1340</v>
      </c>
      <c r="E159" s="63">
        <f>TRUNC(+D159*3.3058,-1)</f>
        <v>4420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25310</v>
      </c>
      <c r="E161" s="39">
        <f>SUM(E157:E160)</f>
        <v>83650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2020-12-08T01:13:29Z</dcterms:modified>
</cp:coreProperties>
</file>