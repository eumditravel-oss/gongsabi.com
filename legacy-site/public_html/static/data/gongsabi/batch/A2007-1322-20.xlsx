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D58" i="4" l="1"/>
  <c r="D59" i="4"/>
  <c r="D53" i="4"/>
  <c r="D52" i="4"/>
  <c r="D51" i="4"/>
  <c r="D50" i="4"/>
  <c r="D49" i="4"/>
  <c r="D48" i="4"/>
  <c r="D44" i="4"/>
  <c r="D47" i="4"/>
  <c r="D45" i="4"/>
  <c r="D46" i="4"/>
  <c r="D43" i="4"/>
  <c r="D41" i="4"/>
  <c r="D40" i="4"/>
  <c r="D159" i="4"/>
  <c r="D152" i="4"/>
  <c r="D150" i="4"/>
  <c r="D153" i="4"/>
  <c r="D151" i="4"/>
  <c r="D65" i="4"/>
  <c r="D63" i="4"/>
  <c r="D94" i="4"/>
  <c r="D93" i="4"/>
  <c r="D91" i="4"/>
  <c r="D89" i="4"/>
  <c r="D73" i="4"/>
  <c r="D92" i="4"/>
  <c r="D71" i="4"/>
  <c r="D69" i="4"/>
  <c r="D118" i="4"/>
  <c r="D105" i="4"/>
  <c r="D101" i="4"/>
  <c r="D104" i="4"/>
  <c r="D108" i="4"/>
  <c r="D100" i="4"/>
  <c r="D102" i="4"/>
  <c r="D99" i="4"/>
  <c r="D98" i="4"/>
  <c r="D114" i="4"/>
  <c r="D115" i="4"/>
  <c r="D117" i="4"/>
  <c r="D128" i="4"/>
  <c r="D124" i="4"/>
  <c r="D125" i="4"/>
  <c r="D132" i="4"/>
  <c r="D122" i="4"/>
  <c r="D13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60" i="4"/>
  <c r="E154" i="4"/>
  <c r="E66" i="4"/>
  <c r="E95" i="4"/>
  <c r="E119" i="4"/>
  <c r="E146" i="4"/>
  <c r="E133" i="4"/>
  <c r="D161" i="4"/>
  <c r="D154" i="4"/>
  <c r="D31" i="4" s="1"/>
  <c r="E31" i="4" s="1"/>
  <c r="D146" i="4"/>
  <c r="D30" i="4" s="1"/>
  <c r="E30" i="4" s="1"/>
  <c r="D133" i="4"/>
  <c r="D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9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<sst xmlns="http://schemas.openxmlformats.org/spreadsheetml/2006/main" count="390" uniqueCount="265">
  <si>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</si>
  <si>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</si>
  <si>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</si>
  <si>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</si>
  <si>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</si>
  <si>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</si>
  <si>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</si>
  <si>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</si>
  <si>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</si>
  <si>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</si>
  <si>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</si>
  <si>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</si>
  <si>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</si>
  <si>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</si>
  <si>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</si>
  <si>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</si>
  <si>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</si>
  <si>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</si>
  <si>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</si>
  <si>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</si>
  <si>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</si>
  <si>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</si>
  <si>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</si>
  <si>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</si>
  <si>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</si>
  <si>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</si>
  <si>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</si>
  <si>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</si>
  <si>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</si>
  <si>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</si>
  <si>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</si>
  <si>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</si>
  <si>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</si>
  <si>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</si>
  <si>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</si>
  <si>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</si>
  <si>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</si>
  <si>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</si>
  <si>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</si>
  <si>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</si>
  <si>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</si>
  <si>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</si>
  <si>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</si>
  <si>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</si>
  <si>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</si>
  <si>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</si>
  <si>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</si>
  <si>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</si>
  <si>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</si>
  <si>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</si>
  <si>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</si>
  <si>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</si>
  <si>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</si>
  <si>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</si>
  <si>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</si>
  <si>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</si>
  <si>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</si>
  <si>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</si>
  <si>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</si>
  <si>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</si>
  <si>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</si>
  <si>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</si>
  <si>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</si>
  <si>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</si>
  <si>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</si>
  <si>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</si>
  <si>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</si>
  <si>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</si>
  <si>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</si>
  <si>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</si>
  <si>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</si>
  <si>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</si>
  <si>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</si>
  <si>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</si>
  <si>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</si>
  <si>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</si>
  <si>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</si>
  <si>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</si>
  <si>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</si>
  <si>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</si>
  <si>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</si>
  <si>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</si>
  <si>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</si>
  <si>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</si>
  <si>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</si>
  <si>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</si>
  <si>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</si>
  <si>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</si>
  <si>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</si>
  <si>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</si>
  <si>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</si>
  <si>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</si>
  <si>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</si>
  <si>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</si>
  <si>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</si>
  <si>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</si>
  <si>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</si>
  <si>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</si>
  <si>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</si>
  <si>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</si>
  <si>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</si>
  <si>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</si>
  <si>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</si>
  <si>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</si>
  <si>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</si>
  <si>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</si>
  <si>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</si>
  <si>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</si>
  <si>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</si>
  <si>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</si>
  <si>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</si>
  <si>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</si>
  <si>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</si>
  <si>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</si>
  <si>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</si>
  <si>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</si>
  <si>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</si>
  <si>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</si>
  <si>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</si>
  <si>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</si>
  <si>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</si>
  <si>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</si>
  <si>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</si>
  <si>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</si>
  <si>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</si>
  <si>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</si>
  <si>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</si>
  <si>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</si>
  <si>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</si>
  <si>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</si>
  <si>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</si>
  <si>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</si>
  <si>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</si>
  <si>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</si>
  <si>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</si>
  <si>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</si>
  <si>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</si>
  <si>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</si>
  <si>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</si>
  <si>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</si>
  <si>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</si>
  <si>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</si>
  <si>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</si>
  <si>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</si>
  <si>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</si>
  <si>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</si>
  <si>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</si>
  <si>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</si>
  <si>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</si>
  <si>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</si>
  <si>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</si>
  <si>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</si>
  <si>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</si>
  <si>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</si>
  <si>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</si>
  <si>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</si>
  <si>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</si>
  <si>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</si>
  <si>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</si>
  <si>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</si>
  <si>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</si>
  <si>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</si>
  <si>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</si>
  <si>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</si>
  <si>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</si>
  <si>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</si>
  <si>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</si>
  <si>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</si>
  <si>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</si>
  <si>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</si>
  <si>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</si>
  <si>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</si>
  <si>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</si>
  <si>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</si>
  <si>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</si>
  <si>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</si>
  <si>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</si>
  <si>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</si>
  <si>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</si>
  <si>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</si>
  <si>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</si>
  <si>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</si>
  <si>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</si>
  <si>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</si>
  <si>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</si>
  <si>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</si>
  <si>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</si>
  <si>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</si>
  <si>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</si>
  <si>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</si>
  <si>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</si>
  <si>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</si>
  <si>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</si>
  <si>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</si>
  <si>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</si>
  <si>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</si>
  <si>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</si>
  <si>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</si>
  <si>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</si>
  <si>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</si>
  <si>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</si>
  <si>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</si>
  <si>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</si>
  <si>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</si>
  <si>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</si>
  <si>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</si>
  <si>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</si>
  <si>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</si>
  <si>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</si>
  <si>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</si>
  <si>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</si>
  <si>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</si>
  <si>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</si>
  <si>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</si>
  <si>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</si>
  <si>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</si>
  <si>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</si>
  <si>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</si>
  <si>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</si>
  <si>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</si>
  <si>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</si>
  <si>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</si>
  <si>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</si>
  <si>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</si>
  <si>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</si>
  <si>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</si>
  <si>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</si>
  <si>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</si>
  <si>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</si>
  <si>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</si>
  <si>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</si>
  <si>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</si>
  <si>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</si>
  <si>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</si>
  <si>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</si>
  <si>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</si>
  <si>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</si>
  <si>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</si>
  <si>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</si>
  <si>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</si>
  <si>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</si>
  <si>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</si>
  <si>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</si>
  <si>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</si>
  <si>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</si>
  <si>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</si>
  <si>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</si>
  <si>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</si>
  <si>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도로교통안전관리공단 00지부 청사 신축공사</t>
    <phoneticPr fontId="2" type="noConversion"/>
  </si>
  <si>
    <t>업무</t>
  </si>
  <si>
    <t>경기도</t>
  </si>
  <si>
    <t>인터폰설비공사,무인경비설비공사</t>
    <phoneticPr fontId="2" type="noConversion"/>
  </si>
  <si>
    <t>조명제어설비공사</t>
  </si>
  <si>
    <t>옥외경관조명설비공사,경관조명설비공사,CCTV 설비공사,스노우멜팅설비공사,주차관제설비공사</t>
    <phoneticPr fontId="2" type="noConversion"/>
  </si>
  <si>
    <t>위생설비공사</t>
  </si>
  <si>
    <t>공조실배관공사,초절전온수방열관공사</t>
    <phoneticPr fontId="2" type="noConversion"/>
  </si>
  <si>
    <t>배수공사,강설,운반비,주요자재비</t>
    <phoneticPr fontId="2" type="noConversion"/>
  </si>
  <si>
    <t>조경공사</t>
    <phoneticPr fontId="2" type="noConversion"/>
  </si>
  <si>
    <t>토및지정공사,부대공사,자재비,운반비</t>
    <phoneticPr fontId="2" type="noConversion"/>
  </si>
  <si>
    <t>전기 소방설비,전기 비상조명설비공사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</si>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</sst>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3915</v>
      </c>
      <c r="D7" s="36">
        <f>+C7/3.3058</f>
        <v>1184.2821707302317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518030</v>
      </c>
      <c r="E25" s="59">
        <f t="shared" si="0"/>
        <v>1712500</v>
      </c>
    </row>
    <row r="26" spans="1:5" x14ac:dyDescent="0.3">
      <c r="B26" s="2">
        <v>3</v>
      </c>
      <c r="C26" s="35" t="s">
        <v>95</v>
      </c>
      <c r="D26" s="45">
        <f>+D66</f>
        <v>76760</v>
      </c>
      <c r="E26" s="59">
        <f t="shared" si="0"/>
        <v>253750</v>
      </c>
    </row>
    <row r="27" spans="1:5" x14ac:dyDescent="0.3">
      <c r="B27" s="2">
        <v>4</v>
      </c>
      <c r="C27" s="35" t="s">
        <v>96</v>
      </c>
      <c r="D27" s="45">
        <f>+D95</f>
        <v>125630</v>
      </c>
      <c r="E27" s="59">
        <f t="shared" si="0"/>
        <v>415300</v>
      </c>
    </row>
    <row r="28" spans="1:5" x14ac:dyDescent="0.3">
      <c r="B28" s="2">
        <v>5</v>
      </c>
      <c r="C28" s="35" t="s">
        <v>97</v>
      </c>
      <c r="D28" s="45">
        <f>+D119</f>
        <v>158810</v>
      </c>
      <c r="E28" s="59">
        <f t="shared" si="0"/>
        <v>524990</v>
      </c>
    </row>
    <row r="29" spans="1:5" x14ac:dyDescent="0.3">
      <c r="B29" s="2">
        <v>6</v>
      </c>
      <c r="C29" s="35" t="s">
        <v>98</v>
      </c>
      <c r="D29" s="45">
        <f>+D133</f>
        <v>21190</v>
      </c>
      <c r="E29" s="59">
        <f t="shared" si="0"/>
        <v>70040</v>
      </c>
    </row>
    <row r="30" spans="1:5" x14ac:dyDescent="0.3">
      <c r="B30" s="2">
        <v>7</v>
      </c>
      <c r="C30" s="35" t="s">
        <v>99</v>
      </c>
      <c r="D30" s="45">
        <f>+D146</f>
        <v>20690</v>
      </c>
      <c r="E30" s="59">
        <f t="shared" si="0"/>
        <v>68390</v>
      </c>
    </row>
    <row r="31" spans="1:5" x14ac:dyDescent="0.3">
      <c r="B31" s="2">
        <v>8</v>
      </c>
      <c r="C31" s="35" t="s">
        <v>100</v>
      </c>
      <c r="D31" s="45">
        <f>+D154</f>
        <v>35590</v>
      </c>
      <c r="E31" s="59">
        <f t="shared" si="0"/>
        <v>117650</v>
      </c>
    </row>
    <row r="32" spans="1:5" x14ac:dyDescent="0.3">
      <c r="B32" s="2">
        <v>9</v>
      </c>
      <c r="C32" s="35" t="s">
        <v>101</v>
      </c>
      <c r="D32" s="45">
        <f>+D161</f>
        <v>16070</v>
      </c>
      <c r="E32" s="59">
        <f t="shared" si="0"/>
        <v>53120</v>
      </c>
    </row>
    <row r="33" spans="1:7" x14ac:dyDescent="0.3">
      <c r="B33" s="2">
        <v>10</v>
      </c>
      <c r="C33" s="35" t="s">
        <v>154</v>
      </c>
      <c r="D33" s="53">
        <f>TRUNC(SUM(D24:D32)*0.275,-1)</f>
        <v>267510</v>
      </c>
      <c r="E33" s="60">
        <f t="shared" si="0"/>
        <v>884330</v>
      </c>
    </row>
    <row r="34" spans="1:7" x14ac:dyDescent="0.3">
      <c r="C34" s="35" t="s">
        <v>112</v>
      </c>
      <c r="D34" s="44">
        <f>SUM(D24:D33)</f>
        <v>1240280</v>
      </c>
      <c r="E34" s="44">
        <f>SUM(E24:E33)</f>
        <v>4100070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TRUNC(33616.1468710089,-1)</f>
        <v>33610</v>
      </c>
      <c r="E40" s="62">
        <f t="shared" ref="E40:E59" si="1">TRUNC(+D40*3.3058,-1)</f>
        <v>111100</v>
      </c>
    </row>
    <row r="41" spans="1:7" x14ac:dyDescent="0.3">
      <c r="A41" s="2">
        <v>2</v>
      </c>
      <c r="C41" s="38" t="s">
        <v>13</v>
      </c>
      <c r="D41" s="42">
        <f>TRUNC(97671.2536398467,-1)</f>
        <v>97670</v>
      </c>
      <c r="E41" s="63">
        <f t="shared" si="1"/>
        <v>322870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TRUNC(18082.4942528736,-1)</f>
        <v>18080</v>
      </c>
      <c r="E43" s="63">
        <f t="shared" si="1"/>
        <v>59760</v>
      </c>
    </row>
    <row r="44" spans="1:7" x14ac:dyDescent="0.3">
      <c r="A44" s="2">
        <v>5</v>
      </c>
      <c r="C44" s="38" t="s">
        <v>17</v>
      </c>
      <c r="D44" s="42">
        <f>TRUNC(21053.9905491699,-1)</f>
        <v>21050</v>
      </c>
      <c r="E44" s="63">
        <f t="shared" si="1"/>
        <v>69580</v>
      </c>
    </row>
    <row r="45" spans="1:7" x14ac:dyDescent="0.3">
      <c r="A45" s="2">
        <v>6</v>
      </c>
      <c r="C45" s="38" t="s">
        <v>18</v>
      </c>
      <c r="D45" s="42">
        <f>TRUNC(7491.03780332056,-1)</f>
        <v>7490</v>
      </c>
      <c r="E45" s="63">
        <f t="shared" si="1"/>
        <v>24760</v>
      </c>
    </row>
    <row r="46" spans="1:7" x14ac:dyDescent="0.3">
      <c r="A46" s="2">
        <v>7</v>
      </c>
      <c r="C46" s="38" t="s">
        <v>19</v>
      </c>
      <c r="D46" s="42">
        <f>TRUNC(67047.4584929757,-1)</f>
        <v>67040</v>
      </c>
      <c r="E46" s="63">
        <f t="shared" si="1"/>
        <v>221620</v>
      </c>
    </row>
    <row r="47" spans="1:7" x14ac:dyDescent="0.3">
      <c r="A47" s="2">
        <v>8</v>
      </c>
      <c r="C47" s="38" t="s">
        <v>20</v>
      </c>
      <c r="D47" s="42">
        <f>TRUNC(3236.14176245211,-1)</f>
        <v>3230</v>
      </c>
      <c r="E47" s="63">
        <f t="shared" si="1"/>
        <v>10670</v>
      </c>
    </row>
    <row r="48" spans="1:7" x14ac:dyDescent="0.3">
      <c r="A48" s="2">
        <v>9</v>
      </c>
      <c r="C48" s="38" t="s">
        <v>21</v>
      </c>
      <c r="D48" s="42">
        <f>TRUNC(24447.7415070243,-1)</f>
        <v>24440</v>
      </c>
      <c r="E48" s="63">
        <f t="shared" si="1"/>
        <v>80790</v>
      </c>
    </row>
    <row r="49" spans="1:7" x14ac:dyDescent="0.3">
      <c r="A49" s="2">
        <v>10</v>
      </c>
      <c r="C49" s="38" t="s">
        <v>22</v>
      </c>
      <c r="D49" s="42">
        <f>TRUNC(14834.1575989783,-1)</f>
        <v>14830</v>
      </c>
      <c r="E49" s="63">
        <f t="shared" si="1"/>
        <v>49020</v>
      </c>
    </row>
    <row r="50" spans="1:7" x14ac:dyDescent="0.3">
      <c r="A50" s="2">
        <v>11</v>
      </c>
      <c r="C50" s="38" t="s">
        <v>155</v>
      </c>
      <c r="D50" s="42">
        <f>TRUNC(47663.9537675607,-1)</f>
        <v>47660</v>
      </c>
      <c r="E50" s="63">
        <f t="shared" si="1"/>
        <v>157550</v>
      </c>
    </row>
    <row r="51" spans="1:7" x14ac:dyDescent="0.3">
      <c r="A51" s="2">
        <v>12</v>
      </c>
      <c r="C51" s="38" t="s">
        <v>23</v>
      </c>
      <c r="D51" s="42">
        <f>TRUNC(9400.18697318008,-1)</f>
        <v>9400</v>
      </c>
      <c r="E51" s="63">
        <f t="shared" si="1"/>
        <v>31070</v>
      </c>
    </row>
    <row r="52" spans="1:7" x14ac:dyDescent="0.3">
      <c r="A52" s="2">
        <v>13</v>
      </c>
      <c r="C52" s="38" t="s">
        <v>24</v>
      </c>
      <c r="D52" s="42">
        <f>TRUNC(5676.53537675607,-1)</f>
        <v>5670</v>
      </c>
      <c r="E52" s="63">
        <f t="shared" si="1"/>
        <v>18740</v>
      </c>
    </row>
    <row r="53" spans="1:7" x14ac:dyDescent="0.3">
      <c r="A53" s="2">
        <v>14</v>
      </c>
      <c r="C53" s="38" t="s">
        <v>25</v>
      </c>
      <c r="D53" s="42">
        <f>TRUNC(41142.2094508301,-1)</f>
        <v>41140</v>
      </c>
      <c r="E53" s="63">
        <f t="shared" si="1"/>
        <v>136000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TRUNC(15589.6863346105+207.883014048531+1912.13282247765+1548.74201787995,-1)</f>
        <v>19250</v>
      </c>
      <c r="E58" s="63">
        <f t="shared" si="1"/>
        <v>63630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TRUNC(107478.927203065,-1)</f>
        <v>107470</v>
      </c>
      <c r="E59" s="64">
        <f t="shared" si="1"/>
        <v>355270</v>
      </c>
    </row>
    <row r="60" spans="1:7" x14ac:dyDescent="0.3">
      <c r="A60" s="2">
        <v>21</v>
      </c>
      <c r="C60" s="27" t="s">
        <v>112</v>
      </c>
      <c r="D60" s="39">
        <f>SUM(D40:D59)</f>
        <v>518030</v>
      </c>
      <c r="E60" s="39">
        <f>SUM(E40:E59)</f>
        <v>1712430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TRUNC(40124.4533844189,-1)</f>
        <v>40120</v>
      </c>
      <c r="E63" s="62">
        <f>TRUNC(+D63*3.3058,-1)</f>
        <v>132620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TRUNC(36646.4904214559,-1)</f>
        <v>36640</v>
      </c>
      <c r="E65" s="64">
        <f>TRUNC(+D65*3.3058,-1)</f>
        <v>121120</v>
      </c>
    </row>
    <row r="66" spans="1:7" x14ac:dyDescent="0.3">
      <c r="A66" s="2">
        <v>4</v>
      </c>
      <c r="C66" s="27" t="s">
        <v>112</v>
      </c>
      <c r="D66" s="39">
        <f>SUM(D63:D65)</f>
        <v>76760</v>
      </c>
      <c r="E66" s="65">
        <f>SUM(E63:E65)</f>
        <v>253740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TRUNC(46161.5685823755,-1)</f>
        <v>46160</v>
      </c>
      <c r="E69" s="62">
        <f t="shared" ref="E69:E94" si="2">TRUNC(+D69*3.3058,-1)</f>
        <v>152590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TRUNC(16816.1931034483,-1)</f>
        <v>16810</v>
      </c>
      <c r="E71" s="63">
        <f t="shared" si="2"/>
        <v>55570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TRUNC(5529.28939974457,-1)</f>
        <v>5520</v>
      </c>
      <c r="E73" s="63">
        <f t="shared" si="2"/>
        <v>18240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TRUNC(1705.10574712644,-1)</f>
        <v>1700</v>
      </c>
      <c r="E89" s="63">
        <f t="shared" si="2"/>
        <v>5610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TRUNC(1046.52720306513,-1)</f>
        <v>1040</v>
      </c>
      <c r="E91" s="63">
        <f t="shared" si="2"/>
        <v>3430</v>
      </c>
    </row>
    <row r="92" spans="1:7" x14ac:dyDescent="0.3">
      <c r="A92" s="2">
        <v>24</v>
      </c>
      <c r="C92" s="38" t="s">
        <v>38</v>
      </c>
      <c r="D92" s="42">
        <f>TRUNC(3146.22273307791,-1)</f>
        <v>3140</v>
      </c>
      <c r="E92" s="63">
        <f t="shared" si="2"/>
        <v>10380</v>
      </c>
      <c r="F92" s="2" t="s">
        <v>254</v>
      </c>
    </row>
    <row r="93" spans="1:7" x14ac:dyDescent="0.3">
      <c r="A93" s="2">
        <v>25</v>
      </c>
      <c r="C93" s="38" t="s">
        <v>148</v>
      </c>
      <c r="D93" s="42">
        <f>TRUNC(26017.8799489144,-1)</f>
        <v>26010</v>
      </c>
      <c r="E93" s="63">
        <f t="shared" si="2"/>
        <v>85980</v>
      </c>
    </row>
    <row r="94" spans="1:7" ht="17.25" thickBot="1" x14ac:dyDescent="0.35">
      <c r="A94" s="2">
        <v>26</v>
      </c>
      <c r="C94" s="38" t="s">
        <v>47</v>
      </c>
      <c r="D94" s="43">
        <f>TRUNC(25036.7256704981+217.113665389527,-1)</f>
        <v>25250</v>
      </c>
      <c r="E94" s="64">
        <f t="shared" si="2"/>
        <v>83470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125630</v>
      </c>
      <c r="E95" s="39">
        <f>SUM(E69:E94)</f>
        <v>415270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TRUNC(3555.78390804598,-1)</f>
        <v>3550</v>
      </c>
      <c r="E98" s="62">
        <f t="shared" ref="E98:E118" si="3">TRUNC(+D98*3.3058,-1)</f>
        <v>11730</v>
      </c>
    </row>
    <row r="99" spans="1:7" x14ac:dyDescent="0.3">
      <c r="A99" s="2">
        <v>2</v>
      </c>
      <c r="C99" s="38" t="s">
        <v>40</v>
      </c>
      <c r="D99" s="42">
        <f>TRUNC(3535.18952745849,-1)</f>
        <v>3530</v>
      </c>
      <c r="E99" s="63">
        <f t="shared" si="3"/>
        <v>11660</v>
      </c>
    </row>
    <row r="100" spans="1:7" x14ac:dyDescent="0.3">
      <c r="A100" s="2">
        <v>3</v>
      </c>
      <c r="C100" s="38" t="s">
        <v>41</v>
      </c>
      <c r="D100" s="42">
        <f>TRUNC(12373.5052362708,-1)</f>
        <v>12370</v>
      </c>
      <c r="E100" s="63">
        <f t="shared" si="3"/>
        <v>40890</v>
      </c>
    </row>
    <row r="101" spans="1:7" x14ac:dyDescent="0.3">
      <c r="A101" s="2">
        <v>4</v>
      </c>
      <c r="C101" s="38" t="s">
        <v>42</v>
      </c>
      <c r="D101" s="42">
        <f>TRUNC(7183.14763729247,-1)</f>
        <v>7180</v>
      </c>
      <c r="E101" s="63">
        <f t="shared" si="3"/>
        <v>23730</v>
      </c>
      <c r="F101" s="2" t="s">
        <v>252</v>
      </c>
    </row>
    <row r="102" spans="1:7" x14ac:dyDescent="0.3">
      <c r="A102" s="2">
        <v>5</v>
      </c>
      <c r="C102" s="38" t="s">
        <v>43</v>
      </c>
      <c r="D102" s="42">
        <f>TRUNC(4642.830651341,-1)</f>
        <v>4640</v>
      </c>
      <c r="E102" s="63">
        <f t="shared" si="3"/>
        <v>15330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TRUNC(5109.49527458493,-1)</f>
        <v>5100</v>
      </c>
      <c r="E104" s="63">
        <f t="shared" si="3"/>
        <v>16850</v>
      </c>
    </row>
    <row r="105" spans="1:7" x14ac:dyDescent="0.3">
      <c r="A105" s="2">
        <v>8</v>
      </c>
      <c r="C105" s="38" t="s">
        <v>46</v>
      </c>
      <c r="D105" s="42">
        <f>TRUNC(448.26717752235,-1)</f>
        <v>440</v>
      </c>
      <c r="E105" s="63">
        <f t="shared" si="3"/>
        <v>1450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TRUNC(1580.11034482759,-1)</f>
        <v>1580</v>
      </c>
      <c r="E108" s="63">
        <f t="shared" si="3"/>
        <v>5220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TRUNC(1926.03167305236,-1)</f>
        <v>1920</v>
      </c>
      <c r="E114" s="63">
        <f t="shared" si="3"/>
        <v>6340</v>
      </c>
    </row>
    <row r="115" spans="1:7" x14ac:dyDescent="0.3">
      <c r="A115" s="2">
        <v>18</v>
      </c>
      <c r="C115" s="38" t="s">
        <v>116</v>
      </c>
      <c r="D115" s="42">
        <f>TRUNC(4555.69297573436,-1)</f>
        <v>4550</v>
      </c>
      <c r="E115" s="63">
        <f t="shared" si="3"/>
        <v>15040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TRUNC(19698.0842911877+67849.2975734355,-1)</f>
        <v>87540</v>
      </c>
      <c r="E117" s="63">
        <f t="shared" si="3"/>
        <v>289380</v>
      </c>
    </row>
    <row r="118" spans="1:7" ht="17.25" thickBot="1" x14ac:dyDescent="0.35">
      <c r="A118" s="2">
        <v>21</v>
      </c>
      <c r="C118" s="38" t="s">
        <v>47</v>
      </c>
      <c r="D118" s="43">
        <f>TRUNC(496.51877394636+2547.33052362708+17717.9256704981+4165.91954022988+1484.13665389527,-1)</f>
        <v>26410</v>
      </c>
      <c r="E118" s="64">
        <f t="shared" si="3"/>
        <v>87300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158810</v>
      </c>
      <c r="E119" s="39">
        <f>SUM(E98:E118)</f>
        <v>524920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TRUNC(5880.08837803321,-1)</f>
        <v>5880</v>
      </c>
      <c r="E122" s="62">
        <f t="shared" ref="E122:E132" si="4">TRUNC(+D122*3.3058,-1)</f>
        <v>19430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TRUNC(2941.95121328225,-1)</f>
        <v>2940</v>
      </c>
      <c r="E124" s="63">
        <f t="shared" si="4"/>
        <v>9710</v>
      </c>
    </row>
    <row r="125" spans="1:7" x14ac:dyDescent="0.3">
      <c r="A125" s="2">
        <v>4</v>
      </c>
      <c r="C125" s="38" t="s">
        <v>138</v>
      </c>
      <c r="D125" s="42">
        <f>TRUNC(3819.47407407407,-1)</f>
        <v>3810</v>
      </c>
      <c r="E125" s="63">
        <f t="shared" si="4"/>
        <v>12590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TRUNC(1800.62120051086,-1)</f>
        <v>1800</v>
      </c>
      <c r="E128" s="63">
        <f t="shared" si="4"/>
        <v>5950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TRUNC(5651.03780332056,-1)</f>
        <v>5650</v>
      </c>
      <c r="E130" s="63">
        <f t="shared" si="4"/>
        <v>18670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TRUNC(237.992337164751+872.740229885057,-1)</f>
        <v>1110</v>
      </c>
      <c r="E132" s="64">
        <f t="shared" si="4"/>
        <v>3660</v>
      </c>
      <c r="F132" s="54" t="s">
        <v>251</v>
      </c>
    </row>
    <row r="133" spans="1:7" x14ac:dyDescent="0.3">
      <c r="A133" s="2">
        <v>12</v>
      </c>
      <c r="C133" s="27" t="s">
        <v>112</v>
      </c>
      <c r="D133" s="39">
        <f>SUM(D122:D132)</f>
        <v>21190</v>
      </c>
      <c r="E133" s="39">
        <f>SUM(E122:E132)</f>
        <v>70010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TRUNC(11150.379054917,-1)</f>
        <v>11150</v>
      </c>
      <c r="E136" s="62">
        <f t="shared" ref="E136:E145" si="5">TRUNC(+D136*3.3058,-1)</f>
        <v>36850</v>
      </c>
    </row>
    <row r="137" spans="1:7" x14ac:dyDescent="0.3">
      <c r="A137" s="2">
        <v>2</v>
      </c>
      <c r="C137" s="38" t="s">
        <v>47</v>
      </c>
      <c r="D137" s="42">
        <f>TRUNC(9337.45619412516+211.714687100894,-1)</f>
        <v>9540</v>
      </c>
      <c r="E137" s="63">
        <f t="shared" si="5"/>
        <v>31530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20690</v>
      </c>
      <c r="E146" s="39">
        <f>SUM(E136:E145)</f>
        <v>68380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TRUNC(7034.98339719029,-1)</f>
        <v>7030</v>
      </c>
      <c r="E150" s="63">
        <f>TRUNC(+D150*3.3058,-1)</f>
        <v>23230</v>
      </c>
    </row>
    <row r="151" spans="1:7" x14ac:dyDescent="0.3">
      <c r="A151" s="2">
        <v>3</v>
      </c>
      <c r="C151" s="38" t="s">
        <v>50</v>
      </c>
      <c r="D151" s="42">
        <f>TRUNC(13600.0155810983,-1)</f>
        <v>13600</v>
      </c>
      <c r="E151" s="63">
        <f>TRUNC(+D151*3.3058,-1)</f>
        <v>44950</v>
      </c>
    </row>
    <row r="152" spans="1:7" x14ac:dyDescent="0.3">
      <c r="A152" s="2">
        <v>4</v>
      </c>
      <c r="C152" s="38" t="s">
        <v>47</v>
      </c>
      <c r="D152" s="42">
        <f>TRUNC(5447.89425287356-277.208173690932+572.512899106003+4337.75095785441,-1)</f>
        <v>10080</v>
      </c>
      <c r="E152" s="63">
        <f>TRUNC(+D152*3.3058,-1)</f>
        <v>33320</v>
      </c>
      <c r="F152" s="2" t="s">
        <v>256</v>
      </c>
    </row>
    <row r="153" spans="1:7" ht="17.25" thickBot="1" x14ac:dyDescent="0.35">
      <c r="A153" s="2">
        <v>5</v>
      </c>
      <c r="C153" s="38" t="s">
        <v>148</v>
      </c>
      <c r="D153" s="43">
        <f>TRUNC(4880.45977011494,-1)</f>
        <v>4880</v>
      </c>
      <c r="E153" s="64">
        <f>TRUNC(+D153*3.3058,-1)</f>
        <v>16130</v>
      </c>
    </row>
    <row r="154" spans="1:7" x14ac:dyDescent="0.3">
      <c r="A154" s="2">
        <v>6</v>
      </c>
      <c r="C154" s="27" t="s">
        <v>112</v>
      </c>
      <c r="D154" s="39">
        <f>SUM(D149:D153)</f>
        <v>35590</v>
      </c>
      <c r="E154" s="39">
        <f>SUM(E149:E153)</f>
        <v>117630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TRUNC(16076.380587484,-1)</f>
        <v>16070</v>
      </c>
      <c r="E159" s="63">
        <f>TRUNC(+D159*3.3058,-1)</f>
        <v>53120</v>
      </c>
      <c r="F159" s="2" t="s">
        <v>257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16070</v>
      </c>
      <c r="E161" s="39">
        <f>SUM(E157:E160)</f>
        <v>53120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2020-12-07T09:19:25Z</dcterms:modified>
</cp:coreProperties>
</file>