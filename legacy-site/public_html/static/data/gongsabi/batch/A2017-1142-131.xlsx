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49" i="4"/>
  <c r="D145" i="4"/>
  <c r="D143" i="4"/>
  <c r="D141" i="4"/>
  <c r="D140" i="4"/>
  <c r="D139" i="4"/>
  <c r="D137" i="4"/>
  <c r="D132" i="4"/>
  <c r="D131" i="4"/>
  <c r="D130" i="4"/>
  <c r="D128" i="4"/>
  <c r="D126" i="4"/>
  <c r="D125" i="4"/>
  <c r="D124" i="4"/>
  <c r="D122" i="4"/>
  <c r="D117" i="4"/>
  <c r="D116" i="4"/>
  <c r="D114" i="4"/>
  <c r="D105" i="4"/>
  <c r="D104" i="4"/>
  <c r="D103" i="4"/>
  <c r="D102" i="4"/>
  <c r="D100" i="4"/>
  <c r="D99" i="4"/>
  <c r="D94" i="4"/>
  <c r="D93" i="4"/>
  <c r="D91" i="4"/>
  <c r="D90" i="4"/>
  <c r="D89" i="4"/>
  <c r="D75" i="4"/>
  <c r="D73" i="4"/>
  <c r="D72" i="4"/>
  <c r="D71" i="4"/>
  <c r="D65" i="4"/>
  <c r="D63" i="4"/>
  <c r="D59" i="4"/>
  <c r="D58" i="4"/>
  <c r="D53" i="4"/>
  <c r="D52" i="4"/>
  <c r="D50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<sst xmlns="http://schemas.openxmlformats.org/spreadsheetml/2006/main" count="392" uniqueCount="265">
  <si>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</si>
  <si>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</si>
  <si>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</si>
  <si>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</si>
  <si>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</si>
  <si>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</si>
  <si>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</si>
  <si>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</si>
  <si>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</si>
  <si>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</si>
  <si>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</si>
  <si>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</si>
  <si>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</si>
  <si>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</si>
  <si>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</si>
  <si>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</si>
  <si>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</si>
  <si>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</si>
  <si>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</si>
  <si>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</si>
  <si>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</si>
  <si>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</si>
  <si>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</si>
  <si>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</si>
  <si>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</si>
  <si>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</si>
  <si>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</si>
  <si>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</si>
  <si>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</si>
  <si>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</si>
  <si>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</si>
  <si>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</si>
  <si>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</si>
  <si>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</si>
  <si>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</si>
  <si>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</si>
  <si>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</si>
  <si>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</si>
  <si>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</si>
  <si>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</si>
  <si>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</si>
  <si>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</si>
  <si>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</si>
  <si>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</si>
  <si>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</si>
  <si>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</si>
  <si>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</si>
  <si>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</si>
  <si>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</si>
  <si>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</si>
  <si>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</si>
  <si>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</si>
  <si>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</si>
  <si>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</si>
  <si>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</si>
  <si>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</si>
  <si>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</si>
  <si>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</si>
  <si>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</si>
  <si>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</si>
  <si>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</si>
  <si>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</si>
  <si>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</si>
  <si>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</si>
  <si>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</si>
  <si>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</si>
  <si>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</si>
  <si>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</si>
  <si>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</si>
  <si>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</si>
  <si>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</si>
  <si>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</si>
  <si>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</si>
  <si>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</si>
  <si>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</si>
  <si>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</si>
  <si>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</si>
  <si>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</si>
  <si>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</si>
  <si>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</si>
  <si>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</si>
  <si>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</si>
  <si>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</si>
  <si>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</si>
  <si>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</si>
  <si>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</si>
  <si>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</si>
  <si>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</si>
  <si>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</si>
  <si>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</si>
  <si>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</si>
  <si>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</si>
  <si>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</si>
  <si>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</si>
  <si>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</si>
  <si>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</si>
  <si>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</si>
  <si>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</si>
  <si>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</si>
  <si>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</si>
  <si>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</si>
  <si>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</si>
  <si>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</si>
  <si>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</si>
  <si>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</si>
  <si>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</si>
  <si>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</si>
  <si>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</si>
  <si>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</si>
  <si>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</si>
  <si>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</si>
  <si>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</si>
  <si>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</si>
  <si>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</si>
  <si>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</si>
  <si>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</si>
  <si>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</si>
  <si>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</si>
  <si>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</si>
  <si>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</si>
  <si>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</si>
  <si>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</si>
  <si>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</si>
  <si>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</si>
  <si>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</si>
  <si>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</si>
  <si>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</si>
  <si>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</si>
  <si>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</si>
  <si>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</si>
  <si>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</si>
  <si>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</si>
  <si>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</si>
  <si>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</si>
  <si>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</si>
  <si>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</si>
  <si>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</si>
  <si>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</si>
  <si>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</si>
  <si>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</si>
  <si>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</si>
  <si>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</si>
  <si>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</si>
  <si>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</si>
  <si>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</si>
  <si>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</si>
  <si>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</si>
  <si>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</si>
  <si>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</si>
  <si>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</si>
  <si>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</si>
  <si>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</si>
  <si>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</si>
  <si>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</si>
  <si>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</si>
  <si>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</si>
  <si>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</si>
  <si>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</si>
  <si>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</si>
  <si>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</si>
  <si>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</si>
  <si>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</si>
  <si>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</si>
  <si>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</si>
  <si>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</si>
  <si>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</si>
  <si>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</si>
  <si>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</si>
  <si>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</si>
  <si>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</si>
  <si>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</si>
  <si>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</si>
  <si>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</si>
  <si>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</si>
  <si>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</si>
  <si>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</si>
  <si>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</si>
  <si>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</si>
  <si>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</si>
  <si>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</si>
  <si>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</si>
  <si>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</si>
  <si>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</si>
  <si>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</si>
  <si>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</si>
  <si>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</si>
  <si>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</si>
  <si>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</si>
  <si>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</si>
  <si>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</si>
  <si>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</si>
  <si>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</si>
  <si>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</si>
  <si>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</si>
  <si>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</si>
  <si>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</si>
  <si>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</si>
  <si>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</si>
  <si>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</si>
  <si>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</si>
  <si>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</si>
  <si>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</si>
  <si>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</si>
  <si>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</si>
  <si>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</si>
  <si>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</si>
  <si>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</si>
  <si>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</si>
  <si>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</si>
  <si>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</si>
  <si>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</si>
  <si>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</si>
  <si>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</si>
  <si>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</si>
  <si>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</si>
  <si>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</si>
  <si>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</si>
  <si>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</si>
  <si>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</si>
  <si>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</si>
  <si>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</si>
  <si>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</si>
  <si>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</si>
  <si>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</si>
  <si>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</si>
  <si>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</si>
  <si>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</si>
  <si>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</si>
  <si>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</si>
  <si>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</si>
  <si>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</si>
  <si>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</si>
  <si>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</si>
  <si>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</si>
  <si>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</si>
  <si>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</si>
  <si>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</si>
  <si>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</si>
  <si>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</si>
  <si>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</si>
  <si>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</si>
  <si>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</si>
  <si>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</si>
  <si>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</si>
  <si>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</si>
  <si>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</si>
  <si>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</si>
  <si>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</si>
  <si>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</si>
  <si>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</si>
  <si>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</si>
  <si>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</si>
  <si>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</si>
  <si>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</si>
  <si>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교육연구</t>
  </si>
  <si>
    <t>송산그린시티 제1중 이음터 건립공사</t>
    <phoneticPr fontId="2" type="noConversion"/>
  </si>
  <si>
    <t>경기도</t>
  </si>
  <si>
    <t>기초공사, 골재비및운반비, 품질시험비, 기타공사</t>
    <phoneticPr fontId="2" type="noConversion"/>
  </si>
  <si>
    <t>난방배관공사, 기타공사</t>
    <phoneticPr fontId="2" type="noConversion"/>
  </si>
  <si>
    <t>CCTV설비공사, 주차관제설비공사</t>
    <phoneticPr fontId="2" type="noConversion"/>
  </si>
  <si>
    <t>펌프실배관공사, 무선통신보조설비공사, 기타공사</t>
    <phoneticPr fontId="2" type="noConversion"/>
  </si>
  <si>
    <t>포장공사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</si>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</sst>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254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11869.55</v>
      </c>
      <c r="D7" s="36">
        <f>+C7/3.3058</f>
        <v>3590.5227176477702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753160</v>
      </c>
      <c r="E25" s="59">
        <f t="shared" si="0"/>
        <v>2489790</v>
      </c>
    </row>
    <row r="26" spans="1:5" x14ac:dyDescent="0.3">
      <c r="B26" s="2">
        <v>3</v>
      </c>
      <c r="C26" s="35" t="s">
        <v>95</v>
      </c>
      <c r="D26" s="45">
        <f>+D66</f>
        <v>89620</v>
      </c>
      <c r="E26" s="59">
        <f t="shared" si="0"/>
        <v>296260</v>
      </c>
    </row>
    <row r="27" spans="1:5" x14ac:dyDescent="0.3">
      <c r="B27" s="2">
        <v>4</v>
      </c>
      <c r="C27" s="35" t="s">
        <v>96</v>
      </c>
      <c r="D27" s="45">
        <f>+D95</f>
        <v>162180</v>
      </c>
      <c r="E27" s="59">
        <f t="shared" si="0"/>
        <v>536130</v>
      </c>
    </row>
    <row r="28" spans="1:5" x14ac:dyDescent="0.3">
      <c r="B28" s="2">
        <v>5</v>
      </c>
      <c r="C28" s="35" t="s">
        <v>97</v>
      </c>
      <c r="D28" s="45">
        <f>+D119</f>
        <v>179470</v>
      </c>
      <c r="E28" s="59">
        <f t="shared" si="0"/>
        <v>593290</v>
      </c>
    </row>
    <row r="29" spans="1:5" x14ac:dyDescent="0.3">
      <c r="B29" s="2">
        <v>6</v>
      </c>
      <c r="C29" s="35" t="s">
        <v>98</v>
      </c>
      <c r="D29" s="45">
        <f>+D133</f>
        <v>61930</v>
      </c>
      <c r="E29" s="59">
        <f t="shared" si="0"/>
        <v>204720</v>
      </c>
    </row>
    <row r="30" spans="1:5" x14ac:dyDescent="0.3">
      <c r="B30" s="2">
        <v>7</v>
      </c>
      <c r="C30" s="35" t="s">
        <v>99</v>
      </c>
      <c r="D30" s="45">
        <f>+D146</f>
        <v>62200</v>
      </c>
      <c r="E30" s="59">
        <f t="shared" si="0"/>
        <v>205620</v>
      </c>
    </row>
    <row r="31" spans="1:5" x14ac:dyDescent="0.3">
      <c r="B31" s="2">
        <v>8</v>
      </c>
      <c r="C31" s="35" t="s">
        <v>100</v>
      </c>
      <c r="D31" s="45">
        <f>+D154</f>
        <v>7420</v>
      </c>
      <c r="E31" s="59">
        <f t="shared" si="0"/>
        <v>24520</v>
      </c>
    </row>
    <row r="32" spans="1:5" x14ac:dyDescent="0.3">
      <c r="B32" s="2">
        <v>9</v>
      </c>
      <c r="C32" s="35" t="s">
        <v>101</v>
      </c>
      <c r="D32" s="45">
        <f>+D161</f>
        <v>10350</v>
      </c>
      <c r="E32" s="59">
        <f t="shared" si="0"/>
        <v>34210</v>
      </c>
    </row>
    <row r="33" spans="1:7" x14ac:dyDescent="0.3">
      <c r="B33" s="2">
        <v>10</v>
      </c>
      <c r="C33" s="35" t="s">
        <v>154</v>
      </c>
      <c r="D33" s="53">
        <f>TRUNC(SUM(D24:D32)*0.275,-1)</f>
        <v>364740</v>
      </c>
      <c r="E33" s="60">
        <f t="shared" si="0"/>
        <v>1205750</v>
      </c>
    </row>
    <row r="34" spans="1:7" x14ac:dyDescent="0.3">
      <c r="C34" s="35" t="s">
        <v>112</v>
      </c>
      <c r="D34" s="44">
        <f>SUM(D24:D33)</f>
        <v>1691070</v>
      </c>
      <c r="E34" s="44">
        <f>SUM(E24:E33)</f>
        <v>5590290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240</v>
      </c>
      <c r="D39" s="57" t="s">
        <v>235</v>
      </c>
      <c r="E39" s="57" t="s">
        <v>153</v>
      </c>
      <c r="G39" s="55"/>
    </row>
    <row r="40" spans="1:7" x14ac:dyDescent="0.3">
      <c r="A40" s="2">
        <v>1</v>
      </c>
      <c r="C40" s="38" t="s">
        <v>15</v>
      </c>
      <c r="D40" s="40">
        <f>TRUNC(55518,-1)</f>
        <v>55510</v>
      </c>
      <c r="E40" s="62">
        <f t="shared" ref="E40:E59" si="1">TRUNC(+D40*3.3058,-1)</f>
        <v>183500</v>
      </c>
    </row>
    <row r="41" spans="1:7" x14ac:dyDescent="0.3">
      <c r="A41" s="2">
        <v>2</v>
      </c>
      <c r="C41" s="38" t="s">
        <v>13</v>
      </c>
      <c r="D41" s="42">
        <f>TRUNC(118421,-1)</f>
        <v>118420</v>
      </c>
      <c r="E41" s="63">
        <f t="shared" si="1"/>
        <v>391470</v>
      </c>
    </row>
    <row r="42" spans="1:7" x14ac:dyDescent="0.3">
      <c r="A42" s="2">
        <v>3</v>
      </c>
      <c r="C42" s="38" t="s">
        <v>14</v>
      </c>
      <c r="D42" s="42">
        <f>TRUNC(19259,-1)</f>
        <v>19250</v>
      </c>
      <c r="E42" s="63">
        <f t="shared" si="1"/>
        <v>63630</v>
      </c>
    </row>
    <row r="43" spans="1:7" x14ac:dyDescent="0.3">
      <c r="A43" s="2">
        <v>4</v>
      </c>
      <c r="C43" s="38" t="s">
        <v>16</v>
      </c>
      <c r="D43" s="42">
        <f>TRUNC(17348,-1)</f>
        <v>17340</v>
      </c>
      <c r="E43" s="63">
        <f t="shared" si="1"/>
        <v>57320</v>
      </c>
    </row>
    <row r="44" spans="1:7" x14ac:dyDescent="0.3">
      <c r="A44" s="2">
        <v>5</v>
      </c>
      <c r="C44" s="38" t="s">
        <v>17</v>
      </c>
      <c r="D44" s="42">
        <f>TRUNC(22024,-1)</f>
        <v>22020</v>
      </c>
      <c r="E44" s="63">
        <f t="shared" si="1"/>
        <v>72790</v>
      </c>
    </row>
    <row r="45" spans="1:7" x14ac:dyDescent="0.3">
      <c r="A45" s="2">
        <v>6</v>
      </c>
      <c r="C45" s="38" t="s">
        <v>18</v>
      </c>
      <c r="D45" s="42">
        <f>TRUNC(8865,-1)</f>
        <v>8860</v>
      </c>
      <c r="E45" s="63">
        <f t="shared" si="1"/>
        <v>29280</v>
      </c>
    </row>
    <row r="46" spans="1:7" x14ac:dyDescent="0.3">
      <c r="A46" s="2">
        <v>7</v>
      </c>
      <c r="C46" s="38" t="s">
        <v>19</v>
      </c>
      <c r="D46" s="42">
        <f>TRUNC(19224,-1)</f>
        <v>19220</v>
      </c>
      <c r="E46" s="63">
        <f t="shared" si="1"/>
        <v>63530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TRUNC(35558,-1)</f>
        <v>35550</v>
      </c>
      <c r="E48" s="63">
        <f t="shared" si="1"/>
        <v>117520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v>13480</v>
      </c>
      <c r="E49" s="63">
        <f t="shared" si="1"/>
        <v>44560</v>
      </c>
    </row>
    <row r="50" spans="1:7" x14ac:dyDescent="0.3">
      <c r="A50" s="2">
        <v>11</v>
      </c>
      <c r="C50" s="38" t="s">
        <v>155</v>
      </c>
      <c r="D50" s="42">
        <f>TRUNC(70743,-1)</f>
        <v>70740</v>
      </c>
      <c r="E50" s="63">
        <f t="shared" si="1"/>
        <v>233850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TRUNC(8231,-1)</f>
        <v>8230</v>
      </c>
      <c r="E52" s="63">
        <f t="shared" si="1"/>
        <v>27200</v>
      </c>
    </row>
    <row r="53" spans="1:7" x14ac:dyDescent="0.3">
      <c r="A53" s="2">
        <v>14</v>
      </c>
      <c r="C53" s="38" t="s">
        <v>25</v>
      </c>
      <c r="D53" s="42">
        <f>TRUNC(92839,-1)</f>
        <v>92830</v>
      </c>
      <c r="E53" s="63">
        <f t="shared" si="1"/>
        <v>306870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TRUNC(25270+8636+2222+1801,-1)</f>
        <v>37920</v>
      </c>
      <c r="E58" s="63">
        <f t="shared" si="1"/>
        <v>125350</v>
      </c>
      <c r="F58" s="2" t="s">
        <v>257</v>
      </c>
    </row>
    <row r="59" spans="1:7" ht="17.25" thickBot="1" x14ac:dyDescent="0.35">
      <c r="A59" s="2">
        <v>20</v>
      </c>
      <c r="C59" s="38" t="s">
        <v>148</v>
      </c>
      <c r="D59" s="43">
        <f>TRUNC(233795,-1)</f>
        <v>233790</v>
      </c>
      <c r="E59" s="64">
        <f t="shared" si="1"/>
        <v>772860</v>
      </c>
    </row>
    <row r="60" spans="1:7" x14ac:dyDescent="0.3">
      <c r="A60" s="2">
        <v>21</v>
      </c>
      <c r="C60" s="27" t="s">
        <v>112</v>
      </c>
      <c r="D60" s="39">
        <f>SUM(D40:D59)</f>
        <v>753160</v>
      </c>
      <c r="E60" s="39">
        <f>SUM(E40:E59)</f>
        <v>2489730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TRUNC(15816,-1)</f>
        <v>15810</v>
      </c>
      <c r="E63" s="62">
        <f>TRUNC(+D63*3.3058,-1)</f>
        <v>52260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TRUNC(73815,-1)</f>
        <v>73810</v>
      </c>
      <c r="E65" s="64">
        <f>TRUNC(+D65*3.3058,-1)</f>
        <v>244000</v>
      </c>
    </row>
    <row r="66" spans="1:7" x14ac:dyDescent="0.3">
      <c r="A66" s="2">
        <v>4</v>
      </c>
      <c r="C66" s="27" t="s">
        <v>112</v>
      </c>
      <c r="D66" s="39">
        <f>SUM(D63:D65)</f>
        <v>89620</v>
      </c>
      <c r="E66" s="65">
        <f>SUM(E63:E65)</f>
        <v>296260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v>7340</v>
      </c>
      <c r="E69" s="62">
        <f t="shared" ref="E69:E94" si="2">TRUNC(+D69*3.3058,-1)</f>
        <v>24260</v>
      </c>
    </row>
    <row r="70" spans="1:7" ht="16.5" customHeight="1" x14ac:dyDescent="0.3">
      <c r="A70" s="2">
        <v>2</v>
      </c>
      <c r="C70" s="38" t="s">
        <v>31</v>
      </c>
      <c r="D70" s="42">
        <v>600</v>
      </c>
      <c r="E70" s="63">
        <f t="shared" si="2"/>
        <v>1980</v>
      </c>
    </row>
    <row r="71" spans="1:7" x14ac:dyDescent="0.3">
      <c r="A71" s="2">
        <v>3</v>
      </c>
      <c r="C71" s="38" t="s">
        <v>32</v>
      </c>
      <c r="D71" s="42">
        <f>TRUNC(2932,-1)</f>
        <v>2930</v>
      </c>
      <c r="E71" s="63">
        <f t="shared" si="2"/>
        <v>9680</v>
      </c>
    </row>
    <row r="72" spans="1:7" x14ac:dyDescent="0.3">
      <c r="A72" s="2">
        <v>4</v>
      </c>
      <c r="C72" s="38" t="s">
        <v>33</v>
      </c>
      <c r="D72" s="42">
        <f>TRUNC(3351,-1)</f>
        <v>3350</v>
      </c>
      <c r="E72" s="63">
        <f t="shared" si="2"/>
        <v>11070</v>
      </c>
    </row>
    <row r="73" spans="1:7" x14ac:dyDescent="0.3">
      <c r="A73" s="2">
        <v>5</v>
      </c>
      <c r="C73" s="38" t="s">
        <v>34</v>
      </c>
      <c r="D73" s="42">
        <f>TRUNC(16364,-1)</f>
        <v>16360</v>
      </c>
      <c r="E73" s="63">
        <f t="shared" si="2"/>
        <v>54080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TRUNC(282,-1)</f>
        <v>280</v>
      </c>
      <c r="E75" s="63">
        <f t="shared" si="2"/>
        <v>920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TRUNC(308,-1)</f>
        <v>300</v>
      </c>
      <c r="E89" s="63">
        <f t="shared" si="2"/>
        <v>990</v>
      </c>
    </row>
    <row r="90" spans="1:7" x14ac:dyDescent="0.3">
      <c r="A90" s="2">
        <v>22</v>
      </c>
      <c r="C90" s="38" t="s">
        <v>36</v>
      </c>
      <c r="D90" s="42">
        <f>TRUNC(2633,-1)</f>
        <v>2630</v>
      </c>
      <c r="E90" s="63">
        <f t="shared" si="2"/>
        <v>8690</v>
      </c>
    </row>
    <row r="91" spans="1:7" x14ac:dyDescent="0.3">
      <c r="A91" s="2">
        <v>23</v>
      </c>
      <c r="C91" s="38" t="s">
        <v>37</v>
      </c>
      <c r="D91" s="42">
        <f>TRUNC(4936,-1)</f>
        <v>4930</v>
      </c>
      <c r="E91" s="63">
        <f t="shared" si="2"/>
        <v>16290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TRUNC(119958,-1)</f>
        <v>119950</v>
      </c>
      <c r="E93" s="63">
        <f t="shared" si="2"/>
        <v>396530</v>
      </c>
    </row>
    <row r="94" spans="1:7" ht="17.25" thickBot="1" x14ac:dyDescent="0.35">
      <c r="A94" s="2">
        <v>26</v>
      </c>
      <c r="C94" s="38" t="s">
        <v>47</v>
      </c>
      <c r="D94" s="43">
        <f>TRUNC(2636+874,-1)</f>
        <v>3510</v>
      </c>
      <c r="E94" s="64">
        <f t="shared" si="2"/>
        <v>11600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162180</v>
      </c>
      <c r="E95" s="39">
        <f>SUM(E69:E94)</f>
        <v>536090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v>7940</v>
      </c>
      <c r="E98" s="62">
        <f t="shared" ref="E98:E118" si="3">TRUNC(+D98*3.3058,-1)</f>
        <v>26240</v>
      </c>
    </row>
    <row r="99" spans="1:7" x14ac:dyDescent="0.3">
      <c r="A99" s="2">
        <v>2</v>
      </c>
      <c r="C99" s="38" t="s">
        <v>40</v>
      </c>
      <c r="D99" s="42">
        <f>TRUNC(3549,-1)</f>
        <v>3540</v>
      </c>
      <c r="E99" s="63">
        <f t="shared" si="3"/>
        <v>11700</v>
      </c>
    </row>
    <row r="100" spans="1:7" x14ac:dyDescent="0.3">
      <c r="A100" s="2">
        <v>3</v>
      </c>
      <c r="C100" s="38" t="s">
        <v>41</v>
      </c>
      <c r="D100" s="42">
        <f>TRUNC(34797,-1)</f>
        <v>34790</v>
      </c>
      <c r="E100" s="63">
        <f t="shared" si="3"/>
        <v>115000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TRUNC(11145,-1)</f>
        <v>11140</v>
      </c>
      <c r="E102" s="63">
        <f t="shared" si="3"/>
        <v>36820</v>
      </c>
    </row>
    <row r="103" spans="1:7" x14ac:dyDescent="0.3">
      <c r="A103" s="2">
        <v>6</v>
      </c>
      <c r="C103" s="38" t="s">
        <v>44</v>
      </c>
      <c r="D103" s="42">
        <f>TRUNC(5884,-1)</f>
        <v>5880</v>
      </c>
      <c r="E103" s="63">
        <f t="shared" si="3"/>
        <v>19430</v>
      </c>
    </row>
    <row r="104" spans="1:7" x14ac:dyDescent="0.3">
      <c r="A104" s="2">
        <v>7</v>
      </c>
      <c r="C104" s="38" t="s">
        <v>45</v>
      </c>
      <c r="D104" s="42">
        <f>TRUNC(2531,-1)</f>
        <v>2530</v>
      </c>
      <c r="E104" s="63">
        <f t="shared" si="3"/>
        <v>8360</v>
      </c>
    </row>
    <row r="105" spans="1:7" x14ac:dyDescent="0.3">
      <c r="A105" s="2">
        <v>8</v>
      </c>
      <c r="C105" s="38" t="s">
        <v>46</v>
      </c>
      <c r="D105" s="42">
        <f>TRUNC(1896,-1)</f>
        <v>1890</v>
      </c>
      <c r="E105" s="63">
        <f t="shared" si="3"/>
        <v>6240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TRUNC(239,-1)</f>
        <v>230</v>
      </c>
      <c r="E114" s="63">
        <f t="shared" si="3"/>
        <v>760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TRUNC(1956,-1)</f>
        <v>1950</v>
      </c>
      <c r="E116" s="63">
        <f t="shared" si="3"/>
        <v>6440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f>TRUNC(109586,-1)</f>
        <v>109580</v>
      </c>
      <c r="E117" s="63">
        <f t="shared" si="3"/>
        <v>362240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179470</v>
      </c>
      <c r="E119" s="39">
        <f>SUM(E98:E118)</f>
        <v>593230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TRUNC(4791,-1)</f>
        <v>4790</v>
      </c>
      <c r="E122" s="62">
        <f t="shared" ref="E122:E132" si="4">TRUNC(+D122*3.3058,-1)</f>
        <v>15830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TRUNC(3293,-1)</f>
        <v>3290</v>
      </c>
      <c r="E124" s="63">
        <f t="shared" si="4"/>
        <v>10870</v>
      </c>
    </row>
    <row r="125" spans="1:7" x14ac:dyDescent="0.3">
      <c r="A125" s="2">
        <v>4</v>
      </c>
      <c r="C125" s="38" t="s">
        <v>138</v>
      </c>
      <c r="D125" s="42">
        <f>TRUNC(5616,-1)</f>
        <v>5610</v>
      </c>
      <c r="E125" s="63">
        <f t="shared" si="4"/>
        <v>18540</v>
      </c>
    </row>
    <row r="126" spans="1:7" x14ac:dyDescent="0.3">
      <c r="A126" s="2">
        <v>5</v>
      </c>
      <c r="C126" s="38" t="s">
        <v>53</v>
      </c>
      <c r="D126" s="42">
        <f>TRUNC(765,-1)</f>
        <v>760</v>
      </c>
      <c r="E126" s="63">
        <f t="shared" si="4"/>
        <v>2510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TRUNC(6007,-1)</f>
        <v>6000</v>
      </c>
      <c r="E128" s="63">
        <f t="shared" si="4"/>
        <v>19830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TRUNC(10602,-1)</f>
        <v>10600</v>
      </c>
      <c r="E130" s="63">
        <f t="shared" si="4"/>
        <v>35040</v>
      </c>
    </row>
    <row r="131" spans="1:7" x14ac:dyDescent="0.3">
      <c r="A131" s="2">
        <v>10</v>
      </c>
      <c r="C131" s="38" t="s">
        <v>148</v>
      </c>
      <c r="D131" s="42">
        <f>TRUNC(29442,-1)</f>
        <v>29440</v>
      </c>
      <c r="E131" s="63">
        <f t="shared" si="4"/>
        <v>97320</v>
      </c>
    </row>
    <row r="132" spans="1:7" ht="18" thickBot="1" x14ac:dyDescent="0.35">
      <c r="A132" s="2">
        <v>11</v>
      </c>
      <c r="C132" s="38" t="s">
        <v>47</v>
      </c>
      <c r="D132" s="43">
        <f>TRUNC(767+675,-1)</f>
        <v>1440</v>
      </c>
      <c r="E132" s="64">
        <f t="shared" si="4"/>
        <v>4760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61930</v>
      </c>
      <c r="E133" s="39">
        <f>SUM(E122:E132)</f>
        <v>204700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TRUNC(1530+1108+2199,-1)</f>
        <v>4830</v>
      </c>
      <c r="E137" s="63">
        <f t="shared" si="5"/>
        <v>15960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TRUNC(6358,-1)</f>
        <v>6350</v>
      </c>
      <c r="E139" s="63">
        <f t="shared" si="5"/>
        <v>20990</v>
      </c>
    </row>
    <row r="140" spans="1:7" x14ac:dyDescent="0.3">
      <c r="A140" s="2">
        <v>5</v>
      </c>
      <c r="C140" s="38" t="s">
        <v>57</v>
      </c>
      <c r="D140" s="42">
        <f>TRUNC(2177,-1)</f>
        <v>2170</v>
      </c>
      <c r="E140" s="63">
        <f t="shared" si="5"/>
        <v>7170</v>
      </c>
    </row>
    <row r="141" spans="1:7" x14ac:dyDescent="0.3">
      <c r="A141" s="2">
        <v>6</v>
      </c>
      <c r="C141" s="38" t="s">
        <v>59</v>
      </c>
      <c r="D141" s="42">
        <f>TRUNC(23804,-1)</f>
        <v>23800</v>
      </c>
      <c r="E141" s="63">
        <f t="shared" si="5"/>
        <v>78670</v>
      </c>
    </row>
    <row r="142" spans="1:7" x14ac:dyDescent="0.3">
      <c r="A142" s="2">
        <v>7</v>
      </c>
      <c r="C142" s="38" t="s">
        <v>58</v>
      </c>
      <c r="D142" s="42">
        <v>4110</v>
      </c>
      <c r="E142" s="63">
        <f t="shared" si="5"/>
        <v>13580</v>
      </c>
    </row>
    <row r="143" spans="1:7" x14ac:dyDescent="0.3">
      <c r="A143" s="2">
        <v>8</v>
      </c>
      <c r="C143" s="38" t="s">
        <v>62</v>
      </c>
      <c r="D143" s="42">
        <f>TRUNC(3217,-1)</f>
        <v>3210</v>
      </c>
      <c r="E143" s="63">
        <f t="shared" si="5"/>
        <v>10610</v>
      </c>
    </row>
    <row r="144" spans="1:7" x14ac:dyDescent="0.3">
      <c r="A144" s="2">
        <v>9</v>
      </c>
      <c r="C144" s="38" t="s">
        <v>63</v>
      </c>
      <c r="D144" s="42">
        <v>13860</v>
      </c>
      <c r="E144" s="63">
        <f t="shared" si="5"/>
        <v>45810</v>
      </c>
    </row>
    <row r="145" spans="1:7" ht="17.25" thickBot="1" x14ac:dyDescent="0.35">
      <c r="A145" s="2">
        <v>10</v>
      </c>
      <c r="C145" s="38" t="s">
        <v>148</v>
      </c>
      <c r="D145" s="43">
        <f>TRUNC(3874,-1)</f>
        <v>3870</v>
      </c>
      <c r="E145" s="64">
        <f t="shared" si="5"/>
        <v>12790</v>
      </c>
    </row>
    <row r="146" spans="1:7" x14ac:dyDescent="0.3">
      <c r="A146" s="2">
        <v>11</v>
      </c>
      <c r="C146" s="27" t="s">
        <v>112</v>
      </c>
      <c r="D146" s="39">
        <f>SUM(D136:D145)</f>
        <v>62200</v>
      </c>
      <c r="E146" s="39">
        <f>SUM(E136:E145)</f>
        <v>205580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TRUNC(1323+465,-1)</f>
        <v>1780</v>
      </c>
      <c r="E149" s="62">
        <f>TRUNC(+D149*3.3058,-1)</f>
        <v>5880</v>
      </c>
    </row>
    <row r="150" spans="1:7" x14ac:dyDescent="0.3">
      <c r="A150" s="2">
        <v>2</v>
      </c>
      <c r="C150" s="38" t="s">
        <v>49</v>
      </c>
      <c r="D150" s="42">
        <v>1870</v>
      </c>
      <c r="E150" s="63">
        <f>TRUNC(+D150*3.3058,-1)</f>
        <v>6180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TRUNC(554,-1)</f>
        <v>550</v>
      </c>
      <c r="E152" s="63">
        <f>TRUNC(+D152*3.3058,-1)</f>
        <v>1810</v>
      </c>
    </row>
    <row r="153" spans="1:7" ht="17.25" thickBot="1" x14ac:dyDescent="0.35">
      <c r="A153" s="2">
        <v>5</v>
      </c>
      <c r="C153" s="38" t="s">
        <v>148</v>
      </c>
      <c r="D153" s="43">
        <f>TRUNC(3222,-1)</f>
        <v>3220</v>
      </c>
      <c r="E153" s="64">
        <f>TRUNC(+D153*3.3058,-1)</f>
        <v>10640</v>
      </c>
    </row>
    <row r="154" spans="1:7" x14ac:dyDescent="0.3">
      <c r="A154" s="2">
        <v>6</v>
      </c>
      <c r="C154" s="27" t="s">
        <v>112</v>
      </c>
      <c r="D154" s="39">
        <f>SUM(D149:D153)</f>
        <v>7420</v>
      </c>
      <c r="E154" s="39">
        <f>SUM(E149:E153)</f>
        <v>24510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TRUNC(5321,-1)</f>
        <v>5320</v>
      </c>
      <c r="E157" s="62">
        <f>TRUNC(+D157*3.3058,-1)</f>
        <v>17580</v>
      </c>
    </row>
    <row r="158" spans="1:7" x14ac:dyDescent="0.3">
      <c r="A158" s="2">
        <v>2</v>
      </c>
      <c r="C158" s="38" t="s">
        <v>52</v>
      </c>
      <c r="D158" s="42">
        <f>TRUNC(2139,-1)</f>
        <v>2130</v>
      </c>
      <c r="E158" s="63">
        <f>TRUNC(+D158*3.3058,-1)</f>
        <v>7040</v>
      </c>
    </row>
    <row r="159" spans="1:7" x14ac:dyDescent="0.3">
      <c r="A159" s="2">
        <v>3</v>
      </c>
      <c r="C159" s="38" t="s">
        <v>47</v>
      </c>
      <c r="D159" s="42">
        <f>TRUNC(2905,-1)</f>
        <v>2900</v>
      </c>
      <c r="E159" s="63">
        <f>TRUNC(+D159*3.3058,-1)</f>
        <v>9580</v>
      </c>
      <c r="F159" s="2" t="s">
        <v>261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10350</v>
      </c>
      <c r="E161" s="39">
        <f>SUM(E157:E160)</f>
        <v>34200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2020-12-08T01:37:57Z</dcterms:modified>
</cp:coreProperties>
</file>