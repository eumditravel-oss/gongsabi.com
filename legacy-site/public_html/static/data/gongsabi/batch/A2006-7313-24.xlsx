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0" i="4"/>
  <c r="E129" i="4"/>
  <c r="E127" i="4"/>
  <c r="E126" i="4"/>
  <c r="E124" i="4"/>
  <c r="E123" i="4"/>
  <c r="E118" i="4"/>
  <c r="E116" i="4"/>
  <c r="E114" i="4"/>
  <c r="E113" i="4"/>
  <c r="E112" i="4"/>
  <c r="E111" i="4"/>
  <c r="E110" i="4"/>
  <c r="E109" i="4"/>
  <c r="E108" i="4"/>
  <c r="E107" i="4"/>
  <c r="E106" i="4"/>
  <c r="E104" i="4"/>
  <c r="E103" i="4"/>
  <c r="E101" i="4"/>
  <c r="E91" i="4"/>
  <c r="E90" i="4"/>
  <c r="E89" i="4"/>
  <c r="E87" i="4"/>
  <c r="E86" i="4"/>
  <c r="E85" i="4"/>
  <c r="E84" i="4"/>
  <c r="E83" i="4"/>
  <c r="E82" i="4"/>
  <c r="E81" i="4"/>
  <c r="E80" i="4"/>
  <c r="E79" i="4"/>
  <c r="E77" i="4"/>
  <c r="E76" i="4"/>
  <c r="E75" i="4"/>
  <c r="E74" i="4"/>
  <c r="E73" i="4"/>
  <c r="E72" i="4"/>
  <c r="E71" i="4"/>
  <c r="E70" i="4"/>
  <c r="E65" i="4"/>
  <c r="E64" i="4"/>
  <c r="E57" i="4"/>
  <c r="E56" i="4"/>
  <c r="E37" i="4"/>
  <c r="E154" i="4" l="1"/>
  <c r="D159" i="4"/>
  <c r="E159" i="4" s="1"/>
  <c r="E161" i="4" s="1"/>
  <c r="D137" i="4"/>
  <c r="E137" i="4" s="1"/>
  <c r="D136" i="4"/>
  <c r="E136" i="4" s="1"/>
  <c r="D132" i="4"/>
  <c r="E132" i="4" s="1"/>
  <c r="D131" i="4"/>
  <c r="E131" i="4" s="1"/>
  <c r="D128" i="4"/>
  <c r="E128" i="4" s="1"/>
  <c r="D125" i="4"/>
  <c r="E125" i="4" s="1"/>
  <c r="D122" i="4"/>
  <c r="E122" i="4" s="1"/>
  <c r="D117" i="4"/>
  <c r="E117" i="4" s="1"/>
  <c r="D115" i="4"/>
  <c r="E115" i="4" s="1"/>
  <c r="D105" i="4"/>
  <c r="E105" i="4" s="1"/>
  <c r="D102" i="4"/>
  <c r="E102" i="4" s="1"/>
  <c r="D100" i="4"/>
  <c r="E100" i="4" s="1"/>
  <c r="D99" i="4"/>
  <c r="E99" i="4" s="1"/>
  <c r="E119" i="4" s="1"/>
  <c r="D98" i="4"/>
  <c r="E98" i="4" s="1"/>
  <c r="D94" i="4"/>
  <c r="E94" i="4" s="1"/>
  <c r="D93" i="4"/>
  <c r="E93" i="4" s="1"/>
  <c r="D92" i="4"/>
  <c r="E92" i="4" s="1"/>
  <c r="D88" i="4"/>
  <c r="E88" i="4" s="1"/>
  <c r="D78" i="4"/>
  <c r="E78" i="4" s="1"/>
  <c r="D69" i="4"/>
  <c r="E69" i="4" s="1"/>
  <c r="D63" i="4"/>
  <c r="E63" i="4" s="1"/>
  <c r="E66" i="4" s="1"/>
  <c r="D59" i="4"/>
  <c r="E59" i="4" s="1"/>
  <c r="D58" i="4"/>
  <c r="E58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161" i="4"/>
  <c r="D154" i="4"/>
  <c r="D31" i="4" s="1"/>
  <c r="E31" i="4" s="1"/>
  <c r="D95" i="4"/>
  <c r="D27" i="4" s="1"/>
  <c r="E27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119" i="4" l="1"/>
  <c r="D28" i="4" s="1"/>
  <c r="E28" i="4" s="1"/>
  <c r="E95" i="4"/>
  <c r="D60" i="4"/>
  <c r="D25" i="4" s="1"/>
  <c r="D133" i="4"/>
  <c r="D29" i="4" s="1"/>
  <c r="E29" i="4" s="1"/>
  <c r="E60" i="4"/>
  <c r="D66" i="4"/>
  <c r="D26" i="4" s="1"/>
  <c r="E26" i="4" s="1"/>
  <c r="D146" i="4"/>
  <c r="D30" i="4" s="1"/>
  <c r="E30" i="4" s="1"/>
  <c r="E133" i="4"/>
  <c r="E146" i="4"/>
  <c r="E25" i="4" l="1"/>
  <c r="E34" i="4" s="1"/>
  <c r="D34" i="4"/>
  <c r="D33" i="4"/>
  <c r="E33" i="4" s="1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<sst xmlns="http://schemas.openxmlformats.org/spreadsheetml/2006/main" count="391" uniqueCount="266">
  <si>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</si>
  <si>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</si>
  <si>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</si>
  <si>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</si>
  <si>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</si>
  <si>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</si>
  <si>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</si>
  <si>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</si>
  <si>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</si>
  <si>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</si>
  <si>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</si>
  <si>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</si>
  <si>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</si>
  <si>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</si>
  <si>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</si>
  <si>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</si>
  <si>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</si>
  <si>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</si>
  <si>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</si>
  <si>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</si>
  <si>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</si>
  <si>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</si>
  <si>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</si>
  <si>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</si>
  <si>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</si>
  <si>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</si>
  <si>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</si>
  <si>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</si>
  <si>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</si>
  <si>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</si>
  <si>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</si>
  <si>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</si>
  <si>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</si>
  <si>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</si>
  <si>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</si>
  <si>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</si>
  <si>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</si>
  <si>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</si>
  <si>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</si>
  <si>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</si>
  <si>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</si>
  <si>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</si>
  <si>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</si>
  <si>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</si>
  <si>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</si>
  <si>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</si>
  <si>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</si>
  <si>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</si>
  <si>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</si>
  <si>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</si>
  <si>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</si>
  <si>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</si>
  <si>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</si>
  <si>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</si>
  <si>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</si>
  <si>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</si>
  <si>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</si>
  <si>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</si>
  <si>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</si>
  <si>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</si>
  <si>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</si>
  <si>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</si>
  <si>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</si>
  <si>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</si>
  <si>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</si>
  <si>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</si>
  <si>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</si>
  <si>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</si>
  <si>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</si>
  <si>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</si>
  <si>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</si>
  <si>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</si>
  <si>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</si>
  <si>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</si>
  <si>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</si>
  <si>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</si>
  <si>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</si>
  <si>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</si>
  <si>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</si>
  <si>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</si>
  <si>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</si>
  <si>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</si>
  <si>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</si>
  <si>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</si>
  <si>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</si>
  <si>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</si>
  <si>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</si>
  <si>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</si>
  <si>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</si>
  <si>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</si>
  <si>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</si>
  <si>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</si>
  <si>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</si>
  <si>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</si>
  <si>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</si>
  <si>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</si>
  <si>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</si>
  <si>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</si>
  <si>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</si>
  <si>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</si>
  <si>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</si>
  <si>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</si>
  <si>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</si>
  <si>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</si>
  <si>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</si>
  <si>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</si>
  <si>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</si>
  <si>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</si>
  <si>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</si>
  <si>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</si>
  <si>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</si>
  <si>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</si>
  <si>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</si>
  <si>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</si>
  <si>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</si>
  <si>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</si>
  <si>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</si>
  <si>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</si>
  <si>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</si>
  <si>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</si>
  <si>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</si>
  <si>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</si>
  <si>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</si>
  <si>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</si>
  <si>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</si>
  <si>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</si>
  <si>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</si>
  <si>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</si>
  <si>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</si>
  <si>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</si>
  <si>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</si>
  <si>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</si>
  <si>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</si>
  <si>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</si>
  <si>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</si>
  <si>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</si>
  <si>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</si>
  <si>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</si>
  <si>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</si>
  <si>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</si>
  <si>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</si>
  <si>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</si>
  <si>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</si>
  <si>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</si>
  <si>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</si>
  <si>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</si>
  <si>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</si>
  <si>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</si>
  <si>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</si>
  <si>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</si>
  <si>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</si>
  <si>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</si>
  <si>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</si>
  <si>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</si>
  <si>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</si>
  <si>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</si>
  <si>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</si>
  <si>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</si>
  <si>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</si>
  <si>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</si>
  <si>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</si>
  <si>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</si>
  <si>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</si>
  <si>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</si>
  <si>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</si>
  <si>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</si>
  <si>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</si>
  <si>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</si>
  <si>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</si>
  <si>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</si>
  <si>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</si>
  <si>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</si>
  <si>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</si>
  <si>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</si>
  <si>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</si>
  <si>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</si>
  <si>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</si>
  <si>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</si>
  <si>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</si>
  <si>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</si>
  <si>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</si>
  <si>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</si>
  <si>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</si>
  <si>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</si>
  <si>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</si>
  <si>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</si>
  <si>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</si>
  <si>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</si>
  <si>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</si>
  <si>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</si>
  <si>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</si>
  <si>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</si>
  <si>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</si>
  <si>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</si>
  <si>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</si>
  <si>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</si>
  <si>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</si>
  <si>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</si>
  <si>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</si>
  <si>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</si>
  <si>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</si>
  <si>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</si>
  <si>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</si>
  <si>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</si>
  <si>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</si>
  <si>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</si>
  <si>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</si>
  <si>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</si>
  <si>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</si>
  <si>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</si>
  <si>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</si>
  <si>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</si>
  <si>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</si>
  <si>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</si>
  <si>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</si>
  <si>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</si>
  <si>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</si>
  <si>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</si>
  <si>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</si>
  <si>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</si>
  <si>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</si>
  <si>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</si>
  <si>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</si>
  <si>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</si>
  <si>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</si>
  <si>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</si>
  <si>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</si>
  <si>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</si>
  <si>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</si>
  <si>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</si>
  <si>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</si>
  <si>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</si>
  <si>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</si>
  <si>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</si>
  <si>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</si>
  <si>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</si>
  <si>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</si>
  <si>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</si>
  <si>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</si>
  <si>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</si>
  <si>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</si>
  <si>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</si>
  <si>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</si>
  <si>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</si>
  <si>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</si>
  <si>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</si>
  <si>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</si>
  <si>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문화및집회</t>
  </si>
  <si>
    <t>00문화회관 신축공사</t>
  </si>
  <si>
    <t>전라도</t>
  </si>
  <si>
    <t>공연장인테리어공사, 인테리어공사</t>
    <phoneticPr fontId="2" type="noConversion"/>
  </si>
  <si>
    <t>잡공사, 부대공사, 자재대 및 운반비, 작업부산물, 철거공사</t>
    <phoneticPr fontId="2" type="noConversion"/>
  </si>
  <si>
    <t>조경공사</t>
    <phoneticPr fontId="2" type="noConversion"/>
  </si>
  <si>
    <t>도급자설치관급</t>
  </si>
  <si>
    <t>냉난방 배관공사, 위생배관공사, 환기덕트공사, 연도배관공사</t>
    <phoneticPr fontId="2" type="noConversion"/>
  </si>
  <si>
    <t>케이블트레이 및 레이스웨이공사</t>
  </si>
  <si>
    <t>도급자설치관급자재, 관급자설치관급자재</t>
    <phoneticPr fontId="2" type="noConversion"/>
  </si>
  <si>
    <t>통신공사, 방재설비공사</t>
    <phoneticPr fontId="2" type="noConversion"/>
  </si>
  <si>
    <t>관급자설치</t>
    <phoneticPr fontId="2" type="noConversion"/>
  </si>
  <si>
    <t>원 /평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</si>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</sst>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8384</v>
      </c>
      <c r="D7" s="36">
        <f>+C7/3.3058</f>
        <v>2536.1485873313568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259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1033110</v>
      </c>
      <c r="E25" s="59">
        <f t="shared" si="0"/>
        <v>3415250</v>
      </c>
    </row>
    <row r="26" spans="1:5" x14ac:dyDescent="0.3">
      <c r="B26" s="2">
        <v>3</v>
      </c>
      <c r="C26" s="35" t="s">
        <v>95</v>
      </c>
      <c r="D26" s="45">
        <f>+D66</f>
        <v>21650</v>
      </c>
      <c r="E26" s="59">
        <f t="shared" si="0"/>
        <v>71570</v>
      </c>
    </row>
    <row r="27" spans="1:5" x14ac:dyDescent="0.3">
      <c r="B27" s="2">
        <v>4</v>
      </c>
      <c r="C27" s="35" t="s">
        <v>96</v>
      </c>
      <c r="D27" s="45">
        <f>+D95</f>
        <v>521310</v>
      </c>
      <c r="E27" s="59">
        <f t="shared" si="0"/>
        <v>1723340</v>
      </c>
    </row>
    <row r="28" spans="1:5" x14ac:dyDescent="0.3">
      <c r="B28" s="2">
        <v>5</v>
      </c>
      <c r="C28" s="35" t="s">
        <v>97</v>
      </c>
      <c r="D28" s="45">
        <f>+D119</f>
        <v>227450</v>
      </c>
      <c r="E28" s="59">
        <f t="shared" si="0"/>
        <v>751900</v>
      </c>
    </row>
    <row r="29" spans="1:5" x14ac:dyDescent="0.3">
      <c r="B29" s="2">
        <v>6</v>
      </c>
      <c r="C29" s="35" t="s">
        <v>98</v>
      </c>
      <c r="D29" s="45">
        <f>+D133</f>
        <v>103420</v>
      </c>
      <c r="E29" s="59">
        <f t="shared" si="0"/>
        <v>341880</v>
      </c>
    </row>
    <row r="30" spans="1:5" x14ac:dyDescent="0.3">
      <c r="B30" s="2">
        <v>7</v>
      </c>
      <c r="C30" s="35" t="s">
        <v>99</v>
      </c>
      <c r="D30" s="45">
        <f>+D146</f>
        <v>44840</v>
      </c>
      <c r="E30" s="59">
        <f t="shared" si="0"/>
        <v>148230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48340</v>
      </c>
      <c r="E32" s="59">
        <f t="shared" si="0"/>
        <v>159800</v>
      </c>
    </row>
    <row r="33" spans="1:7" x14ac:dyDescent="0.3">
      <c r="B33" s="2">
        <v>10</v>
      </c>
      <c r="C33" s="35" t="s">
        <v>153</v>
      </c>
      <c r="D33" s="53">
        <f>TRUNC(SUM(D24:D32)*0.275,-1)</f>
        <v>550030</v>
      </c>
      <c r="E33" s="60">
        <f t="shared" si="0"/>
        <v>1818280</v>
      </c>
    </row>
    <row r="34" spans="1:7" x14ac:dyDescent="0.3">
      <c r="C34" s="35" t="s">
        <v>112</v>
      </c>
      <c r="D34" s="44">
        <f>SUM(D24:D33)</f>
        <v>2550150</v>
      </c>
      <c r="E34" s="44">
        <f>SUM(E24:E33)</f>
        <v>8430250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259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TRUNC(41981.1755725191,-1)</f>
        <v>41980</v>
      </c>
      <c r="E40" s="62">
        <f t="shared" ref="E40:E59" si="1">TRUNC(+D40*3.3058,-1)</f>
        <v>138770</v>
      </c>
    </row>
    <row r="41" spans="1:7" x14ac:dyDescent="0.3">
      <c r="A41" s="2">
        <v>2</v>
      </c>
      <c r="C41" s="38" t="s">
        <v>13</v>
      </c>
      <c r="D41" s="42">
        <f>TRUNC(113927.401359733,-1)</f>
        <v>113920</v>
      </c>
      <c r="E41" s="63">
        <f t="shared" si="1"/>
        <v>376590</v>
      </c>
    </row>
    <row r="42" spans="1:7" x14ac:dyDescent="0.3">
      <c r="A42" s="2">
        <v>3</v>
      </c>
      <c r="C42" s="38" t="s">
        <v>14</v>
      </c>
      <c r="D42" s="42">
        <f>TRUNC(106418.327051527,-1)</f>
        <v>106410</v>
      </c>
      <c r="E42" s="63">
        <f t="shared" si="1"/>
        <v>351770</v>
      </c>
    </row>
    <row r="43" spans="1:7" x14ac:dyDescent="0.3">
      <c r="A43" s="2">
        <v>4</v>
      </c>
      <c r="C43" s="38" t="s">
        <v>16</v>
      </c>
      <c r="D43" s="42">
        <f>TRUNC(13112.7770753817,-1)</f>
        <v>13110</v>
      </c>
      <c r="E43" s="63">
        <f t="shared" si="1"/>
        <v>43330</v>
      </c>
    </row>
    <row r="44" spans="1:7" x14ac:dyDescent="0.3">
      <c r="A44" s="2">
        <v>5</v>
      </c>
      <c r="C44" s="38" t="s">
        <v>17</v>
      </c>
      <c r="D44" s="42">
        <f>TRUNC(32179.9670801527,-1)</f>
        <v>32170</v>
      </c>
      <c r="E44" s="63">
        <f t="shared" si="1"/>
        <v>106340</v>
      </c>
    </row>
    <row r="45" spans="1:7" x14ac:dyDescent="0.3">
      <c r="A45" s="2">
        <v>6</v>
      </c>
      <c r="C45" s="38" t="s">
        <v>18</v>
      </c>
      <c r="D45" s="42">
        <f>TRUNC(6517.24618320611,-1)</f>
        <v>6510</v>
      </c>
      <c r="E45" s="63">
        <f t="shared" si="1"/>
        <v>21520</v>
      </c>
    </row>
    <row r="46" spans="1:7" x14ac:dyDescent="0.3">
      <c r="A46" s="2">
        <v>7</v>
      </c>
      <c r="C46" s="38" t="s">
        <v>19</v>
      </c>
      <c r="D46" s="42">
        <f>TRUNC(20711.031846374,-1)</f>
        <v>20710</v>
      </c>
      <c r="E46" s="63">
        <f t="shared" si="1"/>
        <v>68460</v>
      </c>
    </row>
    <row r="47" spans="1:7" x14ac:dyDescent="0.3">
      <c r="A47" s="2">
        <v>8</v>
      </c>
      <c r="C47" s="38" t="s">
        <v>20</v>
      </c>
      <c r="D47" s="42">
        <f>TRUNC(18582.2435591603,-1)</f>
        <v>18580</v>
      </c>
      <c r="E47" s="63">
        <f t="shared" si="1"/>
        <v>61420</v>
      </c>
    </row>
    <row r="48" spans="1:7" x14ac:dyDescent="0.3">
      <c r="A48" s="2">
        <v>9</v>
      </c>
      <c r="C48" s="38" t="s">
        <v>21</v>
      </c>
      <c r="D48" s="42">
        <f>TRUNC(150610.950739504,-1)</f>
        <v>150610</v>
      </c>
      <c r="E48" s="63">
        <f t="shared" si="1"/>
        <v>497880</v>
      </c>
    </row>
    <row r="49" spans="1:7" x14ac:dyDescent="0.3">
      <c r="A49" s="2">
        <v>10</v>
      </c>
      <c r="C49" s="38" t="s">
        <v>22</v>
      </c>
      <c r="D49" s="42">
        <f>TRUNC(22564.5626192748,-1)</f>
        <v>22560</v>
      </c>
      <c r="E49" s="63">
        <f t="shared" si="1"/>
        <v>74570</v>
      </c>
    </row>
    <row r="50" spans="1:7" x14ac:dyDescent="0.3">
      <c r="A50" s="2">
        <v>11</v>
      </c>
      <c r="C50" s="38" t="s">
        <v>154</v>
      </c>
      <c r="D50" s="42">
        <f>TRUNC(36539.1952528626,-1)</f>
        <v>36530</v>
      </c>
      <c r="E50" s="63">
        <f t="shared" si="1"/>
        <v>120760</v>
      </c>
    </row>
    <row r="51" spans="1:7" x14ac:dyDescent="0.3">
      <c r="A51" s="2">
        <v>12</v>
      </c>
      <c r="C51" s="38" t="s">
        <v>23</v>
      </c>
      <c r="D51" s="42">
        <f>TRUNC(7929.43332538168,-1)</f>
        <v>7920</v>
      </c>
      <c r="E51" s="63">
        <f t="shared" si="1"/>
        <v>26180</v>
      </c>
    </row>
    <row r="52" spans="1:7" x14ac:dyDescent="0.3">
      <c r="A52" s="2">
        <v>13</v>
      </c>
      <c r="C52" s="38" t="s">
        <v>24</v>
      </c>
      <c r="D52" s="42">
        <f>TRUNC(4959.42736164122,-1)</f>
        <v>4950</v>
      </c>
      <c r="E52" s="63">
        <f t="shared" si="1"/>
        <v>16360</v>
      </c>
    </row>
    <row r="53" spans="1:7" x14ac:dyDescent="0.3">
      <c r="A53" s="2">
        <v>14</v>
      </c>
      <c r="C53" s="38" t="s">
        <v>25</v>
      </c>
      <c r="D53" s="42">
        <f>TRUNC(37779.3041507634,-1)</f>
        <v>37770</v>
      </c>
      <c r="E53" s="63">
        <f t="shared" si="1"/>
        <v>124860</v>
      </c>
    </row>
    <row r="54" spans="1:7" x14ac:dyDescent="0.3">
      <c r="A54" s="2">
        <v>15</v>
      </c>
      <c r="C54" s="38" t="s">
        <v>147</v>
      </c>
      <c r="D54" s="42">
        <f>TRUNC(85892.7697996183+47961.5029818702,-1)</f>
        <v>133850</v>
      </c>
      <c r="E54" s="63">
        <f t="shared" si="1"/>
        <v>442480</v>
      </c>
      <c r="F54" s="2" t="s">
        <v>250</v>
      </c>
    </row>
    <row r="55" spans="1:7" x14ac:dyDescent="0.3">
      <c r="A55" s="2">
        <v>16</v>
      </c>
      <c r="C55" s="38" t="s">
        <v>144</v>
      </c>
      <c r="D55" s="42">
        <f>TRUNC(951.561307251908,-1)</f>
        <v>950</v>
      </c>
      <c r="E55" s="63">
        <f t="shared" si="1"/>
        <v>3140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TRUNC(13615.3622375954+9848.37285305344+529.626908396947+2870.54138835878-1688.31583969466+441.270395992366,-1)</f>
        <v>25610</v>
      </c>
      <c r="E58" s="63">
        <f t="shared" si="1"/>
        <v>84660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TRUNC(258973.770038168,-1)</f>
        <v>258970</v>
      </c>
      <c r="E59" s="64">
        <f t="shared" si="1"/>
        <v>856100</v>
      </c>
      <c r="F59" s="2" t="s">
        <v>253</v>
      </c>
    </row>
    <row r="60" spans="1:7" x14ac:dyDescent="0.3">
      <c r="A60" s="2">
        <v>21</v>
      </c>
      <c r="C60" s="27" t="s">
        <v>112</v>
      </c>
      <c r="D60" s="39">
        <f>SUM(D40:D59)</f>
        <v>1033110</v>
      </c>
      <c r="E60" s="39">
        <f>SUM(E40:E59)</f>
        <v>3415190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260</v>
      </c>
      <c r="G62" s="55"/>
    </row>
    <row r="63" spans="1:7" x14ac:dyDescent="0.3">
      <c r="A63" s="2">
        <v>1</v>
      </c>
      <c r="C63" s="38" t="s">
        <v>27</v>
      </c>
      <c r="D63" s="40">
        <f>TRUNC(21656.7523854962,-1)</f>
        <v>21650</v>
      </c>
      <c r="E63" s="62">
        <f>TRUNC(+D63*3.3058,-1)</f>
        <v>71570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21650</v>
      </c>
      <c r="E66" s="65">
        <f>SUM(E63:E65)</f>
        <v>71570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240</v>
      </c>
      <c r="C68" s="56" t="s">
        <v>241</v>
      </c>
      <c r="D68" s="57" t="s">
        <v>234</v>
      </c>
      <c r="E68" s="57" t="s">
        <v>260</v>
      </c>
      <c r="G68" s="55"/>
    </row>
    <row r="69" spans="1:7" x14ac:dyDescent="0.3">
      <c r="A69" s="2">
        <v>1</v>
      </c>
      <c r="C69" s="38" t="s">
        <v>30</v>
      </c>
      <c r="D69" s="40">
        <f>TRUNC(21176.0692986641,-1)</f>
        <v>21170</v>
      </c>
      <c r="E69" s="62">
        <f>TRUNC(+D69*3.3058,-1)</f>
        <v>69980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f>TRUNC(42262.984971374,-1)</f>
        <v>42260</v>
      </c>
      <c r="E78" s="63">
        <f t="shared" si="3"/>
        <v>139700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f>TRUNC(5594.29544370229,-1)</f>
        <v>5590</v>
      </c>
      <c r="E88" s="63">
        <f t="shared" si="3"/>
        <v>18470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>TRUNC(+D90*3.3058,-1)</f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TRUNC(8414.13752385496,-1)</f>
        <v>8410</v>
      </c>
      <c r="E92" s="63">
        <f>TRUNC(+D92*3.3058,-1)</f>
        <v>27800</v>
      </c>
    </row>
    <row r="93" spans="1:7" x14ac:dyDescent="0.3">
      <c r="A93" s="2">
        <v>25</v>
      </c>
      <c r="C93" s="38" t="s">
        <v>148</v>
      </c>
      <c r="D93" s="42">
        <f>TRUNC(370665.307729008,-1)</f>
        <v>370660</v>
      </c>
      <c r="E93" s="63">
        <f>TRUNC(+D93*3.3058,-1)</f>
        <v>1225320</v>
      </c>
      <c r="F93" s="2" t="s">
        <v>258</v>
      </c>
    </row>
    <row r="94" spans="1:7" ht="17.25" thickBot="1" x14ac:dyDescent="0.35">
      <c r="A94" s="2">
        <v>26</v>
      </c>
      <c r="C94" s="38" t="s">
        <v>47</v>
      </c>
      <c r="D94" s="43">
        <f>TRUNC(43542.3689169847+22271.7354484733+5780.44513358779+1629.86164122137,-1)</f>
        <v>73220</v>
      </c>
      <c r="E94" s="64">
        <f>TRUNC(+D94*3.3058,-1)</f>
        <v>242050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521310</v>
      </c>
      <c r="E95" s="39">
        <f>SUM(E69:E94)</f>
        <v>1723320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242</v>
      </c>
      <c r="C97" s="56" t="s">
        <v>241</v>
      </c>
      <c r="D97" s="57" t="s">
        <v>234</v>
      </c>
      <c r="E97" s="57" t="s">
        <v>260</v>
      </c>
      <c r="G97" s="55"/>
    </row>
    <row r="98" spans="1:7" x14ac:dyDescent="0.3">
      <c r="A98" s="2">
        <v>1</v>
      </c>
      <c r="C98" s="38" t="s">
        <v>39</v>
      </c>
      <c r="D98" s="40">
        <f>TRUNC(25323.2559637405,-1)</f>
        <v>25320</v>
      </c>
      <c r="E98" s="62">
        <f t="shared" ref="E98:E118" si="4">TRUNC(+D98*3.3058,-1)</f>
        <v>83700</v>
      </c>
    </row>
    <row r="99" spans="1:7" x14ac:dyDescent="0.3">
      <c r="A99" s="2">
        <v>2</v>
      </c>
      <c r="C99" s="38" t="s">
        <v>40</v>
      </c>
      <c r="D99" s="42">
        <f>TRUNC(13942.8786975191,-1)</f>
        <v>13940</v>
      </c>
      <c r="E99" s="63">
        <f t="shared" si="4"/>
        <v>46080</v>
      </c>
    </row>
    <row r="100" spans="1:7" x14ac:dyDescent="0.3">
      <c r="A100" s="2">
        <v>3</v>
      </c>
      <c r="C100" s="38" t="s">
        <v>41</v>
      </c>
      <c r="D100" s="42">
        <f>TRUNC(15161.494990458,-1)</f>
        <v>15160</v>
      </c>
      <c r="E100" s="63">
        <f t="shared" si="4"/>
        <v>50110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TRUNC(3512.35746660305,-1)</f>
        <v>3510</v>
      </c>
      <c r="E102" s="63">
        <f t="shared" si="4"/>
        <v>11600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f>TRUNC(5092.51001908397,-1)</f>
        <v>5090</v>
      </c>
      <c r="E105" s="63">
        <f t="shared" si="4"/>
        <v>16820</v>
      </c>
      <c r="F105" s="2" t="s">
        <v>255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TRUNC(4931.80749045802,-1)</f>
        <v>4930</v>
      </c>
      <c r="E115" s="63">
        <f t="shared" si="4"/>
        <v>16290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TRUNC(14667.2232824427+144835.639312977,-1)</f>
        <v>159500</v>
      </c>
      <c r="E117" s="63">
        <f t="shared" si="4"/>
        <v>527270</v>
      </c>
      <c r="F117" s="2" t="s">
        <v>256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4"/>
        <v>0</v>
      </c>
    </row>
    <row r="119" spans="1:7" x14ac:dyDescent="0.3">
      <c r="A119" s="2">
        <v>22</v>
      </c>
      <c r="C119" s="27" t="s">
        <v>112</v>
      </c>
      <c r="D119" s="39">
        <f>SUM(D98:D118)</f>
        <v>227450</v>
      </c>
      <c r="E119" s="39">
        <f>SUM(E98:E118)</f>
        <v>751870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243</v>
      </c>
      <c r="C121" s="56" t="s">
        <v>241</v>
      </c>
      <c r="D121" s="57" t="s">
        <v>234</v>
      </c>
      <c r="E121" s="57" t="s">
        <v>260</v>
      </c>
      <c r="G121" s="55"/>
    </row>
    <row r="122" spans="1:7" x14ac:dyDescent="0.3">
      <c r="A122" s="2">
        <v>1</v>
      </c>
      <c r="C122" s="38" t="s">
        <v>55</v>
      </c>
      <c r="D122" s="40">
        <f>TRUNC(964.99010019084,-1)</f>
        <v>960</v>
      </c>
      <c r="E122" s="62">
        <f t="shared" ref="E122:E132" si="5">TRUNC(+D122*3.3058,-1)</f>
        <v>3170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TRUNC(4005.58945610687,-1)</f>
        <v>4000</v>
      </c>
      <c r="E125" s="63">
        <f t="shared" si="5"/>
        <v>13220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TRUNC(2097.18129770992,-1)</f>
        <v>2090</v>
      </c>
      <c r="E128" s="63">
        <f t="shared" si="5"/>
        <v>6900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TRUNC(84304.0314885496,-1)</f>
        <v>84300</v>
      </c>
      <c r="E131" s="63">
        <f t="shared" si="5"/>
        <v>278670</v>
      </c>
      <c r="F131" s="2" t="s">
        <v>258</v>
      </c>
    </row>
    <row r="132" spans="1:7" ht="18" thickBot="1" x14ac:dyDescent="0.35">
      <c r="A132" s="2">
        <v>11</v>
      </c>
      <c r="C132" s="38" t="s">
        <v>47</v>
      </c>
      <c r="D132" s="43">
        <f>TRUNC(7449.43296755725+4629.50453244275,-1)</f>
        <v>12070</v>
      </c>
      <c r="E132" s="64">
        <f t="shared" si="5"/>
        <v>39900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103420</v>
      </c>
      <c r="E133" s="39">
        <f>SUM(E122:E132)</f>
        <v>341860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244</v>
      </c>
      <c r="C135" s="56" t="s">
        <v>241</v>
      </c>
      <c r="D135" s="57" t="s">
        <v>234</v>
      </c>
      <c r="E135" s="57" t="s">
        <v>260</v>
      </c>
      <c r="G135" s="55"/>
    </row>
    <row r="136" spans="1:7" x14ac:dyDescent="0.3">
      <c r="A136" s="2">
        <v>1</v>
      </c>
      <c r="C136" s="38" t="s">
        <v>131</v>
      </c>
      <c r="D136" s="40">
        <f>TRUNC(33736.7263835878,-1)</f>
        <v>33730</v>
      </c>
      <c r="E136" s="62">
        <f t="shared" ref="E136:E145" si="6">TRUNC(+D136*3.3058,-1)</f>
        <v>111500</v>
      </c>
    </row>
    <row r="137" spans="1:7" x14ac:dyDescent="0.3">
      <c r="A137" s="2">
        <v>2</v>
      </c>
      <c r="C137" s="38" t="s">
        <v>47</v>
      </c>
      <c r="D137" s="42">
        <f>TRUNC(11116.999403626,-1)</f>
        <v>11110</v>
      </c>
      <c r="E137" s="63">
        <f t="shared" si="6"/>
        <v>36720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44840</v>
      </c>
      <c r="E146" s="39">
        <f>SUM(E136:E145)</f>
        <v>148220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245</v>
      </c>
      <c r="C148" s="56" t="s">
        <v>241</v>
      </c>
      <c r="D148" s="57" t="s">
        <v>234</v>
      </c>
      <c r="E148" s="57" t="s">
        <v>260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246</v>
      </c>
      <c r="C156" s="56" t="s">
        <v>241</v>
      </c>
      <c r="D156" s="57" t="s">
        <v>234</v>
      </c>
      <c r="E156" s="57" t="s">
        <v>260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TRUNC(48349.6909589695,-1)</f>
        <v>48340</v>
      </c>
      <c r="E159" s="63">
        <f>TRUNC(+D159*3.3058,-1)</f>
        <v>159800</v>
      </c>
      <c r="F159" s="2" t="s">
        <v>252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48340</v>
      </c>
      <c r="E161" s="39">
        <f>SUM(E157:E160)</f>
        <v>159800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2020-12-07T09:11:07Z</dcterms:modified>
</cp:coreProperties>
</file>