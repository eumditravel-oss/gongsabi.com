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45" i="4"/>
  <c r="E142" i="4"/>
  <c r="E141" i="4"/>
  <c r="E139" i="4"/>
  <c r="E138" i="4"/>
  <c r="E136" i="4"/>
  <c r="E132" i="4"/>
  <c r="E130" i="4"/>
  <c r="E129" i="4"/>
  <c r="E128" i="4"/>
  <c r="E127" i="4"/>
  <c r="E126" i="4"/>
  <c r="E125" i="4"/>
  <c r="E124" i="4"/>
  <c r="E123" i="4"/>
  <c r="E118" i="4"/>
  <c r="E115" i="4"/>
  <c r="E113" i="4"/>
  <c r="E112" i="4"/>
  <c r="E111" i="4"/>
  <c r="E110" i="4"/>
  <c r="E109" i="4"/>
  <c r="E108" i="4"/>
  <c r="E107" i="4"/>
  <c r="E106" i="4"/>
  <c r="E105" i="4"/>
  <c r="E103" i="4"/>
  <c r="E101" i="4"/>
  <c r="E99" i="4"/>
  <c r="E93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1" i="4"/>
  <c r="E65" i="4"/>
  <c r="E64" i="4"/>
  <c r="E57" i="4"/>
  <c r="E56" i="4"/>
  <c r="E55" i="4"/>
  <c r="E54" i="4"/>
  <c r="E51" i="4"/>
  <c r="E47" i="4"/>
  <c r="E41" i="4"/>
  <c r="E37" i="4"/>
  <c r="D152" i="4" l="1"/>
  <c r="E152" i="4" s="1"/>
  <c r="D151" i="4"/>
  <c r="E151" i="4" s="1"/>
  <c r="D150" i="4"/>
  <c r="E150" i="4" s="1"/>
  <c r="D149" i="4"/>
  <c r="E149" i="4" s="1"/>
  <c r="D144" i="4"/>
  <c r="E144" i="4" s="1"/>
  <c r="D143" i="4"/>
  <c r="E143" i="4" s="1"/>
  <c r="D140" i="4"/>
  <c r="E140" i="4" s="1"/>
  <c r="E146" i="4" s="1"/>
  <c r="D137" i="4"/>
  <c r="E137" i="4" s="1"/>
  <c r="D131" i="4"/>
  <c r="E131" i="4" s="1"/>
  <c r="D122" i="4"/>
  <c r="E122" i="4" s="1"/>
  <c r="E133" i="4" s="1"/>
  <c r="D117" i="4"/>
  <c r="E117" i="4" s="1"/>
  <c r="D116" i="4"/>
  <c r="E116" i="4" s="1"/>
  <c r="D114" i="4"/>
  <c r="E114" i="4" s="1"/>
  <c r="D104" i="4"/>
  <c r="E104" i="4" s="1"/>
  <c r="D102" i="4"/>
  <c r="E102" i="4" s="1"/>
  <c r="D100" i="4"/>
  <c r="E100" i="4" s="1"/>
  <c r="D98" i="4"/>
  <c r="E98" i="4" s="1"/>
  <c r="E119" i="4" s="1"/>
  <c r="D94" i="4"/>
  <c r="E94" i="4" s="1"/>
  <c r="D92" i="4"/>
  <c r="E92" i="4" s="1"/>
  <c r="D73" i="4"/>
  <c r="E73" i="4" s="1"/>
  <c r="D72" i="4"/>
  <c r="E72" i="4" s="1"/>
  <c r="D70" i="4"/>
  <c r="E70" i="4" s="1"/>
  <c r="D69" i="4"/>
  <c r="E69" i="4" s="1"/>
  <c r="D63" i="4"/>
  <c r="E63" i="4" s="1"/>
  <c r="E66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0" i="4"/>
  <c r="E40" i="4" s="1"/>
  <c r="D58" i="4"/>
  <c r="E58" i="4" s="1"/>
  <c r="E60" i="4" l="1"/>
  <c r="E154" i="4"/>
  <c r="E95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<sst xmlns="http://schemas.openxmlformats.org/spreadsheetml/2006/main" count="394" uniqueCount="265">
  <si>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</si>
  <si>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</si>
  <si>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</si>
  <si>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</si>
  <si>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</si>
  <si>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</si>
  <si>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</si>
  <si>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</si>
  <si>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</si>
  <si>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</si>
  <si>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</si>
  <si>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</si>
  <si>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</si>
  <si>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</si>
  <si>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</si>
  <si>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</si>
  <si>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</si>
  <si>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</si>
  <si>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</si>
  <si>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</si>
  <si>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</si>
  <si>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</si>
  <si>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</si>
  <si>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</si>
  <si>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</si>
  <si>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</si>
  <si>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</si>
  <si>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</si>
  <si>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</si>
  <si>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</si>
  <si>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</si>
  <si>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</si>
  <si>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</si>
  <si>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</si>
  <si>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</si>
  <si>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</si>
  <si>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</si>
  <si>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</si>
  <si>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</si>
  <si>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</si>
  <si>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</si>
  <si>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</si>
  <si>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</si>
  <si>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</si>
  <si>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</si>
  <si>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</si>
  <si>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</si>
  <si>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</si>
  <si>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</si>
  <si>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</si>
  <si>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</si>
  <si>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</si>
  <si>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</si>
  <si>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</si>
  <si>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</si>
  <si>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</si>
  <si>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</si>
  <si>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</si>
  <si>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</si>
  <si>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</si>
  <si>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</si>
  <si>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</si>
  <si>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</si>
  <si>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</si>
  <si>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</si>
  <si>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</si>
  <si>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</si>
  <si>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</si>
  <si>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</si>
  <si>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</si>
  <si>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</si>
  <si>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</si>
  <si>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</si>
  <si>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</si>
  <si>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</si>
  <si>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</si>
  <si>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</si>
  <si>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</si>
  <si>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</si>
  <si>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</si>
  <si>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</si>
  <si>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</si>
  <si>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</si>
  <si>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</si>
  <si>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</si>
  <si>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</si>
  <si>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</si>
  <si>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</si>
  <si>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</si>
  <si>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</si>
  <si>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</si>
  <si>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</si>
  <si>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</si>
  <si>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</si>
  <si>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</si>
  <si>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</si>
  <si>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</si>
  <si>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</si>
  <si>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</si>
  <si>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</si>
  <si>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</si>
  <si>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</si>
  <si>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</si>
  <si>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</si>
  <si>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</si>
  <si>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</si>
  <si>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</si>
  <si>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</si>
  <si>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</si>
  <si>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</si>
  <si>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</si>
  <si>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</si>
  <si>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</si>
  <si>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</si>
  <si>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</si>
  <si>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</si>
  <si>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</si>
  <si>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</si>
  <si>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</si>
  <si>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</si>
  <si>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</si>
  <si>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</si>
  <si>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</si>
  <si>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</si>
  <si>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</si>
  <si>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</si>
  <si>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</si>
  <si>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</si>
  <si>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</si>
  <si>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</si>
  <si>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</si>
  <si>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</si>
  <si>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</si>
  <si>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</si>
  <si>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</si>
  <si>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</si>
  <si>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</si>
  <si>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</si>
  <si>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</si>
  <si>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</si>
  <si>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</si>
  <si>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</si>
  <si>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</si>
  <si>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</si>
  <si>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</si>
  <si>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</si>
  <si>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</si>
  <si>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</si>
  <si>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</si>
  <si>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</si>
  <si>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</si>
  <si>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</si>
  <si>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</si>
  <si>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</si>
  <si>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</si>
  <si>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</si>
  <si>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</si>
  <si>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</si>
  <si>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</si>
  <si>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</si>
  <si>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</si>
  <si>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</si>
  <si>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</si>
  <si>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</si>
  <si>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</si>
  <si>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</si>
  <si>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</si>
  <si>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</si>
  <si>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</si>
  <si>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</si>
  <si>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</si>
  <si>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</si>
  <si>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</si>
  <si>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</si>
  <si>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</si>
  <si>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</si>
  <si>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</si>
  <si>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</si>
  <si>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</si>
  <si>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</si>
  <si>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</si>
  <si>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</si>
  <si>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</si>
  <si>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</si>
  <si>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</si>
  <si>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</si>
  <si>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</si>
  <si>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</si>
  <si>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</si>
  <si>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</si>
  <si>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</si>
  <si>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</si>
  <si>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</si>
  <si>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</si>
  <si>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</si>
  <si>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</si>
  <si>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</si>
  <si>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</si>
  <si>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</si>
  <si>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</si>
  <si>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</si>
  <si>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</si>
  <si>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</si>
  <si>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</si>
  <si>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</si>
  <si>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</si>
  <si>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</si>
  <si>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</si>
  <si>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</si>
  <si>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</si>
  <si>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</si>
  <si>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</si>
  <si>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</si>
  <si>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</si>
  <si>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</si>
  <si>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</si>
  <si>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</si>
  <si>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</si>
  <si>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</si>
  <si>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</si>
  <si>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</si>
  <si>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</si>
  <si>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</si>
  <si>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</si>
  <si>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</si>
  <si>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</si>
  <si>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</si>
  <si>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</si>
  <si>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</si>
  <si>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</si>
  <si>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</si>
  <si>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</si>
  <si>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</si>
  <si>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</si>
  <si>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</si>
  <si>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</si>
  <si>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</si>
  <si>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</si>
  <si>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</si>
  <si>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</si>
  <si>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</si>
  <si>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</si>
  <si>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</si>
  <si>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</si>
  <si>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</si>
  <si>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</si>
  <si>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</si>
  <si>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</si>
  <si>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</si>
  <si>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</si>
  <si>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</si>
  <si>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 작업부산물, 기타공사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</si>
  <si>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</si>
  <si>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</si>
  <si>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기타공사</t>
    <phoneticPr fontId="2" type="noConversion"/>
  </si>
  <si>
    <t>교육연구</t>
  </si>
  <si>
    <t>사료연구센터 증축공사</t>
    <phoneticPr fontId="2" type="noConversion"/>
  </si>
  <si>
    <t>경상도</t>
  </si>
  <si>
    <t>공조배관공사, 난방배관공사, 기타공사</t>
    <phoneticPr fontId="2" type="noConversion"/>
  </si>
  <si>
    <t>토목 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</si>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</sst>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5051.09</v>
      </c>
      <c r="D7" s="36">
        <f>+C7/3.3058</f>
        <v>1527.9478492346784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653660</v>
      </c>
      <c r="E25" s="58">
        <f t="shared" si="0"/>
        <v>2160860</v>
      </c>
    </row>
    <row r="26" spans="1:5" x14ac:dyDescent="0.3">
      <c r="B26" s="2">
        <v>3</v>
      </c>
      <c r="C26" s="35" t="s">
        <v>95</v>
      </c>
      <c r="D26" s="45">
        <f>+D66</f>
        <v>4920</v>
      </c>
      <c r="E26" s="58">
        <f t="shared" si="0"/>
        <v>16260</v>
      </c>
    </row>
    <row r="27" spans="1:5" x14ac:dyDescent="0.3">
      <c r="B27" s="2">
        <v>4</v>
      </c>
      <c r="C27" s="35" t="s">
        <v>96</v>
      </c>
      <c r="D27" s="45">
        <f>+D95</f>
        <v>12610</v>
      </c>
      <c r="E27" s="58">
        <f t="shared" si="0"/>
        <v>41680</v>
      </c>
    </row>
    <row r="28" spans="1:5" x14ac:dyDescent="0.3">
      <c r="B28" s="2">
        <v>5</v>
      </c>
      <c r="C28" s="35" t="s">
        <v>97</v>
      </c>
      <c r="D28" s="45">
        <f>+D119</f>
        <v>140210</v>
      </c>
      <c r="E28" s="58">
        <f t="shared" si="0"/>
        <v>463500</v>
      </c>
    </row>
    <row r="29" spans="1:5" x14ac:dyDescent="0.3">
      <c r="B29" s="2">
        <v>6</v>
      </c>
      <c r="C29" s="35" t="s">
        <v>98</v>
      </c>
      <c r="D29" s="45">
        <f>+D133</f>
        <v>35130</v>
      </c>
      <c r="E29" s="58">
        <f t="shared" si="0"/>
        <v>116130</v>
      </c>
    </row>
    <row r="30" spans="1:5" x14ac:dyDescent="0.3">
      <c r="B30" s="2">
        <v>7</v>
      </c>
      <c r="C30" s="35" t="s">
        <v>99</v>
      </c>
      <c r="D30" s="45">
        <f>+D146</f>
        <v>14450</v>
      </c>
      <c r="E30" s="58">
        <f t="shared" si="0"/>
        <v>47760</v>
      </c>
    </row>
    <row r="31" spans="1:5" x14ac:dyDescent="0.3">
      <c r="B31" s="2">
        <v>8</v>
      </c>
      <c r="C31" s="35" t="s">
        <v>100</v>
      </c>
      <c r="D31" s="45">
        <f>+D154</f>
        <v>23870</v>
      </c>
      <c r="E31" s="58">
        <f t="shared" si="0"/>
        <v>78900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8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243330</v>
      </c>
      <c r="E33" s="59">
        <f t="shared" si="0"/>
        <v>804400</v>
      </c>
    </row>
    <row r="34" spans="1:7" x14ac:dyDescent="0.3">
      <c r="C34" s="35" t="s">
        <v>112</v>
      </c>
      <c r="D34" s="44">
        <f>SUM(D24:D33)</f>
        <v>1128180</v>
      </c>
      <c r="E34" s="44">
        <f>SUM(E24:E33)</f>
        <v>3729490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260</v>
      </c>
      <c r="E39" s="66" t="s">
        <v>261</v>
      </c>
      <c r="G39" s="67"/>
    </row>
    <row r="40" spans="1:7" x14ac:dyDescent="0.3">
      <c r="A40" s="2">
        <v>1</v>
      </c>
      <c r="C40" s="38" t="s">
        <v>15</v>
      </c>
      <c r="D40" s="40">
        <f>TRUNC(27375,-1)</f>
        <v>27370</v>
      </c>
      <c r="E40" s="61">
        <f t="shared" ref="E40:E59" si="1">TRUNC(+D40*3.3058,-1)</f>
        <v>90470</v>
      </c>
    </row>
    <row r="41" spans="1:7" x14ac:dyDescent="0.3">
      <c r="A41" s="2">
        <v>2</v>
      </c>
      <c r="C41" s="38" t="s">
        <v>13</v>
      </c>
      <c r="D41" s="42">
        <v>96450</v>
      </c>
      <c r="E41" s="62">
        <f t="shared" si="1"/>
        <v>318840</v>
      </c>
    </row>
    <row r="42" spans="1:7" x14ac:dyDescent="0.3">
      <c r="A42" s="2">
        <v>3</v>
      </c>
      <c r="C42" s="38" t="s">
        <v>14</v>
      </c>
      <c r="D42" s="42">
        <f>TRUNC(64505,-1)</f>
        <v>64500</v>
      </c>
      <c r="E42" s="62">
        <f t="shared" si="1"/>
        <v>213220</v>
      </c>
    </row>
    <row r="43" spans="1:7" x14ac:dyDescent="0.3">
      <c r="A43" s="2">
        <v>4</v>
      </c>
      <c r="C43" s="38" t="s">
        <v>16</v>
      </c>
      <c r="D43" s="42">
        <f>TRUNC(12178,-1)</f>
        <v>12170</v>
      </c>
      <c r="E43" s="62">
        <f t="shared" si="1"/>
        <v>40230</v>
      </c>
    </row>
    <row r="44" spans="1:7" x14ac:dyDescent="0.3">
      <c r="A44" s="2">
        <v>5</v>
      </c>
      <c r="C44" s="38" t="s">
        <v>17</v>
      </c>
      <c r="D44" s="42">
        <f>TRUNC(23974,-1)</f>
        <v>23970</v>
      </c>
      <c r="E44" s="62">
        <f t="shared" si="1"/>
        <v>79240</v>
      </c>
    </row>
    <row r="45" spans="1:7" x14ac:dyDescent="0.3">
      <c r="A45" s="2">
        <v>6</v>
      </c>
      <c r="C45" s="38" t="s">
        <v>18</v>
      </c>
      <c r="D45" s="42">
        <f>TRUNC(4831,-1)</f>
        <v>4830</v>
      </c>
      <c r="E45" s="62">
        <f t="shared" si="1"/>
        <v>15960</v>
      </c>
    </row>
    <row r="46" spans="1:7" x14ac:dyDescent="0.3">
      <c r="A46" s="2">
        <v>7</v>
      </c>
      <c r="C46" s="38" t="s">
        <v>19</v>
      </c>
      <c r="D46" s="42">
        <f>TRUNC(29202,-1)</f>
        <v>29200</v>
      </c>
      <c r="E46" s="62">
        <f t="shared" si="1"/>
        <v>96520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TRUNC(94394,-1)</f>
        <v>94390</v>
      </c>
      <c r="E48" s="62">
        <f t="shared" si="1"/>
        <v>312030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TRUNC(19373,-1)</f>
        <v>19370</v>
      </c>
      <c r="E49" s="62">
        <f t="shared" si="1"/>
        <v>64030</v>
      </c>
    </row>
    <row r="50" spans="1:7" x14ac:dyDescent="0.3">
      <c r="A50" s="2">
        <v>11</v>
      </c>
      <c r="C50" s="38" t="s">
        <v>155</v>
      </c>
      <c r="D50" s="42">
        <f>TRUNC(20079,-1)</f>
        <v>20070</v>
      </c>
      <c r="E50" s="62">
        <f t="shared" si="1"/>
        <v>66340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TRUNC(32348,-1)</f>
        <v>32340</v>
      </c>
      <c r="E52" s="62">
        <f t="shared" si="1"/>
        <v>106900</v>
      </c>
    </row>
    <row r="53" spans="1:7" x14ac:dyDescent="0.3">
      <c r="A53" s="2">
        <v>14</v>
      </c>
      <c r="C53" s="38" t="s">
        <v>25</v>
      </c>
      <c r="D53" s="42">
        <f>TRUNC(49268,-1)</f>
        <v>49260</v>
      </c>
      <c r="E53" s="62">
        <f t="shared" si="1"/>
        <v>162840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7627+9196-280+3357</f>
        <v>19900</v>
      </c>
      <c r="E58" s="62">
        <f t="shared" si="1"/>
        <v>65780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TRUNC(159847,-1)</f>
        <v>159840</v>
      </c>
      <c r="E59" s="63">
        <f t="shared" si="1"/>
        <v>528390</v>
      </c>
    </row>
    <row r="60" spans="1:7" x14ac:dyDescent="0.3">
      <c r="A60" s="2">
        <v>21</v>
      </c>
      <c r="C60" s="27" t="s">
        <v>112</v>
      </c>
      <c r="D60" s="39">
        <f>SUM(D40:D59)</f>
        <v>653660</v>
      </c>
      <c r="E60" s="39">
        <f>SUM(E40:E59)</f>
        <v>2160790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TRUNC(4922,-1)</f>
        <v>4920</v>
      </c>
      <c r="E63" s="61">
        <f>TRUNC(+D63*3.3058,-1)</f>
        <v>16260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4920</v>
      </c>
      <c r="E66" s="64">
        <f>SUM(E63:E65)</f>
        <v>16260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TRUNC(742,-1)</f>
        <v>740</v>
      </c>
      <c r="E69" s="61">
        <f t="shared" ref="E69:E94" si="2">TRUNC(+D69*3.3058,-1)</f>
        <v>2440</v>
      </c>
    </row>
    <row r="70" spans="1:7" ht="16.5" customHeight="1" x14ac:dyDescent="0.3">
      <c r="A70" s="2">
        <v>2</v>
      </c>
      <c r="C70" s="38" t="s">
        <v>31</v>
      </c>
      <c r="D70" s="42">
        <f>TRUNC(2105,-1)</f>
        <v>2100</v>
      </c>
      <c r="E70" s="62">
        <f t="shared" si="2"/>
        <v>6940</v>
      </c>
    </row>
    <row r="71" spans="1:7" x14ac:dyDescent="0.3">
      <c r="A71" s="2">
        <v>3</v>
      </c>
      <c r="C71" s="38" t="s">
        <v>32</v>
      </c>
      <c r="D71" s="42">
        <v>0</v>
      </c>
      <c r="E71" s="62">
        <f t="shared" si="2"/>
        <v>0</v>
      </c>
    </row>
    <row r="72" spans="1:7" x14ac:dyDescent="0.3">
      <c r="A72" s="2">
        <v>4</v>
      </c>
      <c r="C72" s="38" t="s">
        <v>33</v>
      </c>
      <c r="D72" s="42">
        <f>TRUNC(345,-1)</f>
        <v>340</v>
      </c>
      <c r="E72" s="62">
        <f t="shared" si="2"/>
        <v>1120</v>
      </c>
    </row>
    <row r="73" spans="1:7" x14ac:dyDescent="0.3">
      <c r="A73" s="2">
        <v>5</v>
      </c>
      <c r="C73" s="38" t="s">
        <v>34</v>
      </c>
      <c r="D73" s="42">
        <f>TRUNC(2193,-1)</f>
        <v>2190</v>
      </c>
      <c r="E73" s="62">
        <f t="shared" si="2"/>
        <v>7230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v>1810</v>
      </c>
      <c r="E89" s="62">
        <f t="shared" si="2"/>
        <v>5980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2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TRUNC(2987,-1)</f>
        <v>2980</v>
      </c>
      <c r="E92" s="62">
        <f t="shared" si="2"/>
        <v>9850</v>
      </c>
    </row>
    <row r="93" spans="1:7" x14ac:dyDescent="0.3">
      <c r="A93" s="2">
        <v>25</v>
      </c>
      <c r="C93" s="38" t="s">
        <v>148</v>
      </c>
      <c r="D93" s="42">
        <v>0</v>
      </c>
      <c r="E93" s="62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TRUNC(427+689+1340,-1)</f>
        <v>2450</v>
      </c>
      <c r="E94" s="63">
        <f t="shared" si="2"/>
        <v>8090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12610</v>
      </c>
      <c r="E95" s="39">
        <f>SUM(E69:E94)</f>
        <v>41650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TRUNC(28878,-1)</f>
        <v>28870</v>
      </c>
      <c r="E98" s="61">
        <f t="shared" ref="E98:E118" si="3">TRUNC(+D98*3.3058,-1)</f>
        <v>95430</v>
      </c>
    </row>
    <row r="99" spans="1:7" x14ac:dyDescent="0.3">
      <c r="A99" s="2">
        <v>2</v>
      </c>
      <c r="C99" s="38" t="s">
        <v>40</v>
      </c>
      <c r="D99" s="42">
        <v>0</v>
      </c>
      <c r="E99" s="62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TRUNC(18907,-1)</f>
        <v>18900</v>
      </c>
      <c r="E100" s="62">
        <f t="shared" si="3"/>
        <v>62470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TRUNC(9798,-1)</f>
        <v>9790</v>
      </c>
      <c r="E102" s="62">
        <f t="shared" si="3"/>
        <v>32360</v>
      </c>
    </row>
    <row r="103" spans="1:7" x14ac:dyDescent="0.3">
      <c r="A103" s="2">
        <v>6</v>
      </c>
      <c r="C103" s="38" t="s">
        <v>44</v>
      </c>
      <c r="D103" s="42">
        <v>0</v>
      </c>
      <c r="E103" s="62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TRUNC(1585,-1)</f>
        <v>1580</v>
      </c>
      <c r="E104" s="62">
        <f t="shared" si="3"/>
        <v>5220</v>
      </c>
    </row>
    <row r="105" spans="1:7" x14ac:dyDescent="0.3">
      <c r="A105" s="2">
        <v>8</v>
      </c>
      <c r="C105" s="38" t="s">
        <v>46</v>
      </c>
      <c r="D105" s="42">
        <v>0</v>
      </c>
      <c r="E105" s="62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TRUNC(1211,-1)</f>
        <v>1210</v>
      </c>
      <c r="E114" s="62">
        <f t="shared" si="3"/>
        <v>4000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TRUNC(6274,-1)</f>
        <v>6270</v>
      </c>
      <c r="E116" s="62">
        <f t="shared" si="3"/>
        <v>20720</v>
      </c>
    </row>
    <row r="117" spans="1:7" x14ac:dyDescent="0.3">
      <c r="A117" s="2">
        <v>20</v>
      </c>
      <c r="C117" s="38" t="s">
        <v>148</v>
      </c>
      <c r="D117" s="42">
        <f>TRUNC(73308,-1)</f>
        <v>73300</v>
      </c>
      <c r="E117" s="62">
        <f t="shared" si="3"/>
        <v>242310</v>
      </c>
    </row>
    <row r="118" spans="1:7" ht="17.25" thickBot="1" x14ac:dyDescent="0.35">
      <c r="A118" s="2">
        <v>21</v>
      </c>
      <c r="C118" s="38" t="s">
        <v>47</v>
      </c>
      <c r="D118" s="43">
        <v>290</v>
      </c>
      <c r="E118" s="63">
        <f t="shared" si="3"/>
        <v>950</v>
      </c>
    </row>
    <row r="119" spans="1:7" x14ac:dyDescent="0.3">
      <c r="A119" s="2">
        <v>22</v>
      </c>
      <c r="C119" s="27" t="s">
        <v>112</v>
      </c>
      <c r="D119" s="39">
        <f>SUM(D98:D118)</f>
        <v>140210</v>
      </c>
      <c r="E119" s="39">
        <f>SUM(E98:E118)</f>
        <v>463460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TRUNC(998,-1)</f>
        <v>990</v>
      </c>
      <c r="E122" s="61">
        <f t="shared" ref="E122:E132" si="4">TRUNC(+D122*3.3058,-1)</f>
        <v>3270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300</v>
      </c>
      <c r="E124" s="62">
        <f t="shared" si="4"/>
        <v>990</v>
      </c>
    </row>
    <row r="125" spans="1:7" x14ac:dyDescent="0.3">
      <c r="A125" s="2">
        <v>4</v>
      </c>
      <c r="C125" s="38" t="s">
        <v>138</v>
      </c>
      <c r="D125" s="42">
        <v>0</v>
      </c>
      <c r="E125" s="62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2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30560</v>
      </c>
      <c r="E130" s="62">
        <f t="shared" si="4"/>
        <v>101020</v>
      </c>
    </row>
    <row r="131" spans="1:7" x14ac:dyDescent="0.3">
      <c r="A131" s="2">
        <v>10</v>
      </c>
      <c r="C131" s="38" t="s">
        <v>148</v>
      </c>
      <c r="D131" s="42">
        <f>TRUNC(3285,-1)</f>
        <v>3280</v>
      </c>
      <c r="E131" s="62">
        <f t="shared" si="4"/>
        <v>10840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3">
        <f t="shared" si="4"/>
        <v>0</v>
      </c>
    </row>
    <row r="133" spans="1:7" x14ac:dyDescent="0.3">
      <c r="A133" s="2">
        <v>12</v>
      </c>
      <c r="C133" s="27" t="s">
        <v>112</v>
      </c>
      <c r="D133" s="39">
        <f>SUM(D122:D132)</f>
        <v>35130</v>
      </c>
      <c r="E133" s="39">
        <f>SUM(E122:E132)</f>
        <v>116120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TRUNC(1841,-1)</f>
        <v>1840</v>
      </c>
      <c r="E137" s="62">
        <f t="shared" si="5"/>
        <v>6080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TRUNC(26,-1)</f>
        <v>20</v>
      </c>
      <c r="E140" s="62">
        <f t="shared" si="5"/>
        <v>60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2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TRUNC(3412,-1)</f>
        <v>3410</v>
      </c>
      <c r="E143" s="62">
        <f t="shared" si="5"/>
        <v>11270</v>
      </c>
    </row>
    <row r="144" spans="1:7" x14ac:dyDescent="0.3">
      <c r="A144" s="2">
        <v>9</v>
      </c>
      <c r="C144" s="38" t="s">
        <v>63</v>
      </c>
      <c r="D144" s="42">
        <f>TRUNC(9180,-1)</f>
        <v>9180</v>
      </c>
      <c r="E144" s="62">
        <f t="shared" si="5"/>
        <v>30340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14450</v>
      </c>
      <c r="E146" s="39">
        <f>SUM(E136:E145)</f>
        <v>47750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TRUNC(6596,-1)</f>
        <v>6590</v>
      </c>
      <c r="E149" s="61">
        <f>TRUNC(+D149*3.3058,-1)</f>
        <v>21780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TRUNC(1641,-1)</f>
        <v>1640</v>
      </c>
      <c r="E150" s="62">
        <f>TRUNC(+D150*3.3058,-1)</f>
        <v>5420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f>TRUNC(8038,-1)</f>
        <v>8030</v>
      </c>
      <c r="E151" s="62">
        <f>TRUNC(+D151*3.3058,-1)</f>
        <v>26540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TRUNC(7231+380,-1)</f>
        <v>7610</v>
      </c>
      <c r="E152" s="62">
        <f>TRUNC(+D152*3.3058,-1)</f>
        <v>25150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23870</v>
      </c>
      <c r="E154" s="39">
        <f>SUM(E149:E153)</f>
        <v>78890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1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2020-12-07T10:14:58Z</dcterms:modified>
</cp:coreProperties>
</file>