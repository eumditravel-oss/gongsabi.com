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7" i="4" l="1"/>
  <c r="D153" i="4"/>
  <c r="D152" i="4"/>
  <c r="D150" i="4"/>
  <c r="D149" i="4"/>
  <c r="D145" i="4"/>
  <c r="D144" i="4"/>
  <c r="D142" i="4"/>
  <c r="D141" i="4"/>
  <c r="D140" i="4"/>
  <c r="D137" i="4"/>
  <c r="D132" i="4"/>
  <c r="D131" i="4"/>
  <c r="D130" i="4"/>
  <c r="D128" i="4"/>
  <c r="D125" i="4"/>
  <c r="D122" i="4"/>
  <c r="D118" i="4"/>
  <c r="D117" i="4"/>
  <c r="D116" i="4"/>
  <c r="D114" i="4"/>
  <c r="D105" i="4"/>
  <c r="D104" i="4"/>
  <c r="D102" i="4"/>
  <c r="D101" i="4"/>
  <c r="D100" i="4"/>
  <c r="D99" i="4"/>
  <c r="D98" i="4"/>
  <c r="D94" i="4"/>
  <c r="D93" i="4"/>
  <c r="D92" i="4"/>
  <c r="D91" i="4"/>
  <c r="D89" i="4"/>
  <c r="D73" i="4"/>
  <c r="D72" i="4"/>
  <c r="D71" i="4"/>
  <c r="D70" i="4"/>
  <c r="D69" i="4"/>
  <c r="D65" i="4"/>
  <c r="D63" i="4"/>
  <c r="D59" i="4"/>
  <c r="D53" i="4"/>
  <c r="D52" i="4"/>
  <c r="D50" i="4"/>
  <c r="D49" i="4"/>
  <c r="D48" i="4"/>
  <c r="D46" i="4"/>
  <c r="D45" i="4"/>
  <c r="D44" i="4"/>
  <c r="D43" i="4"/>
  <c r="D41" i="4"/>
  <c r="D40" i="4"/>
  <c r="D58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<sst xmlns="http://schemas.openxmlformats.org/spreadsheetml/2006/main" count="391" uniqueCount="267">
  <si>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</si>
  <si>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</si>
  <si>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</si>
  <si>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</si>
  <si>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</si>
  <si>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</si>
  <si>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</si>
  <si>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</si>
  <si>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</si>
  <si>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</si>
  <si>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</si>
  <si>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</si>
  <si>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</si>
  <si>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</si>
  <si>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</si>
  <si>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</si>
  <si>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</si>
  <si>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</si>
  <si>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</si>
  <si>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</si>
  <si>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</si>
  <si>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</si>
  <si>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</si>
  <si>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</si>
  <si>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</si>
  <si>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</si>
  <si>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</si>
  <si>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</si>
  <si>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</si>
  <si>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</si>
  <si>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</si>
  <si>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</si>
  <si>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</si>
  <si>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</si>
  <si>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</si>
  <si>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</si>
  <si>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</si>
  <si>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</si>
  <si>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</si>
  <si>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</si>
  <si>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</si>
  <si>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</si>
  <si>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</si>
  <si>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</si>
  <si>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</si>
  <si>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</si>
  <si>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</si>
  <si>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</si>
  <si>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</si>
  <si>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</si>
  <si>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</si>
  <si>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</si>
  <si>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</si>
  <si>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</si>
  <si>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</si>
  <si>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</si>
  <si>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</si>
  <si>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</si>
  <si>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</si>
  <si>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</si>
  <si>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</si>
  <si>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</si>
  <si>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</si>
  <si>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</si>
  <si>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</si>
  <si>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</si>
  <si>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</si>
  <si>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</si>
  <si>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</si>
  <si>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</si>
  <si>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</si>
  <si>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</si>
  <si>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</si>
  <si>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</si>
  <si>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</si>
  <si>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</si>
  <si>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</si>
  <si>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</si>
  <si>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</si>
  <si>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</si>
  <si>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</si>
  <si>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</si>
  <si>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</si>
  <si>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</si>
  <si>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</si>
  <si>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</si>
  <si>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</si>
  <si>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</si>
  <si>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</si>
  <si>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</si>
  <si>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</si>
  <si>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</si>
  <si>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</si>
  <si>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</si>
  <si>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</si>
  <si>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</si>
  <si>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</si>
  <si>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</si>
  <si>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</si>
  <si>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</si>
  <si>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</si>
  <si>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</si>
  <si>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</si>
  <si>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</si>
  <si>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</si>
  <si>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</si>
  <si>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</si>
  <si>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</si>
  <si>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</si>
  <si>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</si>
  <si>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</si>
  <si>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</si>
  <si>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</si>
  <si>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</si>
  <si>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</si>
  <si>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</si>
  <si>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</si>
  <si>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</si>
  <si>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</si>
  <si>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</si>
  <si>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</si>
  <si>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</si>
  <si>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</si>
  <si>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</si>
  <si>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</si>
  <si>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</si>
  <si>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</si>
  <si>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</si>
  <si>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</si>
  <si>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</si>
  <si>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</si>
  <si>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</si>
  <si>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</si>
  <si>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</si>
  <si>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</si>
  <si>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</si>
  <si>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</si>
  <si>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</si>
  <si>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</si>
  <si>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</si>
  <si>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</si>
  <si>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</si>
  <si>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</si>
  <si>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</si>
  <si>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</si>
  <si>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</si>
  <si>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</si>
  <si>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</si>
  <si>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</si>
  <si>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</si>
  <si>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</si>
  <si>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</si>
  <si>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</si>
  <si>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</si>
  <si>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</si>
  <si>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</si>
  <si>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</si>
  <si>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</si>
  <si>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</si>
  <si>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</si>
  <si>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</si>
  <si>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</si>
  <si>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</si>
  <si>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</si>
  <si>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</si>
  <si>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</si>
  <si>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</si>
  <si>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</si>
  <si>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</si>
  <si>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</si>
  <si>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</si>
  <si>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</si>
  <si>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</si>
  <si>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</si>
  <si>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</si>
  <si>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</si>
  <si>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</si>
  <si>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</si>
  <si>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</si>
  <si>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</si>
  <si>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</si>
  <si>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</si>
  <si>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</si>
  <si>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</si>
  <si>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</si>
  <si>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</si>
  <si>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</si>
  <si>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</si>
  <si>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</si>
  <si>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</si>
  <si>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</si>
  <si>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</si>
  <si>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</si>
  <si>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</si>
  <si>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</si>
  <si>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</si>
  <si>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</si>
  <si>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</si>
  <si>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</si>
  <si>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</si>
  <si>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</si>
  <si>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</si>
  <si>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</si>
  <si>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</si>
  <si>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</si>
  <si>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</si>
  <si>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</si>
  <si>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</si>
  <si>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</si>
  <si>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</si>
  <si>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</si>
  <si>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</si>
  <si>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</si>
  <si>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</si>
  <si>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</si>
  <si>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</si>
  <si>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</si>
  <si>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</si>
  <si>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</si>
  <si>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</si>
  <si>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</si>
  <si>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</si>
  <si>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</si>
  <si>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</si>
  <si>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</si>
  <si>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</si>
  <si>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</si>
  <si>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</si>
  <si>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</si>
  <si>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</si>
  <si>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</si>
  <si>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</si>
  <si>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</si>
  <si>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</si>
  <si>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</si>
  <si>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</si>
  <si>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</si>
  <si>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</si>
  <si>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</si>
  <si>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</si>
  <si>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</si>
  <si>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</si>
  <si>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</si>
  <si>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</si>
  <si>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</si>
  <si>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</si>
  <si>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</si>
  <si>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</si>
  <si>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</si>
  <si>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</si>
  <si>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</si>
  <si>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</si>
  <si>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기초공사, 골재비및운반비, 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</si>
  <si>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</si>
  <si>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</si>
  <si>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</si>
  <si>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</si>
  <si>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</si>
  <si>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아세안문화원 건립</t>
    <phoneticPr fontId="2" type="noConversion"/>
  </si>
  <si>
    <t>문화및집회</t>
  </si>
  <si>
    <t>부산시</t>
  </si>
  <si>
    <t>우수처리시설공사,바닥난방공사,기타공사</t>
    <phoneticPr fontId="2" type="noConversion"/>
  </si>
  <si>
    <t>옥외보안등설비공사</t>
    <phoneticPr fontId="2" type="noConversion"/>
  </si>
  <si>
    <t>사급자재비, 운반비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</si>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</sst>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2540.29</v>
      </c>
      <c r="D7" s="36">
        <f>+C7/3.3058</f>
        <v>768.43426704579826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997440</v>
      </c>
      <c r="E25" s="59">
        <f t="shared" si="0"/>
        <v>3297330</v>
      </c>
    </row>
    <row r="26" spans="1:5" x14ac:dyDescent="0.3">
      <c r="B26" s="2">
        <v>3</v>
      </c>
      <c r="C26" s="35" t="s">
        <v>95</v>
      </c>
      <c r="D26" s="45">
        <f>+D66</f>
        <v>284030</v>
      </c>
      <c r="E26" s="59">
        <f t="shared" si="0"/>
        <v>938940</v>
      </c>
    </row>
    <row r="27" spans="1:5" x14ac:dyDescent="0.3">
      <c r="B27" s="2">
        <v>4</v>
      </c>
      <c r="C27" s="35" t="s">
        <v>96</v>
      </c>
      <c r="D27" s="45">
        <f>+D95</f>
        <v>201070</v>
      </c>
      <c r="E27" s="59">
        <f t="shared" si="0"/>
        <v>664690</v>
      </c>
    </row>
    <row r="28" spans="1:5" x14ac:dyDescent="0.3">
      <c r="B28" s="2">
        <v>5</v>
      </c>
      <c r="C28" s="35" t="s">
        <v>97</v>
      </c>
      <c r="D28" s="45">
        <f>+D119</f>
        <v>190960</v>
      </c>
      <c r="E28" s="59">
        <f t="shared" si="0"/>
        <v>631270</v>
      </c>
    </row>
    <row r="29" spans="1:5" x14ac:dyDescent="0.3">
      <c r="B29" s="2">
        <v>6</v>
      </c>
      <c r="C29" s="35" t="s">
        <v>98</v>
      </c>
      <c r="D29" s="45">
        <f>+D133</f>
        <v>103230</v>
      </c>
      <c r="E29" s="59">
        <f t="shared" si="0"/>
        <v>341250</v>
      </c>
    </row>
    <row r="30" spans="1:5" x14ac:dyDescent="0.3">
      <c r="B30" s="2">
        <v>7</v>
      </c>
      <c r="C30" s="35" t="s">
        <v>99</v>
      </c>
      <c r="D30" s="45">
        <f>+D146</f>
        <v>68220</v>
      </c>
      <c r="E30" s="59">
        <f t="shared" si="0"/>
        <v>225520</v>
      </c>
    </row>
    <row r="31" spans="1:5" x14ac:dyDescent="0.3">
      <c r="B31" s="2">
        <v>8</v>
      </c>
      <c r="C31" s="35" t="s">
        <v>100</v>
      </c>
      <c r="D31" s="45">
        <f>+D154</f>
        <v>25470</v>
      </c>
      <c r="E31" s="59">
        <f t="shared" si="0"/>
        <v>84190</v>
      </c>
    </row>
    <row r="32" spans="1:5" x14ac:dyDescent="0.3">
      <c r="B32" s="2">
        <v>9</v>
      </c>
      <c r="C32" s="35" t="s">
        <v>101</v>
      </c>
      <c r="D32" s="45">
        <f>+D161</f>
        <v>26800</v>
      </c>
      <c r="E32" s="59">
        <f t="shared" si="0"/>
        <v>88590</v>
      </c>
    </row>
    <row r="33" spans="1:7" x14ac:dyDescent="0.3">
      <c r="B33" s="2">
        <v>10</v>
      </c>
      <c r="C33" s="35" t="s">
        <v>154</v>
      </c>
      <c r="D33" s="53">
        <f>TRUNC(SUM(D24:D32)*0.275,-1)</f>
        <v>521730</v>
      </c>
      <c r="E33" s="60">
        <f t="shared" si="0"/>
        <v>1724730</v>
      </c>
    </row>
    <row r="34" spans="1:7" x14ac:dyDescent="0.3">
      <c r="C34" s="35" t="s">
        <v>112</v>
      </c>
      <c r="D34" s="44">
        <f>SUM(D24:D33)</f>
        <v>2418950</v>
      </c>
      <c r="E34" s="44">
        <f>SUM(E24:E33)</f>
        <v>7996510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248</v>
      </c>
      <c r="D39" s="57" t="s">
        <v>249</v>
      </c>
      <c r="E39" s="57" t="s">
        <v>250</v>
      </c>
      <c r="G39" s="55"/>
    </row>
    <row r="40" spans="1:7" x14ac:dyDescent="0.3">
      <c r="A40" s="2">
        <v>1</v>
      </c>
      <c r="C40" s="38" t="s">
        <v>15</v>
      </c>
      <c r="D40" s="40">
        <f>TRUNC(87101,-1)</f>
        <v>87100</v>
      </c>
      <c r="E40" s="62">
        <f t="shared" ref="E40:E59" si="1">TRUNC(+D40*3.3058,-1)</f>
        <v>287930</v>
      </c>
    </row>
    <row r="41" spans="1:7" x14ac:dyDescent="0.3">
      <c r="A41" s="2">
        <v>2</v>
      </c>
      <c r="C41" s="38" t="s">
        <v>13</v>
      </c>
      <c r="D41" s="42">
        <f>TRUNC(224619,-1)</f>
        <v>224610</v>
      </c>
      <c r="E41" s="63">
        <f t="shared" si="1"/>
        <v>742510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TRUNC(54515,-1)</f>
        <v>54510</v>
      </c>
      <c r="E43" s="63">
        <f t="shared" si="1"/>
        <v>180190</v>
      </c>
    </row>
    <row r="44" spans="1:7" x14ac:dyDescent="0.3">
      <c r="A44" s="2">
        <v>5</v>
      </c>
      <c r="C44" s="38" t="s">
        <v>17</v>
      </c>
      <c r="D44" s="42">
        <f>TRUNC(52865,-1)</f>
        <v>52860</v>
      </c>
      <c r="E44" s="63">
        <f t="shared" si="1"/>
        <v>174740</v>
      </c>
    </row>
    <row r="45" spans="1:7" x14ac:dyDescent="0.3">
      <c r="A45" s="2">
        <v>6</v>
      </c>
      <c r="C45" s="38" t="s">
        <v>18</v>
      </c>
      <c r="D45" s="42">
        <f>TRUNC(4888,-1)</f>
        <v>4880</v>
      </c>
      <c r="E45" s="63">
        <f t="shared" si="1"/>
        <v>16130</v>
      </c>
    </row>
    <row r="46" spans="1:7" x14ac:dyDescent="0.3">
      <c r="A46" s="2">
        <v>7</v>
      </c>
      <c r="C46" s="38" t="s">
        <v>19</v>
      </c>
      <c r="D46" s="42">
        <f>TRUNC(46074,-1)</f>
        <v>46070</v>
      </c>
      <c r="E46" s="63">
        <f t="shared" si="1"/>
        <v>152290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TRUNC(43338,-1)</f>
        <v>43330</v>
      </c>
      <c r="E48" s="63">
        <f t="shared" si="1"/>
        <v>143240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TRUNC(46801,-1)</f>
        <v>46800</v>
      </c>
      <c r="E49" s="63">
        <f t="shared" si="1"/>
        <v>154710</v>
      </c>
    </row>
    <row r="50" spans="1:7" x14ac:dyDescent="0.3">
      <c r="A50" s="2">
        <v>11</v>
      </c>
      <c r="C50" s="38" t="s">
        <v>155</v>
      </c>
      <c r="D50" s="42">
        <f>TRUNC(46336,-1)</f>
        <v>46330</v>
      </c>
      <c r="E50" s="63">
        <f t="shared" si="1"/>
        <v>153150</v>
      </c>
      <c r="F50" s="2" t="s">
        <v>256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TRUNC(26063,-1)</f>
        <v>26060</v>
      </c>
      <c r="E52" s="63">
        <f t="shared" si="1"/>
        <v>86140</v>
      </c>
    </row>
    <row r="53" spans="1:7" x14ac:dyDescent="0.3">
      <c r="A53" s="2">
        <v>14</v>
      </c>
      <c r="C53" s="38" t="s">
        <v>25</v>
      </c>
      <c r="D53" s="42">
        <f>TRUNC(62362,-1)</f>
        <v>62360</v>
      </c>
      <c r="E53" s="63">
        <f t="shared" si="1"/>
        <v>206140</v>
      </c>
      <c r="F53" s="2" t="s">
        <v>257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1198+10547-837+4397+11215</f>
        <v>26520</v>
      </c>
      <c r="E58" s="63">
        <f t="shared" si="1"/>
        <v>87660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TRUNC(276011,-1)</f>
        <v>276010</v>
      </c>
      <c r="E59" s="64">
        <f t="shared" si="1"/>
        <v>912430</v>
      </c>
    </row>
    <row r="60" spans="1:7" x14ac:dyDescent="0.3">
      <c r="A60" s="2">
        <v>21</v>
      </c>
      <c r="C60" s="27" t="s">
        <v>112</v>
      </c>
      <c r="D60" s="39">
        <f>SUM(D40:D59)</f>
        <v>997440</v>
      </c>
      <c r="E60" s="39">
        <f>SUM(E40:E59)</f>
        <v>3297260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TRUNC(69493,-1)</f>
        <v>69490</v>
      </c>
      <c r="E63" s="62">
        <f>TRUNC(+D63*3.3058,-1)</f>
        <v>229720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TRUNC(214548,-1)</f>
        <v>214540</v>
      </c>
      <c r="E65" s="64">
        <f>TRUNC(+D65*3.3058,-1)</f>
        <v>709220</v>
      </c>
    </row>
    <row r="66" spans="1:7" x14ac:dyDescent="0.3">
      <c r="A66" s="2">
        <v>4</v>
      </c>
      <c r="C66" s="27" t="s">
        <v>112</v>
      </c>
      <c r="D66" s="39">
        <f>SUM(D63:D65)</f>
        <v>284030</v>
      </c>
      <c r="E66" s="65">
        <f>SUM(E63:E65)</f>
        <v>938940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TRUNC(8497,-1)</f>
        <v>8490</v>
      </c>
      <c r="E69" s="62">
        <f t="shared" ref="E69:E94" si="2">TRUNC(+D69*3.3058,-1)</f>
        <v>28060</v>
      </c>
    </row>
    <row r="70" spans="1:7" ht="16.5" customHeight="1" x14ac:dyDescent="0.3">
      <c r="A70" s="2">
        <v>2</v>
      </c>
      <c r="C70" s="38" t="s">
        <v>31</v>
      </c>
      <c r="D70" s="42">
        <f>TRUNC(1779,-1)</f>
        <v>1770</v>
      </c>
      <c r="E70" s="63">
        <f t="shared" si="2"/>
        <v>5850</v>
      </c>
    </row>
    <row r="71" spans="1:7" x14ac:dyDescent="0.3">
      <c r="A71" s="2">
        <v>3</v>
      </c>
      <c r="C71" s="38" t="s">
        <v>32</v>
      </c>
      <c r="D71" s="42">
        <f>TRUNC(10257,-1)</f>
        <v>10250</v>
      </c>
      <c r="E71" s="63">
        <f t="shared" si="2"/>
        <v>33880</v>
      </c>
    </row>
    <row r="72" spans="1:7" x14ac:dyDescent="0.3">
      <c r="A72" s="2">
        <v>4</v>
      </c>
      <c r="C72" s="38" t="s">
        <v>33</v>
      </c>
      <c r="D72" s="42">
        <f>TRUNC(2768,-1)</f>
        <v>2760</v>
      </c>
      <c r="E72" s="63">
        <f t="shared" si="2"/>
        <v>9120</v>
      </c>
    </row>
    <row r="73" spans="1:7" x14ac:dyDescent="0.3">
      <c r="A73" s="2">
        <v>5</v>
      </c>
      <c r="C73" s="38" t="s">
        <v>34</v>
      </c>
      <c r="D73" s="42">
        <f>TRUNC(5003,-1)</f>
        <v>5000</v>
      </c>
      <c r="E73" s="63">
        <f t="shared" si="2"/>
        <v>16520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4870</v>
      </c>
      <c r="E75" s="63">
        <f t="shared" si="2"/>
        <v>16090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TRUNC(5851,-1)</f>
        <v>5850</v>
      </c>
      <c r="E89" s="63">
        <f t="shared" si="2"/>
        <v>19330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TRUNC(34762,-1)</f>
        <v>34760</v>
      </c>
      <c r="E91" s="63">
        <f t="shared" si="2"/>
        <v>114900</v>
      </c>
    </row>
    <row r="92" spans="1:7" x14ac:dyDescent="0.3">
      <c r="A92" s="2">
        <v>24</v>
      </c>
      <c r="C92" s="38" t="s">
        <v>38</v>
      </c>
      <c r="D92" s="42">
        <f>TRUNC(3709,-1)</f>
        <v>3700</v>
      </c>
      <c r="E92" s="63">
        <f t="shared" si="2"/>
        <v>12230</v>
      </c>
    </row>
    <row r="93" spans="1:7" x14ac:dyDescent="0.3">
      <c r="A93" s="2">
        <v>25</v>
      </c>
      <c r="C93" s="38" t="s">
        <v>148</v>
      </c>
      <c r="D93" s="42">
        <f>TRUNC(106711,-1)</f>
        <v>106710</v>
      </c>
      <c r="E93" s="63">
        <f t="shared" si="2"/>
        <v>352760</v>
      </c>
    </row>
    <row r="94" spans="1:7" ht="17.25" thickBot="1" x14ac:dyDescent="0.35">
      <c r="A94" s="2">
        <v>26</v>
      </c>
      <c r="C94" s="38" t="s">
        <v>47</v>
      </c>
      <c r="D94" s="43">
        <f>TRUNC(11146+921+4851,-1)</f>
        <v>16910</v>
      </c>
      <c r="E94" s="64">
        <f t="shared" si="2"/>
        <v>55900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201070</v>
      </c>
      <c r="E95" s="39">
        <f>SUM(E69:E94)</f>
        <v>664640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TRUNC(15499,-1)</f>
        <v>15490</v>
      </c>
      <c r="E98" s="62">
        <f t="shared" ref="E98:E118" si="3">TRUNC(+D98*3.3058,-1)</f>
        <v>51200</v>
      </c>
    </row>
    <row r="99" spans="1:7" x14ac:dyDescent="0.3">
      <c r="A99" s="2">
        <v>2</v>
      </c>
      <c r="C99" s="38" t="s">
        <v>40</v>
      </c>
      <c r="D99" s="42">
        <f>TRUNC(16825,-1)</f>
        <v>16820</v>
      </c>
      <c r="E99" s="63">
        <f t="shared" si="3"/>
        <v>55600</v>
      </c>
    </row>
    <row r="100" spans="1:7" x14ac:dyDescent="0.3">
      <c r="A100" s="2">
        <v>3</v>
      </c>
      <c r="C100" s="38" t="s">
        <v>41</v>
      </c>
      <c r="D100" s="42">
        <f>TRUNC(41494,-1)</f>
        <v>41490</v>
      </c>
      <c r="E100" s="63">
        <f t="shared" si="3"/>
        <v>137150</v>
      </c>
    </row>
    <row r="101" spans="1:7" x14ac:dyDescent="0.3">
      <c r="A101" s="2">
        <v>4</v>
      </c>
      <c r="C101" s="38" t="s">
        <v>42</v>
      </c>
      <c r="D101" s="42">
        <f>TRUNC(1161,-1)</f>
        <v>1160</v>
      </c>
      <c r="E101" s="63">
        <f t="shared" si="3"/>
        <v>3830</v>
      </c>
    </row>
    <row r="102" spans="1:7" x14ac:dyDescent="0.3">
      <c r="A102" s="2">
        <v>5</v>
      </c>
      <c r="C102" s="38" t="s">
        <v>43</v>
      </c>
      <c r="D102" s="42">
        <f>TRUNC(12986,-1)</f>
        <v>12980</v>
      </c>
      <c r="E102" s="63">
        <f t="shared" si="3"/>
        <v>42900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TRUNC(16894,-1)</f>
        <v>16890</v>
      </c>
      <c r="E104" s="63">
        <f t="shared" si="3"/>
        <v>55830</v>
      </c>
    </row>
    <row r="105" spans="1:7" x14ac:dyDescent="0.3">
      <c r="A105" s="2">
        <v>8</v>
      </c>
      <c r="C105" s="38" t="s">
        <v>46</v>
      </c>
      <c r="D105" s="42">
        <f>TRUNC(4368,-1)</f>
        <v>4360</v>
      </c>
      <c r="E105" s="63">
        <f t="shared" si="3"/>
        <v>14410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TRUNC(2637,-1)</f>
        <v>2630</v>
      </c>
      <c r="E114" s="63">
        <f t="shared" si="3"/>
        <v>8690</v>
      </c>
      <c r="F114" s="2" t="s">
        <v>262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TRUNC(15858,-1)</f>
        <v>15850</v>
      </c>
      <c r="E116" s="63">
        <f t="shared" si="3"/>
        <v>52390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TRUNC(62823,-1)</f>
        <v>62820</v>
      </c>
      <c r="E117" s="63">
        <f t="shared" si="3"/>
        <v>207670</v>
      </c>
    </row>
    <row r="118" spans="1:7" ht="17.25" thickBot="1" x14ac:dyDescent="0.35">
      <c r="A118" s="2">
        <v>21</v>
      </c>
      <c r="C118" s="38" t="s">
        <v>47</v>
      </c>
      <c r="D118" s="43">
        <f>TRUNC(473,-1)</f>
        <v>470</v>
      </c>
      <c r="E118" s="64">
        <f t="shared" si="3"/>
        <v>1550</v>
      </c>
    </row>
    <row r="119" spans="1:7" x14ac:dyDescent="0.3">
      <c r="A119" s="2">
        <v>22</v>
      </c>
      <c r="C119" s="27" t="s">
        <v>112</v>
      </c>
      <c r="D119" s="39">
        <f>SUM(D98:D118)</f>
        <v>190960</v>
      </c>
      <c r="E119" s="39">
        <f>SUM(E98:E118)</f>
        <v>631220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TRUNC(21508,-1)</f>
        <v>21500</v>
      </c>
      <c r="E122" s="62">
        <f t="shared" ref="E122:E132" si="4">TRUNC(+D122*3.3058,-1)</f>
        <v>71070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TRUNC(4598,-1)</f>
        <v>4590</v>
      </c>
      <c r="E125" s="63">
        <f t="shared" si="4"/>
        <v>15170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TRUNC(4262,-1)</f>
        <v>4260</v>
      </c>
      <c r="E128" s="63">
        <f t="shared" si="4"/>
        <v>14080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TRUNC(15374,-1)</f>
        <v>15370</v>
      </c>
      <c r="E130" s="63">
        <f t="shared" si="4"/>
        <v>50810</v>
      </c>
    </row>
    <row r="131" spans="1:7" x14ac:dyDescent="0.3">
      <c r="A131" s="2">
        <v>10</v>
      </c>
      <c r="C131" s="38" t="s">
        <v>148</v>
      </c>
      <c r="D131" s="42">
        <f>TRUNC(53804,-1)</f>
        <v>53800</v>
      </c>
      <c r="E131" s="63">
        <f t="shared" si="4"/>
        <v>177850</v>
      </c>
    </row>
    <row r="132" spans="1:7" ht="18" thickBot="1" x14ac:dyDescent="0.35">
      <c r="A132" s="2">
        <v>11</v>
      </c>
      <c r="C132" s="38" t="s">
        <v>47</v>
      </c>
      <c r="D132" s="43">
        <f>TRUNC(3240+473,-1)</f>
        <v>3710</v>
      </c>
      <c r="E132" s="64">
        <f t="shared" si="4"/>
        <v>12260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103230</v>
      </c>
      <c r="E133" s="39">
        <f>SUM(E122:E132)</f>
        <v>341240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TRUNC(803,-1)</f>
        <v>800</v>
      </c>
      <c r="E137" s="63">
        <f t="shared" si="5"/>
        <v>2640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TRUNC(3819,-1)</f>
        <v>3810</v>
      </c>
      <c r="E140" s="63">
        <f t="shared" si="5"/>
        <v>12590</v>
      </c>
    </row>
    <row r="141" spans="1:7" x14ac:dyDescent="0.3">
      <c r="A141" s="2">
        <v>6</v>
      </c>
      <c r="C141" s="38" t="s">
        <v>59</v>
      </c>
      <c r="D141" s="42">
        <f>TRUNC(23931,-1)</f>
        <v>23930</v>
      </c>
      <c r="E141" s="63">
        <f t="shared" si="5"/>
        <v>79100</v>
      </c>
    </row>
    <row r="142" spans="1:7" x14ac:dyDescent="0.3">
      <c r="A142" s="2">
        <v>7</v>
      </c>
      <c r="C142" s="38" t="s">
        <v>58</v>
      </c>
      <c r="D142" s="42">
        <f>TRUNC(16964,-1)</f>
        <v>16960</v>
      </c>
      <c r="E142" s="63">
        <f t="shared" si="5"/>
        <v>56060</v>
      </c>
    </row>
    <row r="143" spans="1:7" x14ac:dyDescent="0.3">
      <c r="A143" s="2">
        <v>8</v>
      </c>
      <c r="C143" s="38" t="s">
        <v>62</v>
      </c>
      <c r="D143" s="42">
        <v>3880</v>
      </c>
      <c r="E143" s="63">
        <f t="shared" si="5"/>
        <v>12820</v>
      </c>
    </row>
    <row r="144" spans="1:7" x14ac:dyDescent="0.3">
      <c r="A144" s="2">
        <v>9</v>
      </c>
      <c r="C144" s="38" t="s">
        <v>63</v>
      </c>
      <c r="D144" s="42">
        <f>TRUNC(16503,-1)</f>
        <v>16500</v>
      </c>
      <c r="E144" s="63">
        <f t="shared" si="5"/>
        <v>54540</v>
      </c>
    </row>
    <row r="145" spans="1:7" ht="17.25" thickBot="1" x14ac:dyDescent="0.35">
      <c r="A145" s="2">
        <v>10</v>
      </c>
      <c r="C145" s="38" t="s">
        <v>148</v>
      </c>
      <c r="D145" s="43">
        <f>TRUNC(2347,-1)</f>
        <v>2340</v>
      </c>
      <c r="E145" s="64">
        <f t="shared" si="5"/>
        <v>7730</v>
      </c>
    </row>
    <row r="146" spans="1:7" x14ac:dyDescent="0.3">
      <c r="A146" s="2">
        <v>11</v>
      </c>
      <c r="C146" s="27" t="s">
        <v>112</v>
      </c>
      <c r="D146" s="39">
        <f>SUM(D136:D145)</f>
        <v>68220</v>
      </c>
      <c r="E146" s="39">
        <f>SUM(E136:E145)</f>
        <v>225480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TRUNC(2177+455,-1)</f>
        <v>2630</v>
      </c>
      <c r="E149" s="62">
        <f>TRUNC(+D149*3.3058,-1)</f>
        <v>8690</v>
      </c>
    </row>
    <row r="150" spans="1:7" x14ac:dyDescent="0.3">
      <c r="A150" s="2">
        <v>2</v>
      </c>
      <c r="C150" s="38" t="s">
        <v>49</v>
      </c>
      <c r="D150" s="42">
        <f>TRUNC(303,-1)</f>
        <v>300</v>
      </c>
      <c r="E150" s="63">
        <f>TRUNC(+D150*3.3058,-1)</f>
        <v>990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TRUNC(1201+2994,-1)</f>
        <v>4190</v>
      </c>
      <c r="E152" s="63">
        <f>TRUNC(+D152*3.3058,-1)</f>
        <v>13850</v>
      </c>
      <c r="F152" s="2" t="s">
        <v>263</v>
      </c>
    </row>
    <row r="153" spans="1:7" ht="17.25" thickBot="1" x14ac:dyDescent="0.35">
      <c r="A153" s="2">
        <v>5</v>
      </c>
      <c r="C153" s="38" t="s">
        <v>148</v>
      </c>
      <c r="D153" s="43">
        <f>TRUNC(18357,-1)</f>
        <v>18350</v>
      </c>
      <c r="E153" s="64">
        <f>TRUNC(+D153*3.3058,-1)</f>
        <v>60660</v>
      </c>
    </row>
    <row r="154" spans="1:7" x14ac:dyDescent="0.3">
      <c r="A154" s="2">
        <v>6</v>
      </c>
      <c r="C154" s="27" t="s">
        <v>112</v>
      </c>
      <c r="D154" s="39">
        <f>SUM(D149:D153)</f>
        <v>25470</v>
      </c>
      <c r="E154" s="39">
        <f>SUM(E149:E153)</f>
        <v>84190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TRUNC(26805,-1)</f>
        <v>26800</v>
      </c>
      <c r="E157" s="62">
        <f>TRUNC(+D157*3.3058,-1)</f>
        <v>88590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26800</v>
      </c>
      <c r="E161" s="39">
        <f>SUM(E157:E160)</f>
        <v>88590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2020-12-07T09:57:40Z</dcterms:modified>
</cp:coreProperties>
</file>