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4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02" i="4" l="1"/>
  <c r="D101" i="4"/>
  <c r="D118" i="4"/>
  <c r="D79" i="4"/>
  <c r="D94" i="4"/>
  <c r="D84" i="4"/>
  <c r="E160" i="4" l="1"/>
  <c r="E158" i="4"/>
  <c r="E157" i="4"/>
  <c r="E153" i="4"/>
  <c r="E151" i="4"/>
  <c r="E150" i="4"/>
  <c r="E149" i="4"/>
  <c r="E145" i="4"/>
  <c r="E144" i="4"/>
  <c r="E143" i="4"/>
  <c r="E142" i="4"/>
  <c r="E141" i="4"/>
  <c r="E140" i="4"/>
  <c r="E139" i="4"/>
  <c r="E138" i="4"/>
  <c r="E136" i="4"/>
  <c r="E129" i="4"/>
  <c r="E123" i="4"/>
  <c r="E118" i="4"/>
  <c r="E116" i="4"/>
  <c r="E114" i="4"/>
  <c r="E113" i="4"/>
  <c r="E112" i="4"/>
  <c r="E111" i="4"/>
  <c r="E110" i="4"/>
  <c r="E109" i="4"/>
  <c r="E107" i="4"/>
  <c r="E106" i="4"/>
  <c r="E103" i="4"/>
  <c r="E102" i="4"/>
  <c r="E101" i="4"/>
  <c r="E94" i="4"/>
  <c r="E92" i="4"/>
  <c r="E91" i="4"/>
  <c r="E89" i="4"/>
  <c r="E88" i="4"/>
  <c r="E87" i="4"/>
  <c r="E86" i="4"/>
  <c r="E84" i="4"/>
  <c r="E83" i="4"/>
  <c r="E82" i="4"/>
  <c r="E81" i="4"/>
  <c r="E80" i="4"/>
  <c r="E79" i="4"/>
  <c r="E78" i="4"/>
  <c r="E77" i="4"/>
  <c r="E76" i="4"/>
  <c r="E75" i="4"/>
  <c r="E74" i="4"/>
  <c r="E73" i="4"/>
  <c r="E65" i="4"/>
  <c r="E64" i="4"/>
  <c r="E63" i="4"/>
  <c r="E57" i="4"/>
  <c r="E56" i="4"/>
  <c r="E66" i="4" l="1"/>
  <c r="E146" i="4"/>
  <c r="D132" i="4"/>
  <c r="E132" i="4" s="1"/>
  <c r="D131" i="4"/>
  <c r="E131" i="4" s="1"/>
  <c r="D130" i="4"/>
  <c r="E130" i="4" s="1"/>
  <c r="D128" i="4"/>
  <c r="E128" i="4" s="1"/>
  <c r="D127" i="4"/>
  <c r="E127" i="4" s="1"/>
  <c r="D126" i="4"/>
  <c r="E126" i="4" s="1"/>
  <c r="D125" i="4"/>
  <c r="E125" i="4" s="1"/>
  <c r="D124" i="4"/>
  <c r="E124" i="4" s="1"/>
  <c r="D122" i="4"/>
  <c r="E122" i="4" s="1"/>
  <c r="D137" i="4"/>
  <c r="E137" i="4" s="1"/>
  <c r="D117" i="4"/>
  <c r="E117" i="4" s="1"/>
  <c r="D115" i="4"/>
  <c r="E115" i="4" s="1"/>
  <c r="D108" i="4"/>
  <c r="E108" i="4" s="1"/>
  <c r="D105" i="4"/>
  <c r="E105" i="4" s="1"/>
  <c r="D104" i="4"/>
  <c r="E104" i="4" s="1"/>
  <c r="D100" i="4"/>
  <c r="E100" i="4" s="1"/>
  <c r="D99" i="4"/>
  <c r="E99" i="4" s="1"/>
  <c r="E119" i="4" s="1"/>
  <c r="D98" i="4"/>
  <c r="E98" i="4" s="1"/>
  <c r="D93" i="4"/>
  <c r="E93" i="4" s="1"/>
  <c r="D90" i="4"/>
  <c r="E90" i="4" s="1"/>
  <c r="D85" i="4"/>
  <c r="E85" i="4" s="1"/>
  <c r="D72" i="4"/>
  <c r="E72" i="4" s="1"/>
  <c r="D71" i="4"/>
  <c r="E71" i="4" s="1"/>
  <c r="D70" i="4"/>
  <c r="E70" i="4" s="1"/>
  <c r="D69" i="4"/>
  <c r="E69" i="4" s="1"/>
  <c r="E95" i="4" s="1"/>
  <c r="D159" i="4"/>
  <c r="E159" i="4" s="1"/>
  <c r="E161" i="4" s="1"/>
  <c r="D152" i="4"/>
  <c r="E152" i="4" s="1"/>
  <c r="E154" i="4" s="1"/>
  <c r="D58" i="4"/>
  <c r="E58" i="4" s="1"/>
  <c r="D55" i="4"/>
  <c r="E55" i="4" s="1"/>
  <c r="D54" i="4"/>
  <c r="E54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47" i="4"/>
  <c r="E47" i="4" s="1"/>
  <c r="D46" i="4"/>
  <c r="E46" i="4" s="1"/>
  <c r="D45" i="4"/>
  <c r="E45" i="4" s="1"/>
  <c r="D44" i="4"/>
  <c r="E44" i="4" s="1"/>
  <c r="D43" i="4"/>
  <c r="E43" i="4" s="1"/>
  <c r="D42" i="4"/>
  <c r="E42" i="4" s="1"/>
  <c r="D41" i="4"/>
  <c r="E41" i="4" s="1"/>
  <c r="D40" i="4"/>
  <c r="E40" i="4" s="1"/>
  <c r="D37" i="4"/>
  <c r="E37" i="4" s="1"/>
  <c r="D59" i="4"/>
  <c r="E59" i="4" s="1"/>
  <c r="E60" i="4" l="1"/>
  <c r="E133" i="4"/>
  <c r="D161" i="4"/>
  <c r="D32" i="4" s="1"/>
  <c r="E32" i="4" s="1"/>
  <c r="D154" i="4"/>
  <c r="D31" i="4" s="1"/>
  <c r="E31" i="4" s="1"/>
  <c r="D146" i="4"/>
  <c r="D133" i="4"/>
  <c r="D29" i="4" s="1"/>
  <c r="E29" i="4" s="1"/>
  <c r="D119" i="4"/>
  <c r="D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30" i="4"/>
  <c r="E30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8" i="4" l="1"/>
  <c r="D33" i="4"/>
  <c r="E33" i="4" l="1"/>
  <c r="E34" i="4" s="1"/>
  <c r="D34" i="4"/>
</calcChain>
</file>

<file path=xl/sharedStrings.xml><?xml version="1.0" encoding="utf-8"?>
<sst xmlns="http://schemas.openxmlformats.org/spreadsheetml/2006/main" count="390" uniqueCount="265">
  <si>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</si>
  <si>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</si>
  <si>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</si>
  <si>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</si>
  <si>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</si>
  <si>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</si>
  <si>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</si>
  <si>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</si>
  <si>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</si>
  <si>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</si>
  <si>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</si>
  <si>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</si>
  <si>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</si>
  <si>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</si>
  <si>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</si>
  <si>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</si>
  <si>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</si>
  <si>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</si>
  <si>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</si>
  <si>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</si>
  <si>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</si>
  <si>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</si>
  <si>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</si>
  <si>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</si>
  <si>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</si>
  <si>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</si>
  <si>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</si>
  <si>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</si>
  <si>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</si>
  <si>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</si>
  <si>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</si>
  <si>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</si>
  <si>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</si>
  <si>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</si>
  <si>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</si>
  <si>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</si>
  <si>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</si>
  <si>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</si>
  <si>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</si>
  <si>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</si>
  <si>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</si>
  <si>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</si>
  <si>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</si>
  <si>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</si>
  <si>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</si>
  <si>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</si>
  <si>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</si>
  <si>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</si>
  <si>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</si>
  <si>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</si>
  <si>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</si>
  <si>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</si>
  <si>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</si>
  <si>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</si>
  <si>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</si>
  <si>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</si>
  <si>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</si>
  <si>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</si>
  <si>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</si>
  <si>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</si>
  <si>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</si>
  <si>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</si>
  <si>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</si>
  <si>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</si>
  <si>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</si>
  <si>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</si>
  <si>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</si>
  <si>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</si>
  <si>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</si>
  <si>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</si>
  <si>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</si>
  <si>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</si>
  <si>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</si>
  <si>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</si>
  <si>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</si>
  <si>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</si>
  <si>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</si>
  <si>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</si>
  <si>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</si>
  <si>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</si>
  <si>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</si>
  <si>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</si>
  <si>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</si>
  <si>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</si>
  <si>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</si>
  <si>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</si>
  <si>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</si>
  <si>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</si>
  <si>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</si>
  <si>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</si>
  <si>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</si>
  <si>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</si>
  <si>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</si>
  <si>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</si>
  <si>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</si>
  <si>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</si>
  <si>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</si>
  <si>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</si>
  <si>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</si>
  <si>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</si>
  <si>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</si>
  <si>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</si>
  <si>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</si>
  <si>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</si>
  <si>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</si>
  <si>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</si>
  <si>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</si>
  <si>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</si>
  <si>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</si>
  <si>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</si>
  <si>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</si>
  <si>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</si>
  <si>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</si>
  <si>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</si>
  <si>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</si>
  <si>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</si>
  <si>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</si>
  <si>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</si>
  <si>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</si>
  <si>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</si>
  <si>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</si>
  <si>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</si>
  <si>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</si>
  <si>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</si>
  <si>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</si>
  <si>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</si>
  <si>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</si>
  <si>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</si>
  <si>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</si>
  <si>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</si>
  <si>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</si>
  <si>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</si>
  <si>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</si>
  <si>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</si>
  <si>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</si>
  <si>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</si>
  <si>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</si>
  <si>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</si>
  <si>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</si>
  <si>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</si>
  <si>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</si>
  <si>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</si>
  <si>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</si>
  <si>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</si>
  <si>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</si>
  <si>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</si>
  <si>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</si>
  <si>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</si>
  <si>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</si>
  <si>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</si>
  <si>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</si>
  <si>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</si>
  <si>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</si>
  <si>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</si>
  <si>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</si>
  <si>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</si>
  <si>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</si>
  <si>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</si>
  <si>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</si>
  <si>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</si>
  <si>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</si>
  <si>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</si>
  <si>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</si>
  <si>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</si>
  <si>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</si>
  <si>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</si>
  <si>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</si>
  <si>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</si>
  <si>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</si>
  <si>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</si>
  <si>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</si>
  <si>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</si>
  <si>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</si>
  <si>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</si>
  <si>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</si>
  <si>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</si>
  <si>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</si>
  <si>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</si>
  <si>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</si>
  <si>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</si>
  <si>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</si>
  <si>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</si>
  <si>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</si>
  <si>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</si>
  <si>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</si>
  <si>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</si>
  <si>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</si>
  <si>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</si>
  <si>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</si>
  <si>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</si>
  <si>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</si>
  <si>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</si>
  <si>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</si>
  <si>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</si>
  <si>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</si>
  <si>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</si>
  <si>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</si>
  <si>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</si>
  <si>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</si>
  <si>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</si>
  <si>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</si>
  <si>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</si>
  <si>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</si>
  <si>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</si>
  <si>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</si>
  <si>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</si>
  <si>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</si>
  <si>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</si>
  <si>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</si>
  <si>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</si>
  <si>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</si>
  <si>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</si>
  <si>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</si>
  <si>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</si>
  <si>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</si>
  <si>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</si>
  <si>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</si>
  <si>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</si>
  <si>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</si>
  <si>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</si>
  <si>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</si>
  <si>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</si>
  <si>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</si>
  <si>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</si>
  <si>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</si>
  <si>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</si>
  <si>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</si>
  <si>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</si>
  <si>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</si>
  <si>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</si>
  <si>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</si>
  <si>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</si>
  <si>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</si>
  <si>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</si>
  <si>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</si>
  <si>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원 /평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</si>
  <si>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</si>
  <si>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</si>
  <si>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</si>
  <si>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</si>
  <si>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</si>
  <si>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</si>
  <si>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</si>
  <si>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</si>
  <si>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</si>
  <si>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</si>
  <si>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</si>
  <si>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</si>
  <si>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00소방서 건립공사</t>
    <phoneticPr fontId="2" type="noConversion"/>
  </si>
  <si>
    <t>업무</t>
  </si>
  <si>
    <t>세종시</t>
  </si>
  <si>
    <t>부대토목공사</t>
    <phoneticPr fontId="2" type="noConversion"/>
  </si>
  <si>
    <t>부대조경공사</t>
    <phoneticPr fontId="2" type="noConversion"/>
  </si>
  <si>
    <t>CCTV설비공사</t>
    <phoneticPr fontId="2" type="noConversion"/>
  </si>
  <si>
    <t>원 /평</t>
    <phoneticPr fontId="2" type="noConversion"/>
  </si>
  <si>
    <t>바닥난방설치공사,공조배관공사,위생배관공사,쓰레기이송설비공사,주방기구설치공사,전열교환기설치공사,지열냉난방공사(1차측)</t>
    <phoneticPr fontId="2" type="noConversion"/>
  </si>
  <si>
    <t>환기닥트설치공사</t>
    <phoneticPr fontId="2" type="noConversion"/>
  </si>
  <si>
    <t>옥외전기공사</t>
    <phoneticPr fontId="2" type="noConversion"/>
  </si>
  <si>
    <t>조명제어설비, 전력제어설비공사</t>
    <phoneticPr fontId="2" type="noConversion"/>
  </si>
  <si>
    <t>전기소방공사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</si>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</sst>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155</v>
      </c>
      <c r="B2" s="75" t="s">
        <v>0</v>
      </c>
      <c r="C2" s="76"/>
      <c r="D2" s="75" t="s">
        <v>1</v>
      </c>
      <c r="E2" s="76"/>
      <c r="F2" s="75" t="s">
        <v>156</v>
      </c>
      <c r="G2" s="76"/>
      <c r="H2" s="75" t="s">
        <v>2</v>
      </c>
      <c r="I2" s="76"/>
      <c r="J2" s="75" t="s">
        <v>3</v>
      </c>
      <c r="K2" s="76"/>
      <c r="L2" s="75" t="s">
        <v>157</v>
      </c>
      <c r="M2" s="76"/>
      <c r="N2" s="75" t="s">
        <v>158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262</v>
      </c>
      <c r="H5" s="5">
        <v>1</v>
      </c>
      <c r="I5" s="1" t="s">
        <v>159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160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161</v>
      </c>
    </row>
    <row r="6" spans="1:33" x14ac:dyDescent="0.3">
      <c r="A6" s="4">
        <f>+A5+1</f>
        <v>2</v>
      </c>
      <c r="B6" s="5">
        <f>+B5+1</f>
        <v>2</v>
      </c>
      <c r="C6" s="17" t="s">
        <v>162</v>
      </c>
      <c r="D6" s="5">
        <v>2</v>
      </c>
      <c r="E6" s="1" t="s">
        <v>163</v>
      </c>
      <c r="F6" s="5">
        <v>2</v>
      </c>
      <c r="G6" s="17" t="s">
        <v>164</v>
      </c>
      <c r="H6" s="5">
        <v>2</v>
      </c>
      <c r="I6" s="1" t="s">
        <v>211</v>
      </c>
      <c r="J6" s="19">
        <v>2</v>
      </c>
      <c r="K6" s="1" t="s">
        <v>212</v>
      </c>
      <c r="L6" s="5">
        <v>2</v>
      </c>
      <c r="M6" s="6" t="s">
        <v>213</v>
      </c>
      <c r="N6" s="5">
        <v>2</v>
      </c>
      <c r="O6" s="6" t="s">
        <v>214</v>
      </c>
      <c r="P6" s="5">
        <v>2</v>
      </c>
      <c r="Q6" s="1" t="s">
        <v>215</v>
      </c>
      <c r="R6" s="28">
        <v>2</v>
      </c>
      <c r="S6" s="29" t="s">
        <v>216</v>
      </c>
      <c r="T6" s="28">
        <v>2</v>
      </c>
      <c r="U6" s="29" t="s">
        <v>217</v>
      </c>
      <c r="V6" s="28">
        <v>2</v>
      </c>
      <c r="W6" s="29" t="s">
        <v>218</v>
      </c>
      <c r="X6" s="28">
        <v>2</v>
      </c>
      <c r="Y6" s="29" t="s">
        <v>219</v>
      </c>
      <c r="Z6" s="28">
        <v>2</v>
      </c>
      <c r="AA6" s="29" t="s">
        <v>220</v>
      </c>
      <c r="AB6" s="28">
        <v>2</v>
      </c>
      <c r="AC6" s="29" t="s">
        <v>221</v>
      </c>
      <c r="AD6" s="28">
        <v>2</v>
      </c>
      <c r="AE6" s="29" t="s">
        <v>222</v>
      </c>
      <c r="AF6" s="28">
        <v>2</v>
      </c>
      <c r="AG6" s="38" t="s">
        <v>223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224</v>
      </c>
      <c r="D7" s="5">
        <v>3</v>
      </c>
      <c r="E7" s="1" t="s">
        <v>225</v>
      </c>
      <c r="F7" s="5">
        <v>3</v>
      </c>
      <c r="G7" s="17" t="s">
        <v>226</v>
      </c>
      <c r="H7" s="5">
        <v>3</v>
      </c>
      <c r="I7" s="1" t="s">
        <v>227</v>
      </c>
      <c r="J7" s="19">
        <v>3</v>
      </c>
      <c r="K7" s="1" t="s">
        <v>228</v>
      </c>
      <c r="L7" s="5">
        <v>3</v>
      </c>
      <c r="M7" s="6" t="s">
        <v>229</v>
      </c>
      <c r="N7" s="5">
        <v>3</v>
      </c>
      <c r="O7" s="6" t="s">
        <v>230</v>
      </c>
      <c r="P7" s="5">
        <v>3</v>
      </c>
      <c r="Q7" s="1" t="s">
        <v>231</v>
      </c>
      <c r="R7" s="28">
        <v>3</v>
      </c>
      <c r="S7" s="29" t="s">
        <v>232</v>
      </c>
      <c r="T7" s="28">
        <v>3</v>
      </c>
      <c r="U7" s="29" t="s">
        <v>233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165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166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167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168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169</v>
      </c>
      <c r="F9" s="5">
        <v>5</v>
      </c>
      <c r="G9" s="17" t="s">
        <v>170</v>
      </c>
      <c r="H9" s="5">
        <v>5</v>
      </c>
      <c r="I9" s="1" t="s">
        <v>79</v>
      </c>
      <c r="J9" s="19">
        <v>5</v>
      </c>
      <c r="K9" s="1" t="s">
        <v>171</v>
      </c>
      <c r="L9" s="5"/>
      <c r="M9" s="6"/>
      <c r="N9" s="5"/>
      <c r="O9" s="6"/>
      <c r="P9" s="5">
        <v>5</v>
      </c>
      <c r="Q9" s="1" t="s">
        <v>172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173</v>
      </c>
      <c r="J10" s="19">
        <v>6</v>
      </c>
      <c r="K10" s="1" t="s">
        <v>174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175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176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177</v>
      </c>
      <c r="F12" s="5">
        <v>8</v>
      </c>
      <c r="G12" s="17" t="s">
        <v>178</v>
      </c>
      <c r="H12" s="5">
        <v>8</v>
      </c>
      <c r="I12" s="1" t="s">
        <v>81</v>
      </c>
      <c r="J12" s="19">
        <v>8</v>
      </c>
      <c r="K12" s="1" t="s">
        <v>179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180</v>
      </c>
      <c r="X12" s="28">
        <v>8</v>
      </c>
      <c r="Y12" s="29" t="s">
        <v>46</v>
      </c>
      <c r="Z12" s="28">
        <v>8</v>
      </c>
      <c r="AA12" s="29" t="s">
        <v>181</v>
      </c>
      <c r="AB12" s="28">
        <v>8</v>
      </c>
      <c r="AC12" s="29" t="s">
        <v>182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183</v>
      </c>
      <c r="D13" s="5">
        <v>9</v>
      </c>
      <c r="E13" s="1" t="s">
        <v>184</v>
      </c>
      <c r="F13" s="5"/>
      <c r="G13" s="17"/>
      <c r="H13" s="5">
        <v>9</v>
      </c>
      <c r="I13" s="1" t="s">
        <v>82</v>
      </c>
      <c r="J13" s="19">
        <v>9</v>
      </c>
      <c r="K13" s="1" t="s">
        <v>185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186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187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188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189</v>
      </c>
      <c r="J15" s="19">
        <v>11</v>
      </c>
      <c r="K15" s="1" t="s">
        <v>190</v>
      </c>
      <c r="L15" s="5"/>
      <c r="M15" s="6"/>
      <c r="N15" s="5"/>
      <c r="O15" s="6"/>
      <c r="P15" s="5"/>
      <c r="Q15" s="1"/>
      <c r="R15" s="28">
        <v>11</v>
      </c>
      <c r="S15" s="29" t="s">
        <v>191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192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193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194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195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196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197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198</v>
      </c>
      <c r="L19" s="5"/>
      <c r="M19" s="6"/>
      <c r="N19" s="5"/>
      <c r="O19" s="6"/>
      <c r="P19" s="5"/>
      <c r="Q19" s="1"/>
      <c r="R19" s="28">
        <v>15</v>
      </c>
      <c r="S19" s="29" t="s">
        <v>199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200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201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202</v>
      </c>
      <c r="X21" s="28">
        <v>17</v>
      </c>
      <c r="Y21" s="29" t="s">
        <v>203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204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205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206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207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208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209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210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4364</v>
      </c>
      <c r="D7" s="36">
        <f>+C7/3.3058</f>
        <v>1320.104059531732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200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263</v>
      </c>
    </row>
    <row r="19" spans="1:5" x14ac:dyDescent="0.3">
      <c r="A19" s="2">
        <v>9</v>
      </c>
      <c r="B19" s="2" t="s">
        <v>264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254</v>
      </c>
    </row>
    <row r="24" spans="1:5" x14ac:dyDescent="0.3">
      <c r="B24" s="2">
        <v>1</v>
      </c>
      <c r="C24" s="35" t="s">
        <v>110</v>
      </c>
      <c r="D24" s="41">
        <f>+D37</f>
        <v>9500</v>
      </c>
      <c r="E24" s="58">
        <f t="shared" ref="E24:E33" si="0">TRUNC(+D24*3.3058,-1)</f>
        <v>31400</v>
      </c>
    </row>
    <row r="25" spans="1:5" x14ac:dyDescent="0.3">
      <c r="B25" s="2">
        <v>2</v>
      </c>
      <c r="C25" s="35" t="s">
        <v>111</v>
      </c>
      <c r="D25" s="45">
        <f>+D60</f>
        <v>947490</v>
      </c>
      <c r="E25" s="59">
        <f t="shared" si="0"/>
        <v>3132210</v>
      </c>
    </row>
    <row r="26" spans="1:5" x14ac:dyDescent="0.3">
      <c r="B26" s="2">
        <v>3</v>
      </c>
      <c r="C26" s="35" t="s">
        <v>95</v>
      </c>
      <c r="D26" s="45">
        <f>+D66</f>
        <v>0</v>
      </c>
      <c r="E26" s="59">
        <f t="shared" si="0"/>
        <v>0</v>
      </c>
    </row>
    <row r="27" spans="1:5" x14ac:dyDescent="0.3">
      <c r="B27" s="2">
        <v>4</v>
      </c>
      <c r="C27" s="35" t="s">
        <v>96</v>
      </c>
      <c r="D27" s="45">
        <f>+D95</f>
        <v>316530</v>
      </c>
      <c r="E27" s="59">
        <f t="shared" si="0"/>
        <v>1046380</v>
      </c>
    </row>
    <row r="28" spans="1:5" x14ac:dyDescent="0.3">
      <c r="B28" s="2">
        <v>5</v>
      </c>
      <c r="C28" s="35" t="s">
        <v>97</v>
      </c>
      <c r="D28" s="45">
        <f>+D119</f>
        <v>197410</v>
      </c>
      <c r="E28" s="59">
        <f t="shared" si="0"/>
        <v>652590</v>
      </c>
    </row>
    <row r="29" spans="1:5" x14ac:dyDescent="0.3">
      <c r="B29" s="2">
        <v>6</v>
      </c>
      <c r="C29" s="35" t="s">
        <v>98</v>
      </c>
      <c r="D29" s="45">
        <f>+D133</f>
        <v>113360</v>
      </c>
      <c r="E29" s="59">
        <f t="shared" si="0"/>
        <v>374740</v>
      </c>
    </row>
    <row r="30" spans="1:5" x14ac:dyDescent="0.3">
      <c r="B30" s="2">
        <v>7</v>
      </c>
      <c r="C30" s="35" t="s">
        <v>99</v>
      </c>
      <c r="D30" s="45">
        <f>+D146</f>
        <v>16220</v>
      </c>
      <c r="E30" s="59">
        <f t="shared" si="0"/>
        <v>53620</v>
      </c>
    </row>
    <row r="31" spans="1:5" x14ac:dyDescent="0.3">
      <c r="B31" s="2">
        <v>8</v>
      </c>
      <c r="C31" s="35" t="s">
        <v>100</v>
      </c>
      <c r="D31" s="45">
        <f>+D154</f>
        <v>55850</v>
      </c>
      <c r="E31" s="59">
        <f t="shared" si="0"/>
        <v>184620</v>
      </c>
    </row>
    <row r="32" spans="1:5" x14ac:dyDescent="0.3">
      <c r="B32" s="2">
        <v>9</v>
      </c>
      <c r="C32" s="35" t="s">
        <v>101</v>
      </c>
      <c r="D32" s="45">
        <f>+D161</f>
        <v>35170</v>
      </c>
      <c r="E32" s="59">
        <f t="shared" si="0"/>
        <v>116260</v>
      </c>
    </row>
    <row r="33" spans="1:7" x14ac:dyDescent="0.3">
      <c r="B33" s="2">
        <v>10</v>
      </c>
      <c r="C33" s="35" t="s">
        <v>153</v>
      </c>
      <c r="D33" s="53">
        <f>TRUNC(SUM(D24:D32)*0.275,-1)</f>
        <v>465170</v>
      </c>
      <c r="E33" s="60">
        <f t="shared" si="0"/>
        <v>1537750</v>
      </c>
    </row>
    <row r="34" spans="1:7" x14ac:dyDescent="0.3">
      <c r="C34" s="35" t="s">
        <v>112</v>
      </c>
      <c r="D34" s="44">
        <f>SUM(D24:D33)</f>
        <v>2156700</v>
      </c>
      <c r="E34" s="44">
        <f>SUM(E24:E33)</f>
        <v>7129570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234</v>
      </c>
      <c r="E36" s="57" t="s">
        <v>254</v>
      </c>
      <c r="G36" s="55"/>
    </row>
    <row r="37" spans="1:7" ht="17.25" thickBot="1" x14ac:dyDescent="0.35">
      <c r="C37" s="38" t="s">
        <v>143</v>
      </c>
      <c r="D37" s="52">
        <f>TRUNC(9501,-1)</f>
        <v>9500</v>
      </c>
      <c r="E37" s="61">
        <f>TRUNC(+D37*3.3058,-1)</f>
        <v>31400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260</v>
      </c>
      <c r="E39" s="67" t="s">
        <v>261</v>
      </c>
      <c r="G39" s="68"/>
    </row>
    <row r="40" spans="1:7" x14ac:dyDescent="0.3">
      <c r="A40" s="2">
        <v>1</v>
      </c>
      <c r="C40" s="38" t="s">
        <v>15</v>
      </c>
      <c r="D40" s="40">
        <f>TRUNC(54677,-1)</f>
        <v>54670</v>
      </c>
      <c r="E40" s="62">
        <f t="shared" ref="E40:E59" si="1">TRUNC(+D40*3.3058,-1)</f>
        <v>180720</v>
      </c>
    </row>
    <row r="41" spans="1:7" x14ac:dyDescent="0.3">
      <c r="A41" s="2">
        <v>2</v>
      </c>
      <c r="C41" s="38" t="s">
        <v>13</v>
      </c>
      <c r="D41" s="42">
        <f>TRUNC(142787,-1)</f>
        <v>142780</v>
      </c>
      <c r="E41" s="63">
        <f t="shared" si="1"/>
        <v>472000</v>
      </c>
    </row>
    <row r="42" spans="1:7" x14ac:dyDescent="0.3">
      <c r="A42" s="2">
        <v>3</v>
      </c>
      <c r="C42" s="38" t="s">
        <v>14</v>
      </c>
      <c r="D42" s="42">
        <f>TRUNC(14762,-1)</f>
        <v>14760</v>
      </c>
      <c r="E42" s="63">
        <f t="shared" si="1"/>
        <v>48790</v>
      </c>
    </row>
    <row r="43" spans="1:7" x14ac:dyDescent="0.3">
      <c r="A43" s="2">
        <v>4</v>
      </c>
      <c r="C43" s="38" t="s">
        <v>16</v>
      </c>
      <c r="D43" s="42">
        <f>TRUNC(17945,-1)</f>
        <v>17940</v>
      </c>
      <c r="E43" s="63">
        <f t="shared" si="1"/>
        <v>59300</v>
      </c>
    </row>
    <row r="44" spans="1:7" x14ac:dyDescent="0.3">
      <c r="A44" s="2">
        <v>5</v>
      </c>
      <c r="C44" s="38" t="s">
        <v>17</v>
      </c>
      <c r="D44" s="42">
        <f>TRUNC(34774,-1)</f>
        <v>34770</v>
      </c>
      <c r="E44" s="63">
        <f t="shared" si="1"/>
        <v>114940</v>
      </c>
    </row>
    <row r="45" spans="1:7" x14ac:dyDescent="0.3">
      <c r="A45" s="2">
        <v>6</v>
      </c>
      <c r="C45" s="38" t="s">
        <v>18</v>
      </c>
      <c r="D45" s="42">
        <f>TRUNC(9712,-1)</f>
        <v>9710</v>
      </c>
      <c r="E45" s="63">
        <f t="shared" si="1"/>
        <v>32090</v>
      </c>
    </row>
    <row r="46" spans="1:7" x14ac:dyDescent="0.3">
      <c r="A46" s="2">
        <v>7</v>
      </c>
      <c r="C46" s="38" t="s">
        <v>19</v>
      </c>
      <c r="D46" s="42">
        <f>TRUNC(7352,-1)</f>
        <v>7350</v>
      </c>
      <c r="E46" s="63">
        <f t="shared" si="1"/>
        <v>24290</v>
      </c>
    </row>
    <row r="47" spans="1:7" x14ac:dyDescent="0.3">
      <c r="A47" s="2">
        <v>8</v>
      </c>
      <c r="C47" s="38" t="s">
        <v>20</v>
      </c>
      <c r="D47" s="42">
        <f>TRUNC(10786,-1)</f>
        <v>10780</v>
      </c>
      <c r="E47" s="63">
        <f t="shared" si="1"/>
        <v>35630</v>
      </c>
    </row>
    <row r="48" spans="1:7" x14ac:dyDescent="0.3">
      <c r="A48" s="2">
        <v>9</v>
      </c>
      <c r="C48" s="38" t="s">
        <v>21</v>
      </c>
      <c r="D48" s="42">
        <f>TRUNC(40771,-1)</f>
        <v>40770</v>
      </c>
      <c r="E48" s="63">
        <f t="shared" si="1"/>
        <v>134770</v>
      </c>
    </row>
    <row r="49" spans="1:7" x14ac:dyDescent="0.3">
      <c r="A49" s="2">
        <v>10</v>
      </c>
      <c r="C49" s="38" t="s">
        <v>22</v>
      </c>
      <c r="D49" s="42">
        <f>TRUNC(27565,-1)</f>
        <v>27560</v>
      </c>
      <c r="E49" s="63">
        <f t="shared" si="1"/>
        <v>91100</v>
      </c>
    </row>
    <row r="50" spans="1:7" x14ac:dyDescent="0.3">
      <c r="A50" s="2">
        <v>11</v>
      </c>
      <c r="C50" s="38" t="s">
        <v>154</v>
      </c>
      <c r="D50" s="42">
        <f>TRUNC(28928,-1)</f>
        <v>28920</v>
      </c>
      <c r="E50" s="63">
        <f t="shared" si="1"/>
        <v>95600</v>
      </c>
    </row>
    <row r="51" spans="1:7" x14ac:dyDescent="0.3">
      <c r="A51" s="2">
        <v>12</v>
      </c>
      <c r="C51" s="38" t="s">
        <v>23</v>
      </c>
      <c r="D51" s="42">
        <f>TRUNC(26579,-1)</f>
        <v>26570</v>
      </c>
      <c r="E51" s="63">
        <f t="shared" si="1"/>
        <v>87830</v>
      </c>
    </row>
    <row r="52" spans="1:7" x14ac:dyDescent="0.3">
      <c r="A52" s="2">
        <v>13</v>
      </c>
      <c r="C52" s="38" t="s">
        <v>24</v>
      </c>
      <c r="D52" s="42">
        <f>TRUNC(15843,-1)</f>
        <v>15840</v>
      </c>
      <c r="E52" s="63">
        <f t="shared" si="1"/>
        <v>52360</v>
      </c>
    </row>
    <row r="53" spans="1:7" x14ac:dyDescent="0.3">
      <c r="A53" s="2">
        <v>14</v>
      </c>
      <c r="C53" s="38" t="s">
        <v>25</v>
      </c>
      <c r="D53" s="42">
        <f>TRUNC(102066,-1)</f>
        <v>102060</v>
      </c>
      <c r="E53" s="63">
        <f t="shared" si="1"/>
        <v>337380</v>
      </c>
    </row>
    <row r="54" spans="1:7" x14ac:dyDescent="0.3">
      <c r="A54" s="2">
        <v>15</v>
      </c>
      <c r="C54" s="38" t="s">
        <v>147</v>
      </c>
      <c r="D54" s="42">
        <f>TRUNC(35746,-1)</f>
        <v>35740</v>
      </c>
      <c r="E54" s="63">
        <f t="shared" si="1"/>
        <v>118140</v>
      </c>
    </row>
    <row r="55" spans="1:7" x14ac:dyDescent="0.3">
      <c r="A55" s="2">
        <v>16</v>
      </c>
      <c r="C55" s="38" t="s">
        <v>144</v>
      </c>
      <c r="D55" s="42">
        <f>TRUNC(4913,-1)</f>
        <v>4910</v>
      </c>
      <c r="E55" s="63">
        <f t="shared" si="1"/>
        <v>16230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TRUNC(2189+7962+7500+35619+8936-1283,-1)</f>
        <v>60920</v>
      </c>
      <c r="E58" s="63">
        <f t="shared" si="1"/>
        <v>201380</v>
      </c>
    </row>
    <row r="59" spans="1:7" ht="17.25" thickBot="1" x14ac:dyDescent="0.35">
      <c r="A59" s="2">
        <v>20</v>
      </c>
      <c r="C59" s="38" t="s">
        <v>148</v>
      </c>
      <c r="D59" s="43">
        <f>TRUNC(311446,-1)</f>
        <v>311440</v>
      </c>
      <c r="E59" s="64">
        <f t="shared" si="1"/>
        <v>1029550</v>
      </c>
    </row>
    <row r="60" spans="1:7" x14ac:dyDescent="0.3">
      <c r="A60" s="2">
        <v>21</v>
      </c>
      <c r="C60" s="27" t="s">
        <v>112</v>
      </c>
      <c r="D60" s="39">
        <f>SUM(D40:D59)</f>
        <v>947490</v>
      </c>
      <c r="E60" s="39">
        <f>SUM(E40:E59)</f>
        <v>3132100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235</v>
      </c>
      <c r="G62" s="55"/>
    </row>
    <row r="63" spans="1:7" x14ac:dyDescent="0.3">
      <c r="A63" s="2">
        <v>1</v>
      </c>
      <c r="C63" s="38" t="s">
        <v>27</v>
      </c>
      <c r="D63" s="40">
        <v>0</v>
      </c>
      <c r="E63" s="62">
        <f>TRUNC(+D63*3.3058,-1)</f>
        <v>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0</v>
      </c>
      <c r="E66" s="65">
        <f>SUM(E63:E65)</f>
        <v>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234</v>
      </c>
      <c r="E68" s="57" t="s">
        <v>235</v>
      </c>
      <c r="G68" s="55"/>
    </row>
    <row r="69" spans="1:7" x14ac:dyDescent="0.3">
      <c r="A69" s="2">
        <v>1</v>
      </c>
      <c r="C69" s="38" t="s">
        <v>30</v>
      </c>
      <c r="D69" s="40">
        <f>TRUNC(45788,-1)</f>
        <v>45780</v>
      </c>
      <c r="E69" s="62">
        <f t="shared" ref="E69:E94" si="2">TRUNC(+D69*3.3058,-1)</f>
        <v>151330</v>
      </c>
    </row>
    <row r="70" spans="1:7" ht="16.5" customHeight="1" x14ac:dyDescent="0.3">
      <c r="A70" s="2">
        <v>2</v>
      </c>
      <c r="C70" s="38" t="s">
        <v>31</v>
      </c>
      <c r="D70" s="42">
        <f>TRUNC(2805,-1)</f>
        <v>2800</v>
      </c>
      <c r="E70" s="63">
        <f t="shared" si="2"/>
        <v>9250</v>
      </c>
    </row>
    <row r="71" spans="1:7" x14ac:dyDescent="0.3">
      <c r="A71" s="2">
        <v>3</v>
      </c>
      <c r="C71" s="38" t="s">
        <v>32</v>
      </c>
      <c r="D71" s="42">
        <f>TRUNC(25355,-1)</f>
        <v>25350</v>
      </c>
      <c r="E71" s="63">
        <f t="shared" si="2"/>
        <v>83800</v>
      </c>
    </row>
    <row r="72" spans="1:7" x14ac:dyDescent="0.3">
      <c r="A72" s="2">
        <v>4</v>
      </c>
      <c r="C72" s="38" t="s">
        <v>33</v>
      </c>
      <c r="D72" s="42">
        <f>TRUNC(1801,-1)</f>
        <v>1800</v>
      </c>
      <c r="E72" s="63">
        <f t="shared" si="2"/>
        <v>5950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175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f>TRUNC(12930,-1)</f>
        <v>12930</v>
      </c>
      <c r="E79" s="63">
        <f t="shared" si="2"/>
        <v>42740</v>
      </c>
      <c r="F79" s="2" t="s">
        <v>256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f>TRUNC(1867,-1)</f>
        <v>1860</v>
      </c>
      <c r="E84" s="63">
        <f t="shared" si="2"/>
        <v>6140</v>
      </c>
      <c r="F84" s="2" t="s">
        <v>122</v>
      </c>
    </row>
    <row r="85" spans="1:7" x14ac:dyDescent="0.3">
      <c r="A85" s="2">
        <v>17</v>
      </c>
      <c r="C85" s="38" t="s">
        <v>123</v>
      </c>
      <c r="D85" s="42">
        <f>TRUNC(161,-1)</f>
        <v>160</v>
      </c>
      <c r="E85" s="63">
        <f t="shared" si="2"/>
        <v>520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2"/>
        <v>0</v>
      </c>
    </row>
    <row r="90" spans="1:7" x14ac:dyDescent="0.3">
      <c r="A90" s="2">
        <v>22</v>
      </c>
      <c r="C90" s="38" t="s">
        <v>36</v>
      </c>
      <c r="D90" s="42">
        <f>TRUNC(1854,-1)</f>
        <v>1850</v>
      </c>
      <c r="E90" s="63">
        <f t="shared" si="2"/>
        <v>6110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 t="shared" si="2"/>
        <v>0</v>
      </c>
    </row>
    <row r="92" spans="1:7" x14ac:dyDescent="0.3">
      <c r="A92" s="2">
        <v>24</v>
      </c>
      <c r="C92" s="38" t="s">
        <v>38</v>
      </c>
      <c r="D92" s="42">
        <v>0</v>
      </c>
      <c r="E92" s="63">
        <f t="shared" si="2"/>
        <v>0</v>
      </c>
    </row>
    <row r="93" spans="1:7" x14ac:dyDescent="0.3">
      <c r="A93" s="2">
        <v>25</v>
      </c>
      <c r="C93" s="38" t="s">
        <v>148</v>
      </c>
      <c r="D93" s="42">
        <f>TRUNC(99520,-1)</f>
        <v>99520</v>
      </c>
      <c r="E93" s="63">
        <f t="shared" si="2"/>
        <v>328990</v>
      </c>
    </row>
    <row r="94" spans="1:7" ht="17.25" thickBot="1" x14ac:dyDescent="0.35">
      <c r="A94" s="2">
        <v>26</v>
      </c>
      <c r="C94" s="38" t="s">
        <v>47</v>
      </c>
      <c r="D94" s="43">
        <f>TRUNC(422+21754+19023+15783+6129+3619+57750,-1)</f>
        <v>124480</v>
      </c>
      <c r="E94" s="64">
        <f t="shared" si="2"/>
        <v>411500</v>
      </c>
      <c r="F94" s="2" t="s">
        <v>255</v>
      </c>
    </row>
    <row r="95" spans="1:7" x14ac:dyDescent="0.3">
      <c r="A95" s="2">
        <v>27</v>
      </c>
      <c r="C95" s="27" t="s">
        <v>112</v>
      </c>
      <c r="D95" s="39">
        <f>SUM(D69:D94)</f>
        <v>316530</v>
      </c>
      <c r="E95" s="39">
        <f>SUM(E69:E94)</f>
        <v>1046330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234</v>
      </c>
      <c r="E97" s="57" t="s">
        <v>235</v>
      </c>
      <c r="G97" s="55"/>
    </row>
    <row r="98" spans="1:7" x14ac:dyDescent="0.3">
      <c r="A98" s="2">
        <v>1</v>
      </c>
      <c r="C98" s="38" t="s">
        <v>39</v>
      </c>
      <c r="D98" s="40">
        <f>TRUNC(11519,-1)</f>
        <v>11510</v>
      </c>
      <c r="E98" s="62">
        <f t="shared" ref="E98:E118" si="3">TRUNC(+D98*3.3058,-1)</f>
        <v>38040</v>
      </c>
    </row>
    <row r="99" spans="1:7" x14ac:dyDescent="0.3">
      <c r="A99" s="2">
        <v>2</v>
      </c>
      <c r="C99" s="38" t="s">
        <v>40</v>
      </c>
      <c r="D99" s="42">
        <f>TRUNC(6614,-1)</f>
        <v>6610</v>
      </c>
      <c r="E99" s="63">
        <f t="shared" si="3"/>
        <v>21850</v>
      </c>
    </row>
    <row r="100" spans="1:7" x14ac:dyDescent="0.3">
      <c r="A100" s="2">
        <v>3</v>
      </c>
      <c r="C100" s="38" t="s">
        <v>41</v>
      </c>
      <c r="D100" s="42">
        <f>TRUNC(29511,-1)</f>
        <v>29510</v>
      </c>
      <c r="E100" s="63">
        <f t="shared" si="3"/>
        <v>97550</v>
      </c>
    </row>
    <row r="101" spans="1:7" x14ac:dyDescent="0.3">
      <c r="A101" s="2">
        <v>4</v>
      </c>
      <c r="C101" s="38" t="s">
        <v>42</v>
      </c>
      <c r="D101" s="42">
        <f>TRUNC(1292+710,-1)</f>
        <v>2000</v>
      </c>
      <c r="E101" s="63">
        <f t="shared" si="3"/>
        <v>6610</v>
      </c>
      <c r="F101" s="2" t="s">
        <v>258</v>
      </c>
    </row>
    <row r="102" spans="1:7" x14ac:dyDescent="0.3">
      <c r="A102" s="2">
        <v>5</v>
      </c>
      <c r="C102" s="38" t="s">
        <v>43</v>
      </c>
      <c r="D102" s="42">
        <f>TRUNC(19286,-1)</f>
        <v>19280</v>
      </c>
      <c r="E102" s="63">
        <f t="shared" si="3"/>
        <v>63730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TRUNC(11520,-1)</f>
        <v>11520</v>
      </c>
      <c r="E104" s="63">
        <f t="shared" si="3"/>
        <v>38080</v>
      </c>
    </row>
    <row r="105" spans="1:7" x14ac:dyDescent="0.3">
      <c r="A105" s="2">
        <v>8</v>
      </c>
      <c r="C105" s="38" t="s">
        <v>46</v>
      </c>
      <c r="D105" s="42">
        <f>TRUNC(3015,-1)</f>
        <v>3010</v>
      </c>
      <c r="E105" s="63">
        <f t="shared" si="3"/>
        <v>9950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f>TRUNC(2876,-1)</f>
        <v>2870</v>
      </c>
      <c r="E108" s="63">
        <f t="shared" si="3"/>
        <v>9480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f>TRUNC(2115,-1)</f>
        <v>2110</v>
      </c>
      <c r="E115" s="63">
        <f t="shared" si="3"/>
        <v>6970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f>TRUNC(102684,-1)</f>
        <v>102680</v>
      </c>
      <c r="E117" s="63">
        <f t="shared" si="3"/>
        <v>339430</v>
      </c>
    </row>
    <row r="118" spans="1:7" ht="17.25" thickBot="1" x14ac:dyDescent="0.35">
      <c r="A118" s="2">
        <v>21</v>
      </c>
      <c r="C118" s="38" t="s">
        <v>47</v>
      </c>
      <c r="D118" s="43">
        <f>TRUNC(6318,-1)</f>
        <v>6310</v>
      </c>
      <c r="E118" s="64">
        <f t="shared" si="3"/>
        <v>20850</v>
      </c>
      <c r="F118" s="2" t="s">
        <v>257</v>
      </c>
    </row>
    <row r="119" spans="1:7" x14ac:dyDescent="0.3">
      <c r="A119" s="2">
        <v>22</v>
      </c>
      <c r="C119" s="27" t="s">
        <v>112</v>
      </c>
      <c r="D119" s="39">
        <f>SUM(D98:D118)</f>
        <v>197410</v>
      </c>
      <c r="E119" s="39">
        <f>SUM(E98:E118)</f>
        <v>652540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234</v>
      </c>
      <c r="E121" s="57" t="s">
        <v>235</v>
      </c>
      <c r="G121" s="55"/>
    </row>
    <row r="122" spans="1:7" x14ac:dyDescent="0.3">
      <c r="A122" s="2">
        <v>1</v>
      </c>
      <c r="C122" s="38" t="s">
        <v>55</v>
      </c>
      <c r="D122" s="40">
        <f>TRUNC(6010,-1)</f>
        <v>6010</v>
      </c>
      <c r="E122" s="62">
        <f t="shared" ref="E122:E132" si="4">TRUNC(+D122*3.3058,-1)</f>
        <v>19860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TRUNC(3220,-1)</f>
        <v>3220</v>
      </c>
      <c r="E124" s="63">
        <f t="shared" si="4"/>
        <v>10640</v>
      </c>
    </row>
    <row r="125" spans="1:7" x14ac:dyDescent="0.3">
      <c r="A125" s="2">
        <v>4</v>
      </c>
      <c r="C125" s="38" t="s">
        <v>138</v>
      </c>
      <c r="D125" s="42">
        <f>TRUNC(6695,-1)</f>
        <v>6690</v>
      </c>
      <c r="E125" s="63">
        <f t="shared" si="4"/>
        <v>22110</v>
      </c>
    </row>
    <row r="126" spans="1:7" x14ac:dyDescent="0.3">
      <c r="A126" s="2">
        <v>5</v>
      </c>
      <c r="C126" s="38" t="s">
        <v>53</v>
      </c>
      <c r="D126" s="42">
        <f>TRUNC(3542,-1)</f>
        <v>3540</v>
      </c>
      <c r="E126" s="63">
        <f t="shared" si="4"/>
        <v>11700</v>
      </c>
    </row>
    <row r="127" spans="1:7" x14ac:dyDescent="0.3">
      <c r="A127" s="2">
        <v>6</v>
      </c>
      <c r="C127" s="38" t="s">
        <v>56</v>
      </c>
      <c r="D127" s="42">
        <f>TRUNC(5929,-1)</f>
        <v>5920</v>
      </c>
      <c r="E127" s="63">
        <f t="shared" si="4"/>
        <v>19570</v>
      </c>
    </row>
    <row r="128" spans="1:7" x14ac:dyDescent="0.3">
      <c r="A128" s="2">
        <v>7</v>
      </c>
      <c r="C128" s="38" t="s">
        <v>46</v>
      </c>
      <c r="D128" s="42">
        <f>TRUNC(5013,-1)</f>
        <v>5010</v>
      </c>
      <c r="E128" s="63">
        <f t="shared" si="4"/>
        <v>16560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TRUNC(42658,-1)</f>
        <v>42650</v>
      </c>
      <c r="E130" s="63">
        <f t="shared" si="4"/>
        <v>140990</v>
      </c>
    </row>
    <row r="131" spans="1:7" x14ac:dyDescent="0.3">
      <c r="A131" s="2">
        <v>10</v>
      </c>
      <c r="C131" s="38" t="s">
        <v>148</v>
      </c>
      <c r="D131" s="42">
        <f>TRUNC(37236,-1)</f>
        <v>37230</v>
      </c>
      <c r="E131" s="63">
        <f t="shared" si="4"/>
        <v>123070</v>
      </c>
    </row>
    <row r="132" spans="1:7" ht="18" thickBot="1" x14ac:dyDescent="0.35">
      <c r="A132" s="2">
        <v>11</v>
      </c>
      <c r="C132" s="38" t="s">
        <v>47</v>
      </c>
      <c r="D132" s="43">
        <f>TRUNC(3094,-1)</f>
        <v>3090</v>
      </c>
      <c r="E132" s="64">
        <f t="shared" si="4"/>
        <v>10210</v>
      </c>
      <c r="F132" s="54" t="s">
        <v>253</v>
      </c>
    </row>
    <row r="133" spans="1:7" x14ac:dyDescent="0.3">
      <c r="A133" s="2">
        <v>12</v>
      </c>
      <c r="C133" s="27" t="s">
        <v>112</v>
      </c>
      <c r="D133" s="39">
        <f>SUM(D122:D132)</f>
        <v>113360</v>
      </c>
      <c r="E133" s="39">
        <f>SUM(E122:E132)</f>
        <v>374710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234</v>
      </c>
      <c r="E135" s="57" t="s">
        <v>235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TRUNC(16224,-1)</f>
        <v>16220</v>
      </c>
      <c r="E137" s="63">
        <f t="shared" si="5"/>
        <v>53620</v>
      </c>
      <c r="F137" s="2" t="s">
        <v>259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5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5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5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16220</v>
      </c>
      <c r="E146" s="39">
        <f>SUM(E136:E145)</f>
        <v>53620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234</v>
      </c>
      <c r="E148" s="57" t="s">
        <v>235</v>
      </c>
      <c r="G148" s="55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TRUNC(55854,-1)</f>
        <v>55850</v>
      </c>
      <c r="E152" s="63">
        <f>TRUNC(+D152*3.3058,-1)</f>
        <v>184620</v>
      </c>
      <c r="F152" s="2" t="s">
        <v>251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55850</v>
      </c>
      <c r="E154" s="39">
        <f>SUM(E149:E153)</f>
        <v>184620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234</v>
      </c>
      <c r="E156" s="57" t="s">
        <v>235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f>TRUNC(35177,-1)</f>
        <v>35170</v>
      </c>
      <c r="E159" s="63">
        <f>TRUNC(+D159*3.3058,-1)</f>
        <v>116260</v>
      </c>
      <c r="F159" s="2" t="s">
        <v>252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35170</v>
      </c>
      <c r="E161" s="39">
        <f>SUM(E157:E160)</f>
        <v>116260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2020-12-07T09:44:12Z</dcterms:modified>
</cp:coreProperties>
</file>