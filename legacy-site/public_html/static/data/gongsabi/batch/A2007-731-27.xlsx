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49" i="4"/>
  <c r="E145" i="4"/>
  <c r="E142" i="4"/>
  <c r="E141" i="4"/>
  <c r="E140" i="4"/>
  <c r="E139" i="4"/>
  <c r="E138" i="4"/>
  <c r="E136" i="4"/>
  <c r="E131" i="4"/>
  <c r="E130" i="4"/>
  <c r="E129" i="4"/>
  <c r="E127" i="4"/>
  <c r="E125" i="4"/>
  <c r="E116" i="4"/>
  <c r="E113" i="4"/>
  <c r="E112" i="4"/>
  <c r="E111" i="4"/>
  <c r="E110" i="4"/>
  <c r="E109" i="4"/>
  <c r="E108" i="4"/>
  <c r="E107" i="4"/>
  <c r="E106" i="4"/>
  <c r="E103" i="4"/>
  <c r="E101" i="4"/>
  <c r="E94" i="4"/>
  <c r="E93" i="4"/>
  <c r="E92" i="4"/>
  <c r="E91" i="4"/>
  <c r="E89" i="4"/>
  <c r="E88" i="4"/>
  <c r="E87" i="4"/>
  <c r="E84" i="4"/>
  <c r="E83" i="4"/>
  <c r="E82" i="4"/>
  <c r="E80" i="4"/>
  <c r="E79" i="4"/>
  <c r="E77" i="4"/>
  <c r="E76" i="4"/>
  <c r="E74" i="4"/>
  <c r="E73" i="4"/>
  <c r="E65" i="4"/>
  <c r="E64" i="4"/>
  <c r="E59" i="4"/>
  <c r="E57" i="4"/>
  <c r="E56" i="4"/>
  <c r="E55" i="4"/>
  <c r="E54" i="4"/>
  <c r="E161" i="4" l="1"/>
  <c r="D78" i="4"/>
  <c r="E78" i="4" s="1"/>
  <c r="D124" i="4"/>
  <c r="E124" i="4" s="1"/>
  <c r="D151" i="4" l="1"/>
  <c r="E151" i="4" s="1"/>
  <c r="D152" i="4"/>
  <c r="E152" i="4" s="1"/>
  <c r="D132" i="4"/>
  <c r="E132" i="4" s="1"/>
  <c r="D58" i="4" l="1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D37" i="4"/>
  <c r="E37" i="4" s="1"/>
  <c r="D150" i="4"/>
  <c r="E150" i="4" s="1"/>
  <c r="E154" i="4" s="1"/>
  <c r="D63" i="4"/>
  <c r="E63" i="4" s="1"/>
  <c r="E66" i="4" s="1"/>
  <c r="D86" i="4"/>
  <c r="E86" i="4" s="1"/>
  <c r="D85" i="4"/>
  <c r="E85" i="4" s="1"/>
  <c r="D75" i="4"/>
  <c r="E75" i="4" s="1"/>
  <c r="D90" i="4"/>
  <c r="E90" i="4" s="1"/>
  <c r="D81" i="4"/>
  <c r="E81" i="4" s="1"/>
  <c r="D72" i="4"/>
  <c r="E72" i="4" s="1"/>
  <c r="D71" i="4"/>
  <c r="E71" i="4" s="1"/>
  <c r="D70" i="4"/>
  <c r="E70" i="4" s="1"/>
  <c r="D69" i="4"/>
  <c r="E69" i="4" s="1"/>
  <c r="E95" i="4" s="1"/>
  <c r="D118" i="4"/>
  <c r="E118" i="4" s="1"/>
  <c r="D104" i="4"/>
  <c r="E104" i="4" s="1"/>
  <c r="D105" i="4"/>
  <c r="E105" i="4" s="1"/>
  <c r="D102" i="4"/>
  <c r="E102" i="4" s="1"/>
  <c r="D100" i="4"/>
  <c r="E100" i="4" s="1"/>
  <c r="D99" i="4"/>
  <c r="E99" i="4" s="1"/>
  <c r="D98" i="4"/>
  <c r="E98" i="4" s="1"/>
  <c r="D115" i="4"/>
  <c r="E115" i="4" s="1"/>
  <c r="D114" i="4"/>
  <c r="E114" i="4" s="1"/>
  <c r="D137" i="4"/>
  <c r="E137" i="4" s="1"/>
  <c r="D143" i="4"/>
  <c r="E143" i="4" s="1"/>
  <c r="D144" i="4"/>
  <c r="E144" i="4" s="1"/>
  <c r="D117" i="4"/>
  <c r="E117" i="4" s="1"/>
  <c r="D128" i="4"/>
  <c r="E128" i="4" s="1"/>
  <c r="D122" i="4"/>
  <c r="E122" i="4" s="1"/>
  <c r="D123" i="4"/>
  <c r="E123" i="4" s="1"/>
  <c r="D126" i="4"/>
  <c r="E126" i="4" s="1"/>
  <c r="E146" i="4" l="1"/>
  <c r="E133" i="4"/>
  <c r="E119" i="4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27" i="4" s="1"/>
  <c r="E27" i="4" s="1"/>
  <c r="D133" i="4"/>
  <c r="D29" i="4" s="1"/>
  <c r="E29" i="4" s="1"/>
  <c r="D161" i="4"/>
  <c r="D32" i="4" s="1"/>
  <c r="E32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<sst xmlns="http://schemas.openxmlformats.org/spreadsheetml/2006/main" count="392" uniqueCount="329">
  <si>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</si>
  <si>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</si>
  <si>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</si>
  <si>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</si>
  <si>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</si>
  <si>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</si>
  <si>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</si>
  <si>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</si>
  <si>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</si>
  <si>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</si>
  <si>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</si>
  <si>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</si>
  <si>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</si>
  <si>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</si>
  <si>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</si>
  <si>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</si>
  <si>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</si>
  <si>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</si>
  <si>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</si>
  <si>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</si>
  <si>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</si>
  <si>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</si>
  <si>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</si>
  <si>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</si>
  <si>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</si>
  <si>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</si>
  <si>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</si>
  <si>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</si>
  <si>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</si>
  <si>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</si>
  <si>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</si>
  <si>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</si>
  <si>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</si>
  <si>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</si>
  <si>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</si>
  <si>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</si>
  <si>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</si>
  <si>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</si>
  <si>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</si>
  <si>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</si>
  <si>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</si>
  <si>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</si>
  <si>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</si>
  <si>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</si>
  <si>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</si>
  <si>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</si>
  <si>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</si>
  <si>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</si>
  <si>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</si>
  <si>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</si>
  <si>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</si>
  <si>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</si>
  <si>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</si>
  <si>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</si>
  <si>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</si>
  <si>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</si>
  <si>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</si>
  <si>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</si>
  <si>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</si>
  <si>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</si>
  <si>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</si>
  <si>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</si>
  <si>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</si>
  <si>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</si>
  <si>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</si>
  <si>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</si>
  <si>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</si>
  <si>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</si>
  <si>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</si>
  <si>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</si>
  <si>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</si>
  <si>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</si>
  <si>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</si>
  <si>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</si>
  <si>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</si>
  <si>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</si>
  <si>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</si>
  <si>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</si>
  <si>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</si>
  <si>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</si>
  <si>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</si>
  <si>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</si>
  <si>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</si>
  <si>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</si>
  <si>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</si>
  <si>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</si>
  <si>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</si>
  <si>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</si>
  <si>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</si>
  <si>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</si>
  <si>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</si>
  <si>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</si>
  <si>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</si>
  <si>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</si>
  <si>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</si>
  <si>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</si>
  <si>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</si>
  <si>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</si>
  <si>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</si>
  <si>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</si>
  <si>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</si>
  <si>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</si>
  <si>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</si>
  <si>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</si>
  <si>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</si>
  <si>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</si>
  <si>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</si>
  <si>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</si>
  <si>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</si>
  <si>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</si>
  <si>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</si>
  <si>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</si>
  <si>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</si>
  <si>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</si>
  <si>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</si>
  <si>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</si>
  <si>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</si>
  <si>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</si>
  <si>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</si>
  <si>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</si>
  <si>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</si>
  <si>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</si>
  <si>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</si>
  <si>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</si>
  <si>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</si>
  <si>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</si>
  <si>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</si>
  <si>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</si>
  <si>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</si>
  <si>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</si>
  <si>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</si>
  <si>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</si>
  <si>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</si>
  <si>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</si>
  <si>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</si>
  <si>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</si>
  <si>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</si>
  <si>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</si>
  <si>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</si>
  <si>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</si>
  <si>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</si>
  <si>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</si>
  <si>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</si>
  <si>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</si>
  <si>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</si>
  <si>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</si>
  <si>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</si>
  <si>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</si>
  <si>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</si>
  <si>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</si>
  <si>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</si>
  <si>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</si>
  <si>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</si>
  <si>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</si>
  <si>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</si>
  <si>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</si>
  <si>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</si>
  <si>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</si>
  <si>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</si>
  <si>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</si>
  <si>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</si>
  <si>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</si>
  <si>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</si>
  <si>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</si>
  <si>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</si>
  <si>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</si>
  <si>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</si>
  <si>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</si>
  <si>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</si>
  <si>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</si>
  <si>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</si>
  <si>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</si>
  <si>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</si>
  <si>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</si>
  <si>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</si>
  <si>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</si>
  <si>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</si>
  <si>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</si>
  <si>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</si>
  <si>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</si>
  <si>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</si>
  <si>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</si>
  <si>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</si>
  <si>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</si>
  <si>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</si>
  <si>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</si>
  <si>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</si>
  <si>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</si>
  <si>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</si>
  <si>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</si>
  <si>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</si>
  <si>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</si>
  <si>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</si>
  <si>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</si>
  <si>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</si>
  <si>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</si>
  <si>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</si>
  <si>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</si>
  <si>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</si>
  <si>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</si>
  <si>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</si>
  <si>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</si>
  <si>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</si>
  <si>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</si>
  <si>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</si>
  <si>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</si>
  <si>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</si>
  <si>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</si>
  <si>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</si>
  <si>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</si>
  <si>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</si>
  <si>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</si>
  <si>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</si>
  <si>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</si>
  <si>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</si>
  <si>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</si>
  <si>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</si>
  <si>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</si>
  <si>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</si>
  <si>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</si>
  <si>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</si>
  <si>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</si>
  <si>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</si>
  <si>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</si>
  <si>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</si>
  <si>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</si>
  <si>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</si>
  <si>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</si>
  <si>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</si>
  <si>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</si>
  <si>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</si>
  <si>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</si>
  <si>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</si>
  <si>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</si>
  <si>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</si>
  <si>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</si>
  <si>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</si>
  <si>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</si>
  <si>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</si>
  <si>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</si>
  <si>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</si>
  <si>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</si>
  <si>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</si>
  <si>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</si>
  <si>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</si>
  <si>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</si>
  <si>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</si>
  <si>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</si>
  <si>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</si>
  <si>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</si>
  <si>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</si>
  <si>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</si>
  <si>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</si>
  <si>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</si>
  <si>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</si>
  <si>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</si>
  <si>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</si>
  <si>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</si>
  <si>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</si>
  <si>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</si>
  <si>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</si>
  <si>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</si>
  <si>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</si>
  <si>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</si>
  <si>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</si>
  <si>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</si>
  <si>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</si>
  <si>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</si>
  <si>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</si>
  <si>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</si>
  <si>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</si>
  <si>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</si>
  <si>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</si>
  <si>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</si>
  <si>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</si>
  <si>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</si>
  <si>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</si>
  <si>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</si>
  <si>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</si>
  <si>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</si>
  <si>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</si>
  <si>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</si>
  <si>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</si>
  <si>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</si>
  <si>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</si>
  <si>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</si>
  <si>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</si>
  <si>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</si>
  <si>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</si>
  <si>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</si>
  <si>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</si>
  <si>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</si>
  <si>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</si>
  <si>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</si>
  <si>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</si>
  <si>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</si>
  <si>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</si>
  <si>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</si>
  <si>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</si>
  <si>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</si>
  <si>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</si>
  <si>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</si>
  <si>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</si>
  <si>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</si>
  <si>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</si>
  <si>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</si>
  <si>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</si>
  <si>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</si>
  <si>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문화및집회</t>
  </si>
  <si>
    <t>00대학교 100주년기념관 신축공사</t>
  </si>
  <si>
    <t>서울</t>
  </si>
  <si>
    <t>전화 설비공사,LAN 설비공사</t>
    <phoneticPr fontId="2" type="noConversion"/>
  </si>
  <si>
    <t>전기 자동화재탐지설비공사</t>
    <phoneticPr fontId="2" type="noConversion"/>
  </si>
  <si>
    <t>전기 유도등설비공사</t>
    <phoneticPr fontId="2" type="noConversion"/>
  </si>
  <si>
    <t>전기 방송설비공사,전기 가설공사</t>
    <phoneticPr fontId="2" type="noConversion"/>
  </si>
  <si>
    <t>전동커튼전원공사,옥외외등설비공사</t>
    <phoneticPr fontId="2" type="noConversion"/>
  </si>
  <si>
    <t>냉난방(EHP,GHP)공사</t>
  </si>
  <si>
    <t>파일 및 지정공사,장애자용시설공사,대강당건축음향공사,잡공사,어의관옥상보수,철거공사,골재비,작업부산물,운반비</t>
    <phoneticPr fontId="2" type="noConversion"/>
  </si>
  <si>
    <t>세미나실 A/V 배관/배선공사</t>
    <phoneticPr fontId="2" type="noConversion"/>
  </si>
  <si>
    <t>CCTV 설비공사,통신접지설비공사</t>
    <phoneticPr fontId="2" type="noConversion"/>
  </si>
  <si>
    <t>배수공사,JSP공사,자재및손료,부대공사</t>
    <phoneticPr fontId="2" type="noConversion"/>
  </si>
  <si>
    <t>구조물,교량구조물공사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</si>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</sst>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154</v>
      </c>
      <c r="B2" s="73" t="s">
        <v>0</v>
      </c>
      <c r="C2" s="74"/>
      <c r="D2" s="73" t="s">
        <v>1</v>
      </c>
      <c r="E2" s="74"/>
      <c r="F2" s="73" t="s">
        <v>155</v>
      </c>
      <c r="G2" s="74"/>
      <c r="H2" s="73" t="s">
        <v>2</v>
      </c>
      <c r="I2" s="74"/>
      <c r="J2" s="73" t="s">
        <v>3</v>
      </c>
      <c r="K2" s="74"/>
      <c r="L2" s="73" t="s">
        <v>156</v>
      </c>
      <c r="M2" s="74"/>
      <c r="N2" s="73" t="s">
        <v>157</v>
      </c>
      <c r="O2" s="74"/>
      <c r="P2" s="73" t="s">
        <v>158</v>
      </c>
      <c r="Q2" s="74"/>
      <c r="R2" s="67" t="s">
        <v>159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309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308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8817</v>
      </c>
      <c r="D7" s="36">
        <f>+C7/3.3058</f>
        <v>2667.1304979127594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66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327</v>
      </c>
    </row>
    <row r="19" spans="1:5" x14ac:dyDescent="0.3">
      <c r="A19" s="2">
        <v>9</v>
      </c>
      <c r="B19" s="2" t="s">
        <v>328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5340</v>
      </c>
      <c r="E24" s="59">
        <f t="shared" ref="E24:E33" si="0">TRUNC(+D24*3.3058,-1)</f>
        <v>17650</v>
      </c>
    </row>
    <row r="25" spans="1:5" x14ac:dyDescent="0.3">
      <c r="B25" s="2">
        <v>2</v>
      </c>
      <c r="C25" s="35" t="s">
        <v>45</v>
      </c>
      <c r="D25" s="47">
        <f>+D60</f>
        <v>999350</v>
      </c>
      <c r="E25" s="60">
        <f t="shared" si="0"/>
        <v>3303650</v>
      </c>
    </row>
    <row r="26" spans="1:5" x14ac:dyDescent="0.3">
      <c r="B26" s="2">
        <v>3</v>
      </c>
      <c r="C26" s="35" t="s">
        <v>29</v>
      </c>
      <c r="D26" s="47">
        <f>+D66</f>
        <v>8780</v>
      </c>
      <c r="E26" s="60">
        <f t="shared" si="0"/>
        <v>29020</v>
      </c>
    </row>
    <row r="27" spans="1:5" x14ac:dyDescent="0.3">
      <c r="B27" s="2">
        <v>4</v>
      </c>
      <c r="C27" s="35" t="s">
        <v>30</v>
      </c>
      <c r="D27" s="47">
        <f>+D95</f>
        <v>126760</v>
      </c>
      <c r="E27" s="60">
        <f t="shared" si="0"/>
        <v>419040</v>
      </c>
    </row>
    <row r="28" spans="1:5" x14ac:dyDescent="0.3">
      <c r="B28" s="2">
        <v>5</v>
      </c>
      <c r="C28" s="35" t="s">
        <v>31</v>
      </c>
      <c r="D28" s="47">
        <f>+D119</f>
        <v>140110</v>
      </c>
      <c r="E28" s="60">
        <f t="shared" si="0"/>
        <v>463170</v>
      </c>
    </row>
    <row r="29" spans="1:5" x14ac:dyDescent="0.3">
      <c r="B29" s="2">
        <v>6</v>
      </c>
      <c r="C29" s="35" t="s">
        <v>32</v>
      </c>
      <c r="D29" s="47">
        <f>+D133</f>
        <v>23340</v>
      </c>
      <c r="E29" s="60">
        <f t="shared" si="0"/>
        <v>77150</v>
      </c>
    </row>
    <row r="30" spans="1:5" x14ac:dyDescent="0.3">
      <c r="B30" s="2">
        <v>7</v>
      </c>
      <c r="C30" s="35" t="s">
        <v>33</v>
      </c>
      <c r="D30" s="47">
        <f>+D146</f>
        <v>12200</v>
      </c>
      <c r="E30" s="60">
        <f t="shared" si="0"/>
        <v>40330</v>
      </c>
    </row>
    <row r="31" spans="1:5" x14ac:dyDescent="0.3">
      <c r="B31" s="2">
        <v>8</v>
      </c>
      <c r="C31" s="35" t="s">
        <v>34</v>
      </c>
      <c r="D31" s="47">
        <f>+D154</f>
        <v>72960</v>
      </c>
      <c r="E31" s="60">
        <f t="shared" si="0"/>
        <v>241190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381930</v>
      </c>
      <c r="E33" s="61">
        <f t="shared" si="0"/>
        <v>1262580</v>
      </c>
    </row>
    <row r="34" spans="1:5" x14ac:dyDescent="0.3">
      <c r="C34" s="35" t="s">
        <v>46</v>
      </c>
      <c r="D34" s="46">
        <f>SUM(D24:D33)</f>
        <v>1770770</v>
      </c>
      <c r="E34" s="46">
        <f>SUM(E24:E33)</f>
        <v>5853780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f>TRUNC(5340.69592832029,-1)</f>
        <v>5340</v>
      </c>
      <c r="E37" s="62">
        <f>TRUNC(+D37*3.3058,-1)</f>
        <v>17650</v>
      </c>
    </row>
    <row r="38" spans="1:5" s="48" customFormat="1" x14ac:dyDescent="0.3">
      <c r="C38" s="49"/>
      <c r="D38" s="49"/>
      <c r="E38" s="49"/>
    </row>
    <row r="39" spans="1:5" s="48" customFormat="1" ht="17.25" thickBot="1" x14ac:dyDescent="0.35">
      <c r="B39" s="48" t="s">
        <v>322</v>
      </c>
      <c r="C39" s="48" t="s">
        <v>323</v>
      </c>
      <c r="D39" s="49" t="s">
        <v>324</v>
      </c>
      <c r="E39" s="49" t="s">
        <v>325</v>
      </c>
    </row>
    <row r="40" spans="1:5" x14ac:dyDescent="0.3">
      <c r="A40" s="2">
        <v>1</v>
      </c>
      <c r="C40" s="39" t="s">
        <v>75</v>
      </c>
      <c r="D40" s="42">
        <f>TRUNC(63332.2056254962,-1)</f>
        <v>63330</v>
      </c>
      <c r="E40" s="63">
        <f t="shared" ref="E40:E59" si="1">TRUNC(+D40*3.3058,-1)</f>
        <v>209350</v>
      </c>
    </row>
    <row r="41" spans="1:5" x14ac:dyDescent="0.3">
      <c r="A41" s="2">
        <v>2</v>
      </c>
      <c r="C41" s="39" t="s">
        <v>6</v>
      </c>
      <c r="D41" s="44">
        <f>TRUNC(269589.58285131,-1)</f>
        <v>269580</v>
      </c>
      <c r="E41" s="64">
        <f t="shared" si="1"/>
        <v>891170</v>
      </c>
    </row>
    <row r="42" spans="1:5" x14ac:dyDescent="0.3">
      <c r="A42" s="2">
        <v>3</v>
      </c>
      <c r="C42" s="39" t="s">
        <v>7</v>
      </c>
      <c r="D42" s="44">
        <f>TRUNC(19563.9495293184,-1)</f>
        <v>19560</v>
      </c>
      <c r="E42" s="64">
        <f t="shared" si="1"/>
        <v>64660</v>
      </c>
    </row>
    <row r="43" spans="1:5" x14ac:dyDescent="0.3">
      <c r="A43" s="2">
        <v>4</v>
      </c>
      <c r="C43" s="39" t="s">
        <v>8</v>
      </c>
      <c r="D43" s="44">
        <f>TRUNC(13913.0527390269,-1)</f>
        <v>13910</v>
      </c>
      <c r="E43" s="64">
        <f t="shared" si="1"/>
        <v>45980</v>
      </c>
    </row>
    <row r="44" spans="1:5" x14ac:dyDescent="0.3">
      <c r="A44" s="2">
        <v>5</v>
      </c>
      <c r="C44" s="39" t="s">
        <v>9</v>
      </c>
      <c r="D44" s="44">
        <f>TRUNC(50781.3236928661,-1)</f>
        <v>50780</v>
      </c>
      <c r="E44" s="64">
        <f t="shared" si="1"/>
        <v>167860</v>
      </c>
    </row>
    <row r="45" spans="1:5" x14ac:dyDescent="0.3">
      <c r="A45" s="2">
        <v>6</v>
      </c>
      <c r="C45" s="39" t="s">
        <v>10</v>
      </c>
      <c r="D45" s="44">
        <f>TRUNC(1929.35771804469,-1)</f>
        <v>1920</v>
      </c>
      <c r="E45" s="64">
        <f t="shared" si="1"/>
        <v>6340</v>
      </c>
    </row>
    <row r="46" spans="1:5" x14ac:dyDescent="0.3">
      <c r="A46" s="2">
        <v>7</v>
      </c>
      <c r="C46" s="39" t="s">
        <v>11</v>
      </c>
      <c r="D46" s="44">
        <f>TRUNC(105292.192922763,-1)</f>
        <v>105290</v>
      </c>
      <c r="E46" s="64">
        <f t="shared" si="1"/>
        <v>348060</v>
      </c>
    </row>
    <row r="47" spans="1:5" x14ac:dyDescent="0.3">
      <c r="A47" s="2">
        <v>8</v>
      </c>
      <c r="C47" s="39" t="s">
        <v>12</v>
      </c>
      <c r="D47" s="44">
        <f>TRUNC(16234.080072587,-1)</f>
        <v>16230</v>
      </c>
      <c r="E47" s="64">
        <f t="shared" si="1"/>
        <v>53650</v>
      </c>
    </row>
    <row r="48" spans="1:5" x14ac:dyDescent="0.3">
      <c r="A48" s="2">
        <v>9</v>
      </c>
      <c r="C48" s="39" t="s">
        <v>13</v>
      </c>
      <c r="D48" s="44">
        <f>TRUNC(121487.783146195,-1)</f>
        <v>121480</v>
      </c>
      <c r="E48" s="64">
        <f t="shared" si="1"/>
        <v>401580</v>
      </c>
    </row>
    <row r="49" spans="1:6" x14ac:dyDescent="0.3">
      <c r="A49" s="2">
        <v>10</v>
      </c>
      <c r="C49" s="39" t="s">
        <v>14</v>
      </c>
      <c r="D49" s="44">
        <f>TRUNC(11926.3845979358,-1)</f>
        <v>11920</v>
      </c>
      <c r="E49" s="64">
        <f t="shared" si="1"/>
        <v>39400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TRUNC(54626.1190881252,-1)</f>
        <v>54620</v>
      </c>
      <c r="E50" s="64">
        <f t="shared" si="1"/>
        <v>180560</v>
      </c>
      <c r="F50" s="2"/>
    </row>
    <row r="51" spans="1:6" x14ac:dyDescent="0.3">
      <c r="A51" s="2">
        <v>12</v>
      </c>
      <c r="C51" s="39" t="s">
        <v>16</v>
      </c>
      <c r="D51" s="44">
        <f>TRUNC(23613.6898037881,-1)</f>
        <v>23610</v>
      </c>
      <c r="E51" s="64">
        <f t="shared" si="1"/>
        <v>78040</v>
      </c>
    </row>
    <row r="52" spans="1:6" x14ac:dyDescent="0.3">
      <c r="A52" s="2">
        <v>13</v>
      </c>
      <c r="C52" s="39" t="s">
        <v>17</v>
      </c>
      <c r="D52" s="44">
        <f>TRUNC(10952.3856186912,-1)</f>
        <v>10950</v>
      </c>
      <c r="E52" s="64">
        <f t="shared" si="1"/>
        <v>36190</v>
      </c>
    </row>
    <row r="53" spans="1:6" x14ac:dyDescent="0.3">
      <c r="A53" s="2">
        <v>14</v>
      </c>
      <c r="C53" s="39" t="s">
        <v>18</v>
      </c>
      <c r="D53" s="44">
        <f>TRUNC(75531.9858228422,-1)</f>
        <v>75530</v>
      </c>
      <c r="E53" s="64">
        <f t="shared" si="1"/>
        <v>249680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v>0</v>
      </c>
      <c r="E55" s="64">
        <f t="shared" si="1"/>
        <v>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TRUNC(28443.1112623341+2137.91539072247
+67814.7361914483
+30922.6640580696
+18612.8581150051
+3499.5522286492
+7292.77532040377
-723.817625042532
+2647.65351026426,-1)</f>
        <v>160640</v>
      </c>
      <c r="E58" s="64">
        <f t="shared" si="1"/>
        <v>531040</v>
      </c>
      <c r="F58" s="2" t="s">
        <v>317</v>
      </c>
    </row>
    <row r="59" spans="1:6" ht="17.25" thickBot="1" x14ac:dyDescent="0.35">
      <c r="A59" s="2">
        <v>20</v>
      </c>
      <c r="C59" s="39" t="s">
        <v>56</v>
      </c>
      <c r="D59" s="45">
        <v>0</v>
      </c>
      <c r="E59" s="65">
        <f t="shared" si="1"/>
        <v>0</v>
      </c>
    </row>
    <row r="60" spans="1:6" x14ac:dyDescent="0.3">
      <c r="A60" s="2">
        <v>21</v>
      </c>
      <c r="C60" s="27" t="s">
        <v>46</v>
      </c>
      <c r="D60" s="40">
        <f>SUM(D40:D59)</f>
        <v>999350</v>
      </c>
      <c r="E60" s="40">
        <f>SUM(E40:E59)</f>
        <v>3303560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TRUNC(8789.20460474084,-1)</f>
        <v>8780</v>
      </c>
      <c r="E63" s="63">
        <f>TRUNC(+D63*3.3058,-1)</f>
        <v>29020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8780</v>
      </c>
      <c r="E66" s="66">
        <f>SUM(E63:E65)</f>
        <v>29020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f>TRUNC(35558.5167290462,-1)</f>
        <v>35550</v>
      </c>
      <c r="E69" s="63">
        <f t="shared" ref="E69:E94" si="2">TRUNC(+D69*3.3058,-1)</f>
        <v>117520</v>
      </c>
    </row>
    <row r="70" spans="1:5" ht="16.5" customHeight="1" x14ac:dyDescent="0.3">
      <c r="A70" s="2">
        <v>2</v>
      </c>
      <c r="C70" s="39" t="s">
        <v>79</v>
      </c>
      <c r="D70" s="44">
        <f>TRUNC(3081.89542928434,-1)</f>
        <v>3080</v>
      </c>
      <c r="E70" s="64">
        <f t="shared" si="2"/>
        <v>10180</v>
      </c>
    </row>
    <row r="71" spans="1:5" x14ac:dyDescent="0.3">
      <c r="A71" s="2">
        <v>3</v>
      </c>
      <c r="C71" s="39" t="s">
        <v>80</v>
      </c>
      <c r="D71" s="44">
        <f>TRUNC(21308.540886923,-1)</f>
        <v>21300</v>
      </c>
      <c r="E71" s="64">
        <f t="shared" si="2"/>
        <v>70410</v>
      </c>
    </row>
    <row r="72" spans="1:5" x14ac:dyDescent="0.3">
      <c r="A72" s="2">
        <v>4</v>
      </c>
      <c r="C72" s="39" t="s">
        <v>81</v>
      </c>
      <c r="D72" s="44">
        <f>TRUNC(4926.02086877623,-1)</f>
        <v>4920</v>
      </c>
      <c r="E72" s="64">
        <f t="shared" si="2"/>
        <v>16260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f>TRUNC(1232.11976862879,-1)</f>
        <v>1230</v>
      </c>
      <c r="E75" s="64">
        <f t="shared" si="2"/>
        <v>4060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f>TRUNC(21308.540886923,-1)</f>
        <v>21300</v>
      </c>
      <c r="E78" s="64">
        <f t="shared" si="2"/>
        <v>70410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f>TRUNC(19971.934217988,-1)</f>
        <v>19970</v>
      </c>
      <c r="E81" s="64">
        <f t="shared" si="2"/>
        <v>66010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6" x14ac:dyDescent="0.3">
      <c r="A85" s="2">
        <v>17</v>
      </c>
      <c r="C85" s="39" t="s">
        <v>94</v>
      </c>
      <c r="D85" s="44">
        <f>TRUNC(3383.27038675286,-1)</f>
        <v>3380</v>
      </c>
      <c r="E85" s="64">
        <f t="shared" si="2"/>
        <v>11170</v>
      </c>
    </row>
    <row r="86" spans="1:6" x14ac:dyDescent="0.3">
      <c r="A86" s="2">
        <v>18</v>
      </c>
      <c r="C86" s="39" t="s">
        <v>95</v>
      </c>
      <c r="D86" s="44">
        <f>TRUNC(14285.7465124192,-1)</f>
        <v>14280</v>
      </c>
      <c r="E86" s="64">
        <f t="shared" si="2"/>
        <v>47200</v>
      </c>
      <c r="F86" s="2" t="s">
        <v>316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f>TRUNC(1754.10933424067,-1)</f>
        <v>1750</v>
      </c>
      <c r="E90" s="64">
        <f t="shared" si="2"/>
        <v>5780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102</v>
      </c>
      <c r="D93" s="44">
        <v>0</v>
      </c>
      <c r="E93" s="64">
        <f t="shared" si="2"/>
        <v>0</v>
      </c>
    </row>
    <row r="94" spans="1:6" ht="17.25" thickBot="1" x14ac:dyDescent="0.35">
      <c r="A94" s="2">
        <v>26</v>
      </c>
      <c r="C94" s="39" t="s">
        <v>103</v>
      </c>
      <c r="D94" s="45">
        <v>0</v>
      </c>
      <c r="E94" s="65">
        <f t="shared" si="2"/>
        <v>0</v>
      </c>
    </row>
    <row r="95" spans="1:6" x14ac:dyDescent="0.3">
      <c r="A95" s="2">
        <v>27</v>
      </c>
      <c r="C95" s="27" t="s">
        <v>104</v>
      </c>
      <c r="D95" s="40">
        <f>SUM(D69:D94)</f>
        <v>126760</v>
      </c>
      <c r="E95" s="40">
        <f>SUM(E69:E94)</f>
        <v>419000</v>
      </c>
    </row>
    <row r="96" spans="1:6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f>TRUNC(10004.0010207554,-1)</f>
        <v>10000</v>
      </c>
      <c r="E98" s="63">
        <f t="shared" ref="E98:E118" si="3">TRUNC(+D98*3.3058,-1)</f>
        <v>33050</v>
      </c>
    </row>
    <row r="99" spans="1:5" x14ac:dyDescent="0.3">
      <c r="A99" s="2">
        <v>2</v>
      </c>
      <c r="C99" s="29" t="s">
        <v>107</v>
      </c>
      <c r="D99" s="44">
        <f>TRUNC(6186.05534762391,-1)</f>
        <v>6180</v>
      </c>
      <c r="E99" s="64">
        <f t="shared" si="3"/>
        <v>20420</v>
      </c>
    </row>
    <row r="100" spans="1:5" x14ac:dyDescent="0.3">
      <c r="A100" s="2">
        <v>3</v>
      </c>
      <c r="C100" s="29" t="s">
        <v>108</v>
      </c>
      <c r="D100" s="44">
        <f>TRUNC(16480.6068957695,-1)</f>
        <v>16480</v>
      </c>
      <c r="E100" s="64">
        <f t="shared" si="3"/>
        <v>54470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f>TRUNC(4914.67993648633,-1)</f>
        <v>4910</v>
      </c>
      <c r="E102" s="64">
        <f t="shared" si="3"/>
        <v>16230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f>TRUNC(3689.30781444936,-1)</f>
        <v>3680</v>
      </c>
      <c r="E104" s="64">
        <f t="shared" si="3"/>
        <v>12160</v>
      </c>
    </row>
    <row r="105" spans="1:5" x14ac:dyDescent="0.3">
      <c r="A105" s="2">
        <v>8</v>
      </c>
      <c r="C105" s="29" t="s">
        <v>113</v>
      </c>
      <c r="D105" s="44">
        <f>TRUNC(2733.05035726438,-1)</f>
        <v>2730</v>
      </c>
      <c r="E105" s="64">
        <f t="shared" si="3"/>
        <v>9020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f>TRUNC(7374.58001587842,-1)</f>
        <v>7370</v>
      </c>
      <c r="E114" s="64">
        <f t="shared" si="3"/>
        <v>24360</v>
      </c>
    </row>
    <row r="115" spans="1:6" x14ac:dyDescent="0.3">
      <c r="A115" s="2">
        <v>18</v>
      </c>
      <c r="C115" s="29" t="s">
        <v>123</v>
      </c>
      <c r="D115" s="44">
        <f>TRUNC(3032.0697516162,-1)</f>
        <v>3030</v>
      </c>
      <c r="E115" s="64">
        <f t="shared" si="3"/>
        <v>10010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TRUNC(22124.4187365317+62271.7477600091,-1)</f>
        <v>84390</v>
      </c>
      <c r="E117" s="64">
        <f t="shared" si="3"/>
        <v>278970</v>
      </c>
    </row>
    <row r="118" spans="1:6" ht="17.25" thickBot="1" x14ac:dyDescent="0.35">
      <c r="A118" s="2">
        <v>21</v>
      </c>
      <c r="C118" s="29" t="s">
        <v>103</v>
      </c>
      <c r="D118" s="45">
        <f>TRUNC(501.123171146649+843.607462855847,-1)</f>
        <v>1340</v>
      </c>
      <c r="E118" s="65">
        <f t="shared" si="3"/>
        <v>4420</v>
      </c>
      <c r="F118" s="2" t="s">
        <v>315</v>
      </c>
    </row>
    <row r="119" spans="1:6" x14ac:dyDescent="0.3">
      <c r="A119" s="2">
        <v>22</v>
      </c>
      <c r="C119" s="27" t="s">
        <v>104</v>
      </c>
      <c r="D119" s="40">
        <f>SUM(D98:D118)</f>
        <v>140110</v>
      </c>
      <c r="E119" s="40">
        <f>SUM(E98:E118)</f>
        <v>463110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f>TRUNC(1688.20925484859,-1)</f>
        <v>1680</v>
      </c>
      <c r="E122" s="63">
        <f t="shared" ref="E122:E132" si="4">TRUNC(+D122*3.3058,-1)</f>
        <v>5550</v>
      </c>
    </row>
    <row r="123" spans="1:6" x14ac:dyDescent="0.3">
      <c r="A123" s="2">
        <v>2</v>
      </c>
      <c r="C123" s="29" t="s">
        <v>127</v>
      </c>
      <c r="D123" s="44">
        <f>TRUNC(4804.93433140524+7018.16332085743,-1)</f>
        <v>11820</v>
      </c>
      <c r="E123" s="64">
        <f t="shared" si="4"/>
        <v>39070</v>
      </c>
      <c r="F123" s="2" t="s">
        <v>311</v>
      </c>
    </row>
    <row r="124" spans="1:6" x14ac:dyDescent="0.3">
      <c r="A124" s="2">
        <v>3</v>
      </c>
      <c r="C124" s="29" t="s">
        <v>128</v>
      </c>
      <c r="D124" s="44">
        <f>TRUNC(967.639900192809,-1)</f>
        <v>960</v>
      </c>
      <c r="E124" s="64">
        <f t="shared" si="4"/>
        <v>3170</v>
      </c>
      <c r="F124" s="2" t="s">
        <v>318</v>
      </c>
    </row>
    <row r="125" spans="1:6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6" x14ac:dyDescent="0.3">
      <c r="A126" s="2">
        <v>5</v>
      </c>
      <c r="C126" s="29" t="s">
        <v>130</v>
      </c>
      <c r="D126" s="44">
        <f>TRUNC(5193.91300895996,-1)</f>
        <v>5190</v>
      </c>
      <c r="E126" s="64">
        <f t="shared" si="4"/>
        <v>17150</v>
      </c>
    </row>
    <row r="127" spans="1:6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113</v>
      </c>
      <c r="D128" s="44">
        <f>TRUNC(1486.93058863559,-1)</f>
        <v>1480</v>
      </c>
      <c r="E128" s="64">
        <f t="shared" si="4"/>
        <v>4890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6" x14ac:dyDescent="0.3">
      <c r="A131" s="2">
        <v>10</v>
      </c>
      <c r="C131" s="29" t="s">
        <v>102</v>
      </c>
      <c r="D131" s="44">
        <v>0</v>
      </c>
      <c r="E131" s="64">
        <f t="shared" si="4"/>
        <v>0</v>
      </c>
    </row>
    <row r="132" spans="1:6" ht="17.25" thickBot="1" x14ac:dyDescent="0.35">
      <c r="A132" s="2">
        <v>11</v>
      </c>
      <c r="C132" s="29" t="s">
        <v>103</v>
      </c>
      <c r="D132" s="45">
        <f>TRUNC(1682.71192015425+532.400589769763,-1)</f>
        <v>2210</v>
      </c>
      <c r="E132" s="65">
        <f t="shared" si="4"/>
        <v>7300</v>
      </c>
      <c r="F132" s="2" t="s">
        <v>319</v>
      </c>
    </row>
    <row r="133" spans="1:6" x14ac:dyDescent="0.3">
      <c r="A133" s="2">
        <v>12</v>
      </c>
      <c r="C133" s="41" t="s">
        <v>104</v>
      </c>
      <c r="D133" s="40">
        <f>SUM(D122:D132)</f>
        <v>23340</v>
      </c>
      <c r="E133" s="40">
        <f>SUM(E122:E132)</f>
        <v>77130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6" x14ac:dyDescent="0.3">
      <c r="A137" s="2">
        <v>2</v>
      </c>
      <c r="C137" s="39" t="s">
        <v>103</v>
      </c>
      <c r="D137" s="44">
        <f>TRUNC(3968.38346376318+233.979244641034,-1)</f>
        <v>4200</v>
      </c>
      <c r="E137" s="64">
        <f t="shared" si="5"/>
        <v>13880</v>
      </c>
      <c r="F137" s="2" t="s">
        <v>314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141</v>
      </c>
      <c r="D143" s="44">
        <f>TRUNC(1438.93263014631,-1)</f>
        <v>1430</v>
      </c>
      <c r="E143" s="64">
        <f t="shared" si="5"/>
        <v>4720</v>
      </c>
      <c r="F143" s="2" t="s">
        <v>313</v>
      </c>
    </row>
    <row r="144" spans="1:6" x14ac:dyDescent="0.3">
      <c r="A144" s="2">
        <v>9</v>
      </c>
      <c r="C144" s="39" t="s">
        <v>142</v>
      </c>
      <c r="D144" s="44">
        <f>TRUNC(6573.63763184757,-1)</f>
        <v>6570</v>
      </c>
      <c r="E144" s="64">
        <f t="shared" si="5"/>
        <v>21710</v>
      </c>
      <c r="F144" s="2" t="s">
        <v>312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12200</v>
      </c>
      <c r="E146" s="40">
        <f>SUM(E136:E145)</f>
        <v>40310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f>TRUNC(4737.63479641601,-1)</f>
        <v>4730</v>
      </c>
      <c r="E150" s="64">
        <f>TRUNC(+D150*3.3058,-1)</f>
        <v>15630</v>
      </c>
    </row>
    <row r="151" spans="1:6" x14ac:dyDescent="0.3">
      <c r="A151" s="2">
        <v>3</v>
      </c>
      <c r="C151" s="39" t="s">
        <v>146</v>
      </c>
      <c r="D151" s="44">
        <f>TRUNC(3312.04672791199+12732.0798457525,-1)</f>
        <v>16040</v>
      </c>
      <c r="E151" s="64">
        <f>TRUNC(+D151*3.3058,-1)</f>
        <v>53020</v>
      </c>
      <c r="F151" s="2" t="s">
        <v>321</v>
      </c>
    </row>
    <row r="152" spans="1:6" x14ac:dyDescent="0.3">
      <c r="A152" s="2">
        <v>4</v>
      </c>
      <c r="C152" s="39" t="s">
        <v>103</v>
      </c>
      <c r="D152" s="44">
        <f>TRUNC(6578.53192695928+28567.3087217875+14108.2822955654+2943.60723602132,-1)</f>
        <v>52190</v>
      </c>
      <c r="E152" s="64">
        <f>TRUNC(+D152*3.3058,-1)</f>
        <v>172520</v>
      </c>
      <c r="F152" s="37" t="s">
        <v>320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72960</v>
      </c>
      <c r="E154" s="40">
        <f>SUM(E149:E153)</f>
        <v>241170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2020-12-07T09:16:08Z</dcterms:modified>
</cp:coreProperties>
</file>