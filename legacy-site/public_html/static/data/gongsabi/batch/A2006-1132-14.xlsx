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44" i="4"/>
  <c r="E142" i="4"/>
  <c r="E141" i="4"/>
  <c r="E140" i="4"/>
  <c r="E139" i="4"/>
  <c r="E138" i="4"/>
  <c r="E130" i="4"/>
  <c r="E129" i="4"/>
  <c r="E127" i="4"/>
  <c r="E126" i="4"/>
  <c r="E118" i="4"/>
  <c r="E116" i="4"/>
  <c r="E113" i="4"/>
  <c r="E112" i="4"/>
  <c r="E111" i="4"/>
  <c r="E110" i="4"/>
  <c r="E109" i="4"/>
  <c r="E108" i="4"/>
  <c r="E107" i="4"/>
  <c r="E106" i="4"/>
  <c r="E103" i="4"/>
  <c r="E101" i="4"/>
  <c r="E93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7" i="4"/>
  <c r="E75" i="4"/>
  <c r="E74" i="4"/>
  <c r="E73" i="4"/>
  <c r="E72" i="4"/>
  <c r="E70" i="4"/>
  <c r="E65" i="4"/>
  <c r="E64" i="4"/>
  <c r="E57" i="4"/>
  <c r="E56" i="4"/>
  <c r="E54" i="4"/>
  <c r="E42" i="4"/>
  <c r="E37" i="4"/>
  <c r="D159" i="4" l="1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D143" i="4"/>
  <c r="E143" i="4" s="1"/>
  <c r="D137" i="4"/>
  <c r="E137" i="4" s="1"/>
  <c r="D136" i="4"/>
  <c r="E136" i="4" s="1"/>
  <c r="D132" i="4"/>
  <c r="E132" i="4" s="1"/>
  <c r="D131" i="4"/>
  <c r="E131" i="4" s="1"/>
  <c r="D128" i="4"/>
  <c r="E128" i="4" s="1"/>
  <c r="D125" i="4"/>
  <c r="E125" i="4" s="1"/>
  <c r="D124" i="4"/>
  <c r="E124" i="4" s="1"/>
  <c r="D123" i="4"/>
  <c r="E123" i="4" s="1"/>
  <c r="D122" i="4"/>
  <c r="E122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E119" i="4" s="1"/>
  <c r="D98" i="4"/>
  <c r="E98" i="4" s="1"/>
  <c r="D94" i="4"/>
  <c r="E94" i="4" s="1"/>
  <c r="D92" i="4"/>
  <c r="E92" i="4" s="1"/>
  <c r="D78" i="4"/>
  <c r="E78" i="4" s="1"/>
  <c r="D76" i="4"/>
  <c r="E76" i="4" s="1"/>
  <c r="D71" i="4"/>
  <c r="E71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60" i="4" s="1"/>
  <c r="E95" i="4" l="1"/>
  <c r="E154" i="4"/>
  <c r="E133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<sst xmlns="http://schemas.openxmlformats.org/spreadsheetml/2006/main" count="396" uniqueCount="271">
  <si>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</si>
  <si>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</si>
  <si>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</si>
  <si>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</si>
  <si>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</si>
  <si>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</si>
  <si>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</si>
  <si>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</si>
  <si>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</si>
  <si>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</si>
  <si>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</si>
  <si>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</si>
  <si>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</si>
  <si>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</si>
  <si>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</si>
  <si>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</si>
  <si>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</si>
  <si>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</si>
  <si>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</si>
  <si>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</si>
  <si>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</si>
  <si>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</si>
  <si>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</si>
  <si>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</si>
  <si>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</si>
  <si>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</si>
  <si>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</si>
  <si>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</si>
  <si>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</si>
  <si>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</si>
  <si>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</si>
  <si>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</si>
  <si>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</si>
  <si>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</si>
  <si>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</si>
  <si>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</si>
  <si>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</si>
  <si>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</si>
  <si>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</si>
  <si>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</si>
  <si>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</si>
  <si>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</si>
  <si>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</si>
  <si>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</si>
  <si>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</si>
  <si>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</si>
  <si>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</si>
  <si>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</si>
  <si>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</si>
  <si>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</si>
  <si>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</si>
  <si>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</si>
  <si>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</si>
  <si>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</si>
  <si>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</si>
  <si>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</si>
  <si>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</si>
  <si>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</si>
  <si>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</si>
  <si>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</si>
  <si>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</si>
  <si>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</si>
  <si>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</si>
  <si>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</si>
  <si>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</si>
  <si>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</si>
  <si>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</si>
  <si>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</si>
  <si>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</si>
  <si>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</si>
  <si>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</si>
  <si>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</si>
  <si>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</si>
  <si>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</si>
  <si>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</si>
  <si>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</si>
  <si>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</si>
  <si>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</si>
  <si>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</si>
  <si>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</si>
  <si>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</si>
  <si>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</si>
  <si>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</si>
  <si>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</si>
  <si>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</si>
  <si>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</si>
  <si>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</si>
  <si>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</si>
  <si>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</si>
  <si>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</si>
  <si>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</si>
  <si>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</si>
  <si>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</si>
  <si>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</si>
  <si>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</si>
  <si>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</si>
  <si>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</si>
  <si>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</si>
  <si>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</si>
  <si>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</si>
  <si>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</si>
  <si>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</si>
  <si>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</si>
  <si>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</si>
  <si>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</si>
  <si>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</si>
  <si>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</si>
  <si>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</si>
  <si>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</si>
  <si>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</si>
  <si>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</si>
  <si>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</si>
  <si>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</si>
  <si>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</si>
  <si>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</si>
  <si>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</si>
  <si>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</si>
  <si>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</si>
  <si>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</si>
  <si>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</si>
  <si>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</si>
  <si>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</si>
  <si>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</si>
  <si>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</si>
  <si>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</si>
  <si>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</si>
  <si>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</si>
  <si>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</si>
  <si>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</si>
  <si>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</si>
  <si>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</si>
  <si>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</si>
  <si>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</si>
  <si>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</si>
  <si>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</si>
  <si>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</si>
  <si>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</si>
  <si>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</si>
  <si>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</si>
  <si>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</si>
  <si>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</si>
  <si>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</si>
  <si>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</si>
  <si>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</si>
  <si>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</si>
  <si>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</si>
  <si>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</si>
  <si>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</si>
  <si>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</si>
  <si>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</si>
  <si>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</si>
  <si>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</si>
  <si>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</si>
  <si>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</si>
  <si>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</si>
  <si>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</si>
  <si>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</si>
  <si>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</si>
  <si>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</si>
  <si>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</si>
  <si>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</si>
  <si>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</si>
  <si>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</si>
  <si>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</si>
  <si>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</si>
  <si>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</si>
  <si>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</si>
  <si>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</si>
  <si>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</si>
  <si>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</si>
  <si>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</si>
  <si>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</si>
  <si>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</si>
  <si>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</si>
  <si>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</si>
  <si>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</si>
  <si>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</si>
  <si>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</si>
  <si>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</si>
  <si>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</si>
  <si>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</si>
  <si>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</si>
  <si>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</si>
  <si>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</si>
  <si>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</si>
  <si>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</si>
  <si>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</si>
  <si>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</si>
  <si>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</si>
  <si>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</si>
  <si>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</si>
  <si>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</si>
  <si>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</si>
  <si>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</si>
  <si>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</si>
  <si>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</si>
  <si>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</si>
  <si>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</si>
  <si>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</si>
  <si>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</si>
  <si>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</si>
  <si>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</si>
  <si>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</si>
  <si>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</si>
  <si>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</si>
  <si>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</si>
  <si>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</si>
  <si>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</si>
  <si>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</si>
  <si>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</si>
  <si>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</si>
  <si>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</si>
  <si>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</si>
  <si>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</si>
  <si>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</si>
  <si>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</si>
  <si>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</si>
  <si>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</si>
  <si>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</si>
  <si>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</si>
  <si>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</si>
  <si>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</si>
  <si>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</si>
  <si>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</si>
  <si>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</si>
  <si>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</si>
  <si>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</si>
  <si>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</si>
  <si>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</si>
  <si>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</si>
  <si>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</si>
  <si>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</si>
  <si>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</si>
  <si>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</si>
  <si>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</si>
  <si>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도급자설치관급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</si>
  <si>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</si>
  <si>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</si>
  <si>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</si>
  <si>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</si>
  <si>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</si>
  <si>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</si>
  <si>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</si>
  <si>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</si>
  <si>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</si>
  <si>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</si>
  <si>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</si>
  <si>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</si>
  <si>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</si>
  <si>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</si>
  <si>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00시립중앙도서관 건축공사</t>
    <phoneticPr fontId="2" type="noConversion"/>
  </si>
  <si>
    <t>지정공사,잡공사,골재비,운반비,폐기물처리비,다목적실공사,정화조공사</t>
    <phoneticPr fontId="2" type="noConversion"/>
  </si>
  <si>
    <t>토목 상수공,자재대,운반공사</t>
    <phoneticPr fontId="2" type="noConversion"/>
  </si>
  <si>
    <t>포장공사, 자재비</t>
    <phoneticPr fontId="2" type="noConversion"/>
  </si>
  <si>
    <t>공조닥트,배관공사</t>
    <phoneticPr fontId="2" type="noConversion"/>
  </si>
  <si>
    <t>위생설비공사</t>
    <phoneticPr fontId="2" type="noConversion"/>
  </si>
  <si>
    <t>기타공사</t>
    <phoneticPr fontId="2" type="noConversion"/>
  </si>
  <si>
    <t>변전실설비공사</t>
    <phoneticPr fontId="2" type="noConversion"/>
  </si>
  <si>
    <t>접지설비공사, 피뢰침 설비공사</t>
    <phoneticPr fontId="2" type="noConversion"/>
  </si>
  <si>
    <t>전기화재경보</t>
    <phoneticPr fontId="2" type="noConversion"/>
  </si>
  <si>
    <t>CCTV 설비공사</t>
  </si>
  <si>
    <t>통신 TRAY 공사</t>
  </si>
  <si>
    <t>도급자설치, 관급자설치 관급</t>
    <phoneticPr fontId="2" type="noConversion"/>
  </si>
  <si>
    <t>관급자설치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</si>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</sst>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5051</v>
      </c>
      <c r="D7" s="36">
        <f>+C7/3.3058</f>
        <v>1527.9206243571903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264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879310</v>
      </c>
      <c r="E25" s="59">
        <f t="shared" si="0"/>
        <v>2906820</v>
      </c>
    </row>
    <row r="26" spans="1:5" x14ac:dyDescent="0.3">
      <c r="B26" s="2">
        <v>3</v>
      </c>
      <c r="C26" s="35" t="s">
        <v>95</v>
      </c>
      <c r="D26" s="45">
        <f>+D66</f>
        <v>21820</v>
      </c>
      <c r="E26" s="59">
        <f t="shared" si="0"/>
        <v>72130</v>
      </c>
    </row>
    <row r="27" spans="1:5" x14ac:dyDescent="0.3">
      <c r="B27" s="2">
        <v>4</v>
      </c>
      <c r="C27" s="35" t="s">
        <v>96</v>
      </c>
      <c r="D27" s="45">
        <f>+D95</f>
        <v>163200</v>
      </c>
      <c r="E27" s="59">
        <f t="shared" si="0"/>
        <v>539500</v>
      </c>
    </row>
    <row r="28" spans="1:5" x14ac:dyDescent="0.3">
      <c r="B28" s="2">
        <v>5</v>
      </c>
      <c r="C28" s="35" t="s">
        <v>97</v>
      </c>
      <c r="D28" s="45">
        <f>+D119</f>
        <v>148190</v>
      </c>
      <c r="E28" s="59">
        <f t="shared" si="0"/>
        <v>489880</v>
      </c>
    </row>
    <row r="29" spans="1:5" x14ac:dyDescent="0.3">
      <c r="B29" s="2">
        <v>6</v>
      </c>
      <c r="C29" s="35" t="s">
        <v>98</v>
      </c>
      <c r="D29" s="45">
        <f>+D133</f>
        <v>56180</v>
      </c>
      <c r="E29" s="59">
        <f t="shared" si="0"/>
        <v>185710</v>
      </c>
    </row>
    <row r="30" spans="1:5" x14ac:dyDescent="0.3">
      <c r="B30" s="2">
        <v>7</v>
      </c>
      <c r="C30" s="35" t="s">
        <v>99</v>
      </c>
      <c r="D30" s="45">
        <f>+D146</f>
        <v>23490</v>
      </c>
      <c r="E30" s="59">
        <f t="shared" si="0"/>
        <v>77650</v>
      </c>
    </row>
    <row r="31" spans="1:5" x14ac:dyDescent="0.3">
      <c r="B31" s="2">
        <v>8</v>
      </c>
      <c r="C31" s="35" t="s">
        <v>100</v>
      </c>
      <c r="D31" s="45">
        <f>+D154</f>
        <v>14010</v>
      </c>
      <c r="E31" s="59">
        <f t="shared" si="0"/>
        <v>46310</v>
      </c>
    </row>
    <row r="32" spans="1:5" x14ac:dyDescent="0.3">
      <c r="B32" s="2">
        <v>9</v>
      </c>
      <c r="C32" s="35" t="s">
        <v>101</v>
      </c>
      <c r="D32" s="45">
        <f>+D161</f>
        <v>41110</v>
      </c>
      <c r="E32" s="59">
        <f t="shared" si="0"/>
        <v>135900</v>
      </c>
    </row>
    <row r="33" spans="1:7" x14ac:dyDescent="0.3">
      <c r="B33" s="2">
        <v>10</v>
      </c>
      <c r="C33" s="35" t="s">
        <v>153</v>
      </c>
      <c r="D33" s="53">
        <f>TRUNC(SUM(D24:D32)*0.275,-1)</f>
        <v>370510</v>
      </c>
      <c r="E33" s="60">
        <f t="shared" si="0"/>
        <v>1224830</v>
      </c>
    </row>
    <row r="34" spans="1:7" x14ac:dyDescent="0.3">
      <c r="C34" s="35" t="s">
        <v>112</v>
      </c>
      <c r="D34" s="44">
        <f>SUM(D24:D33)</f>
        <v>1717820</v>
      </c>
      <c r="E34" s="44">
        <f>SUM(E24:E33)</f>
        <v>5678730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264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TRUNC(36517.6270045536,-1)</f>
        <v>36510</v>
      </c>
      <c r="E40" s="62">
        <f t="shared" ref="E40:E59" si="1">TRUNC(+D40*3.3058,-1)</f>
        <v>120690</v>
      </c>
    </row>
    <row r="41" spans="1:7" x14ac:dyDescent="0.3">
      <c r="A41" s="2">
        <v>2</v>
      </c>
      <c r="C41" s="38" t="s">
        <v>13</v>
      </c>
      <c r="D41" s="42">
        <f>TRUNC(132194.953870521,-1)</f>
        <v>132190</v>
      </c>
      <c r="E41" s="63">
        <f t="shared" si="1"/>
        <v>436990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TRUNC(51569.3444862402,-1)</f>
        <v>51560</v>
      </c>
      <c r="E43" s="63">
        <f t="shared" si="1"/>
        <v>170440</v>
      </c>
    </row>
    <row r="44" spans="1:7" x14ac:dyDescent="0.3">
      <c r="A44" s="2">
        <v>5</v>
      </c>
      <c r="C44" s="38" t="s">
        <v>17</v>
      </c>
      <c r="D44" s="42">
        <f>TRUNC(34496.3494357553,-1)</f>
        <v>34490</v>
      </c>
      <c r="E44" s="63">
        <f t="shared" si="1"/>
        <v>114010</v>
      </c>
    </row>
    <row r="45" spans="1:7" x14ac:dyDescent="0.3">
      <c r="A45" s="2">
        <v>6</v>
      </c>
      <c r="C45" s="38" t="s">
        <v>18</v>
      </c>
      <c r="D45" s="42">
        <f>TRUNC(4429.38744803009,-1)</f>
        <v>4420</v>
      </c>
      <c r="E45" s="63">
        <f t="shared" si="1"/>
        <v>14610</v>
      </c>
    </row>
    <row r="46" spans="1:7" x14ac:dyDescent="0.3">
      <c r="A46" s="2">
        <v>7</v>
      </c>
      <c r="C46" s="38" t="s">
        <v>19</v>
      </c>
      <c r="D46" s="42">
        <f>TRUNC(11623.2789546624,-1)</f>
        <v>11620</v>
      </c>
      <c r="E46" s="63">
        <f t="shared" si="1"/>
        <v>38410</v>
      </c>
    </row>
    <row r="47" spans="1:7" x14ac:dyDescent="0.3">
      <c r="A47" s="2">
        <v>8</v>
      </c>
      <c r="C47" s="38" t="s">
        <v>20</v>
      </c>
      <c r="D47" s="42">
        <f>TRUNC(16342.9287269848,-1)</f>
        <v>16340</v>
      </c>
      <c r="E47" s="63">
        <f t="shared" si="1"/>
        <v>54010</v>
      </c>
    </row>
    <row r="48" spans="1:7" x14ac:dyDescent="0.3">
      <c r="A48" s="2">
        <v>9</v>
      </c>
      <c r="C48" s="38" t="s">
        <v>21</v>
      </c>
      <c r="D48" s="42">
        <f>TRUNC(108074.17560879,-1)</f>
        <v>108070</v>
      </c>
      <c r="E48" s="63">
        <f t="shared" si="1"/>
        <v>357250</v>
      </c>
    </row>
    <row r="49" spans="1:7" x14ac:dyDescent="0.3">
      <c r="A49" s="2">
        <v>10</v>
      </c>
      <c r="C49" s="38" t="s">
        <v>22</v>
      </c>
      <c r="D49" s="42">
        <f>TRUNC(22131.4339734706,-1)</f>
        <v>22130</v>
      </c>
      <c r="E49" s="63">
        <f t="shared" si="1"/>
        <v>73150</v>
      </c>
    </row>
    <row r="50" spans="1:7" x14ac:dyDescent="0.3">
      <c r="A50" s="2">
        <v>11</v>
      </c>
      <c r="C50" s="38" t="s">
        <v>154</v>
      </c>
      <c r="D50" s="42">
        <f>TRUNC(89086.283112255,-1)</f>
        <v>89080</v>
      </c>
      <c r="E50" s="63">
        <f t="shared" si="1"/>
        <v>294480</v>
      </c>
    </row>
    <row r="51" spans="1:7" x14ac:dyDescent="0.3">
      <c r="A51" s="2">
        <v>12</v>
      </c>
      <c r="C51" s="38" t="s">
        <v>23</v>
      </c>
      <c r="D51" s="42">
        <f>TRUNC(17967.7828152841,-1)</f>
        <v>17960</v>
      </c>
      <c r="E51" s="63">
        <f t="shared" si="1"/>
        <v>59370</v>
      </c>
    </row>
    <row r="52" spans="1:7" x14ac:dyDescent="0.3">
      <c r="A52" s="2">
        <v>13</v>
      </c>
      <c r="C52" s="38" t="s">
        <v>24</v>
      </c>
      <c r="D52" s="42">
        <f>TRUNC(12739.4240744407,-1)</f>
        <v>12730</v>
      </c>
      <c r="E52" s="63">
        <f t="shared" si="1"/>
        <v>42080</v>
      </c>
    </row>
    <row r="53" spans="1:7" x14ac:dyDescent="0.3">
      <c r="A53" s="2">
        <v>14</v>
      </c>
      <c r="C53" s="38" t="s">
        <v>25</v>
      </c>
      <c r="D53" s="42">
        <f>TRUNC(50660.0890912691,-1)</f>
        <v>50660</v>
      </c>
      <c r="E53" s="63">
        <f t="shared" si="1"/>
        <v>167470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TRUNC(2897.08750742427,-1)</f>
        <v>2890</v>
      </c>
      <c r="E55" s="63">
        <f t="shared" si="1"/>
        <v>9550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TRUNC(1981.41041377945+29046.4205107899+2186.89368441893+1846.68818055831+2121.85923579489+36967.3070679073+4621.27578697288,-1)</f>
        <v>78770</v>
      </c>
      <c r="E58" s="63">
        <f t="shared" si="1"/>
        <v>260390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TRUNC(209890.516729361,-1)</f>
        <v>209890</v>
      </c>
      <c r="E59" s="64">
        <f t="shared" si="1"/>
        <v>693850</v>
      </c>
      <c r="F59" s="2" t="s">
        <v>235</v>
      </c>
    </row>
    <row r="60" spans="1:7" x14ac:dyDescent="0.3">
      <c r="A60" s="2">
        <v>21</v>
      </c>
      <c r="C60" s="27" t="s">
        <v>112</v>
      </c>
      <c r="D60" s="39">
        <f>SUM(D40:D59)</f>
        <v>879310</v>
      </c>
      <c r="E60" s="39">
        <f>SUM(E40:E59)</f>
        <v>2906750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265</v>
      </c>
      <c r="G62" s="55"/>
    </row>
    <row r="63" spans="1:7" x14ac:dyDescent="0.3">
      <c r="A63" s="2">
        <v>1</v>
      </c>
      <c r="C63" s="38" t="s">
        <v>27</v>
      </c>
      <c r="D63" s="40">
        <f>TRUNC(21826.4349633736,-1)</f>
        <v>21820</v>
      </c>
      <c r="E63" s="62">
        <f>TRUNC(+D63*3.3058,-1)</f>
        <v>72130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21820</v>
      </c>
      <c r="E66" s="65">
        <f>SUM(E63:E65)</f>
        <v>72130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265</v>
      </c>
      <c r="G68" s="55"/>
    </row>
    <row r="69" spans="1:7" x14ac:dyDescent="0.3">
      <c r="A69" s="2">
        <v>1</v>
      </c>
      <c r="C69" s="38" t="s">
        <v>30</v>
      </c>
      <c r="D69" s="40">
        <f>TRUNC(16095.4096218571,-1)</f>
        <v>16090</v>
      </c>
      <c r="E69" s="62">
        <f>TRUNC(+D69*3.3058,-1)</f>
        <v>53190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TRUNC(19373.0865175213,-1)</f>
        <v>19370</v>
      </c>
      <c r="E71" s="63">
        <f t="shared" ref="E71:E73" si="2">TRUNC(+D71*3.3058,-1)</f>
        <v>64030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f>TRUNC(35224.8398336963,-1)</f>
        <v>35220</v>
      </c>
      <c r="E76" s="63">
        <f t="shared" ref="E76:E89" si="3">TRUNC(+D76*3.3058,-1)</f>
        <v>116430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TRUNC(53899.0968125124,-1)</f>
        <v>53890</v>
      </c>
      <c r="E78" s="63">
        <f t="shared" si="3"/>
        <v>178140</v>
      </c>
      <c r="F78" s="2" t="s">
        <v>254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TRUNC(16940.3236982776,-1)</f>
        <v>16940</v>
      </c>
      <c r="E92" s="63">
        <f>TRUNC(+D92*3.3058,-1)</f>
        <v>56000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TRUNC(21694.3763611166,-1)</f>
        <v>21690</v>
      </c>
      <c r="E94" s="64">
        <f>TRUNC(+D94*3.3058,-1)</f>
        <v>71700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163200</v>
      </c>
      <c r="E95" s="39">
        <f>SUM(E69:E94)</f>
        <v>539490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265</v>
      </c>
      <c r="G97" s="55"/>
    </row>
    <row r="98" spans="1:7" x14ac:dyDescent="0.3">
      <c r="A98" s="2">
        <v>1</v>
      </c>
      <c r="C98" s="38" t="s">
        <v>39</v>
      </c>
      <c r="D98" s="40">
        <f>TRUNC(10273.7420312809,-1)</f>
        <v>10270</v>
      </c>
      <c r="E98" s="62">
        <f t="shared" ref="E98:E118" si="4">TRUNC(+D98*3.3058,-1)</f>
        <v>33950</v>
      </c>
    </row>
    <row r="99" spans="1:7" x14ac:dyDescent="0.3">
      <c r="A99" s="2">
        <v>2</v>
      </c>
      <c r="C99" s="38" t="s">
        <v>40</v>
      </c>
      <c r="D99" s="42">
        <f>TRUNC(6282.69332805385,-1)</f>
        <v>6280</v>
      </c>
      <c r="E99" s="63">
        <f t="shared" si="4"/>
        <v>20760</v>
      </c>
    </row>
    <row r="100" spans="1:7" x14ac:dyDescent="0.3">
      <c r="A100" s="2">
        <v>3</v>
      </c>
      <c r="C100" s="38" t="s">
        <v>41</v>
      </c>
      <c r="D100" s="42">
        <f>TRUNC(24693.0043555732,-1)</f>
        <v>24690</v>
      </c>
      <c r="E100" s="63">
        <f t="shared" si="4"/>
        <v>81620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TRUNC(6226.87626212631,-1)</f>
        <v>6220</v>
      </c>
      <c r="E102" s="63">
        <f t="shared" si="4"/>
        <v>20560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TRUNC(1863.69392199564+684.937636111661,-1)</f>
        <v>2540</v>
      </c>
      <c r="E104" s="63">
        <f t="shared" si="4"/>
        <v>8390</v>
      </c>
      <c r="F104" s="2" t="s">
        <v>258</v>
      </c>
    </row>
    <row r="105" spans="1:7" x14ac:dyDescent="0.3">
      <c r="A105" s="2">
        <v>8</v>
      </c>
      <c r="C105" s="38" t="s">
        <v>46</v>
      </c>
      <c r="D105" s="42">
        <f>TRUNC(1521.03088497327,-1)</f>
        <v>1520</v>
      </c>
      <c r="E105" s="63">
        <f t="shared" si="4"/>
        <v>5020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TRUNC(8173.14412987527,-1)</f>
        <v>8170</v>
      </c>
      <c r="E114" s="63">
        <f t="shared" si="4"/>
        <v>27000</v>
      </c>
    </row>
    <row r="115" spans="1:7" x14ac:dyDescent="0.3">
      <c r="A115" s="2">
        <v>18</v>
      </c>
      <c r="C115" s="38" t="s">
        <v>116</v>
      </c>
      <c r="D115" s="42">
        <f>TRUNC(1382.52187685607,-1)</f>
        <v>1380</v>
      </c>
      <c r="E115" s="63">
        <f t="shared" si="4"/>
        <v>4560</v>
      </c>
      <c r="F115" s="2" t="s">
        <v>257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TRUNC(25966.3432983568+61163.3339932687,-1)</f>
        <v>87120</v>
      </c>
      <c r="E117" s="63">
        <f t="shared" si="4"/>
        <v>288000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148190</v>
      </c>
      <c r="E119" s="39">
        <f>SUM(E98:E118)</f>
        <v>489860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265</v>
      </c>
      <c r="G121" s="55"/>
    </row>
    <row r="122" spans="1:7" x14ac:dyDescent="0.3">
      <c r="A122" s="2">
        <v>1</v>
      </c>
      <c r="C122" s="38" t="s">
        <v>55</v>
      </c>
      <c r="D122" s="40">
        <f>TRUNC(2350.82815284102,-1)</f>
        <v>2350</v>
      </c>
      <c r="E122" s="62">
        <f t="shared" ref="E122:E132" si="5">TRUNC(+D122*3.3058,-1)</f>
        <v>7760</v>
      </c>
    </row>
    <row r="123" spans="1:7" x14ac:dyDescent="0.3">
      <c r="A123" s="2">
        <v>2</v>
      </c>
      <c r="C123" s="38" t="s">
        <v>124</v>
      </c>
      <c r="D123" s="42">
        <f>TRUNC(13363.2627202534,-1)</f>
        <v>13360</v>
      </c>
      <c r="E123" s="63">
        <f t="shared" si="5"/>
        <v>44160</v>
      </c>
    </row>
    <row r="124" spans="1:7" x14ac:dyDescent="0.3">
      <c r="A124" s="2">
        <v>3</v>
      </c>
      <c r="C124" s="38" t="s">
        <v>151</v>
      </c>
      <c r="D124" s="42">
        <f>TRUNC(2517.29301128489,-1)</f>
        <v>2510</v>
      </c>
      <c r="E124" s="63">
        <f t="shared" si="5"/>
        <v>8290</v>
      </c>
    </row>
    <row r="125" spans="1:7" x14ac:dyDescent="0.3">
      <c r="A125" s="2">
        <v>4</v>
      </c>
      <c r="C125" s="38" t="s">
        <v>138</v>
      </c>
      <c r="D125" s="42">
        <f>TRUNC(3943.06275984953,-1)</f>
        <v>3940</v>
      </c>
      <c r="E125" s="63">
        <f t="shared" si="5"/>
        <v>13020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TRUNC(2165.20510789943,-1)</f>
        <v>2160</v>
      </c>
      <c r="E128" s="63">
        <f t="shared" si="5"/>
        <v>7140</v>
      </c>
      <c r="F128" s="2" t="s">
        <v>261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TRUNC(10004.5535537517,-1)</f>
        <v>10000</v>
      </c>
      <c r="E131" s="63">
        <f t="shared" si="5"/>
        <v>33050</v>
      </c>
      <c r="F131" s="2" t="s">
        <v>263</v>
      </c>
    </row>
    <row r="132" spans="1:7" ht="18" thickBot="1" x14ac:dyDescent="0.35">
      <c r="A132" s="2">
        <v>11</v>
      </c>
      <c r="C132" s="38" t="s">
        <v>47</v>
      </c>
      <c r="D132" s="43">
        <f>TRUNC(21863.3630964165,-1)</f>
        <v>21860</v>
      </c>
      <c r="E132" s="64">
        <f t="shared" si="5"/>
        <v>72260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56180</v>
      </c>
      <c r="E133" s="39">
        <f>SUM(E122:E132)</f>
        <v>185680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265</v>
      </c>
      <c r="G135" s="55"/>
    </row>
    <row r="136" spans="1:7" x14ac:dyDescent="0.3">
      <c r="A136" s="2">
        <v>1</v>
      </c>
      <c r="C136" s="38" t="s">
        <v>131</v>
      </c>
      <c r="D136" s="40">
        <f>TRUNC(16476.4508018214,-1)</f>
        <v>16470</v>
      </c>
      <c r="E136" s="62">
        <f t="shared" ref="E136:E145" si="6">TRUNC(+D136*3.3058,-1)</f>
        <v>54440</v>
      </c>
    </row>
    <row r="137" spans="1:7" x14ac:dyDescent="0.3">
      <c r="A137" s="2">
        <v>2</v>
      </c>
      <c r="C137" s="38" t="s">
        <v>47</v>
      </c>
      <c r="D137" s="42">
        <f>TRUNC(5361.17996436349,-1)</f>
        <v>5360</v>
      </c>
      <c r="E137" s="63">
        <f t="shared" si="6"/>
        <v>17710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TRUNC(1665.10215798852,-1)</f>
        <v>1660</v>
      </c>
      <c r="E143" s="63">
        <f t="shared" si="6"/>
        <v>5480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23490</v>
      </c>
      <c r="E146" s="39">
        <f>SUM(E136:E145)</f>
        <v>77630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265</v>
      </c>
      <c r="G148" s="55"/>
    </row>
    <row r="149" spans="1:7" x14ac:dyDescent="0.3">
      <c r="A149" s="2">
        <v>1</v>
      </c>
      <c r="C149" s="38" t="s">
        <v>48</v>
      </c>
      <c r="D149" s="40">
        <f>TRUNC(4302.81409621857+605.294991090873,-1)</f>
        <v>4900</v>
      </c>
      <c r="E149" s="62">
        <f>TRUNC(+D149*3.3058,-1)</f>
        <v>16190</v>
      </c>
    </row>
    <row r="150" spans="1:7" x14ac:dyDescent="0.3">
      <c r="A150" s="2">
        <v>2</v>
      </c>
      <c r="C150" s="38" t="s">
        <v>49</v>
      </c>
      <c r="D150" s="42">
        <f>TRUNC(2518.00494951495,-1)</f>
        <v>2510</v>
      </c>
      <c r="E150" s="63">
        <f>TRUNC(+D150*3.3058,-1)</f>
        <v>8290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TRUNC(495.238170659275+5943.4149673332+169.944961393783,-1)</f>
        <v>6600</v>
      </c>
      <c r="E152" s="63">
        <f>TRUNC(+D152*3.3058,-1)</f>
        <v>21810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  <c r="F153" s="2" t="s">
        <v>235</v>
      </c>
    </row>
    <row r="154" spans="1:7" x14ac:dyDescent="0.3">
      <c r="A154" s="2">
        <v>6</v>
      </c>
      <c r="C154" s="27" t="s">
        <v>112</v>
      </c>
      <c r="D154" s="39">
        <f>SUM(D149:D153)</f>
        <v>14010</v>
      </c>
      <c r="E154" s="39">
        <f>SUM(E149:E153)</f>
        <v>46290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265</v>
      </c>
      <c r="G156" s="55"/>
    </row>
    <row r="157" spans="1:7" x14ac:dyDescent="0.3">
      <c r="A157" s="2">
        <v>1</v>
      </c>
      <c r="C157" s="38" t="s">
        <v>51</v>
      </c>
      <c r="D157" s="40">
        <f>TRUNC(7003.29835676104,-1)</f>
        <v>7000</v>
      </c>
      <c r="E157" s="62">
        <f>TRUNC(+D157*3.3058,-1)</f>
        <v>23140</v>
      </c>
    </row>
    <row r="158" spans="1:7" x14ac:dyDescent="0.3">
      <c r="A158" s="2">
        <v>2</v>
      </c>
      <c r="C158" s="38" t="s">
        <v>52</v>
      </c>
      <c r="D158" s="42">
        <f>TRUNC(3134.86418530984,-1)</f>
        <v>3130</v>
      </c>
      <c r="E158" s="63">
        <f>TRUNC(+D158*3.3058,-1)</f>
        <v>10340</v>
      </c>
    </row>
    <row r="159" spans="1:7" x14ac:dyDescent="0.3">
      <c r="A159" s="2">
        <v>3</v>
      </c>
      <c r="C159" s="38" t="s">
        <v>47</v>
      </c>
      <c r="D159" s="42">
        <f>TRUNC(3545.06018610176+27442.1635319739,-1)</f>
        <v>30980</v>
      </c>
      <c r="E159" s="63">
        <f>TRUNC(+D159*3.3058,-1)</f>
        <v>102410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41110</v>
      </c>
      <c r="E161" s="39">
        <f>SUM(E157:E160)</f>
        <v>135890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2020-12-07T09:06:37Z</dcterms:modified>
</cp:coreProperties>
</file>