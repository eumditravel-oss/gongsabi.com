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4" l="1"/>
  <c r="D144" i="4"/>
  <c r="D143" i="4"/>
  <c r="D139" i="4"/>
  <c r="D141" i="4"/>
  <c r="D142" i="4"/>
  <c r="D140" i="4"/>
  <c r="D132" i="4"/>
  <c r="D128" i="4"/>
  <c r="D124" i="4"/>
  <c r="D125" i="4"/>
  <c r="D122" i="4"/>
  <c r="D130" i="4"/>
  <c r="D118" i="4"/>
  <c r="D105" i="4"/>
  <c r="D104" i="4"/>
  <c r="D103" i="4"/>
  <c r="D102" i="4"/>
  <c r="D101" i="4"/>
  <c r="D100" i="4"/>
  <c r="D99" i="4"/>
  <c r="D98" i="4"/>
  <c r="D114" i="4"/>
  <c r="D116" i="4"/>
  <c r="D94" i="4"/>
  <c r="D92" i="4"/>
  <c r="D91" i="4"/>
  <c r="D89" i="4"/>
  <c r="D76" i="4"/>
  <c r="D73" i="4"/>
  <c r="D72" i="4"/>
  <c r="D6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2" i="4"/>
  <c r="D159" i="4"/>
  <c r="D158" i="4"/>
  <c r="D157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<sst xmlns="http://schemas.openxmlformats.org/spreadsheetml/2006/main" count="394" uniqueCount="269">
  <si>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</si>
  <si>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</si>
  <si>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</si>
  <si>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</si>
  <si>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</si>
  <si>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</si>
  <si>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</si>
  <si>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</si>
  <si>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</si>
  <si>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</si>
  <si>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</si>
  <si>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</si>
  <si>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</si>
  <si>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</si>
  <si>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</si>
  <si>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</si>
  <si>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</si>
  <si>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</si>
  <si>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</si>
  <si>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</si>
  <si>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</si>
  <si>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</si>
  <si>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</si>
  <si>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</si>
  <si>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</si>
  <si>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</si>
  <si>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</si>
  <si>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</si>
  <si>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</si>
  <si>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</si>
  <si>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</si>
  <si>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</si>
  <si>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</si>
  <si>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</si>
  <si>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</si>
  <si>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</si>
  <si>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</si>
  <si>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</si>
  <si>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</si>
  <si>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</si>
  <si>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</si>
  <si>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</si>
  <si>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</si>
  <si>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</si>
  <si>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</si>
  <si>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</si>
  <si>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</si>
  <si>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</si>
  <si>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</si>
  <si>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</si>
  <si>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</si>
  <si>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</si>
  <si>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</si>
  <si>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</si>
  <si>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</si>
  <si>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</si>
  <si>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</si>
  <si>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</si>
  <si>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</si>
  <si>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</si>
  <si>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</si>
  <si>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</si>
  <si>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</si>
  <si>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</si>
  <si>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</si>
  <si>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</si>
  <si>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</si>
  <si>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</si>
  <si>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</si>
  <si>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</si>
  <si>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</si>
  <si>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</si>
  <si>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</si>
  <si>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</si>
  <si>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</si>
  <si>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</si>
  <si>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</si>
  <si>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</si>
  <si>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</si>
  <si>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</si>
  <si>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</si>
  <si>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</si>
  <si>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</si>
  <si>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</si>
  <si>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</si>
  <si>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</si>
  <si>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</si>
  <si>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</si>
  <si>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</si>
  <si>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</si>
  <si>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</si>
  <si>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</si>
  <si>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</si>
  <si>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</si>
  <si>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</si>
  <si>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</si>
  <si>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</si>
  <si>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</si>
  <si>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</si>
  <si>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</si>
  <si>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</si>
  <si>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</si>
  <si>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</si>
  <si>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</si>
  <si>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</si>
  <si>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</si>
  <si>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</si>
  <si>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</si>
  <si>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</si>
  <si>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</si>
  <si>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</si>
  <si>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</si>
  <si>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</si>
  <si>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</si>
  <si>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</si>
  <si>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</si>
  <si>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</si>
  <si>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</si>
  <si>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</si>
  <si>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</si>
  <si>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</si>
  <si>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</si>
  <si>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</si>
  <si>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</si>
  <si>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</si>
  <si>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</si>
  <si>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</si>
  <si>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</si>
  <si>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</si>
  <si>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</si>
  <si>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</si>
  <si>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</si>
  <si>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</si>
  <si>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</si>
  <si>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</si>
  <si>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</si>
  <si>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</si>
  <si>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</si>
  <si>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</si>
  <si>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</si>
  <si>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</si>
  <si>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</si>
  <si>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</si>
  <si>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</si>
  <si>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</si>
  <si>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</si>
  <si>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</si>
  <si>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</si>
  <si>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</si>
  <si>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</si>
  <si>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</si>
  <si>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</si>
  <si>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</si>
  <si>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</si>
  <si>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</si>
  <si>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</si>
  <si>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</si>
  <si>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</si>
  <si>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</si>
  <si>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</si>
  <si>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</si>
  <si>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</si>
  <si>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</si>
  <si>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</si>
  <si>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</si>
  <si>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</si>
  <si>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</si>
  <si>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</si>
  <si>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</si>
  <si>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</si>
  <si>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</si>
  <si>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</si>
  <si>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</si>
  <si>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</si>
  <si>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</si>
  <si>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</si>
  <si>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</si>
  <si>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</si>
  <si>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</si>
  <si>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</si>
  <si>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</si>
  <si>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</si>
  <si>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</si>
  <si>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</si>
  <si>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</si>
  <si>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</si>
  <si>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</si>
  <si>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</si>
  <si>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</si>
  <si>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</si>
  <si>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</si>
  <si>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</si>
  <si>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</si>
  <si>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</si>
  <si>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</si>
  <si>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</si>
  <si>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</si>
  <si>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</si>
  <si>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</si>
  <si>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</si>
  <si>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</si>
  <si>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</si>
  <si>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</si>
  <si>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</si>
  <si>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</si>
  <si>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</si>
  <si>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</si>
  <si>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</si>
  <si>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</si>
  <si>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</si>
  <si>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</si>
  <si>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</si>
  <si>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</si>
  <si>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</si>
  <si>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</si>
  <si>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</si>
  <si>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</si>
  <si>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</si>
  <si>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</si>
  <si>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</si>
  <si>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</si>
  <si>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</si>
  <si>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</si>
  <si>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</si>
  <si>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</si>
  <si>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</si>
  <si>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</si>
  <si>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</si>
  <si>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</si>
  <si>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</si>
  <si>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</si>
  <si>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</si>
  <si>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</si>
  <si>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</si>
  <si>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</si>
  <si>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</si>
  <si>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</si>
  <si>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</si>
  <si>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</si>
  <si>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</si>
  <si>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</si>
  <si>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</si>
  <si>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</si>
  <si>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</si>
  <si>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</si>
  <si>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</si>
  <si>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</si>
  <si>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</si>
  <si>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반곡유초등학교 신축공사</t>
    <phoneticPr fontId="2" type="noConversion"/>
  </si>
  <si>
    <t>교육연구</t>
  </si>
  <si>
    <t>세종시</t>
  </si>
  <si>
    <t>사급자재비</t>
    <phoneticPr fontId="2" type="noConversion"/>
  </si>
  <si>
    <t>포장공사</t>
    <phoneticPr fontId="2" type="noConversion"/>
  </si>
  <si>
    <t>조경시설물</t>
    <phoneticPr fontId="2" type="noConversion"/>
  </si>
  <si>
    <t>펌프실배관공사,기타공사</t>
    <phoneticPr fontId="2" type="noConversion"/>
  </si>
  <si>
    <t>CATV 및 TV 설비공사</t>
    <phoneticPr fontId="2" type="noConversion"/>
  </si>
  <si>
    <t>CCTV설비공사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</si>
  <si>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</si>
  <si>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</si>
  <si>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공조배관공사,난방배관공사,기타공사</t>
    <phoneticPr fontId="2" type="noConversion"/>
  </si>
  <si>
    <t>기초공사,골재비및운반비,작업부산물,기타공사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</si>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</sst>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16650.12</v>
      </c>
      <c r="D7" s="36">
        <f>+C7/3.3058</f>
        <v>5036.6386351261417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745690</v>
      </c>
      <c r="E25" s="59">
        <f t="shared" si="0"/>
        <v>2465100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203900</v>
      </c>
      <c r="E27" s="59">
        <f t="shared" si="0"/>
        <v>674050</v>
      </c>
    </row>
    <row r="28" spans="1:5" x14ac:dyDescent="0.3">
      <c r="B28" s="2">
        <v>5</v>
      </c>
      <c r="C28" s="35" t="s">
        <v>97</v>
      </c>
      <c r="D28" s="45">
        <f>+D119</f>
        <v>174560</v>
      </c>
      <c r="E28" s="59">
        <f t="shared" si="0"/>
        <v>577060</v>
      </c>
    </row>
    <row r="29" spans="1:5" x14ac:dyDescent="0.3">
      <c r="B29" s="2">
        <v>6</v>
      </c>
      <c r="C29" s="35" t="s">
        <v>98</v>
      </c>
      <c r="D29" s="45">
        <f>+D133</f>
        <v>63070</v>
      </c>
      <c r="E29" s="59">
        <f t="shared" si="0"/>
        <v>208490</v>
      </c>
    </row>
    <row r="30" spans="1:5" x14ac:dyDescent="0.3">
      <c r="B30" s="2">
        <v>7</v>
      </c>
      <c r="C30" s="35" t="s">
        <v>99</v>
      </c>
      <c r="D30" s="45">
        <f>+D146</f>
        <v>54590</v>
      </c>
      <c r="E30" s="59">
        <f t="shared" si="0"/>
        <v>180460</v>
      </c>
    </row>
    <row r="31" spans="1:5" x14ac:dyDescent="0.3">
      <c r="B31" s="2">
        <v>8</v>
      </c>
      <c r="C31" s="35" t="s">
        <v>100</v>
      </c>
      <c r="D31" s="45">
        <f>+D154</f>
        <v>22000</v>
      </c>
      <c r="E31" s="59">
        <f t="shared" si="0"/>
        <v>72720</v>
      </c>
    </row>
    <row r="32" spans="1:5" x14ac:dyDescent="0.3">
      <c r="B32" s="2">
        <v>9</v>
      </c>
      <c r="C32" s="35" t="s">
        <v>101</v>
      </c>
      <c r="D32" s="45">
        <f>+D161</f>
        <v>20810</v>
      </c>
      <c r="E32" s="59">
        <f t="shared" si="0"/>
        <v>68790</v>
      </c>
    </row>
    <row r="33" spans="1:7" x14ac:dyDescent="0.3">
      <c r="B33" s="2">
        <v>10</v>
      </c>
      <c r="C33" s="35" t="s">
        <v>154</v>
      </c>
      <c r="D33" s="53">
        <f>TRUNC(SUM(D24:D32)*0.275,-1)</f>
        <v>353270</v>
      </c>
      <c r="E33" s="60">
        <f t="shared" si="0"/>
        <v>1167830</v>
      </c>
    </row>
    <row r="34" spans="1:7" x14ac:dyDescent="0.3">
      <c r="C34" s="35" t="s">
        <v>112</v>
      </c>
      <c r="D34" s="44">
        <f>SUM(D24:D33)</f>
        <v>1637890</v>
      </c>
      <c r="E34" s="44">
        <f>SUM(E24:E33)</f>
        <v>5414500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TRUNC(33604,-1)</f>
        <v>33600</v>
      </c>
      <c r="E40" s="62">
        <f t="shared" ref="E40:E59" si="1">TRUNC(+D40*3.3058,-1)</f>
        <v>111070</v>
      </c>
    </row>
    <row r="41" spans="1:7" x14ac:dyDescent="0.3">
      <c r="A41" s="2">
        <v>2</v>
      </c>
      <c r="C41" s="38" t="s">
        <v>13</v>
      </c>
      <c r="D41" s="42">
        <f>TRUNC(129679,-1)</f>
        <v>129670</v>
      </c>
      <c r="E41" s="63">
        <f t="shared" si="1"/>
        <v>428660</v>
      </c>
    </row>
    <row r="42" spans="1:7" x14ac:dyDescent="0.3">
      <c r="A42" s="2">
        <v>3</v>
      </c>
      <c r="C42" s="38" t="s">
        <v>14</v>
      </c>
      <c r="D42" s="42">
        <f>TRUNC(5121,-1)</f>
        <v>5120</v>
      </c>
      <c r="E42" s="63">
        <f t="shared" si="1"/>
        <v>16920</v>
      </c>
    </row>
    <row r="43" spans="1:7" x14ac:dyDescent="0.3">
      <c r="A43" s="2">
        <v>4</v>
      </c>
      <c r="C43" s="38" t="s">
        <v>16</v>
      </c>
      <c r="D43" s="42">
        <f>TRUNC(31291,-1)</f>
        <v>31290</v>
      </c>
      <c r="E43" s="63">
        <f t="shared" si="1"/>
        <v>103430</v>
      </c>
    </row>
    <row r="44" spans="1:7" x14ac:dyDescent="0.3">
      <c r="A44" s="2">
        <v>5</v>
      </c>
      <c r="C44" s="38" t="s">
        <v>17</v>
      </c>
      <c r="D44" s="42">
        <f>TRUNC(16373,-1)</f>
        <v>16370</v>
      </c>
      <c r="E44" s="63">
        <f t="shared" si="1"/>
        <v>54110</v>
      </c>
    </row>
    <row r="45" spans="1:7" x14ac:dyDescent="0.3">
      <c r="A45" s="2">
        <v>6</v>
      </c>
      <c r="C45" s="38" t="s">
        <v>18</v>
      </c>
      <c r="D45" s="42">
        <f>TRUNC(8305,-1)</f>
        <v>8300</v>
      </c>
      <c r="E45" s="63">
        <f t="shared" si="1"/>
        <v>27430</v>
      </c>
    </row>
    <row r="46" spans="1:7" x14ac:dyDescent="0.3">
      <c r="A46" s="2">
        <v>7</v>
      </c>
      <c r="C46" s="38" t="s">
        <v>19</v>
      </c>
      <c r="D46" s="42">
        <f>TRUNC(20876,-1)</f>
        <v>20870</v>
      </c>
      <c r="E46" s="63">
        <f t="shared" si="1"/>
        <v>68990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TRUNC(35193,-1)</f>
        <v>35190</v>
      </c>
      <c r="E48" s="63">
        <f t="shared" si="1"/>
        <v>116330</v>
      </c>
      <c r="F48" s="2" t="s">
        <v>261</v>
      </c>
    </row>
    <row r="49" spans="1:7" x14ac:dyDescent="0.3">
      <c r="A49" s="2">
        <v>10</v>
      </c>
      <c r="C49" s="38" t="s">
        <v>22</v>
      </c>
      <c r="D49" s="42">
        <f>TRUNC(16447,-1)</f>
        <v>16440</v>
      </c>
      <c r="E49" s="63">
        <f t="shared" si="1"/>
        <v>54340</v>
      </c>
    </row>
    <row r="50" spans="1:7" x14ac:dyDescent="0.3">
      <c r="A50" s="2">
        <v>11</v>
      </c>
      <c r="C50" s="38" t="s">
        <v>155</v>
      </c>
      <c r="D50" s="42">
        <f>TRUNC(48706,-1)</f>
        <v>48700</v>
      </c>
      <c r="E50" s="63">
        <f t="shared" si="1"/>
        <v>160990</v>
      </c>
      <c r="F50" s="2" t="s">
        <v>262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TRUNC(8949,-1)</f>
        <v>8940</v>
      </c>
      <c r="E52" s="63">
        <f t="shared" si="1"/>
        <v>29550</v>
      </c>
    </row>
    <row r="53" spans="1:7" x14ac:dyDescent="0.3">
      <c r="A53" s="2">
        <v>14</v>
      </c>
      <c r="C53" s="38" t="s">
        <v>25</v>
      </c>
      <c r="D53" s="42">
        <f>TRUNC(63906,-1)</f>
        <v>63900</v>
      </c>
      <c r="E53" s="63">
        <f t="shared" si="1"/>
        <v>211240</v>
      </c>
      <c r="F53" s="2" t="s">
        <v>263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TRUNC(31066+6905-689+10066,-1)</f>
        <v>47340</v>
      </c>
      <c r="E58" s="63">
        <f t="shared" si="1"/>
        <v>156490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TRUNC(279960,-1)</f>
        <v>279960</v>
      </c>
      <c r="E59" s="64">
        <f t="shared" si="1"/>
        <v>925490</v>
      </c>
    </row>
    <row r="60" spans="1:7" x14ac:dyDescent="0.3">
      <c r="A60" s="2">
        <v>21</v>
      </c>
      <c r="C60" s="27" t="s">
        <v>112</v>
      </c>
      <c r="D60" s="39">
        <f>SUM(D40:D59)</f>
        <v>745690</v>
      </c>
      <c r="E60" s="39">
        <f>SUM(E40:E59)</f>
        <v>2465040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TRUNC(10348,-1)</f>
        <v>10340</v>
      </c>
      <c r="E69" s="62">
        <f t="shared" ref="E69:E94" si="2">TRUNC(+D69*3.3058,-1)</f>
        <v>34180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TRUNC(4169,-1)</f>
        <v>4160</v>
      </c>
      <c r="E72" s="63">
        <f t="shared" si="2"/>
        <v>13750</v>
      </c>
    </row>
    <row r="73" spans="1:7" x14ac:dyDescent="0.3">
      <c r="A73" s="2">
        <v>5</v>
      </c>
      <c r="C73" s="38" t="s">
        <v>34</v>
      </c>
      <c r="D73" s="42">
        <f>TRUNC(19465,-1)</f>
        <v>19460</v>
      </c>
      <c r="E73" s="63">
        <f t="shared" si="2"/>
        <v>64330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TRUNC(41647,-1)</f>
        <v>41640</v>
      </c>
      <c r="E76" s="63">
        <f t="shared" si="2"/>
        <v>137650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TRUNC(7721,-1)</f>
        <v>7720</v>
      </c>
      <c r="E89" s="63">
        <f t="shared" si="2"/>
        <v>25520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TRUNC(1589,-1)</f>
        <v>1580</v>
      </c>
      <c r="E91" s="63">
        <f t="shared" si="2"/>
        <v>5220</v>
      </c>
    </row>
    <row r="92" spans="1:7" x14ac:dyDescent="0.3">
      <c r="A92" s="2">
        <v>24</v>
      </c>
      <c r="C92" s="38" t="s">
        <v>38</v>
      </c>
      <c r="D92" s="42">
        <f>TRUNC(14381,-1)</f>
        <v>14380</v>
      </c>
      <c r="E92" s="63">
        <f t="shared" si="2"/>
        <v>47530</v>
      </c>
    </row>
    <row r="93" spans="1:7" x14ac:dyDescent="0.3">
      <c r="A93" s="2">
        <v>25</v>
      </c>
      <c r="C93" s="38" t="s">
        <v>148</v>
      </c>
      <c r="D93" s="42">
        <f>TRUNC(71387,-1)</f>
        <v>71380</v>
      </c>
      <c r="E93" s="63">
        <f t="shared" si="2"/>
        <v>235960</v>
      </c>
    </row>
    <row r="94" spans="1:7" ht="17.25" thickBot="1" x14ac:dyDescent="0.35">
      <c r="A94" s="2">
        <v>26</v>
      </c>
      <c r="C94" s="38" t="s">
        <v>47</v>
      </c>
      <c r="D94" s="43">
        <f>TRUNC(4295+10992+17957,-1)</f>
        <v>33240</v>
      </c>
      <c r="E94" s="64">
        <f t="shared" si="2"/>
        <v>109880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203900</v>
      </c>
      <c r="E95" s="39">
        <f>SUM(E69:E94)</f>
        <v>674020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TRUNC(15063,-1)</f>
        <v>15060</v>
      </c>
      <c r="E98" s="62">
        <f t="shared" ref="E98:E118" si="3">TRUNC(+D98*3.3058,-1)</f>
        <v>49780</v>
      </c>
    </row>
    <row r="99" spans="1:7" x14ac:dyDescent="0.3">
      <c r="A99" s="2">
        <v>2</v>
      </c>
      <c r="C99" s="38" t="s">
        <v>40</v>
      </c>
      <c r="D99" s="42">
        <f>TRUNC(8717,-1)</f>
        <v>8710</v>
      </c>
      <c r="E99" s="63">
        <f t="shared" si="3"/>
        <v>28790</v>
      </c>
    </row>
    <row r="100" spans="1:7" x14ac:dyDescent="0.3">
      <c r="A100" s="2">
        <v>3</v>
      </c>
      <c r="C100" s="38" t="s">
        <v>41</v>
      </c>
      <c r="D100" s="42">
        <f>TRUNC(32369,-1)</f>
        <v>32360</v>
      </c>
      <c r="E100" s="63">
        <f t="shared" si="3"/>
        <v>106970</v>
      </c>
    </row>
    <row r="101" spans="1:7" x14ac:dyDescent="0.3">
      <c r="A101" s="2">
        <v>4</v>
      </c>
      <c r="C101" s="38" t="s">
        <v>42</v>
      </c>
      <c r="D101" s="42">
        <f>TRUNC(1747,-1)</f>
        <v>1740</v>
      </c>
      <c r="E101" s="63">
        <f t="shared" si="3"/>
        <v>5750</v>
      </c>
    </row>
    <row r="102" spans="1:7" x14ac:dyDescent="0.3">
      <c r="A102" s="2">
        <v>5</v>
      </c>
      <c r="C102" s="38" t="s">
        <v>43</v>
      </c>
      <c r="D102" s="42">
        <f>TRUNC(16211,-1)</f>
        <v>16210</v>
      </c>
      <c r="E102" s="63">
        <f t="shared" si="3"/>
        <v>53580</v>
      </c>
    </row>
    <row r="103" spans="1:7" x14ac:dyDescent="0.3">
      <c r="A103" s="2">
        <v>6</v>
      </c>
      <c r="C103" s="38" t="s">
        <v>44</v>
      </c>
      <c r="D103" s="42">
        <f>TRUNC(6194,-1)</f>
        <v>6190</v>
      </c>
      <c r="E103" s="63">
        <f t="shared" si="3"/>
        <v>20460</v>
      </c>
    </row>
    <row r="104" spans="1:7" x14ac:dyDescent="0.3">
      <c r="A104" s="2">
        <v>7</v>
      </c>
      <c r="C104" s="38" t="s">
        <v>45</v>
      </c>
      <c r="D104" s="42">
        <f>TRUNC(2294,-1)</f>
        <v>2290</v>
      </c>
      <c r="E104" s="63">
        <f t="shared" si="3"/>
        <v>7570</v>
      </c>
    </row>
    <row r="105" spans="1:7" x14ac:dyDescent="0.3">
      <c r="A105" s="2">
        <v>8</v>
      </c>
      <c r="C105" s="38" t="s">
        <v>46</v>
      </c>
      <c r="D105" s="42">
        <f>TRUNC(5984,-1)</f>
        <v>5980</v>
      </c>
      <c r="E105" s="63">
        <f t="shared" si="3"/>
        <v>19760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TRUNC(2330,-1)</f>
        <v>2330</v>
      </c>
      <c r="E114" s="63">
        <f t="shared" si="3"/>
        <v>7700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TRUNC(3133,-1)</f>
        <v>3130</v>
      </c>
      <c r="E116" s="63">
        <f t="shared" si="3"/>
        <v>10340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TRUNC(78745,-1)</f>
        <v>78740</v>
      </c>
      <c r="E117" s="63">
        <f t="shared" si="3"/>
        <v>260290</v>
      </c>
    </row>
    <row r="118" spans="1:7" ht="17.25" thickBot="1" x14ac:dyDescent="0.35">
      <c r="A118" s="2">
        <v>21</v>
      </c>
      <c r="C118" s="38" t="s">
        <v>47</v>
      </c>
      <c r="D118" s="43">
        <f>TRUNC(1827,-1)</f>
        <v>1820</v>
      </c>
      <c r="E118" s="64">
        <f t="shared" si="3"/>
        <v>6010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174560</v>
      </c>
      <c r="E119" s="39">
        <f>SUM(E98:E118)</f>
        <v>577000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TRUNC(3782,-1)</f>
        <v>3780</v>
      </c>
      <c r="E122" s="62">
        <f t="shared" ref="E122:E132" si="4">TRUNC(+D122*3.3058,-1)</f>
        <v>12490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TRUNC(1609,-1)</f>
        <v>1600</v>
      </c>
      <c r="E124" s="63">
        <f t="shared" si="4"/>
        <v>5280</v>
      </c>
    </row>
    <row r="125" spans="1:7" x14ac:dyDescent="0.3">
      <c r="A125" s="2">
        <v>4</v>
      </c>
      <c r="C125" s="38" t="s">
        <v>138</v>
      </c>
      <c r="D125" s="42">
        <f>TRUNC(9994,-1)</f>
        <v>9990</v>
      </c>
      <c r="E125" s="63">
        <f t="shared" si="4"/>
        <v>33020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TRUNC(7007,-1)</f>
        <v>7000</v>
      </c>
      <c r="E128" s="63">
        <f t="shared" si="4"/>
        <v>23140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TRUNC(15866,-1)</f>
        <v>15860</v>
      </c>
      <c r="E130" s="63">
        <f t="shared" si="4"/>
        <v>52420</v>
      </c>
    </row>
    <row r="131" spans="1:7" x14ac:dyDescent="0.3">
      <c r="A131" s="2">
        <v>10</v>
      </c>
      <c r="C131" s="38" t="s">
        <v>148</v>
      </c>
      <c r="D131" s="42">
        <f>TRUNC(21821,-1)</f>
        <v>21820</v>
      </c>
      <c r="E131" s="63">
        <f t="shared" si="4"/>
        <v>72130</v>
      </c>
    </row>
    <row r="132" spans="1:7" ht="18" thickBot="1" x14ac:dyDescent="0.35">
      <c r="A132" s="2">
        <v>11</v>
      </c>
      <c r="C132" s="38" t="s">
        <v>47</v>
      </c>
      <c r="D132" s="43">
        <f>TRUNC(3020,-1)</f>
        <v>3020</v>
      </c>
      <c r="E132" s="64">
        <f t="shared" si="4"/>
        <v>9980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63070</v>
      </c>
      <c r="E133" s="39">
        <f>SUM(E122:E132)</f>
        <v>208460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TRUNC(1216+7824,-1)</f>
        <v>9040</v>
      </c>
      <c r="E137" s="63">
        <f t="shared" si="5"/>
        <v>29880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TRUNC(2957,-1)</f>
        <v>2950</v>
      </c>
      <c r="E139" s="63">
        <f t="shared" si="5"/>
        <v>9750</v>
      </c>
    </row>
    <row r="140" spans="1:7" x14ac:dyDescent="0.3">
      <c r="A140" s="2">
        <v>5</v>
      </c>
      <c r="C140" s="38" t="s">
        <v>57</v>
      </c>
      <c r="D140" s="42">
        <f>TRUNC(9047,-1)</f>
        <v>9040</v>
      </c>
      <c r="E140" s="63">
        <f t="shared" si="5"/>
        <v>29880</v>
      </c>
    </row>
    <row r="141" spans="1:7" x14ac:dyDescent="0.3">
      <c r="A141" s="2">
        <v>6</v>
      </c>
      <c r="C141" s="38" t="s">
        <v>59</v>
      </c>
      <c r="D141" s="42">
        <f>TRUNC(13310,-1)</f>
        <v>13310</v>
      </c>
      <c r="E141" s="63">
        <f t="shared" si="5"/>
        <v>44000</v>
      </c>
    </row>
    <row r="142" spans="1:7" x14ac:dyDescent="0.3">
      <c r="A142" s="2">
        <v>7</v>
      </c>
      <c r="C142" s="38" t="s">
        <v>58</v>
      </c>
      <c r="D142" s="42">
        <f>TRUNC(4397,-1)</f>
        <v>4390</v>
      </c>
      <c r="E142" s="63">
        <f t="shared" si="5"/>
        <v>14510</v>
      </c>
    </row>
    <row r="143" spans="1:7" x14ac:dyDescent="0.3">
      <c r="A143" s="2">
        <v>8</v>
      </c>
      <c r="C143" s="38" t="s">
        <v>62</v>
      </c>
      <c r="D143" s="42">
        <f>TRUNC(7784,-1)</f>
        <v>7780</v>
      </c>
      <c r="E143" s="63">
        <f t="shared" si="5"/>
        <v>25710</v>
      </c>
    </row>
    <row r="144" spans="1:7" x14ac:dyDescent="0.3">
      <c r="A144" s="2">
        <v>9</v>
      </c>
      <c r="C144" s="38" t="s">
        <v>63</v>
      </c>
      <c r="D144" s="42">
        <f>TRUNC(8082,-1)</f>
        <v>8080</v>
      </c>
      <c r="E144" s="63">
        <f t="shared" si="5"/>
        <v>26710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54590</v>
      </c>
      <c r="E146" s="39">
        <f>SUM(E136:E145)</f>
        <v>180440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TRUNC(22005,-1)</f>
        <v>22000</v>
      </c>
      <c r="E152" s="63">
        <f>TRUNC(+D152*3.3058,-1)</f>
        <v>72720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22000</v>
      </c>
      <c r="E154" s="39">
        <f>SUM(E149:E153)</f>
        <v>72720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TRUNC(15374,-1)</f>
        <v>15370</v>
      </c>
      <c r="E157" s="62">
        <f>TRUNC(+D157*3.3058,-1)</f>
        <v>50810</v>
      </c>
    </row>
    <row r="158" spans="1:7" x14ac:dyDescent="0.3">
      <c r="A158" s="2">
        <v>2</v>
      </c>
      <c r="C158" s="38" t="s">
        <v>52</v>
      </c>
      <c r="D158" s="42">
        <f>TRUNC(4214,-1)</f>
        <v>4210</v>
      </c>
      <c r="E158" s="63">
        <f>TRUNC(+D158*3.3058,-1)</f>
        <v>13910</v>
      </c>
      <c r="F158" s="2" t="s">
        <v>253</v>
      </c>
    </row>
    <row r="159" spans="1:7" x14ac:dyDescent="0.3">
      <c r="A159" s="2">
        <v>3</v>
      </c>
      <c r="C159" s="38" t="s">
        <v>47</v>
      </c>
      <c r="D159" s="42">
        <f>TRUNC(1237,-1)</f>
        <v>1230</v>
      </c>
      <c r="E159" s="63">
        <f>TRUNC(+D159*3.3058,-1)</f>
        <v>4060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20810</v>
      </c>
      <c r="E161" s="39">
        <f>SUM(E157:E160)</f>
        <v>68780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2020-12-08T02:14:52Z</dcterms:modified>
</cp:coreProperties>
</file>