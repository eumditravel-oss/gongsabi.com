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45" i="4"/>
  <c r="D131" i="4"/>
  <c r="D117" i="4"/>
  <c r="D93" i="4"/>
  <c r="D59" i="4"/>
  <c r="D159" i="4"/>
  <c r="D158" i="4"/>
  <c r="D157" i="4"/>
  <c r="D161" i="4" s="1"/>
  <c r="D152" i="4"/>
  <c r="D150" i="4"/>
  <c r="D149" i="4"/>
  <c r="D137" i="4"/>
  <c r="D144" i="4"/>
  <c r="D143" i="4"/>
  <c r="D141" i="4"/>
  <c r="D142" i="4"/>
  <c r="D132" i="4"/>
  <c r="D128" i="4"/>
  <c r="D127" i="4"/>
  <c r="D125" i="4"/>
  <c r="D122" i="4"/>
  <c r="D133" i="4" s="1"/>
  <c r="D130" i="4"/>
  <c r="D118" i="4"/>
  <c r="D105" i="4"/>
  <c r="D104" i="4"/>
  <c r="D102" i="4"/>
  <c r="D101" i="4"/>
  <c r="D100" i="4"/>
  <c r="D99" i="4"/>
  <c r="D98" i="4"/>
  <c r="D116" i="4"/>
  <c r="D94" i="4"/>
  <c r="D75" i="4"/>
  <c r="D91" i="4"/>
  <c r="D90" i="4"/>
  <c r="D89" i="4"/>
  <c r="D73" i="4"/>
  <c r="D72" i="4"/>
  <c r="D71" i="4"/>
  <c r="D69" i="4"/>
  <c r="D63" i="4"/>
  <c r="D66" i="4" s="1"/>
  <c r="D58" i="4"/>
  <c r="D53" i="4"/>
  <c r="D52" i="4"/>
  <c r="D50" i="4"/>
  <c r="D49" i="4"/>
  <c r="D48" i="4"/>
  <c r="D46" i="4"/>
  <c r="D45" i="4"/>
  <c r="D44" i="4"/>
  <c r="D43" i="4"/>
  <c r="D41" i="4"/>
  <c r="D40" i="4"/>
  <c r="D60" i="4" s="1"/>
  <c r="D95" i="4" l="1"/>
  <c r="D146" i="4"/>
  <c r="D154" i="4"/>
  <c r="D119" i="4"/>
  <c r="E160" i="4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95" i="4" l="1"/>
  <c r="E60" i="4"/>
  <c r="E66" i="4"/>
  <c r="E161" i="4"/>
  <c r="E119" i="4"/>
  <c r="E154" i="4"/>
  <c r="E146" i="4"/>
  <c r="E133" i="4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<sst xmlns="http://schemas.openxmlformats.org/spreadsheetml/2006/main" count="395" uniqueCount="272">
  <si>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</si>
  <si>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</si>
  <si>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</si>
  <si>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</si>
  <si>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</si>
  <si>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</si>
  <si>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</si>
  <si>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</si>
  <si>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</si>
  <si>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</si>
  <si>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</si>
  <si>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</si>
  <si>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</si>
  <si>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</si>
  <si>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</si>
  <si>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</si>
  <si>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</si>
  <si>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</si>
  <si>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</si>
  <si>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</si>
  <si>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</si>
  <si>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</si>
  <si>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</si>
  <si>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</si>
  <si>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</si>
  <si>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</si>
  <si>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</si>
  <si>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</si>
  <si>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</si>
  <si>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</si>
  <si>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</si>
  <si>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</si>
  <si>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</si>
  <si>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</si>
  <si>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</si>
  <si>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</si>
  <si>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</si>
  <si>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</si>
  <si>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</si>
  <si>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</si>
  <si>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</si>
  <si>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</si>
  <si>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</si>
  <si>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</si>
  <si>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</si>
  <si>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</si>
  <si>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</si>
  <si>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</si>
  <si>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</si>
  <si>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</si>
  <si>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</si>
  <si>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</si>
  <si>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</si>
  <si>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</si>
  <si>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</si>
  <si>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</si>
  <si>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</si>
  <si>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</si>
  <si>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</si>
  <si>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</si>
  <si>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</si>
  <si>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</si>
  <si>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</si>
  <si>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</si>
  <si>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</si>
  <si>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</si>
  <si>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</si>
  <si>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</si>
  <si>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</si>
  <si>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</si>
  <si>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</si>
  <si>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</si>
  <si>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</si>
  <si>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</si>
  <si>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</si>
  <si>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</si>
  <si>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</si>
  <si>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</si>
  <si>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</si>
  <si>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</si>
  <si>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</si>
  <si>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</si>
  <si>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</si>
  <si>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</si>
  <si>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</si>
  <si>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</si>
  <si>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</si>
  <si>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</si>
  <si>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</si>
  <si>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</si>
  <si>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</si>
  <si>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</si>
  <si>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</si>
  <si>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</si>
  <si>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</si>
  <si>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</si>
  <si>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</si>
  <si>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</si>
  <si>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</si>
  <si>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</si>
  <si>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</si>
  <si>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</si>
  <si>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</si>
  <si>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</si>
  <si>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</si>
  <si>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</si>
  <si>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</si>
  <si>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</si>
  <si>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</si>
  <si>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</si>
  <si>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</si>
  <si>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</si>
  <si>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</si>
  <si>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</si>
  <si>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</si>
  <si>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</si>
  <si>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</si>
  <si>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</si>
  <si>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</si>
  <si>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</si>
  <si>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</si>
  <si>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</si>
  <si>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</si>
  <si>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</si>
  <si>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</si>
  <si>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</si>
  <si>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</si>
  <si>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</si>
  <si>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</si>
  <si>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</si>
  <si>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</si>
  <si>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</si>
  <si>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</si>
  <si>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</si>
  <si>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</si>
  <si>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</si>
  <si>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</si>
  <si>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</si>
  <si>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</si>
  <si>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</si>
  <si>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</si>
  <si>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</si>
  <si>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</si>
  <si>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</si>
  <si>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</si>
  <si>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</si>
  <si>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</si>
  <si>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</si>
  <si>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</si>
  <si>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</si>
  <si>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</si>
  <si>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</si>
  <si>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</si>
  <si>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</si>
  <si>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</si>
  <si>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</si>
  <si>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</si>
  <si>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</si>
  <si>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</si>
  <si>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</si>
  <si>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</si>
  <si>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</si>
  <si>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</si>
  <si>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</si>
  <si>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</si>
  <si>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</si>
  <si>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</si>
  <si>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</si>
  <si>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</si>
  <si>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</si>
  <si>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</si>
  <si>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</si>
  <si>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</si>
  <si>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</si>
  <si>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</si>
  <si>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</si>
  <si>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</si>
  <si>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</si>
  <si>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</si>
  <si>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</si>
  <si>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</si>
  <si>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</si>
  <si>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</si>
  <si>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</si>
  <si>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</si>
  <si>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</si>
  <si>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</si>
  <si>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</si>
  <si>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</si>
  <si>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</si>
  <si>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</si>
  <si>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</si>
  <si>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</si>
  <si>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</si>
  <si>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</si>
  <si>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</si>
  <si>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</si>
  <si>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</si>
  <si>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</si>
  <si>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</si>
  <si>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</si>
  <si>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</si>
  <si>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</si>
  <si>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</si>
  <si>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</si>
  <si>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</si>
  <si>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</si>
  <si>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</si>
  <si>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</si>
  <si>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</si>
  <si>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</si>
  <si>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</si>
  <si>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</si>
  <si>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</si>
  <si>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</si>
  <si>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</si>
  <si>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</si>
  <si>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</si>
  <si>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</si>
  <si>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</si>
  <si>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</si>
  <si>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</si>
  <si>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</si>
  <si>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</si>
  <si>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</si>
  <si>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</si>
  <si>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</si>
  <si>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</si>
  <si>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</si>
  <si>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</si>
  <si>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</si>
  <si>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</si>
  <si>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</si>
  <si>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</si>
  <si>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</si>
  <si>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</si>
  <si>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</si>
  <si>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</si>
  <si>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</si>
  <si>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</si>
  <si>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</si>
  <si>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</si>
  <si>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</si>
  <si>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</si>
  <si>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</si>
  <si>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</si>
  <si>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</si>
  <si>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</si>
  <si>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국가공무원인재개발원 기숙사 증축 공사</t>
    <phoneticPr fontId="2" type="noConversion"/>
  </si>
  <si>
    <t>교육연구</t>
  </si>
  <si>
    <t>충청도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</si>
  <si>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</si>
  <si>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</si>
  <si>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</si>
  <si>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해체및철거공사,골재비및운반비,작업부산물,기타공사</t>
    <phoneticPr fontId="2" type="noConversion"/>
  </si>
  <si>
    <t>난방배관공사,기타공사</t>
    <phoneticPr fontId="2" type="noConversion"/>
  </si>
  <si>
    <t>전기인입 및 수변전 설비공사</t>
    <phoneticPr fontId="2" type="noConversion"/>
  </si>
  <si>
    <t>원격검침설비공사,기타공사</t>
    <phoneticPr fontId="2" type="noConversion"/>
  </si>
  <si>
    <t>CATV 및 TV 설비공사</t>
    <phoneticPr fontId="2" type="noConversion"/>
  </si>
  <si>
    <t>CCTV공사</t>
    <phoneticPr fontId="2" type="noConversion"/>
  </si>
  <si>
    <t>옥외소화배관공사,무선통신보조설비공사,기타공사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</si>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</sst>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8" t="s">
        <v>156</v>
      </c>
      <c r="B2" s="71" t="s">
        <v>0</v>
      </c>
      <c r="C2" s="72"/>
      <c r="D2" s="71" t="s">
        <v>1</v>
      </c>
      <c r="E2" s="72"/>
      <c r="F2" s="71" t="s">
        <v>157</v>
      </c>
      <c r="G2" s="72"/>
      <c r="H2" s="71" t="s">
        <v>2</v>
      </c>
      <c r="I2" s="72"/>
      <c r="J2" s="71" t="s">
        <v>3</v>
      </c>
      <c r="K2" s="72"/>
      <c r="L2" s="71" t="s">
        <v>158</v>
      </c>
      <c r="M2" s="72"/>
      <c r="N2" s="71" t="s">
        <v>159</v>
      </c>
      <c r="O2" s="72"/>
      <c r="P2" s="71" t="s">
        <v>5</v>
      </c>
      <c r="Q2" s="72"/>
      <c r="R2" s="65" t="s">
        <v>94</v>
      </c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7"/>
    </row>
    <row r="3" spans="1:33" x14ac:dyDescent="0.3">
      <c r="A3" s="69"/>
      <c r="B3" s="73"/>
      <c r="C3" s="74"/>
      <c r="D3" s="73"/>
      <c r="E3" s="74"/>
      <c r="F3" s="73"/>
      <c r="G3" s="74"/>
      <c r="H3" s="73"/>
      <c r="I3" s="74"/>
      <c r="J3" s="73"/>
      <c r="K3" s="74"/>
      <c r="L3" s="73"/>
      <c r="M3" s="74"/>
      <c r="N3" s="73"/>
      <c r="O3" s="74"/>
      <c r="P3" s="73"/>
      <c r="Q3" s="74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0"/>
      <c r="B4" s="75"/>
      <c r="C4" s="76"/>
      <c r="D4" s="75"/>
      <c r="E4" s="76"/>
      <c r="F4" s="75"/>
      <c r="G4" s="76"/>
      <c r="H4" s="75"/>
      <c r="I4" s="76"/>
      <c r="J4" s="75"/>
      <c r="K4" s="76"/>
      <c r="L4" s="75"/>
      <c r="M4" s="76"/>
      <c r="N4" s="75"/>
      <c r="O4" s="76"/>
      <c r="P4" s="75"/>
      <c r="Q4" s="76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10233.84</v>
      </c>
      <c r="D7" s="36">
        <f>+C7/3.3058</f>
        <v>3095.7226692479885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760710</v>
      </c>
      <c r="E25" s="59">
        <f t="shared" si="0"/>
        <v>2514750</v>
      </c>
    </row>
    <row r="26" spans="1:5" x14ac:dyDescent="0.3">
      <c r="B26" s="2">
        <v>3</v>
      </c>
      <c r="C26" s="35" t="s">
        <v>95</v>
      </c>
      <c r="D26" s="45">
        <f>+D66</f>
        <v>22860</v>
      </c>
      <c r="E26" s="59">
        <f t="shared" si="0"/>
        <v>75570</v>
      </c>
    </row>
    <row r="27" spans="1:5" x14ac:dyDescent="0.3">
      <c r="B27" s="2">
        <v>4</v>
      </c>
      <c r="C27" s="35" t="s">
        <v>96</v>
      </c>
      <c r="D27" s="45">
        <f>+D95</f>
        <v>254720</v>
      </c>
      <c r="E27" s="59">
        <f t="shared" si="0"/>
        <v>842050</v>
      </c>
    </row>
    <row r="28" spans="1:5" x14ac:dyDescent="0.3">
      <c r="B28" s="2">
        <v>5</v>
      </c>
      <c r="C28" s="35" t="s">
        <v>97</v>
      </c>
      <c r="D28" s="45">
        <f>+D119</f>
        <v>186620</v>
      </c>
      <c r="E28" s="59">
        <f t="shared" si="0"/>
        <v>616920</v>
      </c>
    </row>
    <row r="29" spans="1:5" x14ac:dyDescent="0.3">
      <c r="B29" s="2">
        <v>6</v>
      </c>
      <c r="C29" s="35" t="s">
        <v>98</v>
      </c>
      <c r="D29" s="45">
        <f>+D133</f>
        <v>113360</v>
      </c>
      <c r="E29" s="59">
        <f t="shared" si="0"/>
        <v>374740</v>
      </c>
    </row>
    <row r="30" spans="1:5" x14ac:dyDescent="0.3">
      <c r="B30" s="2">
        <v>7</v>
      </c>
      <c r="C30" s="35" t="s">
        <v>99</v>
      </c>
      <c r="D30" s="45">
        <f>+D146</f>
        <v>65700</v>
      </c>
      <c r="E30" s="59">
        <f t="shared" si="0"/>
        <v>217190</v>
      </c>
    </row>
    <row r="31" spans="1:5" x14ac:dyDescent="0.3">
      <c r="B31" s="2">
        <v>8</v>
      </c>
      <c r="C31" s="35" t="s">
        <v>100</v>
      </c>
      <c r="D31" s="45">
        <f>+D154</f>
        <v>12020</v>
      </c>
      <c r="E31" s="59">
        <f t="shared" si="0"/>
        <v>39730</v>
      </c>
    </row>
    <row r="32" spans="1:5" x14ac:dyDescent="0.3">
      <c r="B32" s="2">
        <v>9</v>
      </c>
      <c r="C32" s="35" t="s">
        <v>101</v>
      </c>
      <c r="D32" s="45">
        <f>+D161</f>
        <v>3720</v>
      </c>
      <c r="E32" s="59">
        <f t="shared" si="0"/>
        <v>12290</v>
      </c>
    </row>
    <row r="33" spans="1:7" x14ac:dyDescent="0.3">
      <c r="B33" s="2">
        <v>10</v>
      </c>
      <c r="C33" s="35" t="s">
        <v>154</v>
      </c>
      <c r="D33" s="53">
        <f>TRUNC(SUM(D24:D32)*0.275,-1)</f>
        <v>390420</v>
      </c>
      <c r="E33" s="60">
        <f t="shared" si="0"/>
        <v>1290650</v>
      </c>
    </row>
    <row r="34" spans="1:7" x14ac:dyDescent="0.3">
      <c r="C34" s="35" t="s">
        <v>112</v>
      </c>
      <c r="D34" s="44">
        <f>SUM(D24:D33)</f>
        <v>1810130</v>
      </c>
      <c r="E34" s="44">
        <f>SUM(E24:E33)</f>
        <v>5983890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265</v>
      </c>
      <c r="C39" s="56" t="s">
        <v>266</v>
      </c>
      <c r="D39" s="57" t="s">
        <v>267</v>
      </c>
      <c r="E39" s="57" t="s">
        <v>268</v>
      </c>
      <c r="G39" s="55"/>
    </row>
    <row r="40" spans="1:7" x14ac:dyDescent="0.3">
      <c r="A40" s="2">
        <v>1</v>
      </c>
      <c r="C40" s="38" t="s">
        <v>15</v>
      </c>
      <c r="D40" s="40">
        <f>TRUNC(53962,-1)</f>
        <v>53960</v>
      </c>
      <c r="E40" s="62">
        <f t="shared" ref="E40:E59" si="1">TRUNC(+D40*3.3058,-1)</f>
        <v>178380</v>
      </c>
    </row>
    <row r="41" spans="1:7" x14ac:dyDescent="0.3">
      <c r="A41" s="2">
        <v>2</v>
      </c>
      <c r="C41" s="38" t="s">
        <v>13</v>
      </c>
      <c r="D41" s="42">
        <f>TRUNC(124026,-1)</f>
        <v>124020</v>
      </c>
      <c r="E41" s="63">
        <f t="shared" si="1"/>
        <v>409980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TRUNC(25506,-1)</f>
        <v>25500</v>
      </c>
      <c r="E43" s="63">
        <f t="shared" si="1"/>
        <v>84290</v>
      </c>
    </row>
    <row r="44" spans="1:7" x14ac:dyDescent="0.3">
      <c r="A44" s="2">
        <v>5</v>
      </c>
      <c r="C44" s="38" t="s">
        <v>17</v>
      </c>
      <c r="D44" s="42">
        <f>TRUNC(18021,-1)</f>
        <v>18020</v>
      </c>
      <c r="E44" s="63">
        <f t="shared" si="1"/>
        <v>59570</v>
      </c>
    </row>
    <row r="45" spans="1:7" x14ac:dyDescent="0.3">
      <c r="A45" s="2">
        <v>6</v>
      </c>
      <c r="C45" s="38" t="s">
        <v>18</v>
      </c>
      <c r="D45" s="42">
        <f>TRUNC(3574,-1)</f>
        <v>3570</v>
      </c>
      <c r="E45" s="63">
        <f t="shared" si="1"/>
        <v>11800</v>
      </c>
    </row>
    <row r="46" spans="1:7" x14ac:dyDescent="0.3">
      <c r="A46" s="2">
        <v>7</v>
      </c>
      <c r="C46" s="38" t="s">
        <v>19</v>
      </c>
      <c r="D46" s="42">
        <f>TRUNC(56674,-1)</f>
        <v>56670</v>
      </c>
      <c r="E46" s="63">
        <f t="shared" si="1"/>
        <v>187330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TRUNC(53289,-1)</f>
        <v>53280</v>
      </c>
      <c r="E48" s="63">
        <f t="shared" si="1"/>
        <v>176130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TRUNC(26558,-1)</f>
        <v>26550</v>
      </c>
      <c r="E49" s="63">
        <f t="shared" si="1"/>
        <v>87760</v>
      </c>
    </row>
    <row r="50" spans="1:7" x14ac:dyDescent="0.3">
      <c r="A50" s="2">
        <v>11</v>
      </c>
      <c r="C50" s="38" t="s">
        <v>155</v>
      </c>
      <c r="D50" s="42">
        <f>TRUNC(50311,-1)</f>
        <v>50310</v>
      </c>
      <c r="E50" s="63">
        <f t="shared" si="1"/>
        <v>166310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TRUNC(10171,-1)</f>
        <v>10170</v>
      </c>
      <c r="E52" s="63">
        <f t="shared" si="1"/>
        <v>33610</v>
      </c>
    </row>
    <row r="53" spans="1:7" x14ac:dyDescent="0.3">
      <c r="A53" s="2">
        <v>14</v>
      </c>
      <c r="C53" s="38" t="s">
        <v>25</v>
      </c>
      <c r="D53" s="42">
        <f>TRUNC(82009,-1)</f>
        <v>82000</v>
      </c>
      <c r="E53" s="63">
        <f t="shared" si="1"/>
        <v>271070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TRUNC(4801+5098-404+58201,-1)</f>
        <v>67690</v>
      </c>
      <c r="E58" s="63">
        <f t="shared" si="1"/>
        <v>223760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TRUNC(188976,-1)</f>
        <v>188970</v>
      </c>
      <c r="E59" s="64">
        <f t="shared" si="1"/>
        <v>624690</v>
      </c>
    </row>
    <row r="60" spans="1:7" x14ac:dyDescent="0.3">
      <c r="A60" s="2">
        <v>21</v>
      </c>
      <c r="C60" s="27" t="s">
        <v>112</v>
      </c>
      <c r="D60" s="39">
        <f>SUM(D40:D59)</f>
        <v>760710</v>
      </c>
      <c r="E60" s="39">
        <f>SUM(E40:E59)</f>
        <v>2514680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TRUNC(22869,-1)</f>
        <v>22860</v>
      </c>
      <c r="E63" s="62">
        <f>TRUNC(+D63*3.3058,-1)</f>
        <v>75570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22860</v>
      </c>
      <c r="E66" s="39">
        <f>SUM(E63:E65)</f>
        <v>75570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TRUNC(3661,-1)</f>
        <v>3660</v>
      </c>
      <c r="E69" s="62">
        <f t="shared" ref="E69:E94" si="2">TRUNC(+D69*3.3058,-1)</f>
        <v>12090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TRUNC(10838,-1)</f>
        <v>10830</v>
      </c>
      <c r="E71" s="63">
        <f t="shared" si="2"/>
        <v>35800</v>
      </c>
    </row>
    <row r="72" spans="1:7" x14ac:dyDescent="0.3">
      <c r="A72" s="2">
        <v>4</v>
      </c>
      <c r="C72" s="38" t="s">
        <v>33</v>
      </c>
      <c r="D72" s="42">
        <f>TRUNC(6171,-1)</f>
        <v>6170</v>
      </c>
      <c r="E72" s="63">
        <f t="shared" si="2"/>
        <v>20390</v>
      </c>
    </row>
    <row r="73" spans="1:7" x14ac:dyDescent="0.3">
      <c r="A73" s="2">
        <v>5</v>
      </c>
      <c r="C73" s="38" t="s">
        <v>34</v>
      </c>
      <c r="D73" s="42">
        <f>TRUNC(15553,-1)</f>
        <v>15550</v>
      </c>
      <c r="E73" s="63">
        <f t="shared" si="2"/>
        <v>51400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TRUNC(125,-1)</f>
        <v>120</v>
      </c>
      <c r="E75" s="63">
        <f t="shared" si="2"/>
        <v>390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TRUNC(13022,-1)</f>
        <v>13020</v>
      </c>
      <c r="E89" s="63">
        <f t="shared" si="2"/>
        <v>43040</v>
      </c>
    </row>
    <row r="90" spans="1:7" x14ac:dyDescent="0.3">
      <c r="A90" s="2">
        <v>22</v>
      </c>
      <c r="C90" s="38" t="s">
        <v>36</v>
      </c>
      <c r="D90" s="42">
        <f>TRUNC(1979,-1)</f>
        <v>1970</v>
      </c>
      <c r="E90" s="63">
        <f t="shared" si="2"/>
        <v>6510</v>
      </c>
    </row>
    <row r="91" spans="1:7" x14ac:dyDescent="0.3">
      <c r="A91" s="2">
        <v>23</v>
      </c>
      <c r="C91" s="38" t="s">
        <v>37</v>
      </c>
      <c r="D91" s="42">
        <f>TRUNC(9083,-1)</f>
        <v>9080</v>
      </c>
      <c r="E91" s="63">
        <f t="shared" si="2"/>
        <v>30010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TRUNC(151108,-1)</f>
        <v>151100</v>
      </c>
      <c r="E93" s="63">
        <f t="shared" si="2"/>
        <v>499500</v>
      </c>
    </row>
    <row r="94" spans="1:7" ht="17.25" thickBot="1" x14ac:dyDescent="0.35">
      <c r="A94" s="2">
        <v>26</v>
      </c>
      <c r="C94" s="38" t="s">
        <v>47</v>
      </c>
      <c r="D94" s="43">
        <f>TRUNC(40523+2703,-1)</f>
        <v>43220</v>
      </c>
      <c r="E94" s="64">
        <f t="shared" si="2"/>
        <v>142870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254720</v>
      </c>
      <c r="E95" s="39">
        <f>SUM(E69:E94)</f>
        <v>842000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TRUNC(21170,-1)</f>
        <v>21170</v>
      </c>
      <c r="E98" s="62">
        <f t="shared" ref="E98:E118" si="3">TRUNC(+D98*3.3058,-1)</f>
        <v>69980</v>
      </c>
    </row>
    <row r="99" spans="1:7" x14ac:dyDescent="0.3">
      <c r="A99" s="2">
        <v>2</v>
      </c>
      <c r="C99" s="38" t="s">
        <v>40</v>
      </c>
      <c r="D99" s="42">
        <f>TRUNC(3299,-1)</f>
        <v>3290</v>
      </c>
      <c r="E99" s="63">
        <f t="shared" si="3"/>
        <v>10870</v>
      </c>
    </row>
    <row r="100" spans="1:7" x14ac:dyDescent="0.3">
      <c r="A100" s="2">
        <v>3</v>
      </c>
      <c r="C100" s="38" t="s">
        <v>41</v>
      </c>
      <c r="D100" s="42">
        <f>TRUNC(6960,-1)</f>
        <v>6960</v>
      </c>
      <c r="E100" s="63">
        <f t="shared" si="3"/>
        <v>23000</v>
      </c>
    </row>
    <row r="101" spans="1:7" x14ac:dyDescent="0.3">
      <c r="A101" s="2">
        <v>4</v>
      </c>
      <c r="C101" s="38" t="s">
        <v>42</v>
      </c>
      <c r="D101" s="42">
        <f>TRUNC(1552,-1)</f>
        <v>1550</v>
      </c>
      <c r="E101" s="63">
        <f t="shared" si="3"/>
        <v>5120</v>
      </c>
    </row>
    <row r="102" spans="1:7" x14ac:dyDescent="0.3">
      <c r="A102" s="2">
        <v>5</v>
      </c>
      <c r="C102" s="38" t="s">
        <v>43</v>
      </c>
      <c r="D102" s="42">
        <f>TRUNC(4059,-1)</f>
        <v>4050</v>
      </c>
      <c r="E102" s="63">
        <f t="shared" si="3"/>
        <v>13380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TRUNC(3315,-1)</f>
        <v>3310</v>
      </c>
      <c r="E104" s="63">
        <f t="shared" si="3"/>
        <v>10940</v>
      </c>
    </row>
    <row r="105" spans="1:7" x14ac:dyDescent="0.3">
      <c r="A105" s="2">
        <v>8</v>
      </c>
      <c r="C105" s="38" t="s">
        <v>46</v>
      </c>
      <c r="D105" s="42">
        <f>TRUNC(7658,-1)</f>
        <v>7650</v>
      </c>
      <c r="E105" s="63">
        <f t="shared" si="3"/>
        <v>25280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TRUNC(627,-1)</f>
        <v>620</v>
      </c>
      <c r="E116" s="63">
        <f t="shared" si="3"/>
        <v>2040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TRUNC(93694,-1)</f>
        <v>93690</v>
      </c>
      <c r="E117" s="63">
        <f t="shared" si="3"/>
        <v>309720</v>
      </c>
    </row>
    <row r="118" spans="1:7" ht="17.25" thickBot="1" x14ac:dyDescent="0.35">
      <c r="A118" s="2">
        <v>21</v>
      </c>
      <c r="C118" s="38" t="s">
        <v>47</v>
      </c>
      <c r="D118" s="43">
        <f>TRUNC(1243+43094,-1)</f>
        <v>44330</v>
      </c>
      <c r="E118" s="64">
        <f t="shared" si="3"/>
        <v>146540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186620</v>
      </c>
      <c r="E119" s="39">
        <f>SUM(E98:E118)</f>
        <v>616870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TRUNC(11406,-1)</f>
        <v>11400</v>
      </c>
      <c r="E122" s="62">
        <f t="shared" ref="E122:E132" si="4">TRUNC(+D122*3.3058,-1)</f>
        <v>37680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TRUNC(10729,-1)</f>
        <v>10720</v>
      </c>
      <c r="E125" s="63">
        <f t="shared" si="4"/>
        <v>35430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TRUNC(49821,-1)</f>
        <v>49820</v>
      </c>
      <c r="E127" s="63">
        <f t="shared" si="4"/>
        <v>164690</v>
      </c>
    </row>
    <row r="128" spans="1:7" x14ac:dyDescent="0.3">
      <c r="A128" s="2">
        <v>7</v>
      </c>
      <c r="C128" s="38" t="s">
        <v>46</v>
      </c>
      <c r="D128" s="42">
        <f>TRUNC(5501,-1)</f>
        <v>5500</v>
      </c>
      <c r="E128" s="63">
        <f t="shared" si="4"/>
        <v>18180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TRUNC(6012,-1)</f>
        <v>6010</v>
      </c>
      <c r="E130" s="63">
        <f t="shared" si="4"/>
        <v>19860</v>
      </c>
    </row>
    <row r="131" spans="1:7" x14ac:dyDescent="0.3">
      <c r="A131" s="2">
        <v>10</v>
      </c>
      <c r="C131" s="38" t="s">
        <v>148</v>
      </c>
      <c r="D131" s="42">
        <f>TRUNC(28061,-1)</f>
        <v>28060</v>
      </c>
      <c r="E131" s="63">
        <f t="shared" si="4"/>
        <v>92760</v>
      </c>
    </row>
    <row r="132" spans="1:7" ht="18" thickBot="1" x14ac:dyDescent="0.35">
      <c r="A132" s="2">
        <v>11</v>
      </c>
      <c r="C132" s="38" t="s">
        <v>47</v>
      </c>
      <c r="D132" s="43">
        <f>TRUNC(1859,-1)</f>
        <v>1850</v>
      </c>
      <c r="E132" s="64">
        <f t="shared" si="4"/>
        <v>6110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113360</v>
      </c>
      <c r="E133" s="39">
        <f>SUM(E122:E132)</f>
        <v>374710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TRUNC(2055+2262+55,-1)</f>
        <v>4370</v>
      </c>
      <c r="E137" s="63">
        <f t="shared" si="5"/>
        <v>14440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TRUNC(29221,-1)</f>
        <v>29220</v>
      </c>
      <c r="E141" s="63">
        <f t="shared" si="5"/>
        <v>96590</v>
      </c>
    </row>
    <row r="142" spans="1:7" x14ac:dyDescent="0.3">
      <c r="A142" s="2">
        <v>7</v>
      </c>
      <c r="C142" s="38" t="s">
        <v>58</v>
      </c>
      <c r="D142" s="42">
        <f>TRUNC(5029,-1)</f>
        <v>5020</v>
      </c>
      <c r="E142" s="63">
        <f t="shared" si="5"/>
        <v>16590</v>
      </c>
    </row>
    <row r="143" spans="1:7" x14ac:dyDescent="0.3">
      <c r="A143" s="2">
        <v>8</v>
      </c>
      <c r="C143" s="38" t="s">
        <v>62</v>
      </c>
      <c r="D143" s="42">
        <f>TRUNC(3283,-1)</f>
        <v>3280</v>
      </c>
      <c r="E143" s="63">
        <f t="shared" si="5"/>
        <v>10840</v>
      </c>
    </row>
    <row r="144" spans="1:7" x14ac:dyDescent="0.3">
      <c r="A144" s="2">
        <v>9</v>
      </c>
      <c r="C144" s="38" t="s">
        <v>63</v>
      </c>
      <c r="D144" s="42">
        <f>TRUNC(16113,-1)</f>
        <v>16110</v>
      </c>
      <c r="E144" s="63">
        <f t="shared" si="5"/>
        <v>53250</v>
      </c>
    </row>
    <row r="145" spans="1:7" ht="17.25" thickBot="1" x14ac:dyDescent="0.35">
      <c r="A145" s="2">
        <v>10</v>
      </c>
      <c r="C145" s="38" t="s">
        <v>148</v>
      </c>
      <c r="D145" s="43">
        <f>TRUNC(7709,-1)</f>
        <v>7700</v>
      </c>
      <c r="E145" s="64">
        <f t="shared" si="5"/>
        <v>25450</v>
      </c>
    </row>
    <row r="146" spans="1:7" x14ac:dyDescent="0.3">
      <c r="A146" s="2">
        <v>11</v>
      </c>
      <c r="C146" s="27" t="s">
        <v>112</v>
      </c>
      <c r="D146" s="39">
        <f>SUM(D136:D145)</f>
        <v>65700</v>
      </c>
      <c r="E146" s="39">
        <f>SUM(E136:E145)</f>
        <v>217160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TRUNC(2701+878,-1)</f>
        <v>3570</v>
      </c>
      <c r="E149" s="62">
        <f>TRUNC(+D149*3.3058,-1)</f>
        <v>11800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TRUNC(4059,-1)</f>
        <v>4050</v>
      </c>
      <c r="E150" s="63">
        <f>TRUNC(+D150*3.3058,-1)</f>
        <v>13380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TRUNC(1+1008,-1)</f>
        <v>1000</v>
      </c>
      <c r="E152" s="63">
        <f>TRUNC(+D152*3.3058,-1)</f>
        <v>3300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TRUNC(3409,-1)</f>
        <v>3400</v>
      </c>
      <c r="E153" s="64">
        <f>TRUNC(+D153*3.3058,-1)</f>
        <v>11230</v>
      </c>
    </row>
    <row r="154" spans="1:7" x14ac:dyDescent="0.3">
      <c r="A154" s="2">
        <v>6</v>
      </c>
      <c r="C154" s="27" t="s">
        <v>112</v>
      </c>
      <c r="D154" s="39">
        <f>SUM(D149:D153)</f>
        <v>12020</v>
      </c>
      <c r="E154" s="39">
        <f>SUM(E149:E153)</f>
        <v>39710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TRUNC(3406,-1)</f>
        <v>3400</v>
      </c>
      <c r="E157" s="62">
        <f>TRUNC(+D157*3.3058,-1)</f>
        <v>11230</v>
      </c>
    </row>
    <row r="158" spans="1:7" x14ac:dyDescent="0.3">
      <c r="A158" s="2">
        <v>2</v>
      </c>
      <c r="C158" s="38" t="s">
        <v>52</v>
      </c>
      <c r="D158" s="42">
        <f>TRUNC(274,-1)</f>
        <v>270</v>
      </c>
      <c r="E158" s="63">
        <f>TRUNC(+D158*3.3058,-1)</f>
        <v>890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TRUNC(48+4,-1)</f>
        <v>50</v>
      </c>
      <c r="E159" s="63">
        <f>TRUNC(+D159*3.3058,-1)</f>
        <v>160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3720</v>
      </c>
      <c r="E161" s="39">
        <f>SUM(E157:E160)</f>
        <v>12280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2020-12-08T01:59:45Z</dcterms:modified>
</cp:coreProperties>
</file>