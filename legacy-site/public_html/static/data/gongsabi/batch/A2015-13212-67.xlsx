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1" i="4"/>
  <c r="E139" i="4"/>
  <c r="E138" i="4"/>
  <c r="E136" i="4"/>
  <c r="E129" i="4"/>
  <c r="E127" i="4"/>
  <c r="E123" i="4"/>
  <c r="E116" i="4"/>
  <c r="E115" i="4"/>
  <c r="E113" i="4"/>
  <c r="E112" i="4"/>
  <c r="E111" i="4"/>
  <c r="E110" i="4"/>
  <c r="E109" i="4"/>
  <c r="E108" i="4"/>
  <c r="E107" i="4"/>
  <c r="E106" i="4"/>
  <c r="E101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2" i="4"/>
  <c r="E152" i="4" s="1"/>
  <c r="D150" i="4"/>
  <c r="E150" i="4" s="1"/>
  <c r="D149" i="4"/>
  <c r="D145" i="4"/>
  <c r="E145" i="4" s="1"/>
  <c r="D144" i="4"/>
  <c r="E144" i="4" s="1"/>
  <c r="D143" i="4"/>
  <c r="E143" i="4" s="1"/>
  <c r="D142" i="4"/>
  <c r="E142" i="4" s="1"/>
  <c r="D140" i="4"/>
  <c r="D137" i="4"/>
  <c r="E137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D98" i="4"/>
  <c r="E98" i="4" s="1"/>
  <c r="D94" i="4"/>
  <c r="E94" i="4" s="1"/>
  <c r="D92" i="4"/>
  <c r="E92" i="4" s="1"/>
  <c r="D91" i="4"/>
  <c r="E91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E146" i="4" l="1"/>
  <c r="D95" i="4"/>
  <c r="D27" i="4" s="1"/>
  <c r="E27" i="4" s="1"/>
  <c r="E69" i="4"/>
  <c r="E95" i="4" s="1"/>
  <c r="E60" i="4"/>
  <c r="D146" i="4"/>
  <c r="D30" i="4" s="1"/>
  <c r="E30" i="4" s="1"/>
  <c r="E140" i="4"/>
  <c r="D161" i="4"/>
  <c r="D32" i="4" s="1"/>
  <c r="E32" i="4" s="1"/>
  <c r="E157" i="4"/>
  <c r="E161" i="4" s="1"/>
  <c r="D60" i="4"/>
  <c r="D25" i="4" s="1"/>
  <c r="E25" i="4" s="1"/>
  <c r="E41" i="4"/>
  <c r="D154" i="4"/>
  <c r="D31" i="4" s="1"/>
  <c r="E31" i="4" s="1"/>
  <c r="E149" i="4"/>
  <c r="E154" i="4" s="1"/>
  <c r="D66" i="4"/>
  <c r="D26" i="4" s="1"/>
  <c r="E26" i="4" s="1"/>
  <c r="E63" i="4"/>
  <c r="E66" i="4" s="1"/>
  <c r="D119" i="4"/>
  <c r="D28" i="4" s="1"/>
  <c r="E28" i="4" s="1"/>
  <c r="E99" i="4"/>
  <c r="E119" i="4" s="1"/>
  <c r="D133" i="4"/>
  <c r="D29" i="4" s="1"/>
  <c r="E29" i="4" s="1"/>
  <c r="E12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<sst xmlns="http://schemas.openxmlformats.org/spreadsheetml/2006/main" count="390" uniqueCount="264">
  <si>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</si>
  <si>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</si>
  <si>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</si>
  <si>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</si>
  <si>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</si>
  <si>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</si>
  <si>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</si>
  <si>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</si>
  <si>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</si>
  <si>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</si>
  <si>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</si>
  <si>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</si>
  <si>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</si>
  <si>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</si>
  <si>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</si>
  <si>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</si>
  <si>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</si>
  <si>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</si>
  <si>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</si>
  <si>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</si>
  <si>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</si>
  <si>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</si>
  <si>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</si>
  <si>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</si>
  <si>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</si>
  <si>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</si>
  <si>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</si>
  <si>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</si>
  <si>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</si>
  <si>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</si>
  <si>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</si>
  <si>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</si>
  <si>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</si>
  <si>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</si>
  <si>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</si>
  <si>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</si>
  <si>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</si>
  <si>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</si>
  <si>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</si>
  <si>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</si>
  <si>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</si>
  <si>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</si>
  <si>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</si>
  <si>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</si>
  <si>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</si>
  <si>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</si>
  <si>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</si>
  <si>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</si>
  <si>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</si>
  <si>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</si>
  <si>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</si>
  <si>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</si>
  <si>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</si>
  <si>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</si>
  <si>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</si>
  <si>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</si>
  <si>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</si>
  <si>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</si>
  <si>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</si>
  <si>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</si>
  <si>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</si>
  <si>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</si>
  <si>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</si>
  <si>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</si>
  <si>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</si>
  <si>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</si>
  <si>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</si>
  <si>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</si>
  <si>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</si>
  <si>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</si>
  <si>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</si>
  <si>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</si>
  <si>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</si>
  <si>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</si>
  <si>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</si>
  <si>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</si>
  <si>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</si>
  <si>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</si>
  <si>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</si>
  <si>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</si>
  <si>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</si>
  <si>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</si>
  <si>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</si>
  <si>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</si>
  <si>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</si>
  <si>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</si>
  <si>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</si>
  <si>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</si>
  <si>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</si>
  <si>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</si>
  <si>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</si>
  <si>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</si>
  <si>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</si>
  <si>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</si>
  <si>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</si>
  <si>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</si>
  <si>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</si>
  <si>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</si>
  <si>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</si>
  <si>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</si>
  <si>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</si>
  <si>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</si>
  <si>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</si>
  <si>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</si>
  <si>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</si>
  <si>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</si>
  <si>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</si>
  <si>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</si>
  <si>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</si>
  <si>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</si>
  <si>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</si>
  <si>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</si>
  <si>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</si>
  <si>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</si>
  <si>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</si>
  <si>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</si>
  <si>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</si>
  <si>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</si>
  <si>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</si>
  <si>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</si>
  <si>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</si>
  <si>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</si>
  <si>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</si>
  <si>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</si>
  <si>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</si>
  <si>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</si>
  <si>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</si>
  <si>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</si>
  <si>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</si>
  <si>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</si>
  <si>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</si>
  <si>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</si>
  <si>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</si>
  <si>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</si>
  <si>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</si>
  <si>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</si>
  <si>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</si>
  <si>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</si>
  <si>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</si>
  <si>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</si>
  <si>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</si>
  <si>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</si>
  <si>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</si>
  <si>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</si>
  <si>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</si>
  <si>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</si>
  <si>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</si>
  <si>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</si>
  <si>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</si>
  <si>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</si>
  <si>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</si>
  <si>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</si>
  <si>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</si>
  <si>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</si>
  <si>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</si>
  <si>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</si>
  <si>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</si>
  <si>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</si>
  <si>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</si>
  <si>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</si>
  <si>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</si>
  <si>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</si>
  <si>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</si>
  <si>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</si>
  <si>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</si>
  <si>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</si>
  <si>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</si>
  <si>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</si>
  <si>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</si>
  <si>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</si>
  <si>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</si>
  <si>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</si>
  <si>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</si>
  <si>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</si>
  <si>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</si>
  <si>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</si>
  <si>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</si>
  <si>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</si>
  <si>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</si>
  <si>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</si>
  <si>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</si>
  <si>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</si>
  <si>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</si>
  <si>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</si>
  <si>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</si>
  <si>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</si>
  <si>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</si>
  <si>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</si>
  <si>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</si>
  <si>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</si>
  <si>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</si>
  <si>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</si>
  <si>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</si>
  <si>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</si>
  <si>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</si>
  <si>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</si>
  <si>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</si>
  <si>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</si>
  <si>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</si>
  <si>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</si>
  <si>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</si>
  <si>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</si>
  <si>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</si>
  <si>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</si>
  <si>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</si>
  <si>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</si>
  <si>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</si>
  <si>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</si>
  <si>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</si>
  <si>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</si>
  <si>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</si>
  <si>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</si>
  <si>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</si>
  <si>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</si>
  <si>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</si>
  <si>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</si>
  <si>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</si>
  <si>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</si>
  <si>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</si>
  <si>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</si>
  <si>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</si>
  <si>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</si>
  <si>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</si>
  <si>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</si>
  <si>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</si>
  <si>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</si>
  <si>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</si>
  <si>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</si>
  <si>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</si>
  <si>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</si>
  <si>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</si>
  <si>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</si>
  <si>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</si>
  <si>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</si>
  <si>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</si>
  <si>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</si>
  <si>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</si>
  <si>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</si>
  <si>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</si>
  <si>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</si>
  <si>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</si>
  <si>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</si>
  <si>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</si>
  <si>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</si>
  <si>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</si>
  <si>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</si>
  <si>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원/ m2</t>
    <phoneticPr fontId="2" type="noConversion"/>
  </si>
  <si>
    <t>TBN경북교통방송 청사 신축공사</t>
  </si>
  <si>
    <t>업무</t>
  </si>
  <si>
    <t>경상도</t>
  </si>
  <si>
    <t>평</t>
    <phoneticPr fontId="2" type="noConversion"/>
  </si>
  <si>
    <t>창호및유리공사</t>
    <phoneticPr fontId="2" type="noConversion"/>
  </si>
  <si>
    <t>기초공사,해체 및 철거공사, 골재비및운반비, 작업부산물, 기타공사</t>
    <phoneticPr fontId="2" type="noConversion"/>
  </si>
  <si>
    <t>기타공사</t>
    <phoneticPr fontId="2" type="noConversion"/>
  </si>
  <si>
    <t>옥외보안등설비공사</t>
  </si>
  <si>
    <t>방송설비공사</t>
    <phoneticPr fontId="2" type="noConversion"/>
  </si>
  <si>
    <t>CCTV설비공사</t>
    <phoneticPr fontId="2" type="noConversion"/>
  </si>
  <si>
    <t>펌프실배관공사,기타공사</t>
    <phoneticPr fontId="2" type="noConversion"/>
  </si>
  <si>
    <t>토목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</si>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</sst>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50505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4" xfId="0" applyFill="1" applyBorder="1">
      <alignment vertical="center"/>
    </xf>
    <xf numFmtId="3" fontId="4" fillId="4" borderId="31" xfId="0" applyNumberFormat="1" applyFont="1" applyFill="1" applyBorder="1" applyAlignment="1">
      <alignment horizontal="right" vertical="center"/>
    </xf>
    <xf numFmtId="0" fontId="0" fillId="0" borderId="26" xfId="0" applyFill="1" applyBorder="1">
      <alignment vertical="center"/>
    </xf>
    <xf numFmtId="0" fontId="4" fillId="0" borderId="0" xfId="0" applyFont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178" fontId="0" fillId="5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5" t="s">
        <v>156</v>
      </c>
      <c r="B2" s="78" t="s">
        <v>0</v>
      </c>
      <c r="C2" s="79"/>
      <c r="D2" s="78" t="s">
        <v>1</v>
      </c>
      <c r="E2" s="79"/>
      <c r="F2" s="78" t="s">
        <v>157</v>
      </c>
      <c r="G2" s="79"/>
      <c r="H2" s="78" t="s">
        <v>2</v>
      </c>
      <c r="I2" s="79"/>
      <c r="J2" s="78" t="s">
        <v>3</v>
      </c>
      <c r="K2" s="79"/>
      <c r="L2" s="78" t="s">
        <v>158</v>
      </c>
      <c r="M2" s="79"/>
      <c r="N2" s="78" t="s">
        <v>159</v>
      </c>
      <c r="O2" s="79"/>
      <c r="P2" s="78" t="s">
        <v>5</v>
      </c>
      <c r="Q2" s="79"/>
      <c r="R2" s="72" t="s">
        <v>94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4"/>
    </row>
    <row r="3" spans="1:33" x14ac:dyDescent="0.3">
      <c r="A3" s="76"/>
      <c r="B3" s="80"/>
      <c r="C3" s="81"/>
      <c r="D3" s="80"/>
      <c r="E3" s="81"/>
      <c r="F3" s="80"/>
      <c r="G3" s="81"/>
      <c r="H3" s="80"/>
      <c r="I3" s="81"/>
      <c r="J3" s="80"/>
      <c r="K3" s="81"/>
      <c r="L3" s="80"/>
      <c r="M3" s="81"/>
      <c r="N3" s="80"/>
      <c r="O3" s="81"/>
      <c r="P3" s="80"/>
      <c r="Q3" s="81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7"/>
      <c r="B4" s="82"/>
      <c r="C4" s="83"/>
      <c r="D4" s="82"/>
      <c r="E4" s="83"/>
      <c r="F4" s="82"/>
      <c r="G4" s="83"/>
      <c r="H4" s="82"/>
      <c r="I4" s="83"/>
      <c r="J4" s="82"/>
      <c r="K4" s="83"/>
      <c r="L4" s="82"/>
      <c r="M4" s="83"/>
      <c r="N4" s="82"/>
      <c r="O4" s="83"/>
      <c r="P4" s="82"/>
      <c r="Q4" s="83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250</v>
      </c>
    </row>
    <row r="7" spans="1:4" ht="17.25" thickBot="1" x14ac:dyDescent="0.35">
      <c r="C7" s="37">
        <v>2988.23</v>
      </c>
      <c r="D7" s="36">
        <f>+C7/3.3058</f>
        <v>903.93550729021717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2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5">
        <f>+D60</f>
        <v>1524270</v>
      </c>
      <c r="E25" s="63">
        <f t="shared" si="0"/>
        <v>5038930</v>
      </c>
    </row>
    <row r="26" spans="1:5" x14ac:dyDescent="0.3">
      <c r="B26" s="2">
        <v>3</v>
      </c>
      <c r="C26" s="35" t="s">
        <v>95</v>
      </c>
      <c r="D26" s="55">
        <f>+D66</f>
        <v>1500</v>
      </c>
      <c r="E26" s="63">
        <f t="shared" si="0"/>
        <v>4950</v>
      </c>
    </row>
    <row r="27" spans="1:5" x14ac:dyDescent="0.3">
      <c r="B27" s="2">
        <v>4</v>
      </c>
      <c r="C27" s="35" t="s">
        <v>96</v>
      </c>
      <c r="D27" s="55">
        <f>+D95</f>
        <v>63250</v>
      </c>
      <c r="E27" s="63">
        <f t="shared" si="0"/>
        <v>209090</v>
      </c>
    </row>
    <row r="28" spans="1:5" x14ac:dyDescent="0.3">
      <c r="B28" s="2">
        <v>5</v>
      </c>
      <c r="C28" s="35" t="s">
        <v>97</v>
      </c>
      <c r="D28" s="55">
        <f>+D119</f>
        <v>244560</v>
      </c>
      <c r="E28" s="63">
        <f t="shared" si="0"/>
        <v>808460</v>
      </c>
    </row>
    <row r="29" spans="1:5" x14ac:dyDescent="0.3">
      <c r="B29" s="2">
        <v>6</v>
      </c>
      <c r="C29" s="35" t="s">
        <v>98</v>
      </c>
      <c r="D29" s="55">
        <f>+D133</f>
        <v>83110</v>
      </c>
      <c r="E29" s="63">
        <f t="shared" si="0"/>
        <v>274740</v>
      </c>
    </row>
    <row r="30" spans="1:5" x14ac:dyDescent="0.3">
      <c r="B30" s="2">
        <v>7</v>
      </c>
      <c r="C30" s="35" t="s">
        <v>99</v>
      </c>
      <c r="D30" s="55">
        <f>+D146</f>
        <v>41700</v>
      </c>
      <c r="E30" s="63">
        <f t="shared" si="0"/>
        <v>137850</v>
      </c>
    </row>
    <row r="31" spans="1:5" x14ac:dyDescent="0.3">
      <c r="B31" s="2">
        <v>8</v>
      </c>
      <c r="C31" s="35" t="s">
        <v>100</v>
      </c>
      <c r="D31" s="55">
        <f>+D154</f>
        <v>38770</v>
      </c>
      <c r="E31" s="63">
        <f t="shared" si="0"/>
        <v>128160</v>
      </c>
    </row>
    <row r="32" spans="1:5" x14ac:dyDescent="0.3">
      <c r="B32" s="2">
        <v>9</v>
      </c>
      <c r="C32" s="35" t="s">
        <v>101</v>
      </c>
      <c r="D32" s="55">
        <f>+D161</f>
        <v>71140</v>
      </c>
      <c r="E32" s="63">
        <f t="shared" si="0"/>
        <v>235170</v>
      </c>
    </row>
    <row r="33" spans="1:7" x14ac:dyDescent="0.3">
      <c r="B33" s="2">
        <v>10</v>
      </c>
      <c r="C33" s="35" t="s">
        <v>154</v>
      </c>
      <c r="D33" s="56">
        <f>TRUNC(SUM(D24:D32)*0.275,-1)</f>
        <v>568780</v>
      </c>
      <c r="E33" s="64">
        <f t="shared" si="0"/>
        <v>1880270</v>
      </c>
    </row>
    <row r="34" spans="1:7" x14ac:dyDescent="0.3">
      <c r="C34" s="35" t="s">
        <v>112</v>
      </c>
      <c r="D34" s="44">
        <f>SUM(D24:D33)</f>
        <v>2637080</v>
      </c>
      <c r="E34" s="44">
        <f>SUM(E24:E33)</f>
        <v>8717620</v>
      </c>
    </row>
    <row r="35" spans="1:7" s="52" customFormat="1" x14ac:dyDescent="0.3">
      <c r="C35" s="53"/>
      <c r="D35" s="53"/>
      <c r="E35" s="53"/>
      <c r="F35" s="51"/>
      <c r="G35" s="51"/>
    </row>
    <row r="36" spans="1:7" s="52" customFormat="1" ht="17.25" thickBot="1" x14ac:dyDescent="0.35">
      <c r="B36" s="52" t="s">
        <v>12</v>
      </c>
      <c r="C36" s="52" t="s">
        <v>236</v>
      </c>
      <c r="D36" s="53" t="s">
        <v>235</v>
      </c>
      <c r="E36" s="53" t="s">
        <v>153</v>
      </c>
      <c r="F36" s="51"/>
      <c r="G36" s="51"/>
    </row>
    <row r="37" spans="1:7" ht="17.25" thickBot="1" x14ac:dyDescent="0.35">
      <c r="C37" s="38" t="s">
        <v>143</v>
      </c>
      <c r="D37" s="57">
        <v>0</v>
      </c>
      <c r="E37" s="65">
        <f>TRUNC(+D37*3.3058,-1)</f>
        <v>0</v>
      </c>
    </row>
    <row r="38" spans="1:7" s="69" customFormat="1" x14ac:dyDescent="0.3">
      <c r="C38" s="70"/>
      <c r="D38" s="70"/>
      <c r="E38" s="70"/>
      <c r="G38" s="71"/>
    </row>
    <row r="39" spans="1:7" s="69" customFormat="1" ht="17.25" thickBot="1" x14ac:dyDescent="0.35">
      <c r="B39" s="69" t="s">
        <v>111</v>
      </c>
      <c r="C39" s="69" t="s">
        <v>240</v>
      </c>
      <c r="D39" s="70" t="s">
        <v>259</v>
      </c>
      <c r="E39" s="70" t="s">
        <v>260</v>
      </c>
      <c r="G39" s="71"/>
    </row>
    <row r="40" spans="1:7" x14ac:dyDescent="0.3">
      <c r="A40" s="2">
        <v>1</v>
      </c>
      <c r="C40" s="38" t="s">
        <v>15</v>
      </c>
      <c r="D40" s="40">
        <f>TRUNC(72366,-1)</f>
        <v>72360</v>
      </c>
      <c r="E40" s="66">
        <f t="shared" ref="E40:E59" si="1">TRUNC(+D40*3.3058,-1)</f>
        <v>239200</v>
      </c>
    </row>
    <row r="41" spans="1:7" x14ac:dyDescent="0.3">
      <c r="A41" s="2">
        <v>2</v>
      </c>
      <c r="C41" s="38" t="s">
        <v>13</v>
      </c>
      <c r="D41" s="42">
        <f>TRUNC(186308,-1)</f>
        <v>186300</v>
      </c>
      <c r="E41" s="67">
        <f t="shared" si="1"/>
        <v>615870</v>
      </c>
    </row>
    <row r="42" spans="1:7" x14ac:dyDescent="0.3">
      <c r="A42" s="2">
        <v>3</v>
      </c>
      <c r="C42" s="38" t="s">
        <v>14</v>
      </c>
      <c r="D42" s="42">
        <f>TRUNC(13106,-1)</f>
        <v>13100</v>
      </c>
      <c r="E42" s="67">
        <f t="shared" si="1"/>
        <v>43300</v>
      </c>
    </row>
    <row r="43" spans="1:7" x14ac:dyDescent="0.3">
      <c r="A43" s="2">
        <v>4</v>
      </c>
      <c r="C43" s="38" t="s">
        <v>16</v>
      </c>
      <c r="D43" s="42">
        <f>TRUNC(56351,-1)</f>
        <v>56350</v>
      </c>
      <c r="E43" s="67">
        <f t="shared" si="1"/>
        <v>186280</v>
      </c>
    </row>
    <row r="44" spans="1:7" x14ac:dyDescent="0.3">
      <c r="A44" s="2">
        <v>5</v>
      </c>
      <c r="C44" s="38" t="s">
        <v>17</v>
      </c>
      <c r="D44" s="42">
        <f>TRUNC(45282,-1)</f>
        <v>45280</v>
      </c>
      <c r="E44" s="67">
        <f t="shared" si="1"/>
        <v>149680</v>
      </c>
    </row>
    <row r="45" spans="1:7" x14ac:dyDescent="0.3">
      <c r="A45" s="2">
        <v>6</v>
      </c>
      <c r="C45" s="38" t="s">
        <v>18</v>
      </c>
      <c r="D45" s="42">
        <f>TRUNC(12931,-1)</f>
        <v>12930</v>
      </c>
      <c r="E45" s="67">
        <f t="shared" si="1"/>
        <v>42740</v>
      </c>
    </row>
    <row r="46" spans="1:7" x14ac:dyDescent="0.3">
      <c r="A46" s="2">
        <v>7</v>
      </c>
      <c r="C46" s="38" t="s">
        <v>19</v>
      </c>
      <c r="D46" s="42">
        <f>TRUNC(81773,-1)</f>
        <v>81770</v>
      </c>
      <c r="E46" s="67">
        <f t="shared" si="1"/>
        <v>270310</v>
      </c>
    </row>
    <row r="47" spans="1:7" x14ac:dyDescent="0.3">
      <c r="A47" s="2">
        <v>8</v>
      </c>
      <c r="C47" s="38" t="s">
        <v>20</v>
      </c>
      <c r="D47" s="4">
        <v>0</v>
      </c>
      <c r="E47" s="67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TRUNC(47169,-1)</f>
        <v>47160</v>
      </c>
      <c r="E48" s="67">
        <f t="shared" si="1"/>
        <v>155900</v>
      </c>
    </row>
    <row r="49" spans="1:7" x14ac:dyDescent="0.3">
      <c r="A49" s="2">
        <v>10</v>
      </c>
      <c r="C49" s="38" t="s">
        <v>22</v>
      </c>
      <c r="D49" s="42">
        <f>TRUNC(16352,-1)</f>
        <v>16350</v>
      </c>
      <c r="E49" s="67">
        <f t="shared" si="1"/>
        <v>54040</v>
      </c>
    </row>
    <row r="50" spans="1:7" x14ac:dyDescent="0.3">
      <c r="A50" s="2">
        <v>11</v>
      </c>
      <c r="C50" s="38" t="s">
        <v>155</v>
      </c>
      <c r="D50" s="42">
        <f>TRUNC(78197,-1)</f>
        <v>78190</v>
      </c>
      <c r="E50" s="67">
        <f t="shared" si="1"/>
        <v>258480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7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TRUNC(14063,-1)</f>
        <v>14060</v>
      </c>
      <c r="E52" s="67">
        <f t="shared" si="1"/>
        <v>46470</v>
      </c>
    </row>
    <row r="53" spans="1:7" x14ac:dyDescent="0.3">
      <c r="A53" s="2">
        <v>14</v>
      </c>
      <c r="C53" s="38" t="s">
        <v>25</v>
      </c>
      <c r="D53" s="42">
        <f>TRUNC(76062,-1)</f>
        <v>76060</v>
      </c>
      <c r="E53" s="67">
        <f t="shared" si="1"/>
        <v>251430</v>
      </c>
    </row>
    <row r="54" spans="1:7" x14ac:dyDescent="0.3">
      <c r="A54" s="2">
        <v>15</v>
      </c>
      <c r="C54" s="38" t="s">
        <v>147</v>
      </c>
      <c r="D54" s="4">
        <v>0</v>
      </c>
      <c r="E54" s="67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7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7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7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TRUNC(27632+2479+6141-860+219808,-1)</f>
        <v>255200</v>
      </c>
      <c r="E58" s="67">
        <f t="shared" si="1"/>
        <v>843640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TRUNC(569160,-1)</f>
        <v>569160</v>
      </c>
      <c r="E59" s="68">
        <f t="shared" si="1"/>
        <v>1881520</v>
      </c>
    </row>
    <row r="60" spans="1:7" x14ac:dyDescent="0.3">
      <c r="A60" s="2">
        <v>21</v>
      </c>
      <c r="C60" s="27" t="s">
        <v>112</v>
      </c>
      <c r="D60" s="39">
        <f>SUM(D40:D59)</f>
        <v>1524270</v>
      </c>
      <c r="E60" s="39">
        <f>SUM(E40:E59)</f>
        <v>5038860</v>
      </c>
    </row>
    <row r="61" spans="1:7" s="52" customFormat="1" x14ac:dyDescent="0.3">
      <c r="C61" s="53"/>
      <c r="D61" s="53"/>
      <c r="E61" s="53"/>
      <c r="F61" s="51"/>
      <c r="G61" s="51"/>
    </row>
    <row r="62" spans="1:7" s="52" customFormat="1" ht="17.25" thickBot="1" x14ac:dyDescent="0.35">
      <c r="B62" s="52" t="s">
        <v>237</v>
      </c>
      <c r="C62" s="52" t="s">
        <v>238</v>
      </c>
      <c r="D62" s="53" t="s">
        <v>235</v>
      </c>
      <c r="E62" s="53" t="s">
        <v>153</v>
      </c>
      <c r="F62" s="51"/>
      <c r="G62" s="51"/>
    </row>
    <row r="63" spans="1:7" x14ac:dyDescent="0.3">
      <c r="A63" s="2">
        <v>1</v>
      </c>
      <c r="C63" s="38" t="s">
        <v>27</v>
      </c>
      <c r="D63" s="40">
        <f>TRUNC(1501,-1)</f>
        <v>1500</v>
      </c>
      <c r="E63" s="66">
        <f>TRUNC(+D63*3.3058,-1)</f>
        <v>4950</v>
      </c>
    </row>
    <row r="64" spans="1:7" x14ac:dyDescent="0.3">
      <c r="A64" s="2">
        <v>2</v>
      </c>
      <c r="C64" s="38" t="s">
        <v>29</v>
      </c>
      <c r="D64" s="4">
        <v>0</v>
      </c>
      <c r="E64" s="67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8">
        <f>TRUNC(+D65*3.3058,-1)</f>
        <v>0</v>
      </c>
    </row>
    <row r="66" spans="1:7" x14ac:dyDescent="0.3">
      <c r="A66" s="2">
        <v>4</v>
      </c>
      <c r="C66" s="27" t="s">
        <v>112</v>
      </c>
      <c r="D66" s="54">
        <f>SUM(D63:D65)</f>
        <v>1500</v>
      </c>
      <c r="E66" s="54">
        <f>SUM(E63:E65)</f>
        <v>4950</v>
      </c>
    </row>
    <row r="67" spans="1:7" s="52" customFormat="1" x14ac:dyDescent="0.3">
      <c r="C67" s="53"/>
      <c r="D67" s="53"/>
      <c r="E67" s="53"/>
      <c r="F67" s="51"/>
      <c r="G67" s="51"/>
    </row>
    <row r="68" spans="1:7" s="52" customFormat="1" ht="17.25" thickBot="1" x14ac:dyDescent="0.35">
      <c r="B68" s="52" t="s">
        <v>239</v>
      </c>
      <c r="C68" s="52" t="s">
        <v>240</v>
      </c>
      <c r="D68" s="53" t="s">
        <v>235</v>
      </c>
      <c r="E68" s="53" t="s">
        <v>153</v>
      </c>
      <c r="F68" s="51"/>
      <c r="G68" s="51"/>
    </row>
    <row r="69" spans="1:7" x14ac:dyDescent="0.3">
      <c r="A69" s="2">
        <v>1</v>
      </c>
      <c r="C69" s="38" t="s">
        <v>30</v>
      </c>
      <c r="D69" s="40">
        <f>TRUNC(11261,-1)</f>
        <v>11260</v>
      </c>
      <c r="E69" s="66">
        <f t="shared" ref="E69:E94" si="2">TRUNC(+D69*3.3058,-1)</f>
        <v>37220</v>
      </c>
    </row>
    <row r="70" spans="1:7" ht="16.5" customHeight="1" x14ac:dyDescent="0.3">
      <c r="A70" s="2">
        <v>2</v>
      </c>
      <c r="C70" s="38" t="s">
        <v>31</v>
      </c>
      <c r="D70" s="42">
        <f>TRUNC(757,-1)</f>
        <v>750</v>
      </c>
      <c r="E70" s="67">
        <f t="shared" si="2"/>
        <v>2470</v>
      </c>
    </row>
    <row r="71" spans="1:7" x14ac:dyDescent="0.3">
      <c r="A71" s="2">
        <v>3</v>
      </c>
      <c r="C71" s="38" t="s">
        <v>32</v>
      </c>
      <c r="D71" s="42">
        <f>TRUNC(4600,-1)</f>
        <v>4600</v>
      </c>
      <c r="E71" s="67">
        <f t="shared" si="2"/>
        <v>15200</v>
      </c>
    </row>
    <row r="72" spans="1:7" x14ac:dyDescent="0.3">
      <c r="A72" s="2">
        <v>4</v>
      </c>
      <c r="C72" s="38" t="s">
        <v>33</v>
      </c>
      <c r="D72" s="42">
        <f>TRUNC(3595,-1)</f>
        <v>3590</v>
      </c>
      <c r="E72" s="67">
        <f t="shared" si="2"/>
        <v>11860</v>
      </c>
    </row>
    <row r="73" spans="1:7" x14ac:dyDescent="0.3">
      <c r="A73" s="2">
        <v>5</v>
      </c>
      <c r="C73" s="38" t="s">
        <v>34</v>
      </c>
      <c r="D73" s="42">
        <f>TRUNC(10799,-1)</f>
        <v>10790</v>
      </c>
      <c r="E73" s="67">
        <f t="shared" si="2"/>
        <v>35660</v>
      </c>
    </row>
    <row r="74" spans="1:7" x14ac:dyDescent="0.3">
      <c r="A74" s="2">
        <v>6</v>
      </c>
      <c r="C74" s="38" t="s">
        <v>176</v>
      </c>
      <c r="D74" s="42">
        <v>0</v>
      </c>
      <c r="E74" s="67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TRUNC(5228,-1)</f>
        <v>5220</v>
      </c>
      <c r="E75" s="67">
        <f t="shared" si="2"/>
        <v>17250</v>
      </c>
    </row>
    <row r="76" spans="1:7" x14ac:dyDescent="0.3">
      <c r="A76" s="2">
        <v>8</v>
      </c>
      <c r="C76" s="38" t="s">
        <v>119</v>
      </c>
      <c r="D76" s="42">
        <v>0</v>
      </c>
      <c r="E76" s="67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7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7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7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7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7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7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7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7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7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7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7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7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TRUNC(7516,-1)</f>
        <v>7510</v>
      </c>
      <c r="E89" s="67">
        <f t="shared" si="2"/>
        <v>24820</v>
      </c>
    </row>
    <row r="90" spans="1:7" x14ac:dyDescent="0.3">
      <c r="A90" s="2">
        <v>22</v>
      </c>
      <c r="C90" s="38" t="s">
        <v>36</v>
      </c>
      <c r="D90" s="4">
        <v>0</v>
      </c>
      <c r="E90" s="67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TRUNC(8220,-1)</f>
        <v>8220</v>
      </c>
      <c r="E91" s="67">
        <f t="shared" si="2"/>
        <v>27170</v>
      </c>
    </row>
    <row r="92" spans="1:7" x14ac:dyDescent="0.3">
      <c r="A92" s="2">
        <v>24</v>
      </c>
      <c r="C92" s="38" t="s">
        <v>38</v>
      </c>
      <c r="D92" s="42">
        <f>TRUNC(4853,-1)</f>
        <v>4850</v>
      </c>
      <c r="E92" s="67">
        <f t="shared" si="2"/>
        <v>16030</v>
      </c>
    </row>
    <row r="93" spans="1:7" x14ac:dyDescent="0.3">
      <c r="A93" s="2">
        <v>25</v>
      </c>
      <c r="C93" s="38" t="s">
        <v>148</v>
      </c>
      <c r="D93" s="42">
        <v>0</v>
      </c>
      <c r="E93" s="67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TRUNC(6466,-1)</f>
        <v>6460</v>
      </c>
      <c r="E94" s="68">
        <f t="shared" si="2"/>
        <v>21350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63250</v>
      </c>
      <c r="E95" s="39">
        <f>SUM(E69:E94)</f>
        <v>209030</v>
      </c>
    </row>
    <row r="96" spans="1:7" s="52" customFormat="1" x14ac:dyDescent="0.3">
      <c r="C96" s="53"/>
      <c r="D96" s="53"/>
      <c r="E96" s="53"/>
      <c r="F96" s="51"/>
      <c r="G96" s="51"/>
    </row>
    <row r="97" spans="1:7" s="52" customFormat="1" ht="17.25" thickBot="1" x14ac:dyDescent="0.35">
      <c r="B97" s="52" t="s">
        <v>241</v>
      </c>
      <c r="C97" s="52" t="s">
        <v>240</v>
      </c>
      <c r="D97" s="53" t="s">
        <v>235</v>
      </c>
      <c r="E97" s="53" t="s">
        <v>153</v>
      </c>
      <c r="F97" s="51"/>
      <c r="G97" s="51"/>
    </row>
    <row r="98" spans="1:7" x14ac:dyDescent="0.3">
      <c r="A98" s="2">
        <v>1</v>
      </c>
      <c r="C98" s="38" t="s">
        <v>39</v>
      </c>
      <c r="D98" s="40">
        <f>TRUNC(17124,-1)</f>
        <v>17120</v>
      </c>
      <c r="E98" s="66">
        <f t="shared" ref="E98:E118" si="3">TRUNC(+D98*3.3058,-1)</f>
        <v>56590</v>
      </c>
    </row>
    <row r="99" spans="1:7" x14ac:dyDescent="0.3">
      <c r="A99" s="2">
        <v>2</v>
      </c>
      <c r="C99" s="38" t="s">
        <v>40</v>
      </c>
      <c r="D99" s="42">
        <f>TRUNC(3166,-1)</f>
        <v>3160</v>
      </c>
      <c r="E99" s="67">
        <f t="shared" si="3"/>
        <v>10440</v>
      </c>
    </row>
    <row r="100" spans="1:7" x14ac:dyDescent="0.3">
      <c r="A100" s="2">
        <v>3</v>
      </c>
      <c r="C100" s="38" t="s">
        <v>41</v>
      </c>
      <c r="D100" s="42">
        <f>TRUNC(20934,-1)</f>
        <v>20930</v>
      </c>
      <c r="E100" s="67">
        <f t="shared" si="3"/>
        <v>69190</v>
      </c>
    </row>
    <row r="101" spans="1:7" x14ac:dyDescent="0.3">
      <c r="A101" s="2">
        <v>4</v>
      </c>
      <c r="C101" s="38" t="s">
        <v>42</v>
      </c>
      <c r="D101" s="42">
        <v>0</v>
      </c>
      <c r="E101" s="67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TRUNC(11712,-1)</f>
        <v>11710</v>
      </c>
      <c r="E102" s="67">
        <f t="shared" si="3"/>
        <v>38710</v>
      </c>
    </row>
    <row r="103" spans="1:7" x14ac:dyDescent="0.3">
      <c r="A103" s="2">
        <v>6</v>
      </c>
      <c r="C103" s="38" t="s">
        <v>44</v>
      </c>
      <c r="D103" s="42">
        <f>TRUNC(3838,-1)</f>
        <v>3830</v>
      </c>
      <c r="E103" s="67">
        <f t="shared" si="3"/>
        <v>12660</v>
      </c>
    </row>
    <row r="104" spans="1:7" x14ac:dyDescent="0.3">
      <c r="A104" s="2">
        <v>7</v>
      </c>
      <c r="C104" s="38" t="s">
        <v>45</v>
      </c>
      <c r="D104" s="42">
        <f>TRUNC(25008,-1)</f>
        <v>25000</v>
      </c>
      <c r="E104" s="67">
        <f t="shared" si="3"/>
        <v>82640</v>
      </c>
    </row>
    <row r="105" spans="1:7" x14ac:dyDescent="0.3">
      <c r="A105" s="2">
        <v>8</v>
      </c>
      <c r="C105" s="38" t="s">
        <v>46</v>
      </c>
      <c r="D105" s="42">
        <f>TRUNC(4922,-1)</f>
        <v>4920</v>
      </c>
      <c r="E105" s="67">
        <f t="shared" si="3"/>
        <v>16260</v>
      </c>
    </row>
    <row r="106" spans="1:7" x14ac:dyDescent="0.3">
      <c r="A106" s="2">
        <v>9</v>
      </c>
      <c r="C106" s="38" t="s">
        <v>135</v>
      </c>
      <c r="D106" s="4">
        <v>0</v>
      </c>
      <c r="E106" s="67">
        <f t="shared" si="3"/>
        <v>0</v>
      </c>
    </row>
    <row r="107" spans="1:7" x14ac:dyDescent="0.3">
      <c r="A107" s="2">
        <v>10</v>
      </c>
      <c r="C107" s="38" t="s">
        <v>117</v>
      </c>
      <c r="D107" s="4">
        <v>0</v>
      </c>
      <c r="E107" s="67">
        <f t="shared" si="3"/>
        <v>0</v>
      </c>
    </row>
    <row r="108" spans="1:7" x14ac:dyDescent="0.3">
      <c r="A108" s="2">
        <v>11</v>
      </c>
      <c r="C108" s="38" t="s">
        <v>120</v>
      </c>
      <c r="D108" s="4">
        <v>0</v>
      </c>
      <c r="E108" s="67">
        <f t="shared" si="3"/>
        <v>0</v>
      </c>
    </row>
    <row r="109" spans="1:7" x14ac:dyDescent="0.3">
      <c r="A109" s="2">
        <v>12</v>
      </c>
      <c r="C109" s="38" t="s">
        <v>125</v>
      </c>
      <c r="D109" s="4">
        <v>0</v>
      </c>
      <c r="E109" s="67">
        <f t="shared" si="3"/>
        <v>0</v>
      </c>
    </row>
    <row r="110" spans="1:7" x14ac:dyDescent="0.3">
      <c r="A110" s="2">
        <v>13</v>
      </c>
      <c r="C110" s="38" t="s">
        <v>127</v>
      </c>
      <c r="D110" s="4">
        <v>0</v>
      </c>
      <c r="E110" s="67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7">
        <f t="shared" si="3"/>
        <v>0</v>
      </c>
    </row>
    <row r="112" spans="1:7" x14ac:dyDescent="0.3">
      <c r="A112" s="2">
        <v>15</v>
      </c>
      <c r="C112" s="38" t="s">
        <v>132</v>
      </c>
      <c r="D112" s="4">
        <v>0</v>
      </c>
      <c r="E112" s="67">
        <f t="shared" si="3"/>
        <v>0</v>
      </c>
    </row>
    <row r="113" spans="1:7" x14ac:dyDescent="0.3">
      <c r="A113" s="2">
        <v>16</v>
      </c>
      <c r="C113" s="38" t="s">
        <v>118</v>
      </c>
      <c r="D113" s="4">
        <v>0</v>
      </c>
      <c r="E113" s="67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TRUNC(3358,-1)</f>
        <v>3350</v>
      </c>
      <c r="E114" s="67">
        <f t="shared" si="3"/>
        <v>11070</v>
      </c>
      <c r="F114" s="60" t="s">
        <v>254</v>
      </c>
    </row>
    <row r="115" spans="1:7" x14ac:dyDescent="0.3">
      <c r="A115" s="2">
        <v>18</v>
      </c>
      <c r="C115" s="38" t="s">
        <v>116</v>
      </c>
      <c r="D115" s="4">
        <v>0</v>
      </c>
      <c r="E115" s="67">
        <f t="shared" si="3"/>
        <v>0</v>
      </c>
    </row>
    <row r="116" spans="1:7" x14ac:dyDescent="0.3">
      <c r="A116" s="2">
        <v>19</v>
      </c>
      <c r="C116" s="38" t="s">
        <v>115</v>
      </c>
      <c r="D116" s="4">
        <v>0</v>
      </c>
      <c r="E116" s="67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TRUNC(151800,-1)</f>
        <v>151800</v>
      </c>
      <c r="E117" s="67">
        <f t="shared" si="3"/>
        <v>501820</v>
      </c>
    </row>
    <row r="118" spans="1:7" ht="17.25" thickBot="1" x14ac:dyDescent="0.35">
      <c r="A118" s="2">
        <v>21</v>
      </c>
      <c r="C118" s="38" t="s">
        <v>47</v>
      </c>
      <c r="D118" s="43">
        <f>TRUNC(2747,-1)</f>
        <v>2740</v>
      </c>
      <c r="E118" s="68">
        <f t="shared" si="3"/>
        <v>9050</v>
      </c>
    </row>
    <row r="119" spans="1:7" x14ac:dyDescent="0.3">
      <c r="A119" s="2">
        <v>22</v>
      </c>
      <c r="C119" s="27" t="s">
        <v>112</v>
      </c>
      <c r="D119" s="54">
        <f>SUM(D98:D118)</f>
        <v>244560</v>
      </c>
      <c r="E119" s="39">
        <f>SUM(E98:E118)</f>
        <v>808430</v>
      </c>
    </row>
    <row r="120" spans="1:7" s="52" customFormat="1" x14ac:dyDescent="0.3">
      <c r="C120" s="53"/>
      <c r="D120" s="53"/>
      <c r="E120" s="53"/>
      <c r="F120" s="51"/>
      <c r="G120" s="51"/>
    </row>
    <row r="121" spans="1:7" s="52" customFormat="1" ht="17.25" thickBot="1" x14ac:dyDescent="0.35">
      <c r="B121" s="52" t="s">
        <v>242</v>
      </c>
      <c r="C121" s="52" t="s">
        <v>240</v>
      </c>
      <c r="D121" s="53" t="s">
        <v>235</v>
      </c>
      <c r="E121" s="53" t="s">
        <v>153</v>
      </c>
      <c r="F121" s="51"/>
      <c r="G121" s="51"/>
    </row>
    <row r="122" spans="1:7" ht="17.25" thickBot="1" x14ac:dyDescent="0.35">
      <c r="A122" s="2">
        <v>1</v>
      </c>
      <c r="C122" s="38" t="s">
        <v>55</v>
      </c>
      <c r="D122" s="58">
        <f>TRUNC(1901,-1)</f>
        <v>1900</v>
      </c>
      <c r="E122" s="66">
        <f t="shared" ref="E122:E132" si="4">TRUNC(+D122*3.3058,-1)</f>
        <v>6280</v>
      </c>
    </row>
    <row r="123" spans="1:7" x14ac:dyDescent="0.3">
      <c r="A123" s="2">
        <v>2</v>
      </c>
      <c r="C123" s="38" t="s">
        <v>124</v>
      </c>
      <c r="D123" s="4">
        <v>0</v>
      </c>
      <c r="E123" s="67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TRUNC(435,-1)</f>
        <v>430</v>
      </c>
      <c r="E124" s="67">
        <f t="shared" si="4"/>
        <v>1420</v>
      </c>
    </row>
    <row r="125" spans="1:7" x14ac:dyDescent="0.3">
      <c r="A125" s="2">
        <v>4</v>
      </c>
      <c r="C125" s="38" t="s">
        <v>138</v>
      </c>
      <c r="D125" s="42">
        <f>TRUNC(4269,-1)</f>
        <v>4260</v>
      </c>
      <c r="E125" s="67">
        <f t="shared" si="4"/>
        <v>14080</v>
      </c>
      <c r="F125" s="2" t="s">
        <v>255</v>
      </c>
    </row>
    <row r="126" spans="1:7" x14ac:dyDescent="0.3">
      <c r="A126" s="2">
        <v>5</v>
      </c>
      <c r="C126" s="38" t="s">
        <v>53</v>
      </c>
      <c r="D126" s="42">
        <f>TRUNC(7280,-1)</f>
        <v>7280</v>
      </c>
      <c r="E126" s="67">
        <f t="shared" si="4"/>
        <v>24060</v>
      </c>
    </row>
    <row r="127" spans="1:7" x14ac:dyDescent="0.3">
      <c r="A127" s="2">
        <v>6</v>
      </c>
      <c r="C127" s="38" t="s">
        <v>56</v>
      </c>
      <c r="D127" s="42">
        <v>0</v>
      </c>
      <c r="E127" s="67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TRUNC(5806,-1)</f>
        <v>5800</v>
      </c>
      <c r="E128" s="67">
        <f t="shared" si="4"/>
        <v>19170</v>
      </c>
    </row>
    <row r="129" spans="1:7" x14ac:dyDescent="0.3">
      <c r="A129" s="2">
        <v>8</v>
      </c>
      <c r="C129" s="38" t="s">
        <v>126</v>
      </c>
      <c r="D129" s="42">
        <v>0</v>
      </c>
      <c r="E129" s="67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TRUNC(18822,-1)</f>
        <v>18820</v>
      </c>
      <c r="E130" s="67">
        <f t="shared" si="4"/>
        <v>62210</v>
      </c>
    </row>
    <row r="131" spans="1:7" x14ac:dyDescent="0.3">
      <c r="A131" s="2">
        <v>10</v>
      </c>
      <c r="C131" s="38" t="s">
        <v>148</v>
      </c>
      <c r="D131" s="42">
        <f>TRUNC(41496,-1)</f>
        <v>41490</v>
      </c>
      <c r="E131" s="67">
        <f t="shared" si="4"/>
        <v>137150</v>
      </c>
    </row>
    <row r="132" spans="1:7" ht="17.25" thickBot="1" x14ac:dyDescent="0.35">
      <c r="A132" s="2">
        <v>11</v>
      </c>
      <c r="C132" s="38" t="s">
        <v>47</v>
      </c>
      <c r="D132" s="43">
        <f>TRUNC(3130,-1)</f>
        <v>3130</v>
      </c>
      <c r="E132" s="68">
        <f t="shared" si="4"/>
        <v>10340</v>
      </c>
      <c r="F132" s="2" t="s">
        <v>256</v>
      </c>
    </row>
    <row r="133" spans="1:7" x14ac:dyDescent="0.3">
      <c r="A133" s="2">
        <v>12</v>
      </c>
      <c r="C133" s="27" t="s">
        <v>112</v>
      </c>
      <c r="D133" s="54">
        <f>SUM(D122:D132)</f>
        <v>83110</v>
      </c>
      <c r="E133" s="39">
        <f>SUM(E122:E132)</f>
        <v>274710</v>
      </c>
    </row>
    <row r="134" spans="1:7" s="52" customFormat="1" x14ac:dyDescent="0.3">
      <c r="C134" s="53"/>
      <c r="D134" s="53"/>
      <c r="E134" s="53"/>
      <c r="F134" s="51"/>
      <c r="G134" s="51"/>
    </row>
    <row r="135" spans="1:7" s="52" customFormat="1" ht="17.25" thickBot="1" x14ac:dyDescent="0.35">
      <c r="B135" s="52" t="s">
        <v>243</v>
      </c>
      <c r="C135" s="52" t="s">
        <v>240</v>
      </c>
      <c r="D135" s="53" t="s">
        <v>235</v>
      </c>
      <c r="E135" s="53" t="s">
        <v>153</v>
      </c>
      <c r="F135" s="51"/>
      <c r="G135" s="51"/>
    </row>
    <row r="136" spans="1:7" x14ac:dyDescent="0.3">
      <c r="A136" s="2">
        <v>1</v>
      </c>
      <c r="C136" s="38" t="s">
        <v>131</v>
      </c>
      <c r="D136" s="59">
        <v>0</v>
      </c>
      <c r="E136" s="66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TRUNC(2995+7280,-1)</f>
        <v>10270</v>
      </c>
      <c r="E137" s="67">
        <f t="shared" si="5"/>
        <v>33950</v>
      </c>
      <c r="F137" s="2" t="s">
        <v>257</v>
      </c>
    </row>
    <row r="138" spans="1:7" x14ac:dyDescent="0.3">
      <c r="A138" s="2">
        <v>3</v>
      </c>
      <c r="C138" s="38" t="s">
        <v>60</v>
      </c>
      <c r="D138" s="4">
        <v>0</v>
      </c>
      <c r="E138" s="67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7">
        <f t="shared" si="5"/>
        <v>0</v>
      </c>
    </row>
    <row r="140" spans="1:7" x14ac:dyDescent="0.3">
      <c r="A140" s="2">
        <v>5</v>
      </c>
      <c r="C140" s="38" t="s">
        <v>57</v>
      </c>
      <c r="D140" s="4">
        <f>TRUNC(650,-1)</f>
        <v>650</v>
      </c>
      <c r="E140" s="67">
        <f t="shared" si="5"/>
        <v>2140</v>
      </c>
    </row>
    <row r="141" spans="1:7" x14ac:dyDescent="0.3">
      <c r="A141" s="2">
        <v>6</v>
      </c>
      <c r="C141" s="38" t="s">
        <v>59</v>
      </c>
      <c r="D141" s="42">
        <v>0</v>
      </c>
      <c r="E141" s="67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TRUNC(5853,-1)</f>
        <v>5850</v>
      </c>
      <c r="E142" s="67">
        <f t="shared" si="5"/>
        <v>19330</v>
      </c>
    </row>
    <row r="143" spans="1:7" x14ac:dyDescent="0.3">
      <c r="A143" s="2">
        <v>8</v>
      </c>
      <c r="C143" s="38" t="s">
        <v>62</v>
      </c>
      <c r="D143" s="42">
        <f>TRUNC(7570,-1)</f>
        <v>7570</v>
      </c>
      <c r="E143" s="67">
        <f t="shared" si="5"/>
        <v>25020</v>
      </c>
    </row>
    <row r="144" spans="1:7" x14ac:dyDescent="0.3">
      <c r="A144" s="2">
        <v>9</v>
      </c>
      <c r="C144" s="38" t="s">
        <v>63</v>
      </c>
      <c r="D144" s="42">
        <f>TRUNC(15052,-1)</f>
        <v>15050</v>
      </c>
      <c r="E144" s="67">
        <f t="shared" si="5"/>
        <v>49750</v>
      </c>
    </row>
    <row r="145" spans="1:7" ht="17.25" thickBot="1" x14ac:dyDescent="0.35">
      <c r="A145" s="2">
        <v>10</v>
      </c>
      <c r="C145" s="38" t="s">
        <v>148</v>
      </c>
      <c r="D145" s="43">
        <f>TRUNC(2314,-1)</f>
        <v>2310</v>
      </c>
      <c r="E145" s="68">
        <f t="shared" si="5"/>
        <v>7630</v>
      </c>
    </row>
    <row r="146" spans="1:7" x14ac:dyDescent="0.3">
      <c r="A146" s="2">
        <v>11</v>
      </c>
      <c r="C146" s="27" t="s">
        <v>112</v>
      </c>
      <c r="D146" s="54">
        <f>SUM(D136:D145)</f>
        <v>41700</v>
      </c>
      <c r="E146" s="39">
        <f>SUM(E136:E145)</f>
        <v>137820</v>
      </c>
    </row>
    <row r="147" spans="1:7" s="52" customFormat="1" x14ac:dyDescent="0.3">
      <c r="C147" s="53"/>
      <c r="D147" s="53"/>
      <c r="E147" s="53"/>
      <c r="F147" s="51"/>
      <c r="G147" s="51"/>
    </row>
    <row r="148" spans="1:7" s="52" customFormat="1" ht="17.25" thickBot="1" x14ac:dyDescent="0.35">
      <c r="B148" s="52" t="s">
        <v>244</v>
      </c>
      <c r="C148" s="52" t="s">
        <v>240</v>
      </c>
      <c r="D148" s="53" t="s">
        <v>235</v>
      </c>
      <c r="E148" s="53" t="s">
        <v>153</v>
      </c>
      <c r="F148" s="51"/>
      <c r="G148" s="51"/>
    </row>
    <row r="149" spans="1:7" x14ac:dyDescent="0.3">
      <c r="A149" s="2">
        <v>1</v>
      </c>
      <c r="C149" s="38" t="s">
        <v>48</v>
      </c>
      <c r="D149" s="40">
        <f>TRUNC(3313+575,-1)</f>
        <v>3880</v>
      </c>
      <c r="E149" s="66">
        <f>TRUNC(+D149*3.3058,-1)</f>
        <v>12820</v>
      </c>
    </row>
    <row r="150" spans="1:7" x14ac:dyDescent="0.3">
      <c r="A150" s="2">
        <v>2</v>
      </c>
      <c r="C150" s="38" t="s">
        <v>49</v>
      </c>
      <c r="D150" s="42">
        <f>TRUNC(6619+20572,-1)</f>
        <v>27190</v>
      </c>
      <c r="E150" s="67">
        <f>TRUNC(+D150*3.3058,-1)</f>
        <v>89880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v>0</v>
      </c>
      <c r="E151" s="67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TRUNC(7700,-1)</f>
        <v>7700</v>
      </c>
      <c r="E152" s="67">
        <f>TRUNC(+D152*3.3058,-1)</f>
        <v>25450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8">
        <f>TRUNC(+D153*3.3058,-1)</f>
        <v>0</v>
      </c>
      <c r="F153" s="61"/>
    </row>
    <row r="154" spans="1:7" x14ac:dyDescent="0.3">
      <c r="A154" s="2">
        <v>6</v>
      </c>
      <c r="C154" s="27" t="s">
        <v>112</v>
      </c>
      <c r="D154" s="54">
        <f>SUM(D149:D153)</f>
        <v>38770</v>
      </c>
      <c r="E154" s="39">
        <f>SUM(E149:E153)</f>
        <v>128150</v>
      </c>
    </row>
    <row r="155" spans="1:7" s="52" customFormat="1" x14ac:dyDescent="0.3">
      <c r="C155" s="53"/>
      <c r="D155" s="53"/>
      <c r="E155" s="53"/>
      <c r="F155" s="51"/>
      <c r="G155" s="51"/>
    </row>
    <row r="156" spans="1:7" s="52" customFormat="1" ht="17.25" thickBot="1" x14ac:dyDescent="0.35">
      <c r="B156" s="52" t="s">
        <v>245</v>
      </c>
      <c r="C156" s="52" t="s">
        <v>240</v>
      </c>
      <c r="D156" s="53" t="s">
        <v>235</v>
      </c>
      <c r="E156" s="53" t="s">
        <v>153</v>
      </c>
      <c r="F156" s="51"/>
      <c r="G156" s="51"/>
    </row>
    <row r="157" spans="1:7" x14ac:dyDescent="0.3">
      <c r="A157" s="2">
        <v>1</v>
      </c>
      <c r="C157" s="38" t="s">
        <v>51</v>
      </c>
      <c r="D157" s="40">
        <f>TRUNC(45909,-1)</f>
        <v>45900</v>
      </c>
      <c r="E157" s="66">
        <f>TRUNC(+D157*3.3058,-1)</f>
        <v>151730</v>
      </c>
    </row>
    <row r="158" spans="1:7" x14ac:dyDescent="0.3">
      <c r="A158" s="2">
        <v>2</v>
      </c>
      <c r="C158" s="38" t="s">
        <v>52</v>
      </c>
      <c r="D158" s="42">
        <f>TRUNC(17482,-1)</f>
        <v>17480</v>
      </c>
      <c r="E158" s="67">
        <f>TRUNC(+D158*3.3058,-1)</f>
        <v>57780</v>
      </c>
    </row>
    <row r="159" spans="1:7" x14ac:dyDescent="0.3">
      <c r="A159" s="2">
        <v>3</v>
      </c>
      <c r="C159" s="38" t="s">
        <v>47</v>
      </c>
      <c r="D159" s="42">
        <f>TRUNC(7761,-1)</f>
        <v>7760</v>
      </c>
      <c r="E159" s="67">
        <f>TRUNC(+D159*3.3058,-1)</f>
        <v>25650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8">
        <f>TRUNC(+D160*3.3058,-1)</f>
        <v>0</v>
      </c>
    </row>
    <row r="161" spans="1:5" x14ac:dyDescent="0.3">
      <c r="A161" s="2">
        <v>5</v>
      </c>
      <c r="C161" s="27" t="s">
        <v>112</v>
      </c>
      <c r="D161" s="54">
        <f>SUM(D157:D160)</f>
        <v>71140</v>
      </c>
      <c r="E161" s="39">
        <f>SUM(E157:E160)</f>
        <v>235160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2020-12-07T10:17:54Z</dcterms:modified>
</cp:coreProperties>
</file>