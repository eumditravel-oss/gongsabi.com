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1" i="4"/>
  <c r="D149" i="4"/>
  <c r="D143" i="4"/>
  <c r="D141" i="4"/>
  <c r="D140" i="4"/>
  <c r="D139" i="4"/>
  <c r="D132" i="4"/>
  <c r="D131" i="4"/>
  <c r="D130" i="4"/>
  <c r="D128" i="4"/>
  <c r="D125" i="4"/>
  <c r="D122" i="4"/>
  <c r="D118" i="4"/>
  <c r="D117" i="4"/>
  <c r="D114" i="4"/>
  <c r="D105" i="4"/>
  <c r="D104" i="4"/>
  <c r="D103" i="4"/>
  <c r="D102" i="4"/>
  <c r="D99" i="4"/>
  <c r="D98" i="4"/>
  <c r="D75" i="4"/>
  <c r="D94" i="4"/>
  <c r="D93" i="4"/>
  <c r="D91" i="4"/>
  <c r="D90" i="4"/>
  <c r="D89" i="4"/>
  <c r="D73" i="4"/>
  <c r="D72" i="4"/>
  <c r="D71" i="4"/>
  <c r="D70" i="4"/>
  <c r="D69" i="4"/>
  <c r="D63" i="4"/>
  <c r="D59" i="4"/>
  <c r="D58" i="4"/>
  <c r="D52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<sst xmlns="http://schemas.openxmlformats.org/spreadsheetml/2006/main" count="393" uniqueCount="269">
  <si>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</si>
  <si>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</si>
  <si>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</si>
  <si>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</si>
  <si>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</si>
  <si>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</si>
  <si>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</si>
  <si>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</si>
  <si>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</si>
  <si>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</si>
  <si>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</si>
  <si>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</si>
  <si>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</si>
  <si>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</si>
  <si>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</si>
  <si>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</si>
  <si>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</si>
  <si>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</si>
  <si>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</si>
  <si>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</si>
  <si>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</si>
  <si>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</si>
  <si>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</si>
  <si>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</si>
  <si>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</si>
  <si>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</si>
  <si>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</si>
  <si>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</si>
  <si>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</si>
  <si>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</si>
  <si>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</si>
  <si>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</si>
  <si>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</si>
  <si>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</si>
  <si>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</si>
  <si>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</si>
  <si>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</si>
  <si>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</si>
  <si>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</si>
  <si>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</si>
  <si>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</si>
  <si>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</si>
  <si>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</si>
  <si>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</si>
  <si>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</si>
  <si>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</si>
  <si>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</si>
  <si>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</si>
  <si>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</si>
  <si>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</si>
  <si>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</si>
  <si>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</si>
  <si>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</si>
  <si>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</si>
  <si>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</si>
  <si>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</si>
  <si>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</si>
  <si>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</si>
  <si>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</si>
  <si>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</si>
  <si>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</si>
  <si>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</si>
  <si>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</si>
  <si>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</si>
  <si>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</si>
  <si>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</si>
  <si>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</si>
  <si>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</si>
  <si>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</si>
  <si>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</si>
  <si>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</si>
  <si>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</si>
  <si>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</si>
  <si>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</si>
  <si>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</si>
  <si>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</si>
  <si>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</si>
  <si>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</si>
  <si>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</si>
  <si>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</si>
  <si>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</si>
  <si>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</si>
  <si>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</si>
  <si>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</si>
  <si>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</si>
  <si>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</si>
  <si>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</si>
  <si>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</si>
  <si>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</si>
  <si>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</si>
  <si>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</si>
  <si>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</si>
  <si>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</si>
  <si>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</si>
  <si>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</si>
  <si>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</si>
  <si>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</si>
  <si>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</si>
  <si>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</si>
  <si>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</si>
  <si>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</si>
  <si>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</si>
  <si>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</si>
  <si>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</si>
  <si>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</si>
  <si>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</si>
  <si>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</si>
  <si>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</si>
  <si>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</si>
  <si>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</si>
  <si>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</si>
  <si>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</si>
  <si>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</si>
  <si>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</si>
  <si>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</si>
  <si>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</si>
  <si>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</si>
  <si>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</si>
  <si>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</si>
  <si>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</si>
  <si>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</si>
  <si>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</si>
  <si>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</si>
  <si>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</si>
  <si>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</si>
  <si>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</si>
  <si>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</si>
  <si>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</si>
  <si>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</si>
  <si>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</si>
  <si>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</si>
  <si>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</si>
  <si>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</si>
  <si>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</si>
  <si>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</si>
  <si>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</si>
  <si>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</si>
  <si>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</si>
  <si>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</si>
  <si>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</si>
  <si>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</si>
  <si>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</si>
  <si>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</si>
  <si>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</si>
  <si>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</si>
  <si>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</si>
  <si>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</si>
  <si>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</si>
  <si>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</si>
  <si>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</si>
  <si>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</si>
  <si>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</si>
  <si>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</si>
  <si>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</si>
  <si>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</si>
  <si>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</si>
  <si>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</si>
  <si>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</si>
  <si>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</si>
  <si>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</si>
  <si>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</si>
  <si>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</si>
  <si>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</si>
  <si>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</si>
  <si>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</si>
  <si>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</si>
  <si>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</si>
  <si>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</si>
  <si>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</si>
  <si>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</si>
  <si>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</si>
  <si>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</si>
  <si>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</si>
  <si>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</si>
  <si>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</si>
  <si>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</si>
  <si>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</si>
  <si>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</si>
  <si>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</si>
  <si>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</si>
  <si>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</si>
  <si>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</si>
  <si>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</si>
  <si>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</si>
  <si>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</si>
  <si>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</si>
  <si>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</si>
  <si>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</si>
  <si>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</si>
  <si>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</si>
  <si>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</si>
  <si>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</si>
  <si>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</si>
  <si>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</si>
  <si>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</si>
  <si>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</si>
  <si>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</si>
  <si>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</si>
  <si>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</si>
  <si>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</si>
  <si>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</si>
  <si>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</si>
  <si>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</si>
  <si>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</si>
  <si>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</si>
  <si>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</si>
  <si>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</si>
  <si>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</si>
  <si>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</si>
  <si>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</si>
  <si>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</si>
  <si>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</si>
  <si>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</si>
  <si>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</si>
  <si>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</si>
  <si>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</si>
  <si>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</si>
  <si>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</si>
  <si>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</si>
  <si>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</si>
  <si>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</si>
  <si>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</si>
  <si>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</si>
  <si>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</si>
  <si>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</si>
  <si>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</si>
  <si>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</si>
  <si>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</si>
  <si>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</si>
  <si>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</si>
  <si>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</si>
  <si>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</si>
  <si>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</si>
  <si>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</si>
  <si>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</si>
  <si>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</si>
  <si>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</si>
  <si>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</si>
  <si>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</si>
  <si>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</si>
  <si>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</si>
  <si>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</si>
  <si>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</si>
  <si>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</si>
  <si>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</si>
  <si>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</si>
  <si>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</si>
  <si>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</si>
  <si>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</si>
  <si>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</si>
  <si>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</si>
  <si>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</si>
  <si>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</si>
  <si>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</si>
  <si>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</si>
  <si>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</si>
  <si>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</si>
  <si>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</si>
  <si>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</si>
  <si>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왕십리고등학교 신축공사</t>
    <phoneticPr fontId="2" type="noConversion"/>
  </si>
  <si>
    <t>서울</t>
  </si>
  <si>
    <t>기초공사, 골재비및운반비, 작업부산물, 기타공사</t>
    <phoneticPr fontId="2" type="noConversion"/>
  </si>
  <si>
    <t>우수처리시설공사,바닥난방공사,기타공사</t>
    <phoneticPr fontId="2" type="noConversion"/>
  </si>
  <si>
    <t>옥외소화배관공사, 펌프실배관공사, 기타공사</t>
    <phoneticPr fontId="2" type="noConversion"/>
  </si>
  <si>
    <t>운반비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</si>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</sst>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11192.58</v>
      </c>
      <c r="D7" s="36">
        <f>+C7/3.3058</f>
        <v>3385.7402141690363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681260</v>
      </c>
      <c r="E25" s="59">
        <f t="shared" si="0"/>
        <v>2252100</v>
      </c>
    </row>
    <row r="26" spans="1:5" x14ac:dyDescent="0.3">
      <c r="B26" s="2">
        <v>3</v>
      </c>
      <c r="C26" s="35" t="s">
        <v>95</v>
      </c>
      <c r="D26" s="45">
        <f>+D66</f>
        <v>24100</v>
      </c>
      <c r="E26" s="59">
        <f t="shared" si="0"/>
        <v>79660</v>
      </c>
    </row>
    <row r="27" spans="1:5" x14ac:dyDescent="0.3">
      <c r="B27" s="2">
        <v>4</v>
      </c>
      <c r="C27" s="35" t="s">
        <v>96</v>
      </c>
      <c r="D27" s="45">
        <f>+D95</f>
        <v>152600</v>
      </c>
      <c r="E27" s="59">
        <f t="shared" si="0"/>
        <v>504460</v>
      </c>
    </row>
    <row r="28" spans="1:5" x14ac:dyDescent="0.3">
      <c r="B28" s="2">
        <v>5</v>
      </c>
      <c r="C28" s="35" t="s">
        <v>97</v>
      </c>
      <c r="D28" s="45">
        <f>+D119</f>
        <v>165470</v>
      </c>
      <c r="E28" s="59">
        <f t="shared" si="0"/>
        <v>547010</v>
      </c>
    </row>
    <row r="29" spans="1:5" x14ac:dyDescent="0.3">
      <c r="B29" s="2">
        <v>6</v>
      </c>
      <c r="C29" s="35" t="s">
        <v>98</v>
      </c>
      <c r="D29" s="45">
        <f>+D133</f>
        <v>51430</v>
      </c>
      <c r="E29" s="59">
        <f t="shared" si="0"/>
        <v>170010</v>
      </c>
    </row>
    <row r="30" spans="1:5" x14ac:dyDescent="0.3">
      <c r="B30" s="2">
        <v>7</v>
      </c>
      <c r="C30" s="35" t="s">
        <v>99</v>
      </c>
      <c r="D30" s="45">
        <f>+D146</f>
        <v>31580</v>
      </c>
      <c r="E30" s="59">
        <f t="shared" si="0"/>
        <v>104390</v>
      </c>
    </row>
    <row r="31" spans="1:5" x14ac:dyDescent="0.3">
      <c r="B31" s="2">
        <v>8</v>
      </c>
      <c r="C31" s="35" t="s">
        <v>100</v>
      </c>
      <c r="D31" s="45">
        <f>+D154</f>
        <v>40750</v>
      </c>
      <c r="E31" s="59">
        <f t="shared" si="0"/>
        <v>134710</v>
      </c>
    </row>
    <row r="32" spans="1:5" x14ac:dyDescent="0.3">
      <c r="B32" s="2">
        <v>9</v>
      </c>
      <c r="C32" s="35" t="s">
        <v>101</v>
      </c>
      <c r="D32" s="45">
        <f>+D161</f>
        <v>18920</v>
      </c>
      <c r="E32" s="59">
        <f t="shared" si="0"/>
        <v>62540</v>
      </c>
    </row>
    <row r="33" spans="1:7" x14ac:dyDescent="0.3">
      <c r="B33" s="2">
        <v>10</v>
      </c>
      <c r="C33" s="35" t="s">
        <v>154</v>
      </c>
      <c r="D33" s="53">
        <f>TRUNC(SUM(D24:D32)*0.275,-1)</f>
        <v>320680</v>
      </c>
      <c r="E33" s="60">
        <f t="shared" si="0"/>
        <v>1060100</v>
      </c>
    </row>
    <row r="34" spans="1:7" x14ac:dyDescent="0.3">
      <c r="C34" s="35" t="s">
        <v>112</v>
      </c>
      <c r="D34" s="44">
        <f>SUM(D24:D33)</f>
        <v>1486790</v>
      </c>
      <c r="E34" s="44">
        <f>SUM(E24:E33)</f>
        <v>4914980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TRUNC(46956,-1)</f>
        <v>46950</v>
      </c>
      <c r="E40" s="62">
        <f t="shared" ref="E40:E59" si="1">TRUNC(+D40*3.3058,-1)</f>
        <v>155200</v>
      </c>
    </row>
    <row r="41" spans="1:7" x14ac:dyDescent="0.3">
      <c r="A41" s="2">
        <v>2</v>
      </c>
      <c r="C41" s="38" t="s">
        <v>13</v>
      </c>
      <c r="D41" s="42">
        <f>TRUNC(120447,-1)</f>
        <v>120440</v>
      </c>
      <c r="E41" s="63">
        <f t="shared" si="1"/>
        <v>398150</v>
      </c>
    </row>
    <row r="42" spans="1:7" x14ac:dyDescent="0.3">
      <c r="A42" s="2">
        <v>3</v>
      </c>
      <c r="C42" s="38" t="s">
        <v>14</v>
      </c>
      <c r="D42" s="42">
        <f>TRUNC(14416,-1)</f>
        <v>14410</v>
      </c>
      <c r="E42" s="63">
        <f t="shared" si="1"/>
        <v>47630</v>
      </c>
    </row>
    <row r="43" spans="1:7" x14ac:dyDescent="0.3">
      <c r="A43" s="2">
        <v>4</v>
      </c>
      <c r="C43" s="38" t="s">
        <v>16</v>
      </c>
      <c r="D43" s="42">
        <f>TRUNC(32626,-1)</f>
        <v>32620</v>
      </c>
      <c r="E43" s="63">
        <f t="shared" si="1"/>
        <v>107830</v>
      </c>
    </row>
    <row r="44" spans="1:7" x14ac:dyDescent="0.3">
      <c r="A44" s="2">
        <v>5</v>
      </c>
      <c r="C44" s="38" t="s">
        <v>17</v>
      </c>
      <c r="D44" s="42">
        <f>TRUNC(20812,-1)</f>
        <v>20810</v>
      </c>
      <c r="E44" s="63">
        <f t="shared" si="1"/>
        <v>68790</v>
      </c>
    </row>
    <row r="45" spans="1:7" x14ac:dyDescent="0.3">
      <c r="A45" s="2">
        <v>6</v>
      </c>
      <c r="C45" s="38" t="s">
        <v>18</v>
      </c>
      <c r="D45" s="42">
        <f>TRUNC(8661,-1)</f>
        <v>8660</v>
      </c>
      <c r="E45" s="63">
        <f t="shared" si="1"/>
        <v>28620</v>
      </c>
    </row>
    <row r="46" spans="1:7" x14ac:dyDescent="0.3">
      <c r="A46" s="2">
        <v>7</v>
      </c>
      <c r="C46" s="38" t="s">
        <v>19</v>
      </c>
      <c r="D46" s="42">
        <f>TRUNC(43875,-1)</f>
        <v>43870</v>
      </c>
      <c r="E46" s="63">
        <f t="shared" si="1"/>
        <v>145020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TRUNC(57933,-1)</f>
        <v>57930</v>
      </c>
      <c r="E48" s="63">
        <f t="shared" si="1"/>
        <v>191500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TRUNC(17229,-1)</f>
        <v>17220</v>
      </c>
      <c r="E49" s="63">
        <f t="shared" si="1"/>
        <v>56920</v>
      </c>
    </row>
    <row r="50" spans="1:7" x14ac:dyDescent="0.3">
      <c r="A50" s="2">
        <v>11</v>
      </c>
      <c r="C50" s="38" t="s">
        <v>155</v>
      </c>
      <c r="D50" s="42">
        <f>TRUNC(61629,-1)</f>
        <v>61620</v>
      </c>
      <c r="E50" s="63">
        <f t="shared" si="1"/>
        <v>203700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TRUNC(8205,-1)</f>
        <v>8200</v>
      </c>
      <c r="E52" s="63">
        <f t="shared" si="1"/>
        <v>27100</v>
      </c>
    </row>
    <row r="53" spans="1:7" x14ac:dyDescent="0.3">
      <c r="A53" s="2">
        <v>14</v>
      </c>
      <c r="C53" s="38" t="s">
        <v>25</v>
      </c>
      <c r="D53" s="42">
        <v>66700</v>
      </c>
      <c r="E53" s="63">
        <f t="shared" si="1"/>
        <v>220490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TRUNC(4666+3216-588+7470,-1)</f>
        <v>14760</v>
      </c>
      <c r="E58" s="63">
        <f t="shared" si="1"/>
        <v>48790</v>
      </c>
      <c r="F58" s="2" t="s">
        <v>261</v>
      </c>
    </row>
    <row r="59" spans="1:7" ht="17.25" thickBot="1" x14ac:dyDescent="0.35">
      <c r="A59" s="2">
        <v>20</v>
      </c>
      <c r="C59" s="38" t="s">
        <v>148</v>
      </c>
      <c r="D59" s="43">
        <f>TRUNC(167074,-1)</f>
        <v>167070</v>
      </c>
      <c r="E59" s="64">
        <f t="shared" si="1"/>
        <v>552300</v>
      </c>
    </row>
    <row r="60" spans="1:7" x14ac:dyDescent="0.3">
      <c r="A60" s="2">
        <v>21</v>
      </c>
      <c r="C60" s="27" t="s">
        <v>112</v>
      </c>
      <c r="D60" s="39">
        <f>SUM(D40:D59)</f>
        <v>681260</v>
      </c>
      <c r="E60" s="39">
        <f>SUM(E40:E59)</f>
        <v>2252040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TRUNC(24109,-1)</f>
        <v>24100</v>
      </c>
      <c r="E63" s="62">
        <f>TRUNC(+D63*3.3058,-1)</f>
        <v>79660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24100</v>
      </c>
      <c r="E66" s="65">
        <f>SUM(E63:E65)</f>
        <v>79660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TRUNC(7024,-1)</f>
        <v>7020</v>
      </c>
      <c r="E69" s="62">
        <f t="shared" ref="E69:E94" si="2">TRUNC(+D69*3.3058,-1)</f>
        <v>23200</v>
      </c>
    </row>
    <row r="70" spans="1:7" ht="16.5" customHeight="1" x14ac:dyDescent="0.3">
      <c r="A70" s="2">
        <v>2</v>
      </c>
      <c r="C70" s="38" t="s">
        <v>31</v>
      </c>
      <c r="D70" s="42">
        <f>TRUNC(1439,-1)</f>
        <v>1430</v>
      </c>
      <c r="E70" s="63">
        <f t="shared" si="2"/>
        <v>4720</v>
      </c>
    </row>
    <row r="71" spans="1:7" x14ac:dyDescent="0.3">
      <c r="A71" s="2">
        <v>3</v>
      </c>
      <c r="C71" s="38" t="s">
        <v>32</v>
      </c>
      <c r="D71" s="42">
        <f>TRUNC(3953,-1)</f>
        <v>3950</v>
      </c>
      <c r="E71" s="63">
        <f t="shared" si="2"/>
        <v>13050</v>
      </c>
    </row>
    <row r="72" spans="1:7" x14ac:dyDescent="0.3">
      <c r="A72" s="2">
        <v>4</v>
      </c>
      <c r="C72" s="38" t="s">
        <v>33</v>
      </c>
      <c r="D72" s="42">
        <f>TRUNC(4299,-1)</f>
        <v>4290</v>
      </c>
      <c r="E72" s="63">
        <f t="shared" si="2"/>
        <v>14180</v>
      </c>
    </row>
    <row r="73" spans="1:7" x14ac:dyDescent="0.3">
      <c r="A73" s="2">
        <v>5</v>
      </c>
      <c r="C73" s="38" t="s">
        <v>34</v>
      </c>
      <c r="D73" s="42">
        <f>TRUNC(12488,-1)</f>
        <v>12480</v>
      </c>
      <c r="E73" s="63">
        <f t="shared" si="2"/>
        <v>41250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TRUNC(74,-1)</f>
        <v>70</v>
      </c>
      <c r="E75" s="63">
        <f t="shared" si="2"/>
        <v>230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TRUNC(6919,-1)</f>
        <v>6910</v>
      </c>
      <c r="E89" s="63">
        <f t="shared" si="2"/>
        <v>22840</v>
      </c>
    </row>
    <row r="90" spans="1:7" x14ac:dyDescent="0.3">
      <c r="A90" s="2">
        <v>22</v>
      </c>
      <c r="C90" s="38" t="s">
        <v>36</v>
      </c>
      <c r="D90" s="42">
        <f>TRUNC(1333,-1)</f>
        <v>1330</v>
      </c>
      <c r="E90" s="63">
        <f t="shared" si="2"/>
        <v>4390</v>
      </c>
    </row>
    <row r="91" spans="1:7" x14ac:dyDescent="0.3">
      <c r="A91" s="2">
        <v>23</v>
      </c>
      <c r="C91" s="38" t="s">
        <v>37</v>
      </c>
      <c r="D91" s="42">
        <f>TRUNC(7404,-1)</f>
        <v>7400</v>
      </c>
      <c r="E91" s="63">
        <f t="shared" si="2"/>
        <v>24460</v>
      </c>
    </row>
    <row r="92" spans="1:7" x14ac:dyDescent="0.3">
      <c r="A92" s="2">
        <v>24</v>
      </c>
      <c r="C92" s="38" t="s">
        <v>38</v>
      </c>
      <c r="D92" s="42">
        <v>6270</v>
      </c>
      <c r="E92" s="63">
        <f t="shared" si="2"/>
        <v>20720</v>
      </c>
    </row>
    <row r="93" spans="1:7" x14ac:dyDescent="0.3">
      <c r="A93" s="2">
        <v>25</v>
      </c>
      <c r="C93" s="38" t="s">
        <v>148</v>
      </c>
      <c r="D93" s="42">
        <f>TRUNC(79744,-1)</f>
        <v>79740</v>
      </c>
      <c r="E93" s="63">
        <f t="shared" si="2"/>
        <v>263600</v>
      </c>
    </row>
    <row r="94" spans="1:7" ht="17.25" thickBot="1" x14ac:dyDescent="0.35">
      <c r="A94" s="2">
        <v>26</v>
      </c>
      <c r="C94" s="38" t="s">
        <v>47</v>
      </c>
      <c r="D94" s="43">
        <f>TRUNC(12975+1338+7399,-1)</f>
        <v>21710</v>
      </c>
      <c r="E94" s="64">
        <f t="shared" si="2"/>
        <v>71760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152600</v>
      </c>
      <c r="E95" s="39">
        <f>SUM(E69:E94)</f>
        <v>504400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TRUNC(11371,-1)</f>
        <v>11370</v>
      </c>
      <c r="E98" s="62">
        <f t="shared" ref="E98:E118" si="3">TRUNC(+D98*3.3058,-1)</f>
        <v>37580</v>
      </c>
    </row>
    <row r="99" spans="1:7" x14ac:dyDescent="0.3">
      <c r="A99" s="2">
        <v>2</v>
      </c>
      <c r="C99" s="38" t="s">
        <v>40</v>
      </c>
      <c r="D99" s="42">
        <f>TRUNC(4294,-1)</f>
        <v>4290</v>
      </c>
      <c r="E99" s="63">
        <f t="shared" si="3"/>
        <v>14180</v>
      </c>
    </row>
    <row r="100" spans="1:7" x14ac:dyDescent="0.3">
      <c r="A100" s="2">
        <v>3</v>
      </c>
      <c r="C100" s="38" t="s">
        <v>41</v>
      </c>
      <c r="D100" s="42">
        <v>25370</v>
      </c>
      <c r="E100" s="63">
        <f t="shared" si="3"/>
        <v>83860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TRUNC(12591,-1)</f>
        <v>12590</v>
      </c>
      <c r="E102" s="63">
        <f t="shared" si="3"/>
        <v>41620</v>
      </c>
    </row>
    <row r="103" spans="1:7" x14ac:dyDescent="0.3">
      <c r="A103" s="2">
        <v>6</v>
      </c>
      <c r="C103" s="38" t="s">
        <v>44</v>
      </c>
      <c r="D103" s="42">
        <f>TRUNC(2897,-1)</f>
        <v>2890</v>
      </c>
      <c r="E103" s="63">
        <f t="shared" si="3"/>
        <v>9550</v>
      </c>
    </row>
    <row r="104" spans="1:7" x14ac:dyDescent="0.3">
      <c r="A104" s="2">
        <v>7</v>
      </c>
      <c r="C104" s="38" t="s">
        <v>45</v>
      </c>
      <c r="D104" s="42">
        <f>TRUNC(3286,-1)</f>
        <v>3280</v>
      </c>
      <c r="E104" s="63">
        <f t="shared" si="3"/>
        <v>10840</v>
      </c>
    </row>
    <row r="105" spans="1:7" x14ac:dyDescent="0.3">
      <c r="A105" s="2">
        <v>8</v>
      </c>
      <c r="C105" s="38" t="s">
        <v>46</v>
      </c>
      <c r="D105" s="42">
        <f>TRUNC(3399,-1)</f>
        <v>3390</v>
      </c>
      <c r="E105" s="63">
        <f t="shared" si="3"/>
        <v>11200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TRUNC(1419,-1)</f>
        <v>1410</v>
      </c>
      <c r="E114" s="63">
        <f t="shared" si="3"/>
        <v>4660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2710</v>
      </c>
      <c r="E116" s="63">
        <f t="shared" si="3"/>
        <v>8950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TRUNC(97274,-1)</f>
        <v>97270</v>
      </c>
      <c r="E117" s="63">
        <f t="shared" si="3"/>
        <v>321550</v>
      </c>
    </row>
    <row r="118" spans="1:7" ht="17.25" thickBot="1" x14ac:dyDescent="0.35">
      <c r="A118" s="2">
        <v>21</v>
      </c>
      <c r="C118" s="38" t="s">
        <v>47</v>
      </c>
      <c r="D118" s="43">
        <f>TRUNC(906,-1)</f>
        <v>900</v>
      </c>
      <c r="E118" s="64">
        <f t="shared" si="3"/>
        <v>2970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165470</v>
      </c>
      <c r="E119" s="39">
        <f>SUM(E98:E118)</f>
        <v>546960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TRUNC(1856,-1)</f>
        <v>1850</v>
      </c>
      <c r="E122" s="62">
        <f t="shared" ref="E122:E132" si="4">TRUNC(+D122*3.3058,-1)</f>
        <v>6110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1120</v>
      </c>
      <c r="E124" s="63">
        <f t="shared" si="4"/>
        <v>3700</v>
      </c>
    </row>
    <row r="125" spans="1:7" x14ac:dyDescent="0.3">
      <c r="A125" s="2">
        <v>4</v>
      </c>
      <c r="C125" s="38" t="s">
        <v>138</v>
      </c>
      <c r="D125" s="42">
        <f>TRUNC(5563,-1)</f>
        <v>5560</v>
      </c>
      <c r="E125" s="63">
        <f t="shared" si="4"/>
        <v>18380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TRUNC(1494,-1)</f>
        <v>1490</v>
      </c>
      <c r="E128" s="63">
        <f t="shared" si="4"/>
        <v>4920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TRUNC(8269,-1)</f>
        <v>8260</v>
      </c>
      <c r="E130" s="63">
        <f t="shared" si="4"/>
        <v>27300</v>
      </c>
    </row>
    <row r="131" spans="1:7" x14ac:dyDescent="0.3">
      <c r="A131" s="2">
        <v>10</v>
      </c>
      <c r="C131" s="38" t="s">
        <v>148</v>
      </c>
      <c r="D131" s="42">
        <f>TRUNC(31985,-1)</f>
        <v>31980</v>
      </c>
      <c r="E131" s="63">
        <f t="shared" si="4"/>
        <v>105710</v>
      </c>
    </row>
    <row r="132" spans="1:7" ht="18" thickBot="1" x14ac:dyDescent="0.35">
      <c r="A132" s="2">
        <v>11</v>
      </c>
      <c r="C132" s="38" t="s">
        <v>47</v>
      </c>
      <c r="D132" s="43">
        <f>TRUNC(1173,-1)</f>
        <v>1170</v>
      </c>
      <c r="E132" s="64">
        <f t="shared" si="4"/>
        <v>3860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51430</v>
      </c>
      <c r="E133" s="39">
        <f>SUM(E122:E132)</f>
        <v>169980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241+2131+768</f>
        <v>3140</v>
      </c>
      <c r="E137" s="63">
        <f t="shared" si="5"/>
        <v>10380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TRUNC(171,-1)</f>
        <v>170</v>
      </c>
      <c r="E139" s="63">
        <f t="shared" si="5"/>
        <v>560</v>
      </c>
    </row>
    <row r="140" spans="1:7" x14ac:dyDescent="0.3">
      <c r="A140" s="2">
        <v>5</v>
      </c>
      <c r="C140" s="38" t="s">
        <v>57</v>
      </c>
      <c r="D140" s="42">
        <f>TRUNC(1801,-1)</f>
        <v>1800</v>
      </c>
      <c r="E140" s="63">
        <f t="shared" si="5"/>
        <v>5950</v>
      </c>
    </row>
    <row r="141" spans="1:7" x14ac:dyDescent="0.3">
      <c r="A141" s="2">
        <v>6</v>
      </c>
      <c r="C141" s="38" t="s">
        <v>59</v>
      </c>
      <c r="D141" s="42">
        <f>TRUNC(7362,-1)</f>
        <v>7360</v>
      </c>
      <c r="E141" s="63">
        <f t="shared" si="5"/>
        <v>24330</v>
      </c>
    </row>
    <row r="142" spans="1:7" x14ac:dyDescent="0.3">
      <c r="A142" s="2">
        <v>7</v>
      </c>
      <c r="C142" s="38" t="s">
        <v>58</v>
      </c>
      <c r="D142" s="42">
        <v>4500</v>
      </c>
      <c r="E142" s="63">
        <f t="shared" si="5"/>
        <v>14870</v>
      </c>
    </row>
    <row r="143" spans="1:7" x14ac:dyDescent="0.3">
      <c r="A143" s="2">
        <v>8</v>
      </c>
      <c r="C143" s="38" t="s">
        <v>62</v>
      </c>
      <c r="D143" s="42">
        <f>TRUNC(3334,-1)</f>
        <v>3330</v>
      </c>
      <c r="E143" s="63">
        <f t="shared" si="5"/>
        <v>11000</v>
      </c>
    </row>
    <row r="144" spans="1:7" x14ac:dyDescent="0.3">
      <c r="A144" s="2">
        <v>9</v>
      </c>
      <c r="C144" s="38" t="s">
        <v>63</v>
      </c>
      <c r="D144" s="42">
        <v>11280</v>
      </c>
      <c r="E144" s="63">
        <f t="shared" si="5"/>
        <v>37280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31580</v>
      </c>
      <c r="E146" s="39">
        <f>SUM(E136:E145)</f>
        <v>104370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TRUNC(13528,-1)</f>
        <v>13520</v>
      </c>
      <c r="E149" s="62">
        <f>TRUNC(+D149*3.3058,-1)</f>
        <v>44690</v>
      </c>
    </row>
    <row r="150" spans="1:7" x14ac:dyDescent="0.3">
      <c r="A150" s="2">
        <v>2</v>
      </c>
      <c r="C150" s="38" t="s">
        <v>49</v>
      </c>
      <c r="D150" s="42">
        <v>9140</v>
      </c>
      <c r="E150" s="63">
        <f>TRUNC(+D150*3.3058,-1)</f>
        <v>30210</v>
      </c>
    </row>
    <row r="151" spans="1:7" x14ac:dyDescent="0.3">
      <c r="A151" s="2">
        <v>3</v>
      </c>
      <c r="C151" s="38" t="s">
        <v>50</v>
      </c>
      <c r="D151" s="42">
        <f>TRUNC(4917,-1)</f>
        <v>4910</v>
      </c>
      <c r="E151" s="63">
        <f>TRUNC(+D151*3.3058,-1)</f>
        <v>16230</v>
      </c>
    </row>
    <row r="152" spans="1:7" x14ac:dyDescent="0.3">
      <c r="A152" s="2">
        <v>4</v>
      </c>
      <c r="C152" s="38" t="s">
        <v>47</v>
      </c>
      <c r="D152" s="42">
        <v>20</v>
      </c>
      <c r="E152" s="63">
        <f>TRUNC(+D152*3.3058,-1)</f>
        <v>60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TRUNC(13166,-1)</f>
        <v>13160</v>
      </c>
      <c r="E153" s="64">
        <f>TRUNC(+D153*3.3058,-1)</f>
        <v>43500</v>
      </c>
    </row>
    <row r="154" spans="1:7" x14ac:dyDescent="0.3">
      <c r="A154" s="2">
        <v>6</v>
      </c>
      <c r="C154" s="27" t="s">
        <v>112</v>
      </c>
      <c r="D154" s="39">
        <f>SUM(D149:D153)</f>
        <v>40750</v>
      </c>
      <c r="E154" s="39">
        <f>SUM(E149:E153)</f>
        <v>134690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TRUNC(11706,-1)</f>
        <v>11700</v>
      </c>
      <c r="E157" s="62">
        <f>TRUNC(+D157*3.3058,-1)</f>
        <v>38670</v>
      </c>
    </row>
    <row r="158" spans="1:7" x14ac:dyDescent="0.3">
      <c r="A158" s="2">
        <v>2</v>
      </c>
      <c r="C158" s="38" t="s">
        <v>52</v>
      </c>
      <c r="D158" s="42">
        <f>TRUNC(3733,-1)</f>
        <v>3730</v>
      </c>
      <c r="E158" s="63">
        <f>TRUNC(+D158*3.3058,-1)</f>
        <v>12330</v>
      </c>
    </row>
    <row r="159" spans="1:7" x14ac:dyDescent="0.3">
      <c r="A159" s="2">
        <v>3</v>
      </c>
      <c r="C159" s="38" t="s">
        <v>47</v>
      </c>
      <c r="D159" s="42">
        <f>TRUNC(3491+4,-1)</f>
        <v>3490</v>
      </c>
      <c r="E159" s="63">
        <f>TRUNC(+D159*3.3058,-1)</f>
        <v>11530</v>
      </c>
      <c r="F159" s="2" t="s">
        <v>265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18920</v>
      </c>
      <c r="E161" s="39">
        <f>SUM(E157:E160)</f>
        <v>62530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2020-12-07T10:00:22Z</dcterms:modified>
</cp:coreProperties>
</file>