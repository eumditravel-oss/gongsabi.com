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5" i="4"/>
  <c r="E144" i="4"/>
  <c r="E143" i="4"/>
  <c r="E142" i="4"/>
  <c r="E141" i="4"/>
  <c r="E140" i="4"/>
  <c r="E139" i="4"/>
  <c r="E138" i="4"/>
  <c r="E137" i="4"/>
  <c r="E131" i="4"/>
  <c r="E130" i="4"/>
  <c r="E129" i="4"/>
  <c r="E127" i="4"/>
  <c r="E117" i="4"/>
  <c r="E116" i="4"/>
  <c r="E115" i="4"/>
  <c r="E113" i="4"/>
  <c r="E111" i="4"/>
  <c r="E110" i="4"/>
  <c r="E109" i="4"/>
  <c r="E107" i="4"/>
  <c r="E106" i="4"/>
  <c r="E104" i="4"/>
  <c r="E103" i="4"/>
  <c r="E101" i="4"/>
  <c r="E93" i="4"/>
  <c r="E91" i="4"/>
  <c r="E90" i="4"/>
  <c r="E88" i="4"/>
  <c r="E87" i="4"/>
  <c r="E86" i="4"/>
  <c r="E85" i="4"/>
  <c r="E84" i="4"/>
  <c r="E83" i="4"/>
  <c r="E82" i="4"/>
  <c r="E81" i="4"/>
  <c r="E78" i="4"/>
  <c r="E77" i="4"/>
  <c r="E76" i="4"/>
  <c r="E75" i="4"/>
  <c r="E74" i="4"/>
  <c r="E72" i="4"/>
  <c r="E65" i="4"/>
  <c r="E57" i="4"/>
  <c r="E56" i="4"/>
  <c r="E54" i="4"/>
  <c r="D152" i="4" l="1"/>
  <c r="E152" i="4" s="1"/>
  <c r="D151" i="4"/>
  <c r="E151" i="4" s="1"/>
  <c r="D150" i="4"/>
  <c r="E150" i="4" s="1"/>
  <c r="D149" i="4"/>
  <c r="E149" i="4" s="1"/>
  <c r="E154" i="4" s="1"/>
  <c r="D136" i="4"/>
  <c r="E136" i="4" s="1"/>
  <c r="E146" i="4" s="1"/>
  <c r="D132" i="4"/>
  <c r="E132" i="4" s="1"/>
  <c r="D128" i="4"/>
  <c r="E128" i="4" s="1"/>
  <c r="D126" i="4"/>
  <c r="E126" i="4" s="1"/>
  <c r="D125" i="4"/>
  <c r="E125" i="4" s="1"/>
  <c r="D124" i="4"/>
  <c r="E124" i="4" s="1"/>
  <c r="D123" i="4"/>
  <c r="E123" i="4" s="1"/>
  <c r="D122" i="4"/>
  <c r="E122" i="4" s="1"/>
  <c r="D118" i="4"/>
  <c r="E118" i="4" s="1"/>
  <c r="D114" i="4"/>
  <c r="E114" i="4" s="1"/>
  <c r="D112" i="4"/>
  <c r="E112" i="4" s="1"/>
  <c r="D108" i="4"/>
  <c r="E108" i="4" s="1"/>
  <c r="D105" i="4"/>
  <c r="E105" i="4" s="1"/>
  <c r="D102" i="4"/>
  <c r="E102" i="4" s="1"/>
  <c r="D100" i="4"/>
  <c r="E100" i="4" s="1"/>
  <c r="D99" i="4"/>
  <c r="E99" i="4" s="1"/>
  <c r="E119" i="4" s="1"/>
  <c r="D98" i="4"/>
  <c r="E98" i="4" s="1"/>
  <c r="D94" i="4"/>
  <c r="E94" i="4" s="1"/>
  <c r="D92" i="4"/>
  <c r="E92" i="4" s="1"/>
  <c r="D89" i="4"/>
  <c r="E89" i="4" s="1"/>
  <c r="D80" i="4"/>
  <c r="E80" i="4" s="1"/>
  <c r="D79" i="4"/>
  <c r="E79" i="4" s="1"/>
  <c r="D73" i="4"/>
  <c r="E73" i="4" s="1"/>
  <c r="D71" i="4"/>
  <c r="E71" i="4" s="1"/>
  <c r="D70" i="4"/>
  <c r="E70" i="4" s="1"/>
  <c r="D69" i="4"/>
  <c r="E69" i="4" s="1"/>
  <c r="D64" i="4"/>
  <c r="E64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95" i="4" l="1"/>
  <c r="E60" i="4"/>
  <c r="E133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<sst xmlns="http://schemas.openxmlformats.org/spreadsheetml/2006/main" count="394" uniqueCount="270">
  <si>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</si>
  <si>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</si>
  <si>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</si>
  <si>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</si>
  <si>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</si>
  <si>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</si>
  <si>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</si>
  <si>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</si>
  <si>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</si>
  <si>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</si>
  <si>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</si>
  <si>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</si>
  <si>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</si>
  <si>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</si>
  <si>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</si>
  <si>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</si>
  <si>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</si>
  <si>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</si>
  <si>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</si>
  <si>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</si>
  <si>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</si>
  <si>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</si>
  <si>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</si>
  <si>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</si>
  <si>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</si>
  <si>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</si>
  <si>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</si>
  <si>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</si>
  <si>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</si>
  <si>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</si>
  <si>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</si>
  <si>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</si>
  <si>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</si>
  <si>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</si>
  <si>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</si>
  <si>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</si>
  <si>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</si>
  <si>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</si>
  <si>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</si>
  <si>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</si>
  <si>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</si>
  <si>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</si>
  <si>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</si>
  <si>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</si>
  <si>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</si>
  <si>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</si>
  <si>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</si>
  <si>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</si>
  <si>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</si>
  <si>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</si>
  <si>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</si>
  <si>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</si>
  <si>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</si>
  <si>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</si>
  <si>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</si>
  <si>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</si>
  <si>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</si>
  <si>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</si>
  <si>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</si>
  <si>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</si>
  <si>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</si>
  <si>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</si>
  <si>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</si>
  <si>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</si>
  <si>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</si>
  <si>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</si>
  <si>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</si>
  <si>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</si>
  <si>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</si>
  <si>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</si>
  <si>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</si>
  <si>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</si>
  <si>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</si>
  <si>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</si>
  <si>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</si>
  <si>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</si>
  <si>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</si>
  <si>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</si>
  <si>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</si>
  <si>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</si>
  <si>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</si>
  <si>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</si>
  <si>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</si>
  <si>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</si>
  <si>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</si>
  <si>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</si>
  <si>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</si>
  <si>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</si>
  <si>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</si>
  <si>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</si>
  <si>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</si>
  <si>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</si>
  <si>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</si>
  <si>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</si>
  <si>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</si>
  <si>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</si>
  <si>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</si>
  <si>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</si>
  <si>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</si>
  <si>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</si>
  <si>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</si>
  <si>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</si>
  <si>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</si>
  <si>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</si>
  <si>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</si>
  <si>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</si>
  <si>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</si>
  <si>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</si>
  <si>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</si>
  <si>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</si>
  <si>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</si>
  <si>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</si>
  <si>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</si>
  <si>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</si>
  <si>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</si>
  <si>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</si>
  <si>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</si>
  <si>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</si>
  <si>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</si>
  <si>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</si>
  <si>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</si>
  <si>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</si>
  <si>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</si>
  <si>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</si>
  <si>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</si>
  <si>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</si>
  <si>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</si>
  <si>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</si>
  <si>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</si>
  <si>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</si>
  <si>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</si>
  <si>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</si>
  <si>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</si>
  <si>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</si>
  <si>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</si>
  <si>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</si>
  <si>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</si>
  <si>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</si>
  <si>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</si>
  <si>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</si>
  <si>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</si>
  <si>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</si>
  <si>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</si>
  <si>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</si>
  <si>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</si>
  <si>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</si>
  <si>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</si>
  <si>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</si>
  <si>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</si>
  <si>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</si>
  <si>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</si>
  <si>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</si>
  <si>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</si>
  <si>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</si>
  <si>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</si>
  <si>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</si>
  <si>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</si>
  <si>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</si>
  <si>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</si>
  <si>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</si>
  <si>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</si>
  <si>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</si>
  <si>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</si>
  <si>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</si>
  <si>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</si>
  <si>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</si>
  <si>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</si>
  <si>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</si>
  <si>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</si>
  <si>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</si>
  <si>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</si>
  <si>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</si>
  <si>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</si>
  <si>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</si>
  <si>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</si>
  <si>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</si>
  <si>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</si>
  <si>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</si>
  <si>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</si>
  <si>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</si>
  <si>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</si>
  <si>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</si>
  <si>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</si>
  <si>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</si>
  <si>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</si>
  <si>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</si>
  <si>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</si>
  <si>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</si>
  <si>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</si>
  <si>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</si>
  <si>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</si>
  <si>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</si>
  <si>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</si>
  <si>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</si>
  <si>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</si>
  <si>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</si>
  <si>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</si>
  <si>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</si>
  <si>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</si>
  <si>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</si>
  <si>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</si>
  <si>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</si>
  <si>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</si>
  <si>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</si>
  <si>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</si>
  <si>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</si>
  <si>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</si>
  <si>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</si>
  <si>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</si>
  <si>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</si>
  <si>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</si>
  <si>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</si>
  <si>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</si>
  <si>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</si>
  <si>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</si>
  <si>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</si>
  <si>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</si>
  <si>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</si>
  <si>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</si>
  <si>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</si>
  <si>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</si>
  <si>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</si>
  <si>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</si>
  <si>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</si>
  <si>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</si>
  <si>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</si>
  <si>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</si>
  <si>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</si>
  <si>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</si>
  <si>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</si>
  <si>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</si>
  <si>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</si>
  <si>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</si>
  <si>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</si>
  <si>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</si>
  <si>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</si>
  <si>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</si>
  <si>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</si>
  <si>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</si>
  <si>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</si>
  <si>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</si>
  <si>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</si>
  <si>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</si>
  <si>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</si>
  <si>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</si>
  <si>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</si>
  <si>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</si>
  <si>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</si>
  <si>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</si>
  <si>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00초등학교 신축공사</t>
  </si>
  <si>
    <t>광주시</t>
  </si>
  <si>
    <t>조적</t>
    <phoneticPr fontId="2" type="noConversion"/>
  </si>
  <si>
    <t>조적공사, 증축분옥상방수 및 조적공사</t>
    <phoneticPr fontId="2" type="noConversion"/>
  </si>
  <si>
    <t>골재및운반공사, 기타공사, 작업부산물, 토 및 지정공사, 폐기물처리, 품질시험비</t>
    <phoneticPr fontId="2" type="noConversion"/>
  </si>
  <si>
    <t>도급자설치관급자재대, 관급자설치관급자재대</t>
    <phoneticPr fontId="2" type="noConversion"/>
  </si>
  <si>
    <t>단지포장시설공사</t>
  </si>
  <si>
    <t>운동장시설공사, 자연석시설공사, 음수대시설공사, 국기게양대시설공사, 출입문 및 부대시설공사, 조경시설공사, 신발흙털이시설공사, 옹벽시설공사, 정화조시설공사, 철거공사, 운반공사, 철근고재, 골재대, 폐기물처리비</t>
    <phoneticPr fontId="2" type="noConversion"/>
  </si>
  <si>
    <t>기계실위생배관공사</t>
  </si>
  <si>
    <t>화장실환기공사, 조리실환기공사</t>
    <phoneticPr fontId="2" type="noConversion"/>
  </si>
  <si>
    <t>냉난방배관공사, 저수조경보설치공사, 필림난방공사, 주방기구설치공사</t>
    <phoneticPr fontId="2" type="noConversion"/>
  </si>
  <si>
    <t>선풍기 전열설비공사</t>
  </si>
  <si>
    <t>전열설비, 환기 전열설비공사</t>
    <phoneticPr fontId="2" type="noConversion"/>
  </si>
  <si>
    <t>기계실 동력설비공사</t>
    <phoneticPr fontId="2" type="noConversion"/>
  </si>
  <si>
    <t>전화공사, LAN 공사</t>
    <phoneticPr fontId="2" type="noConversion"/>
  </si>
  <si>
    <t xml:space="preserve">옥외방송공사 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</si>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</sst>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7470</v>
      </c>
      <c r="D7" s="36">
        <f>+C7/3.3058</f>
        <v>2259.664831508258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2940</v>
      </c>
      <c r="E24" s="58">
        <f t="shared" ref="E24:E33" si="0">TRUNC(+D24*3.3058,-1)</f>
        <v>9710</v>
      </c>
    </row>
    <row r="25" spans="1:5" x14ac:dyDescent="0.3">
      <c r="B25" s="2">
        <v>2</v>
      </c>
      <c r="C25" s="35" t="s">
        <v>111</v>
      </c>
      <c r="D25" s="45">
        <f>+D60</f>
        <v>622930</v>
      </c>
      <c r="E25" s="59">
        <f t="shared" si="0"/>
        <v>2059280</v>
      </c>
    </row>
    <row r="26" spans="1:5" x14ac:dyDescent="0.3">
      <c r="B26" s="2">
        <v>3</v>
      </c>
      <c r="C26" s="35" t="s">
        <v>95</v>
      </c>
      <c r="D26" s="45">
        <f>+D66</f>
        <v>60300</v>
      </c>
      <c r="E26" s="59">
        <f t="shared" si="0"/>
        <v>199330</v>
      </c>
    </row>
    <row r="27" spans="1:5" x14ac:dyDescent="0.3">
      <c r="B27" s="2">
        <v>4</v>
      </c>
      <c r="C27" s="35" t="s">
        <v>96</v>
      </c>
      <c r="D27" s="45">
        <f>+D95</f>
        <v>61840</v>
      </c>
      <c r="E27" s="59">
        <f t="shared" si="0"/>
        <v>204430</v>
      </c>
    </row>
    <row r="28" spans="1:5" x14ac:dyDescent="0.3">
      <c r="B28" s="2">
        <v>5</v>
      </c>
      <c r="C28" s="35" t="s">
        <v>97</v>
      </c>
      <c r="D28" s="45">
        <f>+D119</f>
        <v>38500</v>
      </c>
      <c r="E28" s="59">
        <f t="shared" si="0"/>
        <v>127270</v>
      </c>
    </row>
    <row r="29" spans="1:5" x14ac:dyDescent="0.3">
      <c r="B29" s="2">
        <v>6</v>
      </c>
      <c r="C29" s="35" t="s">
        <v>98</v>
      </c>
      <c r="D29" s="45">
        <f>+D133</f>
        <v>11930</v>
      </c>
      <c r="E29" s="59">
        <f t="shared" si="0"/>
        <v>39430</v>
      </c>
    </row>
    <row r="30" spans="1:5" x14ac:dyDescent="0.3">
      <c r="B30" s="2">
        <v>7</v>
      </c>
      <c r="C30" s="35" t="s">
        <v>99</v>
      </c>
      <c r="D30" s="45">
        <f>+D146</f>
        <v>5110</v>
      </c>
      <c r="E30" s="59">
        <f t="shared" si="0"/>
        <v>16890</v>
      </c>
    </row>
    <row r="31" spans="1:5" x14ac:dyDescent="0.3">
      <c r="B31" s="2">
        <v>8</v>
      </c>
      <c r="C31" s="35" t="s">
        <v>100</v>
      </c>
      <c r="D31" s="45">
        <f>+D154</f>
        <v>75710</v>
      </c>
      <c r="E31" s="59">
        <f t="shared" si="0"/>
        <v>250280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241790</v>
      </c>
      <c r="E33" s="60">
        <f t="shared" si="0"/>
        <v>799300</v>
      </c>
    </row>
    <row r="34" spans="1:7" x14ac:dyDescent="0.3">
      <c r="C34" s="35" t="s">
        <v>112</v>
      </c>
      <c r="D34" s="44">
        <f>SUM(D24:D33)</f>
        <v>1121050</v>
      </c>
      <c r="E34" s="44">
        <f>SUM(E24:E33)</f>
        <v>3705920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TRUNC(2948.4265060241,-1)</f>
        <v>2940</v>
      </c>
      <c r="E37" s="61">
        <f>TRUNC(+D37*3.3058,-1)</f>
        <v>9710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TRUNC(32188.6955823293,-1)</f>
        <v>32180</v>
      </c>
      <c r="E40" s="62">
        <f t="shared" ref="E40:E59" si="1">TRUNC(+D40*3.3058,-1)</f>
        <v>106380</v>
      </c>
    </row>
    <row r="41" spans="1:7" x14ac:dyDescent="0.3">
      <c r="A41" s="2">
        <v>2</v>
      </c>
      <c r="C41" s="38" t="s">
        <v>13</v>
      </c>
      <c r="D41" s="42">
        <f>TRUNC(115360.048192771,-1)</f>
        <v>115360</v>
      </c>
      <c r="E41" s="63">
        <f t="shared" si="1"/>
        <v>381350</v>
      </c>
    </row>
    <row r="42" spans="1:7" x14ac:dyDescent="0.3">
      <c r="A42" s="2">
        <v>3</v>
      </c>
      <c r="C42" s="38" t="s">
        <v>14</v>
      </c>
      <c r="D42" s="42">
        <f>TRUNC(8022.95180722892,-1)</f>
        <v>8020</v>
      </c>
      <c r="E42" s="63">
        <f t="shared" si="1"/>
        <v>26510</v>
      </c>
    </row>
    <row r="43" spans="1:7" x14ac:dyDescent="0.3">
      <c r="A43" s="2">
        <v>4</v>
      </c>
      <c r="C43" s="38" t="s">
        <v>251</v>
      </c>
      <c r="D43" s="42">
        <f>TRUNC(26674.2712182062+1639.57630522088,-1)</f>
        <v>28310</v>
      </c>
      <c r="E43" s="63">
        <f t="shared" si="1"/>
        <v>93580</v>
      </c>
    </row>
    <row r="44" spans="1:7" x14ac:dyDescent="0.3">
      <c r="A44" s="2">
        <v>5</v>
      </c>
      <c r="C44" s="38" t="s">
        <v>17</v>
      </c>
      <c r="D44" s="42">
        <f>TRUNC(23178.5254350736,-1)</f>
        <v>23170</v>
      </c>
      <c r="E44" s="63">
        <f t="shared" si="1"/>
        <v>76590</v>
      </c>
      <c r="F44" s="2" t="s">
        <v>252</v>
      </c>
    </row>
    <row r="45" spans="1:7" x14ac:dyDescent="0.3">
      <c r="A45" s="2">
        <v>6</v>
      </c>
      <c r="C45" s="38" t="s">
        <v>18</v>
      </c>
      <c r="D45" s="42">
        <f>TRUNC(8578.77161981258,-1)</f>
        <v>8570</v>
      </c>
      <c r="E45" s="63">
        <f t="shared" si="1"/>
        <v>28330</v>
      </c>
    </row>
    <row r="46" spans="1:7" x14ac:dyDescent="0.3">
      <c r="A46" s="2">
        <v>7</v>
      </c>
      <c r="C46" s="38" t="s">
        <v>19</v>
      </c>
      <c r="D46" s="42">
        <f>TRUNC(10102.1469879518,-1)</f>
        <v>10100</v>
      </c>
      <c r="E46" s="63">
        <f t="shared" si="1"/>
        <v>33380</v>
      </c>
    </row>
    <row r="47" spans="1:7" x14ac:dyDescent="0.3">
      <c r="A47" s="2">
        <v>8</v>
      </c>
      <c r="C47" s="38" t="s">
        <v>20</v>
      </c>
      <c r="D47" s="42">
        <f>TRUNC(26085.3444444444,-1)</f>
        <v>26080</v>
      </c>
      <c r="E47" s="63">
        <f t="shared" si="1"/>
        <v>86210</v>
      </c>
    </row>
    <row r="48" spans="1:7" x14ac:dyDescent="0.3">
      <c r="A48" s="2">
        <v>9</v>
      </c>
      <c r="C48" s="38" t="s">
        <v>21</v>
      </c>
      <c r="D48" s="42">
        <f>TRUNC(37163.6645247657,-1)</f>
        <v>37160</v>
      </c>
      <c r="E48" s="63">
        <f t="shared" si="1"/>
        <v>122840</v>
      </c>
    </row>
    <row r="49" spans="1:7" x14ac:dyDescent="0.3">
      <c r="A49" s="2">
        <v>10</v>
      </c>
      <c r="C49" s="38" t="s">
        <v>22</v>
      </c>
      <c r="D49" s="42">
        <f>TRUNC(18886.8856760375,-1)</f>
        <v>18880</v>
      </c>
      <c r="E49" s="63">
        <f t="shared" si="1"/>
        <v>62410</v>
      </c>
    </row>
    <row r="50" spans="1:7" x14ac:dyDescent="0.3">
      <c r="A50" s="2">
        <v>11</v>
      </c>
      <c r="C50" s="38" t="s">
        <v>155</v>
      </c>
      <c r="D50" s="42">
        <f>TRUNC(62380.3302543507+7260.98661311914,-1)</f>
        <v>69640</v>
      </c>
      <c r="E50" s="63">
        <f t="shared" si="1"/>
        <v>230210</v>
      </c>
    </row>
    <row r="51" spans="1:7" x14ac:dyDescent="0.3">
      <c r="A51" s="2">
        <v>12</v>
      </c>
      <c r="C51" s="38" t="s">
        <v>23</v>
      </c>
      <c r="D51" s="42">
        <f>TRUNC(6649.46693440428,-1)</f>
        <v>6640</v>
      </c>
      <c r="E51" s="63">
        <f t="shared" si="1"/>
        <v>21950</v>
      </c>
    </row>
    <row r="52" spans="1:7" x14ac:dyDescent="0.3">
      <c r="A52" s="2">
        <v>13</v>
      </c>
      <c r="C52" s="38" t="s">
        <v>24</v>
      </c>
      <c r="D52" s="42">
        <f>TRUNC(9855.9625167336,-1)</f>
        <v>9850</v>
      </c>
      <c r="E52" s="63">
        <f t="shared" si="1"/>
        <v>32560</v>
      </c>
    </row>
    <row r="53" spans="1:7" x14ac:dyDescent="0.3">
      <c r="A53" s="2">
        <v>14</v>
      </c>
      <c r="C53" s="38" t="s">
        <v>25</v>
      </c>
      <c r="D53" s="42">
        <f>TRUNC(30362.5746987952,-1)</f>
        <v>30360</v>
      </c>
      <c r="E53" s="63">
        <f t="shared" si="1"/>
        <v>100360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TRUNC(3402.77228915663,-1)</f>
        <v>3400</v>
      </c>
      <c r="E55" s="63">
        <f t="shared" si="1"/>
        <v>11230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TRUNC(11044.8254350736+4832.92141900937-412.101740294511+5106.29357429719+765.093708165997+371.084337349398,-1)</f>
        <v>21700</v>
      </c>
      <c r="E58" s="63">
        <f t="shared" si="1"/>
        <v>71730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TRUNC(166894.912985274+6624.63186077644,-1)</f>
        <v>173510</v>
      </c>
      <c r="E59" s="64">
        <f t="shared" si="1"/>
        <v>573580</v>
      </c>
      <c r="F59" s="2" t="s">
        <v>254</v>
      </c>
    </row>
    <row r="60" spans="1:7" x14ac:dyDescent="0.3">
      <c r="A60" s="2">
        <v>21</v>
      </c>
      <c r="C60" s="27" t="s">
        <v>112</v>
      </c>
      <c r="D60" s="39">
        <f>SUM(D40:D59)</f>
        <v>622930</v>
      </c>
      <c r="E60" s="39">
        <f>SUM(E40:E59)</f>
        <v>2059200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TRUNC(22701.8101740295,-1)</f>
        <v>22700</v>
      </c>
      <c r="E63" s="62">
        <f>TRUNC(+D63*3.3058,-1)</f>
        <v>75040</v>
      </c>
    </row>
    <row r="64" spans="1:7" x14ac:dyDescent="0.3">
      <c r="A64" s="2">
        <v>2</v>
      </c>
      <c r="C64" s="38" t="s">
        <v>29</v>
      </c>
      <c r="D64" s="42">
        <f>TRUNC(37601.5693440428,-1)</f>
        <v>37600</v>
      </c>
      <c r="E64" s="63">
        <f>TRUNC(+D64*3.3058,-1)</f>
        <v>124290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60300</v>
      </c>
      <c r="E66" s="65">
        <f>SUM(E63:E65)</f>
        <v>199330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TRUNC(13023.7172690763,-1)</f>
        <v>13020</v>
      </c>
      <c r="E69" s="62">
        <f>TRUNC(+D69*3.3058,-1)</f>
        <v>43040</v>
      </c>
    </row>
    <row r="70" spans="1:7" ht="16.5" customHeight="1" x14ac:dyDescent="0.3">
      <c r="A70" s="2">
        <v>2</v>
      </c>
      <c r="C70" s="38" t="s">
        <v>31</v>
      </c>
      <c r="D70" s="42">
        <f>TRUNC(2162.053145917,-1)</f>
        <v>2160</v>
      </c>
      <c r="E70" s="63">
        <f>TRUNC(+D70*3.3058,-1)</f>
        <v>7140</v>
      </c>
    </row>
    <row r="71" spans="1:7" x14ac:dyDescent="0.3">
      <c r="A71" s="2">
        <v>3</v>
      </c>
      <c r="C71" s="38" t="s">
        <v>32</v>
      </c>
      <c r="D71" s="42">
        <f>TRUNC(5045.20508701473,-1)</f>
        <v>5040</v>
      </c>
      <c r="E71" s="63">
        <f t="shared" ref="E71:E73" si="2">TRUNC(+D71*3.3058,-1)</f>
        <v>16660</v>
      </c>
      <c r="F71" s="2" t="s">
        <v>257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TRUNC(15444.8638554217,-1)</f>
        <v>15440</v>
      </c>
      <c r="E73" s="63">
        <f t="shared" si="2"/>
        <v>51040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TRUNC(754.196787148594+1090.98353413655,-1)</f>
        <v>1840</v>
      </c>
      <c r="E79" s="63">
        <f t="shared" si="3"/>
        <v>6080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f>TRUNC(493.64765729585,-1)</f>
        <v>490</v>
      </c>
      <c r="E80" s="63">
        <f t="shared" si="3"/>
        <v>1610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f>TRUNC(11667.5732262383,-1)</f>
        <v>11660</v>
      </c>
      <c r="E89" s="63">
        <f t="shared" si="3"/>
        <v>38540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TRUNC(7160.42289156627,-1)</f>
        <v>7160</v>
      </c>
      <c r="E92" s="63">
        <f>TRUNC(+D92*3.3058,-1)</f>
        <v>23660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TRUNC(2052.84698795181+188.932128514056+317.761981258367+2474.29705488621,-1)</f>
        <v>5030</v>
      </c>
      <c r="E94" s="64">
        <f>TRUNC(+D94*3.3058,-1)</f>
        <v>16620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61840</v>
      </c>
      <c r="E95" s="39">
        <f>SUM(E69:E94)</f>
        <v>204390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TRUNC(7582.84016064257,-1)</f>
        <v>7580</v>
      </c>
      <c r="E98" s="62">
        <f t="shared" ref="E98:E118" si="4">TRUNC(+D98*3.3058,-1)</f>
        <v>25050</v>
      </c>
    </row>
    <row r="99" spans="1:7" x14ac:dyDescent="0.3">
      <c r="A99" s="2">
        <v>2</v>
      </c>
      <c r="C99" s="38" t="s">
        <v>40</v>
      </c>
      <c r="D99" s="42">
        <f>TRUNC(522.620883534137,-1)</f>
        <v>520</v>
      </c>
      <c r="E99" s="63">
        <f t="shared" si="4"/>
        <v>1710</v>
      </c>
      <c r="F99" s="2" t="s">
        <v>262</v>
      </c>
    </row>
    <row r="100" spans="1:7" x14ac:dyDescent="0.3">
      <c r="A100" s="2">
        <v>3</v>
      </c>
      <c r="C100" s="38" t="s">
        <v>41</v>
      </c>
      <c r="D100" s="42">
        <f>TRUNC(10857.9669344043,-1)</f>
        <v>10850</v>
      </c>
      <c r="E100" s="63">
        <f t="shared" si="4"/>
        <v>35860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TRUNC(6478.80174029451+1665.90093708166,-1)</f>
        <v>8140</v>
      </c>
      <c r="E102" s="63">
        <f t="shared" si="4"/>
        <v>26900</v>
      </c>
      <c r="F102" s="2" t="s">
        <v>261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TRUNC(1855.6344042838,-1)</f>
        <v>1850</v>
      </c>
      <c r="E105" s="63">
        <f t="shared" si="4"/>
        <v>6110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TRUNC(4190.9016064257,-1)</f>
        <v>4190</v>
      </c>
      <c r="E108" s="63">
        <f t="shared" si="4"/>
        <v>13850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f>TRUNC(1532.94564926372,-1)</f>
        <v>1530</v>
      </c>
      <c r="E112" s="63">
        <f t="shared" si="4"/>
        <v>5050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TRUNC(2627.90843373494,-1)</f>
        <v>2620</v>
      </c>
      <c r="E114" s="63">
        <f t="shared" si="4"/>
        <v>8660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TRUNC(1229.70348058902,-1)</f>
        <v>1220</v>
      </c>
      <c r="E118" s="64">
        <f t="shared" si="4"/>
        <v>4030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38500</v>
      </c>
      <c r="E119" s="39">
        <f>SUM(E98:E118)</f>
        <v>127220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TRUNC(1703.76077643909,-1)</f>
        <v>1700</v>
      </c>
      <c r="E122" s="62">
        <f t="shared" ref="E122:E132" si="5">TRUNC(+D122*3.3058,-1)</f>
        <v>5610</v>
      </c>
    </row>
    <row r="123" spans="1:7" x14ac:dyDescent="0.3">
      <c r="A123" s="2">
        <v>2</v>
      </c>
      <c r="C123" s="38" t="s">
        <v>124</v>
      </c>
      <c r="D123" s="42">
        <f>TRUNC(4092.24979919679,-1)</f>
        <v>4090</v>
      </c>
      <c r="E123" s="63">
        <f t="shared" si="5"/>
        <v>13520</v>
      </c>
      <c r="F123" s="2" t="s">
        <v>263</v>
      </c>
    </row>
    <row r="124" spans="1:7" x14ac:dyDescent="0.3">
      <c r="A124" s="2">
        <v>3</v>
      </c>
      <c r="C124" s="38" t="s">
        <v>151</v>
      </c>
      <c r="D124" s="42">
        <f>TRUNC(320.68781793842,-1)</f>
        <v>320</v>
      </c>
      <c r="E124" s="63">
        <f t="shared" si="5"/>
        <v>1050</v>
      </c>
    </row>
    <row r="125" spans="1:7" x14ac:dyDescent="0.3">
      <c r="A125" s="2">
        <v>4</v>
      </c>
      <c r="C125" s="38" t="s">
        <v>138</v>
      </c>
      <c r="D125" s="42">
        <f>TRUNC(2707.41445783133,-1)</f>
        <v>2700</v>
      </c>
      <c r="E125" s="63">
        <f t="shared" si="5"/>
        <v>8920</v>
      </c>
    </row>
    <row r="126" spans="1:7" x14ac:dyDescent="0.3">
      <c r="A126" s="2">
        <v>5</v>
      </c>
      <c r="C126" s="38" t="s">
        <v>53</v>
      </c>
      <c r="D126" s="42">
        <f>TRUNC(559.387282463186,-1)</f>
        <v>550</v>
      </c>
      <c r="E126" s="63">
        <f t="shared" si="5"/>
        <v>1810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TRUNC(2374.65301204819,-1)</f>
        <v>2370</v>
      </c>
      <c r="E128" s="63">
        <f t="shared" si="5"/>
        <v>7830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8" thickBot="1" x14ac:dyDescent="0.35">
      <c r="A132" s="2">
        <v>11</v>
      </c>
      <c r="C132" s="38" t="s">
        <v>47</v>
      </c>
      <c r="D132" s="43">
        <f>TRUNC(206.64953145917,-1)</f>
        <v>200</v>
      </c>
      <c r="E132" s="64">
        <f t="shared" si="5"/>
        <v>660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11930</v>
      </c>
      <c r="E133" s="39">
        <f>SUM(E122:E132)</f>
        <v>39400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TRUNC(5110.55220883534,-1)</f>
        <v>5110</v>
      </c>
      <c r="E136" s="62">
        <f t="shared" ref="E136:E145" si="6">TRUNC(+D136*3.3058,-1)</f>
        <v>16890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5110</v>
      </c>
      <c r="E146" s="39">
        <f>SUM(E136:E145)</f>
        <v>16890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TRUNC(9136.559437751+1140.0969210174,-1)</f>
        <v>10270</v>
      </c>
      <c r="E149" s="62">
        <f>TRUNC(+D149*3.3058,-1)</f>
        <v>33950</v>
      </c>
    </row>
    <row r="150" spans="1:7" x14ac:dyDescent="0.3">
      <c r="A150" s="2">
        <v>2</v>
      </c>
      <c r="C150" s="38" t="s">
        <v>49</v>
      </c>
      <c r="D150" s="42">
        <f>TRUNC(17343.4060240964,-1)</f>
        <v>17340</v>
      </c>
      <c r="E150" s="63">
        <f>TRUNC(+D150*3.3058,-1)</f>
        <v>57320</v>
      </c>
      <c r="F150" s="2" t="s">
        <v>255</v>
      </c>
    </row>
    <row r="151" spans="1:7" x14ac:dyDescent="0.3">
      <c r="A151" s="2">
        <v>3</v>
      </c>
      <c r="C151" s="38" t="s">
        <v>50</v>
      </c>
      <c r="D151" s="42">
        <f>TRUNC(1843.97925033467,-1)</f>
        <v>1840</v>
      </c>
      <c r="E151" s="63">
        <f>TRUNC(+D151*3.3058,-1)</f>
        <v>6080</v>
      </c>
    </row>
    <row r="152" spans="1:7" x14ac:dyDescent="0.3">
      <c r="A152" s="2">
        <v>4</v>
      </c>
      <c r="C152" s="38" t="s">
        <v>47</v>
      </c>
      <c r="D152" s="42">
        <f>TRUNC(3589.49303882195+1403.05448460509+337.786613119143+367.428514056225+143.513654618474+13941.5117804552+14022.6562248996+2350.44725568942+8541.9437751004+349.020348058902+443.592771084337+339.079919678715-41.6385542168675+19.2771084337349+456.305220883534,-1)</f>
        <v>46260</v>
      </c>
      <c r="E152" s="63">
        <f>TRUNC(+D152*3.3058,-1)</f>
        <v>152920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75710</v>
      </c>
      <c r="E154" s="39">
        <f>SUM(E149:E153)</f>
        <v>250270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2020-12-07T09:07:17Z</dcterms:modified>
</cp:coreProperties>
</file>