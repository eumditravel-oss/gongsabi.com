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1" i="4"/>
  <c r="D150" i="4"/>
  <c r="D149" i="4"/>
  <c r="D144" i="4"/>
  <c r="D143" i="4"/>
  <c r="D142" i="4"/>
  <c r="D137" i="4"/>
  <c r="D132" i="4"/>
  <c r="D131" i="4"/>
  <c r="D130" i="4"/>
  <c r="D128" i="4"/>
  <c r="D127" i="4"/>
  <c r="D126" i="4"/>
  <c r="D125" i="4"/>
  <c r="D122" i="4"/>
  <c r="D118" i="4"/>
  <c r="D117" i="4"/>
  <c r="D116" i="4"/>
  <c r="D105" i="4"/>
  <c r="D102" i="4"/>
  <c r="D101" i="4"/>
  <c r="D100" i="4"/>
  <c r="D99" i="4"/>
  <c r="D98" i="4"/>
  <c r="D94" i="4"/>
  <c r="D93" i="4"/>
  <c r="D92" i="4"/>
  <c r="D91" i="4"/>
  <c r="D90" i="4"/>
  <c r="D89" i="4"/>
  <c r="D76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<sst xmlns="http://schemas.openxmlformats.org/spreadsheetml/2006/main" count="392" uniqueCount="266">
  <si>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</si>
  <si>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</si>
  <si>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</si>
  <si>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</si>
  <si>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</si>
  <si>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</si>
  <si>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</si>
  <si>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</si>
  <si>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</si>
  <si>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</si>
  <si>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</si>
  <si>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</si>
  <si>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</si>
  <si>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</si>
  <si>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</si>
  <si>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</si>
  <si>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</si>
  <si>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</si>
  <si>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</si>
  <si>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</si>
  <si>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</si>
  <si>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</si>
  <si>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</si>
  <si>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</si>
  <si>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</si>
  <si>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</si>
  <si>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</si>
  <si>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</si>
  <si>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</si>
  <si>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</si>
  <si>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</si>
  <si>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</si>
  <si>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</si>
  <si>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</si>
  <si>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</si>
  <si>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</si>
  <si>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</si>
  <si>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</si>
  <si>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</si>
  <si>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</si>
  <si>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</si>
  <si>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</si>
  <si>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</si>
  <si>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</si>
  <si>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</si>
  <si>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</si>
  <si>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</si>
  <si>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</si>
  <si>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</si>
  <si>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</si>
  <si>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</si>
  <si>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</si>
  <si>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</si>
  <si>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</si>
  <si>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</si>
  <si>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</si>
  <si>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</si>
  <si>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</si>
  <si>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</si>
  <si>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</si>
  <si>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</si>
  <si>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</si>
  <si>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</si>
  <si>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</si>
  <si>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</si>
  <si>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</si>
  <si>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</si>
  <si>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</si>
  <si>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</si>
  <si>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</si>
  <si>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</si>
  <si>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</si>
  <si>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</si>
  <si>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</si>
  <si>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</si>
  <si>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</si>
  <si>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</si>
  <si>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</si>
  <si>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</si>
  <si>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</si>
  <si>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</si>
  <si>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</si>
  <si>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</si>
  <si>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</si>
  <si>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</si>
  <si>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</si>
  <si>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</si>
  <si>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</si>
  <si>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</si>
  <si>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</si>
  <si>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</si>
  <si>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</si>
  <si>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</si>
  <si>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</si>
  <si>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</si>
  <si>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</si>
  <si>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</si>
  <si>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</si>
  <si>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</si>
  <si>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</si>
  <si>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</si>
  <si>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</si>
  <si>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</si>
  <si>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</si>
  <si>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</si>
  <si>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</si>
  <si>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</si>
  <si>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</si>
  <si>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</si>
  <si>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</si>
  <si>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</si>
  <si>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</si>
  <si>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</si>
  <si>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</si>
  <si>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</si>
  <si>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</si>
  <si>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</si>
  <si>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</si>
  <si>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</si>
  <si>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</si>
  <si>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</si>
  <si>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</si>
  <si>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</si>
  <si>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</si>
  <si>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</si>
  <si>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</si>
  <si>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</si>
  <si>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</si>
  <si>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</si>
  <si>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</si>
  <si>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</si>
  <si>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</si>
  <si>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</si>
  <si>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</si>
  <si>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</si>
  <si>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</si>
  <si>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</si>
  <si>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</si>
  <si>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</si>
  <si>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</si>
  <si>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</si>
  <si>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</si>
  <si>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</si>
  <si>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</si>
  <si>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</si>
  <si>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</si>
  <si>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</si>
  <si>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</si>
  <si>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</si>
  <si>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</si>
  <si>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</si>
  <si>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</si>
  <si>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</si>
  <si>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</si>
  <si>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</si>
  <si>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</si>
  <si>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</si>
  <si>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</si>
  <si>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</si>
  <si>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</si>
  <si>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</si>
  <si>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</si>
  <si>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</si>
  <si>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</si>
  <si>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</si>
  <si>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</si>
  <si>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</si>
  <si>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</si>
  <si>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</si>
  <si>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</si>
  <si>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</si>
  <si>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</si>
  <si>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</si>
  <si>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</si>
  <si>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</si>
  <si>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</si>
  <si>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</si>
  <si>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</si>
  <si>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</si>
  <si>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</si>
  <si>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</si>
  <si>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</si>
  <si>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</si>
  <si>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</si>
  <si>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</si>
  <si>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</si>
  <si>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</si>
  <si>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</si>
  <si>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</si>
  <si>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</si>
  <si>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</si>
  <si>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</si>
  <si>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</si>
  <si>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</si>
  <si>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</si>
  <si>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</si>
  <si>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</si>
  <si>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</si>
  <si>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</si>
  <si>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</si>
  <si>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</si>
  <si>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</si>
  <si>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</si>
  <si>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</si>
  <si>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</si>
  <si>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</si>
  <si>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</si>
  <si>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</si>
  <si>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</si>
  <si>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</si>
  <si>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</si>
  <si>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</si>
  <si>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</si>
  <si>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</si>
  <si>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</si>
  <si>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</si>
  <si>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</si>
  <si>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</si>
  <si>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</si>
  <si>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</si>
  <si>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</si>
  <si>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</si>
  <si>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</si>
  <si>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</si>
  <si>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</si>
  <si>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</si>
  <si>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</si>
  <si>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</si>
  <si>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</si>
  <si>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</si>
  <si>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</si>
  <si>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</si>
  <si>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</si>
  <si>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</si>
  <si>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</si>
  <si>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</si>
  <si>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</si>
  <si>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</si>
  <si>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</si>
  <si>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</si>
  <si>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</si>
  <si>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</si>
  <si>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</si>
  <si>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</si>
  <si>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</si>
  <si>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</si>
  <si>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</si>
  <si>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</si>
  <si>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</si>
  <si>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</si>
  <si>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</si>
  <si>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</si>
  <si>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</si>
  <si>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</si>
  <si>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</si>
  <si>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</si>
  <si>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기타</t>
  </si>
  <si>
    <t>속초교도소 신축공사</t>
    <phoneticPr fontId="2" type="noConversion"/>
  </si>
  <si>
    <t>기초공사, 해체및철거공사, 골재비및운반비, 기타공사</t>
    <phoneticPr fontId="2" type="noConversion"/>
  </si>
  <si>
    <t>난방배관공사,바닥난방공사, 기타공사</t>
    <phoneticPr fontId="2" type="noConversion"/>
  </si>
  <si>
    <t>옥외소화배관공사, 펌프실배관공사, 기타공사</t>
    <phoneticPr fontId="2" type="noConversion"/>
  </si>
  <si>
    <t>상수도공사, 운반비, 기타공사</t>
    <phoneticPr fontId="2" type="noConversion"/>
  </si>
  <si>
    <t>강원도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</si>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</sst>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19465.5</v>
      </c>
      <c r="D7" s="36">
        <f>+C7/3.3058</f>
        <v>5888.2872527073623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943780</v>
      </c>
      <c r="E25" s="59">
        <f t="shared" si="0"/>
        <v>3119940</v>
      </c>
    </row>
    <row r="26" spans="1:5" x14ac:dyDescent="0.3">
      <c r="B26" s="2">
        <v>3</v>
      </c>
      <c r="C26" s="35" t="s">
        <v>95</v>
      </c>
      <c r="D26" s="45">
        <f>+D66</f>
        <v>68770</v>
      </c>
      <c r="E26" s="59">
        <f t="shared" si="0"/>
        <v>227330</v>
      </c>
    </row>
    <row r="27" spans="1:5" x14ac:dyDescent="0.3">
      <c r="B27" s="2">
        <v>4</v>
      </c>
      <c r="C27" s="35" t="s">
        <v>96</v>
      </c>
      <c r="D27" s="45">
        <f>+D95</f>
        <v>273090</v>
      </c>
      <c r="E27" s="59">
        <f t="shared" si="0"/>
        <v>902780</v>
      </c>
    </row>
    <row r="28" spans="1:5" x14ac:dyDescent="0.3">
      <c r="B28" s="2">
        <v>5</v>
      </c>
      <c r="C28" s="35" t="s">
        <v>97</v>
      </c>
      <c r="D28" s="45">
        <f>+D119</f>
        <v>183750</v>
      </c>
      <c r="E28" s="59">
        <f t="shared" si="0"/>
        <v>607440</v>
      </c>
    </row>
    <row r="29" spans="1:5" x14ac:dyDescent="0.3">
      <c r="B29" s="2">
        <v>6</v>
      </c>
      <c r="C29" s="35" t="s">
        <v>98</v>
      </c>
      <c r="D29" s="45">
        <f>+D133</f>
        <v>240340</v>
      </c>
      <c r="E29" s="59">
        <f t="shared" si="0"/>
        <v>794510</v>
      </c>
    </row>
    <row r="30" spans="1:5" x14ac:dyDescent="0.3">
      <c r="B30" s="2">
        <v>7</v>
      </c>
      <c r="C30" s="35" t="s">
        <v>99</v>
      </c>
      <c r="D30" s="45">
        <f>+D146</f>
        <v>39860</v>
      </c>
      <c r="E30" s="59">
        <f t="shared" si="0"/>
        <v>131760</v>
      </c>
    </row>
    <row r="31" spans="1:5" x14ac:dyDescent="0.3">
      <c r="B31" s="2">
        <v>8</v>
      </c>
      <c r="C31" s="35" t="s">
        <v>100</v>
      </c>
      <c r="D31" s="45">
        <f>+D154</f>
        <v>286930</v>
      </c>
      <c r="E31" s="59">
        <f t="shared" si="0"/>
        <v>948530</v>
      </c>
    </row>
    <row r="32" spans="1:5" x14ac:dyDescent="0.3">
      <c r="B32" s="2">
        <v>9</v>
      </c>
      <c r="C32" s="35" t="s">
        <v>101</v>
      </c>
      <c r="D32" s="45">
        <f>+D161</f>
        <v>39510</v>
      </c>
      <c r="E32" s="59">
        <f t="shared" si="0"/>
        <v>130610</v>
      </c>
    </row>
    <row r="33" spans="1:7" x14ac:dyDescent="0.3">
      <c r="B33" s="2">
        <v>10</v>
      </c>
      <c r="C33" s="35" t="s">
        <v>155</v>
      </c>
      <c r="D33" s="53">
        <f>TRUNC(SUM(D24:D32)*0.275,-1)</f>
        <v>570900</v>
      </c>
      <c r="E33" s="60">
        <f t="shared" si="0"/>
        <v>1887280</v>
      </c>
    </row>
    <row r="34" spans="1:7" x14ac:dyDescent="0.3">
      <c r="C34" s="35" t="s">
        <v>112</v>
      </c>
      <c r="D34" s="44">
        <f>SUM(D24:D33)</f>
        <v>2646930</v>
      </c>
      <c r="E34" s="44">
        <f>SUM(E24:E33)</f>
        <v>8750180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TRUNC(48984,-1)</f>
        <v>48980</v>
      </c>
      <c r="E40" s="62">
        <f t="shared" ref="E40:E59" si="1">TRUNC(+D40*3.3058,-1)</f>
        <v>161910</v>
      </c>
    </row>
    <row r="41" spans="1:7" x14ac:dyDescent="0.3">
      <c r="A41" s="2">
        <v>2</v>
      </c>
      <c r="C41" s="38" t="s">
        <v>13</v>
      </c>
      <c r="D41" s="42">
        <f>TRUNC(200738,-1)</f>
        <v>200730</v>
      </c>
      <c r="E41" s="63">
        <f t="shared" si="1"/>
        <v>663570</v>
      </c>
    </row>
    <row r="42" spans="1:7" x14ac:dyDescent="0.3">
      <c r="A42" s="2">
        <v>3</v>
      </c>
      <c r="C42" s="38" t="s">
        <v>14</v>
      </c>
      <c r="D42" s="42">
        <f>TRUNC(2393,-1)</f>
        <v>2390</v>
      </c>
      <c r="E42" s="63">
        <f t="shared" si="1"/>
        <v>7900</v>
      </c>
    </row>
    <row r="43" spans="1:7" x14ac:dyDescent="0.3">
      <c r="A43" s="2">
        <v>4</v>
      </c>
      <c r="C43" s="38" t="s">
        <v>16</v>
      </c>
      <c r="D43" s="42">
        <f>TRUNC(42749,-1)</f>
        <v>42740</v>
      </c>
      <c r="E43" s="63">
        <f t="shared" si="1"/>
        <v>141280</v>
      </c>
    </row>
    <row r="44" spans="1:7" x14ac:dyDescent="0.3">
      <c r="A44" s="2">
        <v>5</v>
      </c>
      <c r="C44" s="38" t="s">
        <v>17</v>
      </c>
      <c r="D44" s="42">
        <f>TRUNC(34532,-1)</f>
        <v>34530</v>
      </c>
      <c r="E44" s="63">
        <f t="shared" si="1"/>
        <v>114140</v>
      </c>
    </row>
    <row r="45" spans="1:7" x14ac:dyDescent="0.3">
      <c r="A45" s="2">
        <v>6</v>
      </c>
      <c r="C45" s="38" t="s">
        <v>18</v>
      </c>
      <c r="D45" s="42">
        <f>TRUNC(12128,-1)</f>
        <v>12120</v>
      </c>
      <c r="E45" s="63">
        <f t="shared" si="1"/>
        <v>40060</v>
      </c>
    </row>
    <row r="46" spans="1:7" x14ac:dyDescent="0.3">
      <c r="A46" s="2">
        <v>7</v>
      </c>
      <c r="C46" s="38" t="s">
        <v>19</v>
      </c>
      <c r="D46" s="42">
        <f>TRUNC(39204,-1)</f>
        <v>39200</v>
      </c>
      <c r="E46" s="63">
        <f t="shared" si="1"/>
        <v>129580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TRUNC(39411,-1)</f>
        <v>39410</v>
      </c>
      <c r="E48" s="63">
        <f t="shared" si="1"/>
        <v>130280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TRUNC(26987,-1)</f>
        <v>26980</v>
      </c>
      <c r="E49" s="63">
        <f t="shared" si="1"/>
        <v>89190</v>
      </c>
    </row>
    <row r="50" spans="1:7" x14ac:dyDescent="0.3">
      <c r="A50" s="2">
        <v>11</v>
      </c>
      <c r="C50" s="38" t="s">
        <v>156</v>
      </c>
      <c r="D50" s="42">
        <f>TRUNC(65714,-1)</f>
        <v>65710</v>
      </c>
      <c r="E50" s="63">
        <f t="shared" si="1"/>
        <v>217220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TRUNC(19144,-1)</f>
        <v>19140</v>
      </c>
      <c r="E52" s="63">
        <f t="shared" si="1"/>
        <v>63270</v>
      </c>
    </row>
    <row r="53" spans="1:7" x14ac:dyDescent="0.3">
      <c r="A53" s="2">
        <v>14</v>
      </c>
      <c r="C53" s="38" t="s">
        <v>25</v>
      </c>
      <c r="D53" s="42">
        <f>TRUNC(74585,-1)</f>
        <v>74580</v>
      </c>
      <c r="E53" s="63">
        <f t="shared" si="1"/>
        <v>246540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TRUNC(14813+2174+8761+7488,-1)</f>
        <v>33230</v>
      </c>
      <c r="E58" s="63">
        <f t="shared" si="1"/>
        <v>109850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TRUNC(304047,-1)</f>
        <v>304040</v>
      </c>
      <c r="E59" s="64">
        <f t="shared" si="1"/>
        <v>1005090</v>
      </c>
    </row>
    <row r="60" spans="1:7" x14ac:dyDescent="0.3">
      <c r="A60" s="2">
        <v>21</v>
      </c>
      <c r="C60" s="27" t="s">
        <v>112</v>
      </c>
      <c r="D60" s="39">
        <f>SUM(D40:D59)</f>
        <v>943780</v>
      </c>
      <c r="E60" s="39">
        <f>SUM(E40:E59)</f>
        <v>3119880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TRUNC(68774,-1)</f>
        <v>68770</v>
      </c>
      <c r="E63" s="62">
        <f>TRUNC(+D63*3.3058,-1)</f>
        <v>227330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68770</v>
      </c>
      <c r="E66" s="65">
        <f>SUM(E63:E65)</f>
        <v>227330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TRUNC(10848,-1)</f>
        <v>10840</v>
      </c>
      <c r="E69" s="62">
        <f t="shared" ref="E69:E94" si="2">TRUNC(+D69*3.3058,-1)</f>
        <v>35830</v>
      </c>
    </row>
    <row r="70" spans="1:7" ht="16.5" customHeight="1" x14ac:dyDescent="0.3">
      <c r="A70" s="2">
        <v>2</v>
      </c>
      <c r="C70" s="38" t="s">
        <v>31</v>
      </c>
      <c r="D70" s="42">
        <f>TRUNC(1317,-1)</f>
        <v>1310</v>
      </c>
      <c r="E70" s="63">
        <f t="shared" si="2"/>
        <v>4330</v>
      </c>
    </row>
    <row r="71" spans="1:7" x14ac:dyDescent="0.3">
      <c r="A71" s="2">
        <v>3</v>
      </c>
      <c r="C71" s="38" t="s">
        <v>32</v>
      </c>
      <c r="D71" s="42">
        <f>TRUNC(6579,-1)</f>
        <v>6570</v>
      </c>
      <c r="E71" s="63">
        <f t="shared" si="2"/>
        <v>21710</v>
      </c>
    </row>
    <row r="72" spans="1:7" x14ac:dyDescent="0.3">
      <c r="A72" s="2">
        <v>4</v>
      </c>
      <c r="C72" s="38" t="s">
        <v>33</v>
      </c>
      <c r="D72" s="42">
        <f>TRUNC(11721,-1)</f>
        <v>11720</v>
      </c>
      <c r="E72" s="63">
        <f t="shared" si="2"/>
        <v>38740</v>
      </c>
    </row>
    <row r="73" spans="1:7" x14ac:dyDescent="0.3">
      <c r="A73" s="2">
        <v>5</v>
      </c>
      <c r="C73" s="38" t="s">
        <v>34</v>
      </c>
      <c r="D73" s="42">
        <v>28530</v>
      </c>
      <c r="E73" s="63">
        <f t="shared" si="2"/>
        <v>94310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270</v>
      </c>
      <c r="E75" s="63">
        <f t="shared" si="2"/>
        <v>890</v>
      </c>
    </row>
    <row r="76" spans="1:7" x14ac:dyDescent="0.3">
      <c r="A76" s="2">
        <v>8</v>
      </c>
      <c r="C76" s="38" t="s">
        <v>119</v>
      </c>
      <c r="D76" s="42">
        <f>TRUNC(62357,-1)</f>
        <v>62350</v>
      </c>
      <c r="E76" s="63">
        <f t="shared" si="2"/>
        <v>206110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TRUNC(23047,-1)</f>
        <v>23040</v>
      </c>
      <c r="E89" s="63">
        <f t="shared" si="2"/>
        <v>76160</v>
      </c>
    </row>
    <row r="90" spans="1:7" x14ac:dyDescent="0.3">
      <c r="A90" s="2">
        <v>22</v>
      </c>
      <c r="C90" s="38" t="s">
        <v>36</v>
      </c>
      <c r="D90" s="42">
        <f>TRUNC(901,-1)</f>
        <v>900</v>
      </c>
      <c r="E90" s="63">
        <f t="shared" si="2"/>
        <v>2970</v>
      </c>
    </row>
    <row r="91" spans="1:7" x14ac:dyDescent="0.3">
      <c r="A91" s="2">
        <v>23</v>
      </c>
      <c r="C91" s="38" t="s">
        <v>37</v>
      </c>
      <c r="D91" s="42">
        <f>TRUNC(9155,-1)</f>
        <v>9150</v>
      </c>
      <c r="E91" s="63">
        <f t="shared" si="2"/>
        <v>30240</v>
      </c>
    </row>
    <row r="92" spans="1:7" x14ac:dyDescent="0.3">
      <c r="A92" s="2">
        <v>24</v>
      </c>
      <c r="C92" s="38" t="s">
        <v>38</v>
      </c>
      <c r="D92" s="42">
        <f>TRUNC(11364,-1)</f>
        <v>11360</v>
      </c>
      <c r="E92" s="63">
        <f t="shared" si="2"/>
        <v>37550</v>
      </c>
    </row>
    <row r="93" spans="1:7" x14ac:dyDescent="0.3">
      <c r="A93" s="2">
        <v>25</v>
      </c>
      <c r="C93" s="38" t="s">
        <v>149</v>
      </c>
      <c r="D93" s="42">
        <f>TRUNC(66593,-1)</f>
        <v>66590</v>
      </c>
      <c r="E93" s="63">
        <f t="shared" si="2"/>
        <v>220130</v>
      </c>
    </row>
    <row r="94" spans="1:7" ht="17.25" thickBot="1" x14ac:dyDescent="0.35">
      <c r="A94" s="2">
        <v>26</v>
      </c>
      <c r="C94" s="38" t="s">
        <v>47</v>
      </c>
      <c r="D94" s="43">
        <f>TRUNC(29143+769+10553,-1)</f>
        <v>40460</v>
      </c>
      <c r="E94" s="64">
        <f t="shared" si="2"/>
        <v>133750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273090</v>
      </c>
      <c r="E95" s="39">
        <f>SUM(E69:E94)</f>
        <v>902720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TRUNC(10968,-1)</f>
        <v>10960</v>
      </c>
      <c r="E98" s="62">
        <f t="shared" ref="E98:E118" si="3">TRUNC(+D98*3.3058,-1)</f>
        <v>36230</v>
      </c>
    </row>
    <row r="99" spans="1:7" x14ac:dyDescent="0.3">
      <c r="A99" s="2">
        <v>2</v>
      </c>
      <c r="C99" s="38" t="s">
        <v>40</v>
      </c>
      <c r="D99" s="42">
        <f>TRUNC(9945,-1)</f>
        <v>9940</v>
      </c>
      <c r="E99" s="63">
        <f t="shared" si="3"/>
        <v>32850</v>
      </c>
    </row>
    <row r="100" spans="1:7" x14ac:dyDescent="0.3">
      <c r="A100" s="2">
        <v>3</v>
      </c>
      <c r="C100" s="38" t="s">
        <v>41</v>
      </c>
      <c r="D100" s="42">
        <f>TRUNC(38587,-1)</f>
        <v>38580</v>
      </c>
      <c r="E100" s="63">
        <f t="shared" si="3"/>
        <v>127530</v>
      </c>
    </row>
    <row r="101" spans="1:7" x14ac:dyDescent="0.3">
      <c r="A101" s="2">
        <v>4</v>
      </c>
      <c r="C101" s="38" t="s">
        <v>42</v>
      </c>
      <c r="D101" s="42">
        <f>TRUNC(964,-1)</f>
        <v>960</v>
      </c>
      <c r="E101" s="63">
        <f t="shared" si="3"/>
        <v>3170</v>
      </c>
    </row>
    <row r="102" spans="1:7" x14ac:dyDescent="0.3">
      <c r="A102" s="2">
        <v>5</v>
      </c>
      <c r="C102" s="38" t="s">
        <v>43</v>
      </c>
      <c r="D102" s="42">
        <f>TRUNC(19516,-1)</f>
        <v>19510</v>
      </c>
      <c r="E102" s="63">
        <f t="shared" si="3"/>
        <v>64490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TRUNC(4423,-1)</f>
        <v>4420</v>
      </c>
      <c r="E105" s="63">
        <f t="shared" si="3"/>
        <v>14610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8020</v>
      </c>
      <c r="E114" s="63">
        <f t="shared" si="3"/>
        <v>26510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TRUNC(7315,-1)</f>
        <v>7310</v>
      </c>
      <c r="E116" s="63">
        <f t="shared" si="3"/>
        <v>24160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TRUNC(83841,-1)</f>
        <v>83840</v>
      </c>
      <c r="E117" s="63">
        <f t="shared" si="3"/>
        <v>277150</v>
      </c>
    </row>
    <row r="118" spans="1:7" ht="17.25" thickBot="1" x14ac:dyDescent="0.35">
      <c r="A118" s="2">
        <v>21</v>
      </c>
      <c r="C118" s="38" t="s">
        <v>47</v>
      </c>
      <c r="D118" s="43">
        <f>TRUNC(214,-1)</f>
        <v>210</v>
      </c>
      <c r="E118" s="64">
        <f t="shared" si="3"/>
        <v>690</v>
      </c>
    </row>
    <row r="119" spans="1:7" x14ac:dyDescent="0.3">
      <c r="A119" s="2">
        <v>22</v>
      </c>
      <c r="C119" s="27" t="s">
        <v>112</v>
      </c>
      <c r="D119" s="39">
        <f>SUM(D98:D118)</f>
        <v>183750</v>
      </c>
      <c r="E119" s="39">
        <f>SUM(E98:E118)</f>
        <v>607390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TRUNC(9148,-1)</f>
        <v>9140</v>
      </c>
      <c r="E122" s="62">
        <f t="shared" ref="E122:E132" si="4">TRUNC(+D122*3.3058,-1)</f>
        <v>30210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970</v>
      </c>
      <c r="E124" s="63">
        <f t="shared" si="4"/>
        <v>3200</v>
      </c>
    </row>
    <row r="125" spans="1:7" x14ac:dyDescent="0.3">
      <c r="A125" s="2">
        <v>4</v>
      </c>
      <c r="C125" s="38" t="s">
        <v>138</v>
      </c>
      <c r="D125" s="42">
        <f>TRUNC(9417,-1)</f>
        <v>9410</v>
      </c>
      <c r="E125" s="63">
        <f t="shared" si="4"/>
        <v>31100</v>
      </c>
    </row>
    <row r="126" spans="1:7" x14ac:dyDescent="0.3">
      <c r="A126" s="2">
        <v>5</v>
      </c>
      <c r="C126" s="38" t="s">
        <v>53</v>
      </c>
      <c r="D126" s="42">
        <f>TRUNC(1913,-1)</f>
        <v>1910</v>
      </c>
      <c r="E126" s="63">
        <f t="shared" si="4"/>
        <v>6310</v>
      </c>
    </row>
    <row r="127" spans="1:7" x14ac:dyDescent="0.3">
      <c r="A127" s="2">
        <v>6</v>
      </c>
      <c r="C127" s="38" t="s">
        <v>56</v>
      </c>
      <c r="D127" s="42">
        <f>TRUNC(1636,-1)</f>
        <v>1630</v>
      </c>
      <c r="E127" s="63">
        <f t="shared" si="4"/>
        <v>5380</v>
      </c>
    </row>
    <row r="128" spans="1:7" x14ac:dyDescent="0.3">
      <c r="A128" s="2">
        <v>7</v>
      </c>
      <c r="C128" s="38" t="s">
        <v>46</v>
      </c>
      <c r="D128" s="42">
        <f>TRUNC(7961,-1)</f>
        <v>7960</v>
      </c>
      <c r="E128" s="63">
        <f t="shared" si="4"/>
        <v>26310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TRUNC(9826,-1)</f>
        <v>9820</v>
      </c>
      <c r="E130" s="63">
        <f t="shared" si="4"/>
        <v>32460</v>
      </c>
    </row>
    <row r="131" spans="1:7" x14ac:dyDescent="0.3">
      <c r="A131" s="2">
        <v>10</v>
      </c>
      <c r="C131" s="38" t="s">
        <v>149</v>
      </c>
      <c r="D131" s="42">
        <f>TRUNC(150957,-1)</f>
        <v>150950</v>
      </c>
      <c r="E131" s="63">
        <f t="shared" si="4"/>
        <v>499010</v>
      </c>
    </row>
    <row r="132" spans="1:7" ht="18" thickBot="1" x14ac:dyDescent="0.35">
      <c r="A132" s="2">
        <v>11</v>
      </c>
      <c r="C132" s="38" t="s">
        <v>47</v>
      </c>
      <c r="D132" s="43">
        <f>TRUNC(6669+181+41700,-1)</f>
        <v>48550</v>
      </c>
      <c r="E132" s="64">
        <f t="shared" si="4"/>
        <v>160490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240340</v>
      </c>
      <c r="E133" s="39">
        <f>SUM(E122:E132)</f>
        <v>794470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TRUNC(1255+1368+2513,-1)</f>
        <v>5130</v>
      </c>
      <c r="E137" s="63">
        <f t="shared" si="5"/>
        <v>16950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1330</v>
      </c>
      <c r="E140" s="63">
        <f t="shared" si="5"/>
        <v>4390</v>
      </c>
    </row>
    <row r="141" spans="1:7" x14ac:dyDescent="0.3">
      <c r="A141" s="2">
        <v>6</v>
      </c>
      <c r="C141" s="38" t="s">
        <v>59</v>
      </c>
      <c r="D141" s="42">
        <v>7660</v>
      </c>
      <c r="E141" s="63">
        <f t="shared" si="5"/>
        <v>25320</v>
      </c>
    </row>
    <row r="142" spans="1:7" x14ac:dyDescent="0.3">
      <c r="A142" s="2">
        <v>7</v>
      </c>
      <c r="C142" s="38" t="s">
        <v>58</v>
      </c>
      <c r="D142" s="42">
        <f>TRUNC(6658,-1)</f>
        <v>6650</v>
      </c>
      <c r="E142" s="63">
        <f t="shared" si="5"/>
        <v>21980</v>
      </c>
    </row>
    <row r="143" spans="1:7" x14ac:dyDescent="0.3">
      <c r="A143" s="2">
        <v>8</v>
      </c>
      <c r="C143" s="38" t="s">
        <v>62</v>
      </c>
      <c r="D143" s="42">
        <f>TRUNC(4287,-1)</f>
        <v>4280</v>
      </c>
      <c r="E143" s="63">
        <f t="shared" si="5"/>
        <v>14140</v>
      </c>
    </row>
    <row r="144" spans="1:7" x14ac:dyDescent="0.3">
      <c r="A144" s="2">
        <v>9</v>
      </c>
      <c r="C144" s="38" t="s">
        <v>63</v>
      </c>
      <c r="D144" s="42">
        <f>TRUNC(14816,-1)</f>
        <v>14810</v>
      </c>
      <c r="E144" s="63">
        <f t="shared" si="5"/>
        <v>48950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39860</v>
      </c>
      <c r="E146" s="39">
        <f>SUM(E136:E145)</f>
        <v>131730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TRUNC(35952+8082,-1)</f>
        <v>44030</v>
      </c>
      <c r="E149" s="62">
        <f>TRUNC(+D149*3.3058,-1)</f>
        <v>145550</v>
      </c>
    </row>
    <row r="150" spans="1:7" x14ac:dyDescent="0.3">
      <c r="A150" s="2">
        <v>2</v>
      </c>
      <c r="C150" s="38" t="s">
        <v>49</v>
      </c>
      <c r="D150" s="42">
        <f>TRUNC(36558,-1)</f>
        <v>36550</v>
      </c>
      <c r="E150" s="63">
        <f>TRUNC(+D150*3.3058,-1)</f>
        <v>120820</v>
      </c>
    </row>
    <row r="151" spans="1:7" x14ac:dyDescent="0.3">
      <c r="A151" s="2">
        <v>3</v>
      </c>
      <c r="C151" s="38" t="s">
        <v>50</v>
      </c>
      <c r="D151" s="42">
        <f>TRUNC(74368,-1)</f>
        <v>74360</v>
      </c>
      <c r="E151" s="63">
        <f>TRUNC(+D151*3.3058,-1)</f>
        <v>245810</v>
      </c>
    </row>
    <row r="152" spans="1:7" x14ac:dyDescent="0.3">
      <c r="A152" s="2">
        <v>4</v>
      </c>
      <c r="C152" s="38" t="s">
        <v>47</v>
      </c>
      <c r="D152" s="42">
        <f>TRUNC(1028+325+51780,-1)</f>
        <v>53130</v>
      </c>
      <c r="E152" s="63">
        <f>TRUNC(+D152*3.3058,-1)</f>
        <v>175630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TRUNC(78863,-1)</f>
        <v>78860</v>
      </c>
      <c r="E153" s="64">
        <f>TRUNC(+D153*3.3058,-1)</f>
        <v>260690</v>
      </c>
    </row>
    <row r="154" spans="1:7" x14ac:dyDescent="0.3">
      <c r="A154" s="2">
        <v>6</v>
      </c>
      <c r="C154" s="27" t="s">
        <v>112</v>
      </c>
      <c r="D154" s="39">
        <f>SUM(D149:D153)</f>
        <v>286930</v>
      </c>
      <c r="E154" s="39">
        <f>SUM(E149:E153)</f>
        <v>948500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TRUNC(35541,-1)</f>
        <v>35540</v>
      </c>
      <c r="E157" s="62">
        <f>TRUNC(+D157*3.3058,-1)</f>
        <v>117480</v>
      </c>
    </row>
    <row r="158" spans="1:7" x14ac:dyDescent="0.3">
      <c r="A158" s="2">
        <v>2</v>
      </c>
      <c r="C158" s="38" t="s">
        <v>52</v>
      </c>
      <c r="D158" s="42">
        <f>TRUNC(3978,-1)</f>
        <v>3970</v>
      </c>
      <c r="E158" s="63">
        <f>TRUNC(+D158*3.3058,-1)</f>
        <v>13120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39510</v>
      </c>
      <c r="E161" s="39">
        <f>SUM(E157:E160)</f>
        <v>130600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2020-12-08T01:32:42Z</dcterms:modified>
</cp:coreProperties>
</file>