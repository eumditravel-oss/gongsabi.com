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159" i="4"/>
  <c r="D158" i="4"/>
  <c r="D157" i="4"/>
  <c r="D152" i="4"/>
  <c r="D150" i="4"/>
  <c r="D149" i="4"/>
  <c r="D144" i="4"/>
  <c r="D143" i="4"/>
  <c r="D139" i="4"/>
  <c r="D141" i="4"/>
  <c r="D142" i="4"/>
  <c r="D140" i="4"/>
  <c r="D137" i="4"/>
  <c r="D132" i="4"/>
  <c r="D128" i="4"/>
  <c r="D124" i="4"/>
  <c r="D125" i="4"/>
  <c r="D122" i="4"/>
  <c r="D130" i="4"/>
  <c r="D118" i="4"/>
  <c r="D105" i="4"/>
  <c r="D104" i="4"/>
  <c r="D102" i="4"/>
  <c r="D101" i="4"/>
  <c r="D100" i="4"/>
  <c r="D99" i="4"/>
  <c r="D114" i="4"/>
  <c r="D98" i="4"/>
  <c r="D116" i="4"/>
  <c r="D94" i="4"/>
  <c r="D75" i="4"/>
  <c r="D92" i="4"/>
  <c r="D91" i="4"/>
  <c r="D89" i="4"/>
  <c r="D73" i="4"/>
  <c r="D71" i="4"/>
  <c r="D70" i="4"/>
  <c r="D69" i="4"/>
  <c r="D131" i="4"/>
  <c r="D11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154" i="4"/>
  <c r="E146" i="4"/>
  <c r="E133" i="4"/>
  <c r="E119" i="4"/>
  <c r="E95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<sst xmlns="http://schemas.openxmlformats.org/spreadsheetml/2006/main" count="395" uniqueCount="270">
  <si>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</si>
  <si>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</si>
  <si>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</si>
  <si>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</si>
  <si>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</si>
  <si>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</si>
  <si>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</si>
  <si>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</si>
  <si>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</si>
  <si>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</si>
  <si>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</si>
  <si>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</si>
  <si>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</si>
  <si>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</si>
  <si>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</si>
  <si>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</si>
  <si>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</si>
  <si>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</si>
  <si>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</si>
  <si>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</si>
  <si>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</si>
  <si>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</si>
  <si>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</si>
  <si>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</si>
  <si>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</si>
  <si>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</si>
  <si>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</si>
  <si>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</si>
  <si>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</si>
  <si>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</si>
  <si>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</si>
  <si>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</si>
  <si>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</si>
  <si>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</si>
  <si>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</si>
  <si>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</si>
  <si>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</si>
  <si>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</si>
  <si>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</si>
  <si>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</si>
  <si>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</si>
  <si>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</si>
  <si>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</si>
  <si>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</si>
  <si>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</si>
  <si>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</si>
  <si>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</si>
  <si>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</si>
  <si>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</si>
  <si>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</si>
  <si>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</si>
  <si>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</si>
  <si>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</si>
  <si>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</si>
  <si>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</si>
  <si>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</si>
  <si>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</si>
  <si>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</si>
  <si>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</si>
  <si>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</si>
  <si>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</si>
  <si>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</si>
  <si>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</si>
  <si>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</si>
  <si>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</si>
  <si>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</si>
  <si>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</si>
  <si>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</si>
  <si>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</si>
  <si>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</si>
  <si>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</si>
  <si>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</si>
  <si>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</si>
  <si>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</si>
  <si>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</si>
  <si>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</si>
  <si>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</si>
  <si>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</si>
  <si>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</si>
  <si>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</si>
  <si>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</si>
  <si>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</si>
  <si>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</si>
  <si>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</si>
  <si>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</si>
  <si>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</si>
  <si>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</si>
  <si>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</si>
  <si>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</si>
  <si>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</si>
  <si>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</si>
  <si>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</si>
  <si>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</si>
  <si>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</si>
  <si>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</si>
  <si>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</si>
  <si>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</si>
  <si>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</si>
  <si>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</si>
  <si>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</si>
  <si>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</si>
  <si>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</si>
  <si>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</si>
  <si>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</si>
  <si>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</si>
  <si>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</si>
  <si>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</si>
  <si>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</si>
  <si>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</si>
  <si>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</si>
  <si>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</si>
  <si>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</si>
  <si>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</si>
  <si>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</si>
  <si>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</si>
  <si>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</si>
  <si>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</si>
  <si>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</si>
  <si>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</si>
  <si>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</si>
  <si>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</si>
  <si>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</si>
  <si>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</si>
  <si>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</si>
  <si>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</si>
  <si>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</si>
  <si>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</si>
  <si>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</si>
  <si>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</si>
  <si>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</si>
  <si>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</si>
  <si>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</si>
  <si>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</si>
  <si>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</si>
  <si>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</si>
  <si>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</si>
  <si>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</si>
  <si>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</si>
  <si>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</si>
  <si>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</si>
  <si>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</si>
  <si>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</si>
  <si>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</si>
  <si>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</si>
  <si>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</si>
  <si>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</si>
  <si>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</si>
  <si>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</si>
  <si>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</si>
  <si>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</si>
  <si>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</si>
  <si>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</si>
  <si>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</si>
  <si>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</si>
  <si>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</si>
  <si>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</si>
  <si>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</si>
  <si>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</si>
  <si>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</si>
  <si>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</si>
  <si>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</si>
  <si>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</si>
  <si>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</si>
  <si>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</si>
  <si>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</si>
  <si>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</si>
  <si>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</si>
  <si>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</si>
  <si>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</si>
  <si>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</si>
  <si>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</si>
  <si>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</si>
  <si>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</si>
  <si>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</si>
  <si>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</si>
  <si>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</si>
  <si>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</si>
  <si>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</si>
  <si>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</si>
  <si>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</si>
  <si>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</si>
  <si>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</si>
  <si>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</si>
  <si>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</si>
  <si>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</si>
  <si>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</si>
  <si>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</si>
  <si>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</si>
  <si>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</si>
  <si>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</si>
  <si>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</si>
  <si>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</si>
  <si>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</si>
  <si>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</si>
  <si>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</si>
  <si>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</si>
  <si>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</si>
  <si>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</si>
  <si>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</si>
  <si>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</si>
  <si>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</si>
  <si>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</si>
  <si>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</si>
  <si>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</si>
  <si>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</si>
  <si>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</si>
  <si>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</si>
  <si>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</si>
  <si>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</si>
  <si>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</si>
  <si>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</si>
  <si>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</si>
  <si>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</si>
  <si>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</si>
  <si>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</si>
  <si>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</si>
  <si>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</si>
  <si>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</si>
  <si>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</si>
  <si>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</si>
  <si>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</si>
  <si>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</si>
  <si>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</si>
  <si>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</si>
  <si>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</si>
  <si>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</si>
  <si>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</si>
  <si>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</si>
  <si>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</si>
  <si>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</si>
  <si>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</si>
  <si>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</si>
  <si>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</si>
  <si>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</si>
  <si>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</si>
  <si>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</si>
  <si>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</si>
  <si>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</si>
  <si>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</si>
  <si>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</si>
  <si>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</si>
  <si>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</si>
  <si>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</si>
  <si>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</si>
  <si>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</si>
  <si>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</si>
  <si>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</si>
  <si>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</si>
  <si>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2-1생활권 복합커뮤니티센터 건립공사</t>
    <phoneticPr fontId="2" type="noConversion"/>
  </si>
  <si>
    <t>업무</t>
  </si>
  <si>
    <t>세종시</t>
  </si>
  <si>
    <t>기초공사,골재비및운반비,작업부산물,품질시험비,기타공사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</si>
  <si>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</si>
  <si>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</si>
  <si>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</si>
  <si>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공조배관공사,난방배관공사,우수처리시설공사,기타공사</t>
    <phoneticPr fontId="2" type="noConversion"/>
  </si>
  <si>
    <t xml:space="preserve">전기인입 및 수변전 설비공사  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</si>
  <si>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</si>
  <si>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</si>
  <si>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CCTV설비공사,주차관제설비공사,기타공사</t>
    <phoneticPr fontId="2" type="noConversion"/>
  </si>
  <si>
    <t>옥외소화배관공사,펌프실배관공사,무선통신보조설비공사  ,기타공사</t>
    <phoneticPr fontId="2" type="noConversion"/>
  </si>
  <si>
    <t>우수공사,오수공사</t>
    <phoneticPr fontId="2" type="noConversion"/>
  </si>
  <si>
    <t>상수도공사,사급자재비,운반비,기타공사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</si>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</sst>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12564.28</v>
      </c>
      <c r="D7" s="36">
        <f>+C7/3.3058</f>
        <v>3800.6775969508139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1174740</v>
      </c>
      <c r="E25" s="59">
        <f t="shared" si="0"/>
        <v>3883450</v>
      </c>
    </row>
    <row r="26" spans="1:5" x14ac:dyDescent="0.3">
      <c r="B26" s="2">
        <v>3</v>
      </c>
      <c r="C26" s="35" t="s">
        <v>95</v>
      </c>
      <c r="D26" s="45">
        <f>+D66</f>
        <v>46650</v>
      </c>
      <c r="E26" s="59">
        <f t="shared" si="0"/>
        <v>154210</v>
      </c>
    </row>
    <row r="27" spans="1:5" x14ac:dyDescent="0.3">
      <c r="B27" s="2">
        <v>4</v>
      </c>
      <c r="C27" s="35" t="s">
        <v>96</v>
      </c>
      <c r="D27" s="45">
        <f>+D95</f>
        <v>181990</v>
      </c>
      <c r="E27" s="59">
        <f t="shared" si="0"/>
        <v>601620</v>
      </c>
    </row>
    <row r="28" spans="1:5" x14ac:dyDescent="0.3">
      <c r="B28" s="2">
        <v>5</v>
      </c>
      <c r="C28" s="35" t="s">
        <v>97</v>
      </c>
      <c r="D28" s="45">
        <f>+D119</f>
        <v>200130</v>
      </c>
      <c r="E28" s="59">
        <f t="shared" si="0"/>
        <v>661580</v>
      </c>
    </row>
    <row r="29" spans="1:5" x14ac:dyDescent="0.3">
      <c r="B29" s="2">
        <v>6</v>
      </c>
      <c r="C29" s="35" t="s">
        <v>98</v>
      </c>
      <c r="D29" s="45">
        <f>+D133</f>
        <v>116270</v>
      </c>
      <c r="E29" s="59">
        <f t="shared" si="0"/>
        <v>384360</v>
      </c>
    </row>
    <row r="30" spans="1:5" x14ac:dyDescent="0.3">
      <c r="B30" s="2">
        <v>7</v>
      </c>
      <c r="C30" s="35" t="s">
        <v>99</v>
      </c>
      <c r="D30" s="45">
        <f>+D146</f>
        <v>72050</v>
      </c>
      <c r="E30" s="59">
        <f t="shared" si="0"/>
        <v>238180</v>
      </c>
    </row>
    <row r="31" spans="1:5" x14ac:dyDescent="0.3">
      <c r="B31" s="2">
        <v>8</v>
      </c>
      <c r="C31" s="35" t="s">
        <v>100</v>
      </c>
      <c r="D31" s="45">
        <f>+D154</f>
        <v>19370</v>
      </c>
      <c r="E31" s="59">
        <f t="shared" si="0"/>
        <v>64030</v>
      </c>
    </row>
    <row r="32" spans="1:5" x14ac:dyDescent="0.3">
      <c r="B32" s="2">
        <v>9</v>
      </c>
      <c r="C32" s="35" t="s">
        <v>101</v>
      </c>
      <c r="D32" s="45">
        <f>+D161</f>
        <v>90260</v>
      </c>
      <c r="E32" s="59">
        <f t="shared" si="0"/>
        <v>298380</v>
      </c>
    </row>
    <row r="33" spans="1:7" x14ac:dyDescent="0.3">
      <c r="B33" s="2">
        <v>10</v>
      </c>
      <c r="C33" s="35" t="s">
        <v>154</v>
      </c>
      <c r="D33" s="53">
        <f>TRUNC(SUM(D24:D32)*0.275,-1)</f>
        <v>522900</v>
      </c>
      <c r="E33" s="60">
        <f t="shared" si="0"/>
        <v>1728600</v>
      </c>
    </row>
    <row r="34" spans="1:7" x14ac:dyDescent="0.3">
      <c r="C34" s="35" t="s">
        <v>112</v>
      </c>
      <c r="D34" s="44">
        <f>SUM(D24:D33)</f>
        <v>2424360</v>
      </c>
      <c r="E34" s="44">
        <f>SUM(E24:E33)</f>
        <v>8014410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TRUNC(63230,-1)</f>
        <v>63230</v>
      </c>
      <c r="E40" s="62">
        <f t="shared" ref="E40:E59" si="1">TRUNC(+D40*3.3058,-1)</f>
        <v>209020</v>
      </c>
    </row>
    <row r="41" spans="1:7" x14ac:dyDescent="0.3">
      <c r="A41" s="2">
        <v>2</v>
      </c>
      <c r="C41" s="38" t="s">
        <v>13</v>
      </c>
      <c r="D41" s="42">
        <f>TRUNC(137850,-1)</f>
        <v>137850</v>
      </c>
      <c r="E41" s="63">
        <f t="shared" si="1"/>
        <v>455700</v>
      </c>
    </row>
    <row r="42" spans="1:7" x14ac:dyDescent="0.3">
      <c r="A42" s="2">
        <v>3</v>
      </c>
      <c r="C42" s="38" t="s">
        <v>14</v>
      </c>
      <c r="D42" s="42">
        <f>TRUNC(27669,-1)</f>
        <v>27660</v>
      </c>
      <c r="E42" s="63">
        <f t="shared" si="1"/>
        <v>91430</v>
      </c>
    </row>
    <row r="43" spans="1:7" x14ac:dyDescent="0.3">
      <c r="A43" s="2">
        <v>4</v>
      </c>
      <c r="C43" s="38" t="s">
        <v>16</v>
      </c>
      <c r="D43" s="42">
        <f>TRUNC(16798,-1)</f>
        <v>16790</v>
      </c>
      <c r="E43" s="63">
        <f t="shared" si="1"/>
        <v>55500</v>
      </c>
    </row>
    <row r="44" spans="1:7" x14ac:dyDescent="0.3">
      <c r="A44" s="2">
        <v>5</v>
      </c>
      <c r="C44" s="38" t="s">
        <v>17</v>
      </c>
      <c r="D44" s="42">
        <f>TRUNC(34161,-1)</f>
        <v>34160</v>
      </c>
      <c r="E44" s="63">
        <f t="shared" si="1"/>
        <v>112920</v>
      </c>
    </row>
    <row r="45" spans="1:7" x14ac:dyDescent="0.3">
      <c r="A45" s="2">
        <v>6</v>
      </c>
      <c r="C45" s="38" t="s">
        <v>18</v>
      </c>
      <c r="D45" s="42">
        <f>TRUNC(4524,-1)</f>
        <v>4520</v>
      </c>
      <c r="E45" s="63">
        <f t="shared" si="1"/>
        <v>14940</v>
      </c>
    </row>
    <row r="46" spans="1:7" x14ac:dyDescent="0.3">
      <c r="A46" s="2">
        <v>7</v>
      </c>
      <c r="C46" s="38" t="s">
        <v>19</v>
      </c>
      <c r="D46" s="42">
        <f>TRUNC(83012,-1)</f>
        <v>83010</v>
      </c>
      <c r="E46" s="63">
        <f t="shared" si="1"/>
        <v>274410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TRUNC(40365,-1)</f>
        <v>40360</v>
      </c>
      <c r="E48" s="63">
        <f t="shared" si="1"/>
        <v>133420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TRUNC(25185,-1)</f>
        <v>25180</v>
      </c>
      <c r="E49" s="63">
        <f t="shared" si="1"/>
        <v>83240</v>
      </c>
    </row>
    <row r="50" spans="1:7" x14ac:dyDescent="0.3">
      <c r="A50" s="2">
        <v>11</v>
      </c>
      <c r="C50" s="38" t="s">
        <v>155</v>
      </c>
      <c r="D50" s="42">
        <f>TRUNC(62296,-1)</f>
        <v>62290</v>
      </c>
      <c r="E50" s="63">
        <f t="shared" si="1"/>
        <v>205910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TRUNC(12310,-1)</f>
        <v>12310</v>
      </c>
      <c r="E52" s="63">
        <f t="shared" si="1"/>
        <v>40690</v>
      </c>
    </row>
    <row r="53" spans="1:7" x14ac:dyDescent="0.3">
      <c r="A53" s="2">
        <v>14</v>
      </c>
      <c r="C53" s="38" t="s">
        <v>25</v>
      </c>
      <c r="D53" s="42">
        <f>TRUNC(99070,-1)</f>
        <v>99070</v>
      </c>
      <c r="E53" s="63">
        <f t="shared" si="1"/>
        <v>327500</v>
      </c>
      <c r="F53" s="2" t="s">
        <v>254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TRUNC(2982+5276-1060+6585+73586,-1)</f>
        <v>87360</v>
      </c>
      <c r="E58" s="63">
        <f t="shared" si="1"/>
        <v>288790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TRUNC(480955,-1)</f>
        <v>480950</v>
      </c>
      <c r="E59" s="64">
        <f t="shared" si="1"/>
        <v>1589920</v>
      </c>
    </row>
    <row r="60" spans="1:7" x14ac:dyDescent="0.3">
      <c r="A60" s="2">
        <v>21</v>
      </c>
      <c r="C60" s="27" t="s">
        <v>112</v>
      </c>
      <c r="D60" s="39">
        <f>SUM(D40:D59)</f>
        <v>1174740</v>
      </c>
      <c r="E60" s="39">
        <f>SUM(E40:E59)</f>
        <v>3883390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TRUNC(46657,-1)</f>
        <v>46650</v>
      </c>
      <c r="E63" s="62">
        <f>TRUNC(+D63*3.3058,-1)</f>
        <v>154210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46650</v>
      </c>
      <c r="E66" s="65">
        <f>SUM(E63:E65)</f>
        <v>154210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TRUNC(11179,-1)</f>
        <v>11170</v>
      </c>
      <c r="E69" s="62">
        <f t="shared" ref="E69:E94" si="2">TRUNC(+D69*3.3058,-1)</f>
        <v>36920</v>
      </c>
    </row>
    <row r="70" spans="1:7" ht="16.5" customHeight="1" x14ac:dyDescent="0.3">
      <c r="A70" s="2">
        <v>2</v>
      </c>
      <c r="C70" s="38" t="s">
        <v>31</v>
      </c>
      <c r="D70" s="42">
        <f>TRUNC(2660,-1)</f>
        <v>2660</v>
      </c>
      <c r="E70" s="63">
        <f t="shared" si="2"/>
        <v>8790</v>
      </c>
    </row>
    <row r="71" spans="1:7" x14ac:dyDescent="0.3">
      <c r="A71" s="2">
        <v>3</v>
      </c>
      <c r="C71" s="38" t="s">
        <v>32</v>
      </c>
      <c r="D71" s="42">
        <f>TRUNC(33880,-1)</f>
        <v>33880</v>
      </c>
      <c r="E71" s="63">
        <f t="shared" si="2"/>
        <v>112000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f>TRUNC(8933,-1)</f>
        <v>8930</v>
      </c>
      <c r="E73" s="63">
        <f t="shared" si="2"/>
        <v>29520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TRUNC(2008,-1)</f>
        <v>2000</v>
      </c>
      <c r="E75" s="63">
        <f t="shared" si="2"/>
        <v>6610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TRUNC(19027,-1)</f>
        <v>19020</v>
      </c>
      <c r="E89" s="63">
        <f t="shared" si="2"/>
        <v>62870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TRUNC(16211,-1)</f>
        <v>16210</v>
      </c>
      <c r="E91" s="63">
        <f t="shared" si="2"/>
        <v>53580</v>
      </c>
    </row>
    <row r="92" spans="1:7" x14ac:dyDescent="0.3">
      <c r="A92" s="2">
        <v>24</v>
      </c>
      <c r="C92" s="38" t="s">
        <v>38</v>
      </c>
      <c r="D92" s="42">
        <f>TRUNC(5503,-1)</f>
        <v>5500</v>
      </c>
      <c r="E92" s="63">
        <f t="shared" si="2"/>
        <v>18180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TRUNC(49306+1462+1380+30480,-1)</f>
        <v>82620</v>
      </c>
      <c r="E94" s="64">
        <f t="shared" si="2"/>
        <v>273120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181990</v>
      </c>
      <c r="E95" s="39">
        <f>SUM(E69:E94)</f>
        <v>601590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TRUNC(19599,-1)</f>
        <v>19590</v>
      </c>
      <c r="E98" s="62">
        <f t="shared" ref="E98:E118" si="3">TRUNC(+D98*3.3058,-1)</f>
        <v>64760</v>
      </c>
    </row>
    <row r="99" spans="1:7" x14ac:dyDescent="0.3">
      <c r="A99" s="2">
        <v>2</v>
      </c>
      <c r="C99" s="38" t="s">
        <v>40</v>
      </c>
      <c r="D99" s="42">
        <f>TRUNC(13562,-1)</f>
        <v>13560</v>
      </c>
      <c r="E99" s="63">
        <f t="shared" si="3"/>
        <v>44820</v>
      </c>
    </row>
    <row r="100" spans="1:7" x14ac:dyDescent="0.3">
      <c r="A100" s="2">
        <v>3</v>
      </c>
      <c r="C100" s="38" t="s">
        <v>41</v>
      </c>
      <c r="D100" s="42">
        <f>TRUNC(37908,-1)</f>
        <v>37900</v>
      </c>
      <c r="E100" s="63">
        <f t="shared" si="3"/>
        <v>125280</v>
      </c>
    </row>
    <row r="101" spans="1:7" x14ac:dyDescent="0.3">
      <c r="A101" s="2">
        <v>4</v>
      </c>
      <c r="C101" s="38" t="s">
        <v>42</v>
      </c>
      <c r="D101" s="42">
        <f>TRUNC(577,-1)</f>
        <v>570</v>
      </c>
      <c r="E101" s="63">
        <f t="shared" si="3"/>
        <v>1880</v>
      </c>
    </row>
    <row r="102" spans="1:7" x14ac:dyDescent="0.3">
      <c r="A102" s="2">
        <v>5</v>
      </c>
      <c r="C102" s="38" t="s">
        <v>43</v>
      </c>
      <c r="D102" s="42">
        <f>TRUNC(9758,-1)</f>
        <v>9750</v>
      </c>
      <c r="E102" s="63">
        <f t="shared" si="3"/>
        <v>32230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TRUNC(2594,-1)</f>
        <v>2590</v>
      </c>
      <c r="E104" s="63">
        <f t="shared" si="3"/>
        <v>8560</v>
      </c>
    </row>
    <row r="105" spans="1:7" x14ac:dyDescent="0.3">
      <c r="A105" s="2">
        <v>8</v>
      </c>
      <c r="C105" s="38" t="s">
        <v>46</v>
      </c>
      <c r="D105" s="42">
        <f>TRUNC(4426,-1)</f>
        <v>4420</v>
      </c>
      <c r="E105" s="63">
        <f t="shared" si="3"/>
        <v>14610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TRUNC(3315,-1)</f>
        <v>3310</v>
      </c>
      <c r="E114" s="63">
        <f t="shared" si="3"/>
        <v>10940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TRUNC(8107,-1)</f>
        <v>8100</v>
      </c>
      <c r="E116" s="63">
        <f t="shared" si="3"/>
        <v>26770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TRUNC(99240,-1)</f>
        <v>99240</v>
      </c>
      <c r="E117" s="63">
        <f t="shared" si="3"/>
        <v>328060</v>
      </c>
    </row>
    <row r="118" spans="1:7" ht="17.25" thickBot="1" x14ac:dyDescent="0.35">
      <c r="A118" s="2">
        <v>21</v>
      </c>
      <c r="C118" s="38" t="s">
        <v>47</v>
      </c>
      <c r="D118" s="43">
        <f>TRUNC(1105,-1)</f>
        <v>1100</v>
      </c>
      <c r="E118" s="64">
        <f t="shared" si="3"/>
        <v>3630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200130</v>
      </c>
      <c r="E119" s="39">
        <f>SUM(E98:E118)</f>
        <v>661540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TRUNC(4149,-1)</f>
        <v>4140</v>
      </c>
      <c r="E122" s="62">
        <f t="shared" ref="E122:E132" si="4">TRUNC(+D122*3.3058,-1)</f>
        <v>13680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TRUNC(4212,-1)</f>
        <v>4210</v>
      </c>
      <c r="E124" s="63">
        <f t="shared" si="4"/>
        <v>13910</v>
      </c>
    </row>
    <row r="125" spans="1:7" x14ac:dyDescent="0.3">
      <c r="A125" s="2">
        <v>4</v>
      </c>
      <c r="C125" s="38" t="s">
        <v>138</v>
      </c>
      <c r="D125" s="42">
        <f>TRUNC(4775,-1)</f>
        <v>4770</v>
      </c>
      <c r="E125" s="63">
        <f t="shared" si="4"/>
        <v>15760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TRUNC(606,-1)</f>
        <v>600</v>
      </c>
      <c r="E128" s="63">
        <f t="shared" si="4"/>
        <v>1980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TRUNC(14231,-1)</f>
        <v>14230</v>
      </c>
      <c r="E130" s="63">
        <f t="shared" si="4"/>
        <v>47040</v>
      </c>
    </row>
    <row r="131" spans="1:7" x14ac:dyDescent="0.3">
      <c r="A131" s="2">
        <v>10</v>
      </c>
      <c r="C131" s="38" t="s">
        <v>148</v>
      </c>
      <c r="D131" s="42">
        <f>TRUNC(80160,-1)</f>
        <v>80160</v>
      </c>
      <c r="E131" s="63">
        <f t="shared" si="4"/>
        <v>264990</v>
      </c>
    </row>
    <row r="132" spans="1:7" ht="18" thickBot="1" x14ac:dyDescent="0.35">
      <c r="A132" s="2">
        <v>11</v>
      </c>
      <c r="C132" s="38" t="s">
        <v>47</v>
      </c>
      <c r="D132" s="43">
        <f>TRUNC(4412+1523+2231,-1)</f>
        <v>8160</v>
      </c>
      <c r="E132" s="64">
        <f t="shared" si="4"/>
        <v>26970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116270</v>
      </c>
      <c r="E133" s="39">
        <f>SUM(E122:E132)</f>
        <v>384330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TRUNC(154+1878+2458+1541,-1)</f>
        <v>6030</v>
      </c>
      <c r="E137" s="63">
        <f t="shared" si="5"/>
        <v>19930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TRUNC(3692,-1)</f>
        <v>3690</v>
      </c>
      <c r="E139" s="63">
        <f t="shared" si="5"/>
        <v>12190</v>
      </c>
    </row>
    <row r="140" spans="1:7" x14ac:dyDescent="0.3">
      <c r="A140" s="2">
        <v>5</v>
      </c>
      <c r="C140" s="38" t="s">
        <v>57</v>
      </c>
      <c r="D140" s="42">
        <f>TRUNC(1944,-1)</f>
        <v>1940</v>
      </c>
      <c r="E140" s="63">
        <f t="shared" si="5"/>
        <v>6410</v>
      </c>
    </row>
    <row r="141" spans="1:7" x14ac:dyDescent="0.3">
      <c r="A141" s="2">
        <v>6</v>
      </c>
      <c r="C141" s="38" t="s">
        <v>59</v>
      </c>
      <c r="D141" s="42">
        <f>TRUNC(28348,-1)</f>
        <v>28340</v>
      </c>
      <c r="E141" s="63">
        <f t="shared" si="5"/>
        <v>93680</v>
      </c>
    </row>
    <row r="142" spans="1:7" x14ac:dyDescent="0.3">
      <c r="A142" s="2">
        <v>7</v>
      </c>
      <c r="C142" s="38" t="s">
        <v>58</v>
      </c>
      <c r="D142" s="42">
        <f>TRUNC(7746,-1)</f>
        <v>7740</v>
      </c>
      <c r="E142" s="63">
        <f t="shared" si="5"/>
        <v>25580</v>
      </c>
    </row>
    <row r="143" spans="1:7" x14ac:dyDescent="0.3">
      <c r="A143" s="2">
        <v>8</v>
      </c>
      <c r="C143" s="38" t="s">
        <v>62</v>
      </c>
      <c r="D143" s="42">
        <f>TRUNC(5947,-1)</f>
        <v>5940</v>
      </c>
      <c r="E143" s="63">
        <f t="shared" si="5"/>
        <v>19630</v>
      </c>
    </row>
    <row r="144" spans="1:7" x14ac:dyDescent="0.3">
      <c r="A144" s="2">
        <v>9</v>
      </c>
      <c r="C144" s="38" t="s">
        <v>63</v>
      </c>
      <c r="D144" s="42">
        <f>TRUNC(18374,-1)</f>
        <v>18370</v>
      </c>
      <c r="E144" s="63">
        <f t="shared" si="5"/>
        <v>60720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72050</v>
      </c>
      <c r="E146" s="39">
        <f>SUM(E136:E145)</f>
        <v>238140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TRUNC(8639+3166,-1)</f>
        <v>11800</v>
      </c>
      <c r="E149" s="62">
        <f>TRUNC(+D149*3.3058,-1)</f>
        <v>39000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TRUNC(2499,-1)</f>
        <v>2490</v>
      </c>
      <c r="E150" s="63">
        <f>TRUNC(+D150*3.3058,-1)</f>
        <v>8230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TRUNC(387+3171+27+1500,-1)</f>
        <v>5080</v>
      </c>
      <c r="E152" s="63">
        <f>TRUNC(+D152*3.3058,-1)</f>
        <v>16790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19370</v>
      </c>
      <c r="E154" s="39">
        <f>SUM(E149:E153)</f>
        <v>64020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TRUNC(39152,-1)</f>
        <v>39150</v>
      </c>
      <c r="E157" s="62">
        <f>TRUNC(+D157*3.3058,-1)</f>
        <v>129420</v>
      </c>
    </row>
    <row r="158" spans="1:7" x14ac:dyDescent="0.3">
      <c r="A158" s="2">
        <v>2</v>
      </c>
      <c r="C158" s="38" t="s">
        <v>52</v>
      </c>
      <c r="D158" s="42">
        <f>TRUNC(38055,-1)</f>
        <v>38050</v>
      </c>
      <c r="E158" s="63">
        <f>TRUNC(+D158*3.3058,-1)</f>
        <v>125780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TRUNC(12713+352,-1)</f>
        <v>13060</v>
      </c>
      <c r="E159" s="63">
        <f>TRUNC(+D159*3.3058,-1)</f>
        <v>43170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90260</v>
      </c>
      <c r="E161" s="39">
        <f>SUM(E157:E160)</f>
        <v>298370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2020-12-08T02:21:30Z</dcterms:modified>
</cp:coreProperties>
</file>