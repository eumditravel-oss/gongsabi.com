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44" i="4"/>
  <c r="E143" i="4"/>
  <c r="E142" i="4"/>
  <c r="E141" i="4"/>
  <c r="E140" i="4"/>
  <c r="E139" i="4"/>
  <c r="E138" i="4"/>
  <c r="E130" i="4"/>
  <c r="E128" i="4"/>
  <c r="E127" i="4"/>
  <c r="E124" i="4"/>
  <c r="E122" i="4"/>
  <c r="E116" i="4"/>
  <c r="E115" i="4"/>
  <c r="E113" i="4"/>
  <c r="E112" i="4"/>
  <c r="E111" i="4"/>
  <c r="E109" i="4"/>
  <c r="E107" i="4"/>
  <c r="E106" i="4"/>
  <c r="E103" i="4"/>
  <c r="E101" i="4"/>
  <c r="E99" i="4"/>
  <c r="E93" i="4"/>
  <c r="E91" i="4"/>
  <c r="E90" i="4"/>
  <c r="E88" i="4"/>
  <c r="E87" i="4"/>
  <c r="E86" i="4"/>
  <c r="E85" i="4"/>
  <c r="E83" i="4"/>
  <c r="E82" i="4"/>
  <c r="E81" i="4"/>
  <c r="E80" i="4"/>
  <c r="E78" i="4"/>
  <c r="E77" i="4"/>
  <c r="E76" i="4"/>
  <c r="E75" i="4"/>
  <c r="E74" i="4"/>
  <c r="E71" i="4"/>
  <c r="E65" i="4"/>
  <c r="E57" i="4"/>
  <c r="E56" i="4"/>
  <c r="E54" i="4"/>
  <c r="E37" i="4"/>
  <c r="D117" i="4" l="1"/>
  <c r="E117" i="4" s="1"/>
  <c r="D145" i="4"/>
  <c r="E145" i="4" s="1"/>
  <c r="D59" i="4"/>
  <c r="E59" i="4" s="1"/>
  <c r="D159" i="4" l="1"/>
  <c r="D152" i="4"/>
  <c r="E152" i="4" s="1"/>
  <c r="D151" i="4"/>
  <c r="E151" i="4" s="1"/>
  <c r="D150" i="4"/>
  <c r="E150" i="4" s="1"/>
  <c r="D149" i="4"/>
  <c r="D137" i="4"/>
  <c r="E137" i="4" s="1"/>
  <c r="D136" i="4"/>
  <c r="E136" i="4" s="1"/>
  <c r="D132" i="4"/>
  <c r="E132" i="4" s="1"/>
  <c r="D131" i="4"/>
  <c r="E131" i="4" s="1"/>
  <c r="D129" i="4"/>
  <c r="E129" i="4" s="1"/>
  <c r="D126" i="4"/>
  <c r="E126" i="4" s="1"/>
  <c r="D125" i="4"/>
  <c r="D123" i="4"/>
  <c r="E123" i="4" s="1"/>
  <c r="D118" i="4"/>
  <c r="E118" i="4" s="1"/>
  <c r="D114" i="4"/>
  <c r="E114" i="4" s="1"/>
  <c r="D110" i="4"/>
  <c r="E110" i="4" s="1"/>
  <c r="D108" i="4"/>
  <c r="E108" i="4" s="1"/>
  <c r="D105" i="4"/>
  <c r="E105" i="4" s="1"/>
  <c r="D104" i="4"/>
  <c r="E104" i="4" s="1"/>
  <c r="D102" i="4"/>
  <c r="E102" i="4" s="1"/>
  <c r="D100" i="4"/>
  <c r="E100" i="4" s="1"/>
  <c r="D98" i="4"/>
  <c r="D94" i="4"/>
  <c r="E94" i="4" s="1"/>
  <c r="D92" i="4"/>
  <c r="E92" i="4" s="1"/>
  <c r="D89" i="4"/>
  <c r="E89" i="4" s="1"/>
  <c r="D84" i="4"/>
  <c r="E84" i="4" s="1"/>
  <c r="D79" i="4"/>
  <c r="E79" i="4" s="1"/>
  <c r="D73" i="4"/>
  <c r="E73" i="4" s="1"/>
  <c r="D72" i="4"/>
  <c r="E72" i="4" s="1"/>
  <c r="D70" i="4"/>
  <c r="D69" i="4"/>
  <c r="E69" i="4" s="1"/>
  <c r="D64" i="4"/>
  <c r="E64" i="4" s="1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E146" i="4" l="1"/>
  <c r="D66" i="4"/>
  <c r="D26" i="4" s="1"/>
  <c r="E26" i="4" s="1"/>
  <c r="E63" i="4"/>
  <c r="E66" i="4" s="1"/>
  <c r="D146" i="4"/>
  <c r="D30" i="4" s="1"/>
  <c r="E30" i="4" s="1"/>
  <c r="D95" i="4"/>
  <c r="D27" i="4" s="1"/>
  <c r="E27" i="4" s="1"/>
  <c r="E70" i="4"/>
  <c r="E95" i="4" s="1"/>
  <c r="D119" i="4"/>
  <c r="D28" i="4" s="1"/>
  <c r="E28" i="4" s="1"/>
  <c r="E98" i="4"/>
  <c r="E119" i="4" s="1"/>
  <c r="D60" i="4"/>
  <c r="D25" i="4" s="1"/>
  <c r="E25" i="4" s="1"/>
  <c r="E40" i="4"/>
  <c r="E60" i="4" s="1"/>
  <c r="D133" i="4"/>
  <c r="D29" i="4" s="1"/>
  <c r="E29" i="4" s="1"/>
  <c r="E125" i="4"/>
  <c r="E133" i="4" s="1"/>
  <c r="D154" i="4"/>
  <c r="D31" i="4" s="1"/>
  <c r="E31" i="4" s="1"/>
  <c r="E149" i="4"/>
  <c r="E154" i="4" s="1"/>
  <c r="D161" i="4"/>
  <c r="D32" i="4" s="1"/>
  <c r="E32" i="4" s="1"/>
  <c r="E159" i="4"/>
  <c r="E161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<sst xmlns="http://schemas.openxmlformats.org/spreadsheetml/2006/main" count="402" uniqueCount="276">
  <si>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</si>
  <si>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</si>
  <si>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</si>
  <si>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</si>
  <si>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</si>
  <si>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</si>
  <si>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</si>
  <si>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</si>
  <si>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</si>
  <si>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</si>
  <si>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</si>
  <si>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</si>
  <si>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</si>
  <si>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</si>
  <si>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</si>
  <si>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</si>
  <si>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</si>
  <si>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</si>
  <si>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</si>
  <si>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</si>
  <si>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</si>
  <si>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</si>
  <si>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</si>
  <si>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</si>
  <si>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</si>
  <si>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</si>
  <si>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</si>
  <si>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</si>
  <si>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</si>
  <si>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</si>
  <si>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</si>
  <si>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</si>
  <si>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</si>
  <si>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</si>
  <si>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</si>
  <si>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</si>
  <si>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</si>
  <si>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</si>
  <si>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</si>
  <si>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</si>
  <si>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</si>
  <si>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</si>
  <si>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</si>
  <si>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</si>
  <si>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</si>
  <si>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</si>
  <si>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</si>
  <si>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</si>
  <si>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</si>
  <si>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</si>
  <si>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</si>
  <si>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</si>
  <si>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</si>
  <si>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</si>
  <si>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</si>
  <si>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</si>
  <si>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</si>
  <si>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</si>
  <si>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</si>
  <si>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</si>
  <si>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</si>
  <si>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</si>
  <si>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</si>
  <si>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</si>
  <si>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</si>
  <si>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</si>
  <si>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</si>
  <si>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</si>
  <si>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</si>
  <si>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</si>
  <si>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</si>
  <si>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</si>
  <si>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</si>
  <si>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</si>
  <si>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</si>
  <si>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</si>
  <si>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</si>
  <si>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</si>
  <si>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</si>
  <si>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</si>
  <si>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</si>
  <si>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</si>
  <si>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</si>
  <si>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</si>
  <si>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</si>
  <si>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</si>
  <si>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</si>
  <si>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</si>
  <si>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</si>
  <si>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</si>
  <si>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</si>
  <si>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</si>
  <si>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</si>
  <si>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</si>
  <si>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</si>
  <si>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</si>
  <si>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</si>
  <si>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</si>
  <si>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</si>
  <si>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</si>
  <si>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</si>
  <si>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</si>
  <si>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</si>
  <si>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</si>
  <si>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</si>
  <si>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</si>
  <si>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</si>
  <si>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</si>
  <si>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</si>
  <si>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</si>
  <si>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</si>
  <si>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</si>
  <si>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</si>
  <si>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</si>
  <si>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</si>
  <si>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</si>
  <si>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</si>
  <si>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</si>
  <si>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</si>
  <si>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</si>
  <si>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</si>
  <si>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</si>
  <si>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</si>
  <si>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</si>
  <si>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</si>
  <si>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</si>
  <si>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</si>
  <si>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</si>
  <si>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</si>
  <si>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</si>
  <si>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</si>
  <si>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</si>
  <si>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</si>
  <si>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</si>
  <si>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</si>
  <si>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</si>
  <si>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</si>
  <si>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</si>
  <si>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</si>
  <si>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</si>
  <si>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</si>
  <si>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</si>
  <si>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</si>
  <si>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</si>
  <si>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</si>
  <si>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</si>
  <si>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</si>
  <si>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</si>
  <si>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</si>
  <si>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</si>
  <si>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</si>
  <si>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</si>
  <si>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</si>
  <si>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</si>
  <si>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</si>
  <si>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</si>
  <si>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</si>
  <si>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</si>
  <si>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</si>
  <si>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</si>
  <si>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</si>
  <si>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</si>
  <si>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</si>
  <si>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</si>
  <si>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</si>
  <si>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</si>
  <si>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</si>
  <si>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</si>
  <si>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</si>
  <si>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</si>
  <si>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</si>
  <si>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</si>
  <si>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</si>
  <si>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</si>
  <si>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</si>
  <si>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</si>
  <si>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</si>
  <si>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</si>
  <si>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</si>
  <si>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</si>
  <si>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</si>
  <si>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</si>
  <si>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</si>
  <si>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</si>
  <si>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</si>
  <si>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</si>
  <si>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</si>
  <si>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</si>
  <si>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</si>
  <si>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</si>
  <si>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</si>
  <si>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</si>
  <si>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</si>
  <si>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</si>
  <si>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</si>
  <si>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</si>
  <si>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</si>
  <si>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</si>
  <si>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</si>
  <si>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</si>
  <si>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</si>
  <si>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</si>
  <si>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</si>
  <si>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</si>
  <si>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</si>
  <si>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</si>
  <si>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</si>
  <si>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</si>
  <si>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</si>
  <si>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</si>
  <si>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</si>
  <si>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</si>
  <si>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</si>
  <si>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</si>
  <si>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</si>
  <si>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</si>
  <si>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</si>
  <si>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</si>
  <si>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</si>
  <si>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</si>
  <si>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</si>
  <si>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</si>
  <si>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</si>
  <si>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</si>
  <si>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</si>
  <si>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</si>
  <si>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</si>
  <si>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</si>
  <si>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</si>
  <si>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</si>
  <si>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</si>
  <si>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</si>
  <si>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</si>
  <si>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</si>
  <si>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</si>
  <si>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</si>
  <si>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</si>
  <si>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</si>
  <si>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</si>
  <si>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</si>
  <si>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</si>
  <si>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</si>
  <si>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</si>
  <si>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</si>
  <si>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</si>
  <si>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</si>
  <si>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</si>
  <si>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</si>
  <si>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 xml:space="preserve">아치지붕공사,홈통공사 </t>
    <phoneticPr fontId="2" type="noConversion"/>
  </si>
  <si>
    <t>골재대및운반공사, 기초및토공사, 기타공사, 교문(주출입, 식당출입, 주차장출입)공사, 급수대공사, 국기게양대공사, 게시판공사,열린공간공사</t>
    <phoneticPr fontId="2" type="noConversion"/>
  </si>
  <si>
    <t>환기닥트공사</t>
  </si>
  <si>
    <t>난방배관공사,냉난방부대공사</t>
    <phoneticPr fontId="2" type="noConversion"/>
  </si>
  <si>
    <t>오배수통기배관공사</t>
  </si>
  <si>
    <t>위생및환기배관공사</t>
  </si>
  <si>
    <t>피뢰침 접지 공사</t>
  </si>
  <si>
    <t>기계실 동력 공사, 주방 동력 공사</t>
    <phoneticPr fontId="2" type="noConversion"/>
  </si>
  <si>
    <t>옥외 간선 공사</t>
  </si>
  <si>
    <t>선풍기 설비공사</t>
  </si>
  <si>
    <t>정보통신공사</t>
  </si>
  <si>
    <t>전관방송공사</t>
  </si>
  <si>
    <t>관급자설치관급자재</t>
  </si>
  <si>
    <t>전송선로공사</t>
  </si>
  <si>
    <t>전기소방</t>
    <phoneticPr fontId="2" type="noConversion"/>
  </si>
  <si>
    <t>토목 오수공</t>
    <phoneticPr fontId="2" type="noConversion"/>
  </si>
  <si>
    <t>토목 배수공,운동장공사,부대시설공사, 지하수개발, 옥외배관공사, 부대공사, 골재대</t>
    <phoneticPr fontId="2" type="noConversion"/>
  </si>
  <si>
    <t>조경공사</t>
    <phoneticPr fontId="2" type="noConversion"/>
  </si>
  <si>
    <t>00초등학교 교사신축공사</t>
  </si>
  <si>
    <t>경상도</t>
  </si>
  <si>
    <t>원/ m2</t>
    <phoneticPr fontId="2" type="noConversion"/>
  </si>
  <si>
    <t>도급자설치, 관급자설치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</si>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</sst>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0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8455</v>
      </c>
      <c r="D7" s="36">
        <f>+C7/3.3058</f>
        <v>2557.6259906830419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274</v>
      </c>
    </row>
    <row r="19" spans="1:5" x14ac:dyDescent="0.3">
      <c r="A19" s="2">
        <v>9</v>
      </c>
      <c r="B19" s="2" t="s">
        <v>275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60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491560</v>
      </c>
      <c r="E25" s="61">
        <f t="shared" si="0"/>
        <v>1624990</v>
      </c>
    </row>
    <row r="26" spans="1:5" x14ac:dyDescent="0.3">
      <c r="B26" s="2">
        <v>3</v>
      </c>
      <c r="C26" s="35" t="s">
        <v>95</v>
      </c>
      <c r="D26" s="57">
        <f>+D66</f>
        <v>24090</v>
      </c>
      <c r="E26" s="61">
        <f t="shared" si="0"/>
        <v>79630</v>
      </c>
    </row>
    <row r="27" spans="1:5" x14ac:dyDescent="0.3">
      <c r="B27" s="2">
        <v>4</v>
      </c>
      <c r="C27" s="35" t="s">
        <v>96</v>
      </c>
      <c r="D27" s="57">
        <f>+D95</f>
        <v>17960</v>
      </c>
      <c r="E27" s="61">
        <f t="shared" si="0"/>
        <v>59370</v>
      </c>
    </row>
    <row r="28" spans="1:5" x14ac:dyDescent="0.3">
      <c r="B28" s="2">
        <v>5</v>
      </c>
      <c r="C28" s="35" t="s">
        <v>97</v>
      </c>
      <c r="D28" s="57">
        <f>+D119</f>
        <v>57170</v>
      </c>
      <c r="E28" s="61">
        <f t="shared" si="0"/>
        <v>188990</v>
      </c>
    </row>
    <row r="29" spans="1:5" x14ac:dyDescent="0.3">
      <c r="B29" s="2">
        <v>6</v>
      </c>
      <c r="C29" s="35" t="s">
        <v>98</v>
      </c>
      <c r="D29" s="57">
        <f>+D133</f>
        <v>32230</v>
      </c>
      <c r="E29" s="61">
        <f t="shared" si="0"/>
        <v>106540</v>
      </c>
    </row>
    <row r="30" spans="1:5" x14ac:dyDescent="0.3">
      <c r="B30" s="2">
        <v>7</v>
      </c>
      <c r="C30" s="35" t="s">
        <v>99</v>
      </c>
      <c r="D30" s="57">
        <f>+D146</f>
        <v>15350</v>
      </c>
      <c r="E30" s="61">
        <f t="shared" si="0"/>
        <v>50740</v>
      </c>
    </row>
    <row r="31" spans="1:5" x14ac:dyDescent="0.3">
      <c r="B31" s="2">
        <v>8</v>
      </c>
      <c r="C31" s="35" t="s">
        <v>100</v>
      </c>
      <c r="D31" s="57">
        <f>+D154</f>
        <v>85650</v>
      </c>
      <c r="E31" s="61">
        <f t="shared" si="0"/>
        <v>283140</v>
      </c>
    </row>
    <row r="32" spans="1:5" x14ac:dyDescent="0.3">
      <c r="B32" s="2">
        <v>9</v>
      </c>
      <c r="C32" s="35" t="s">
        <v>101</v>
      </c>
      <c r="D32" s="57">
        <f>+D161</f>
        <v>9620</v>
      </c>
      <c r="E32" s="61">
        <f t="shared" si="0"/>
        <v>31800</v>
      </c>
    </row>
    <row r="33" spans="1:7" x14ac:dyDescent="0.3">
      <c r="B33" s="2">
        <v>10</v>
      </c>
      <c r="C33" s="35" t="s">
        <v>154</v>
      </c>
      <c r="D33" s="58">
        <f>TRUNC(SUM(D24:D32)*0.275,-1)</f>
        <v>201740</v>
      </c>
      <c r="E33" s="62">
        <f t="shared" si="0"/>
        <v>666910</v>
      </c>
    </row>
    <row r="34" spans="1:7" x14ac:dyDescent="0.3">
      <c r="C34" s="35" t="s">
        <v>112</v>
      </c>
      <c r="D34" s="44">
        <f>SUM(D24:D33)</f>
        <v>935370</v>
      </c>
      <c r="E34" s="44">
        <f>SUM(E24:E33)</f>
        <v>3092110</v>
      </c>
    </row>
    <row r="35" spans="1:7" s="54" customFormat="1" x14ac:dyDescent="0.3">
      <c r="C35" s="55"/>
      <c r="D35" s="55"/>
      <c r="E35" s="55"/>
      <c r="F35" s="53"/>
      <c r="G35" s="53"/>
    </row>
    <row r="36" spans="1:7" s="54" customFormat="1" ht="17.25" thickBot="1" x14ac:dyDescent="0.35">
      <c r="B36" s="54" t="s">
        <v>12</v>
      </c>
      <c r="C36" s="54" t="s">
        <v>237</v>
      </c>
      <c r="D36" s="55" t="s">
        <v>235</v>
      </c>
      <c r="E36" s="55" t="s">
        <v>153</v>
      </c>
      <c r="F36" s="53"/>
      <c r="G36" s="53"/>
    </row>
    <row r="37" spans="1:7" ht="17.25" thickBot="1" x14ac:dyDescent="0.35">
      <c r="C37" s="38" t="s">
        <v>143</v>
      </c>
      <c r="D37" s="52">
        <v>0</v>
      </c>
      <c r="E37" s="63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241</v>
      </c>
      <c r="D39" s="68" t="s">
        <v>271</v>
      </c>
      <c r="E39" s="68" t="s">
        <v>272</v>
      </c>
      <c r="G39" s="69"/>
    </row>
    <row r="40" spans="1:7" x14ac:dyDescent="0.3">
      <c r="A40" s="2">
        <v>1</v>
      </c>
      <c r="C40" s="38" t="s">
        <v>15</v>
      </c>
      <c r="D40" s="40">
        <f>TRUNC(21479.3458308693,-1)</f>
        <v>21470</v>
      </c>
      <c r="E40" s="64">
        <f t="shared" ref="E40:E59" si="1">TRUNC(+D40*3.3058,-1)</f>
        <v>70970</v>
      </c>
    </row>
    <row r="41" spans="1:7" x14ac:dyDescent="0.3">
      <c r="A41" s="2">
        <v>2</v>
      </c>
      <c r="C41" s="38" t="s">
        <v>13</v>
      </c>
      <c r="D41" s="42">
        <f>TRUNC(103262.338024837,-1)</f>
        <v>103260</v>
      </c>
      <c r="E41" s="65">
        <f t="shared" si="1"/>
        <v>341350</v>
      </c>
    </row>
    <row r="42" spans="1:7" x14ac:dyDescent="0.3">
      <c r="A42" s="2">
        <v>3</v>
      </c>
      <c r="C42" s="38" t="s">
        <v>14</v>
      </c>
      <c r="D42" s="42">
        <f>TRUNC(434.513424009462,-1)</f>
        <v>430</v>
      </c>
      <c r="E42" s="65">
        <f t="shared" si="1"/>
        <v>1420</v>
      </c>
    </row>
    <row r="43" spans="1:7" x14ac:dyDescent="0.3">
      <c r="A43" s="2">
        <v>4</v>
      </c>
      <c r="C43" s="38" t="s">
        <v>16</v>
      </c>
      <c r="D43" s="42">
        <f>TRUNC(37891.44198699,-1)</f>
        <v>37890</v>
      </c>
      <c r="E43" s="65">
        <f t="shared" si="1"/>
        <v>125250</v>
      </c>
    </row>
    <row r="44" spans="1:7" x14ac:dyDescent="0.3">
      <c r="A44" s="2">
        <v>5</v>
      </c>
      <c r="C44" s="38" t="s">
        <v>17</v>
      </c>
      <c r="D44" s="42">
        <f>TRUNC(9310.12028385571,-1)</f>
        <v>9310</v>
      </c>
      <c r="E44" s="65">
        <f t="shared" si="1"/>
        <v>30770</v>
      </c>
    </row>
    <row r="45" spans="1:7" x14ac:dyDescent="0.3">
      <c r="A45" s="2">
        <v>6</v>
      </c>
      <c r="C45" s="38" t="s">
        <v>18</v>
      </c>
      <c r="D45" s="42">
        <f>TRUNC(5461.13211117682,-1)</f>
        <v>5460</v>
      </c>
      <c r="E45" s="65">
        <f t="shared" si="1"/>
        <v>18040</v>
      </c>
    </row>
    <row r="46" spans="1:7" x14ac:dyDescent="0.3">
      <c r="A46" s="2">
        <v>7</v>
      </c>
      <c r="C46" s="38" t="s">
        <v>19</v>
      </c>
      <c r="D46" s="42">
        <f>TRUNC(17975.0018923714,-1)</f>
        <v>17970</v>
      </c>
      <c r="E46" s="65">
        <f t="shared" si="1"/>
        <v>59400</v>
      </c>
    </row>
    <row r="47" spans="1:7" x14ac:dyDescent="0.3">
      <c r="A47" s="2">
        <v>8</v>
      </c>
      <c r="C47" s="38" t="s">
        <v>20</v>
      </c>
      <c r="D47" s="42">
        <f>TRUNC(13508.2223536369,-1)</f>
        <v>13500</v>
      </c>
      <c r="E47" s="65">
        <f t="shared" si="1"/>
        <v>44620</v>
      </c>
    </row>
    <row r="48" spans="1:7" x14ac:dyDescent="0.3">
      <c r="A48" s="2">
        <v>9</v>
      </c>
      <c r="C48" s="38" t="s">
        <v>21</v>
      </c>
      <c r="D48" s="42">
        <f>TRUNC(34576.1040804258,-1)</f>
        <v>34570</v>
      </c>
      <c r="E48" s="65">
        <f t="shared" si="1"/>
        <v>114280</v>
      </c>
    </row>
    <row r="49" spans="1:7" x14ac:dyDescent="0.3">
      <c r="A49" s="2">
        <v>10</v>
      </c>
      <c r="C49" s="38" t="s">
        <v>22</v>
      </c>
      <c r="D49" s="42">
        <f>TRUNC(16509.0342992312,-1)</f>
        <v>16500</v>
      </c>
      <c r="E49" s="65">
        <f t="shared" si="1"/>
        <v>54540</v>
      </c>
    </row>
    <row r="50" spans="1:7" x14ac:dyDescent="0.3">
      <c r="A50" s="2">
        <v>11</v>
      </c>
      <c r="C50" s="38" t="s">
        <v>155</v>
      </c>
      <c r="D50" s="42">
        <f>TRUNC(28281.4639858072,-1)</f>
        <v>28280</v>
      </c>
      <c r="E50" s="65">
        <f t="shared" si="1"/>
        <v>93480</v>
      </c>
    </row>
    <row r="51" spans="1:7" x14ac:dyDescent="0.3">
      <c r="A51" s="2">
        <v>12</v>
      </c>
      <c r="C51" s="38" t="s">
        <v>23</v>
      </c>
      <c r="D51" s="42">
        <f>TRUNC(8200.8713187463,-1)</f>
        <v>8200</v>
      </c>
      <c r="E51" s="65">
        <f t="shared" si="1"/>
        <v>27100</v>
      </c>
    </row>
    <row r="52" spans="1:7" x14ac:dyDescent="0.3">
      <c r="A52" s="2">
        <v>13</v>
      </c>
      <c r="C52" s="38" t="s">
        <v>24</v>
      </c>
      <c r="D52" s="42">
        <f>TRUNC(7433.8617386162,-1)</f>
        <v>7430</v>
      </c>
      <c r="E52" s="65">
        <f t="shared" si="1"/>
        <v>24560</v>
      </c>
    </row>
    <row r="53" spans="1:7" x14ac:dyDescent="0.3">
      <c r="A53" s="2">
        <v>14</v>
      </c>
      <c r="C53" s="38" t="s">
        <v>25</v>
      </c>
      <c r="D53" s="42">
        <f>TRUNC(25765.9129509166,-1)</f>
        <v>25760</v>
      </c>
      <c r="E53" s="65">
        <f t="shared" si="1"/>
        <v>85150</v>
      </c>
    </row>
    <row r="54" spans="1:7" x14ac:dyDescent="0.3">
      <c r="A54" s="2">
        <v>15</v>
      </c>
      <c r="C54" s="38" t="s">
        <v>147</v>
      </c>
      <c r="D54" s="42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TRUNC(8614.96156120639+2930.33010053223,-1)</f>
        <v>11540</v>
      </c>
      <c r="E55" s="65">
        <f t="shared" si="1"/>
        <v>38140</v>
      </c>
      <c r="F55" s="2" t="s">
        <v>248</v>
      </c>
    </row>
    <row r="56" spans="1:7" x14ac:dyDescent="0.3">
      <c r="A56" s="2">
        <v>17</v>
      </c>
      <c r="C56" s="38" t="s">
        <v>145</v>
      </c>
      <c r="D56" s="42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TRUNC(4175.51555292726+4127.92584269663+5512.37161442933+2451.2628030751+267.477114133649+280.775044352454+175.836901241869+1654.73684210526,-1)</f>
        <v>18640</v>
      </c>
      <c r="E58" s="65">
        <f t="shared" si="1"/>
        <v>61620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TRUNC(91366.6469544648+39986.7534003548,-1)</f>
        <v>131350</v>
      </c>
      <c r="E59" s="66">
        <f t="shared" si="1"/>
        <v>434210</v>
      </c>
      <c r="F59" s="2" t="s">
        <v>269</v>
      </c>
    </row>
    <row r="60" spans="1:7" x14ac:dyDescent="0.3">
      <c r="A60" s="2">
        <v>21</v>
      </c>
      <c r="C60" s="27" t="s">
        <v>112</v>
      </c>
      <c r="D60" s="39">
        <f>SUM(D40:D59)</f>
        <v>491560</v>
      </c>
      <c r="E60" s="39">
        <f>SUM(E40:E59)</f>
        <v>1624900</v>
      </c>
    </row>
    <row r="61" spans="1:7" s="54" customFormat="1" x14ac:dyDescent="0.3">
      <c r="C61" s="55"/>
      <c r="D61" s="55"/>
      <c r="E61" s="55"/>
      <c r="F61" s="53"/>
      <c r="G61" s="53"/>
    </row>
    <row r="62" spans="1:7" s="54" customFormat="1" ht="17.25" thickBot="1" x14ac:dyDescent="0.35">
      <c r="B62" s="54" t="s">
        <v>238</v>
      </c>
      <c r="C62" s="54" t="s">
        <v>239</v>
      </c>
      <c r="D62" s="55" t="s">
        <v>235</v>
      </c>
      <c r="E62" s="55" t="s">
        <v>153</v>
      </c>
      <c r="F62" s="53"/>
      <c r="G62" s="53"/>
    </row>
    <row r="63" spans="1:7" x14ac:dyDescent="0.3">
      <c r="A63" s="2">
        <v>1</v>
      </c>
      <c r="C63" s="38" t="s">
        <v>27</v>
      </c>
      <c r="D63" s="40">
        <f>TRUNC(8428.87356593732,-1)</f>
        <v>8420</v>
      </c>
      <c r="E63" s="64">
        <f>TRUNC(+D63*3.3058,-1)</f>
        <v>27830</v>
      </c>
    </row>
    <row r="64" spans="1:7" x14ac:dyDescent="0.3">
      <c r="A64" s="2">
        <v>2</v>
      </c>
      <c r="C64" s="38" t="s">
        <v>29</v>
      </c>
      <c r="D64" s="42">
        <f>TRUNC(15670.2734476641,-1)</f>
        <v>15670</v>
      </c>
      <c r="E64" s="65">
        <f>TRUNC(+D64*3.3058,-1)</f>
        <v>51800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6">
        <f>TRUNC(+D65*3.3058,-1)</f>
        <v>0</v>
      </c>
    </row>
    <row r="66" spans="1:7" x14ac:dyDescent="0.3">
      <c r="A66" s="2">
        <v>4</v>
      </c>
      <c r="C66" s="27" t="s">
        <v>112</v>
      </c>
      <c r="D66" s="59">
        <f>SUM(D63:D65)</f>
        <v>24090</v>
      </c>
      <c r="E66" s="59">
        <f>SUM(E63:E65)</f>
        <v>79630</v>
      </c>
    </row>
    <row r="67" spans="1:7" s="54" customFormat="1" x14ac:dyDescent="0.3">
      <c r="C67" s="55"/>
      <c r="D67" s="55"/>
      <c r="E67" s="55"/>
      <c r="F67" s="53"/>
      <c r="G67" s="53"/>
    </row>
    <row r="68" spans="1:7" s="54" customFormat="1" ht="17.25" thickBot="1" x14ac:dyDescent="0.35">
      <c r="B68" s="54" t="s">
        <v>240</v>
      </c>
      <c r="C68" s="54" t="s">
        <v>241</v>
      </c>
      <c r="D68" s="55" t="s">
        <v>235</v>
      </c>
      <c r="E68" s="55" t="s">
        <v>153</v>
      </c>
      <c r="F68" s="53"/>
      <c r="G68" s="53"/>
    </row>
    <row r="69" spans="1:7" x14ac:dyDescent="0.3">
      <c r="A69" s="2">
        <v>1</v>
      </c>
      <c r="C69" s="38" t="s">
        <v>30</v>
      </c>
      <c r="D69" s="40">
        <f>TRUNC(1957.29450029568,-1)</f>
        <v>1950</v>
      </c>
      <c r="E69" s="64">
        <f>TRUNC(+D69*3.3058,-1)</f>
        <v>6440</v>
      </c>
    </row>
    <row r="70" spans="1:7" ht="16.5" customHeight="1" x14ac:dyDescent="0.3">
      <c r="A70" s="2">
        <v>2</v>
      </c>
      <c r="C70" s="38" t="s">
        <v>31</v>
      </c>
      <c r="D70" s="42">
        <f>TRUNC(317.539798935541,-1)</f>
        <v>310</v>
      </c>
      <c r="E70" s="65">
        <f>TRUNC(+D70*3.3058,-1)</f>
        <v>1020</v>
      </c>
    </row>
    <row r="71" spans="1:7" x14ac:dyDescent="0.3">
      <c r="A71" s="2">
        <v>3</v>
      </c>
      <c r="C71" s="38" t="s">
        <v>32</v>
      </c>
      <c r="D71" s="42">
        <v>0</v>
      </c>
      <c r="E71" s="65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f>TRUNC(863.345121230041,-1)</f>
        <v>860</v>
      </c>
      <c r="E72" s="65">
        <f t="shared" si="2"/>
        <v>2840</v>
      </c>
    </row>
    <row r="73" spans="1:7" x14ac:dyDescent="0.3">
      <c r="A73" s="2">
        <v>5</v>
      </c>
      <c r="C73" s="38" t="s">
        <v>34</v>
      </c>
      <c r="D73" s="42">
        <f>TRUNC(8702.34535777646,-1)</f>
        <v>8700</v>
      </c>
      <c r="E73" s="65">
        <f t="shared" si="2"/>
        <v>28760</v>
      </c>
    </row>
    <row r="74" spans="1:7" x14ac:dyDescent="0.3">
      <c r="A74" s="2">
        <v>6</v>
      </c>
      <c r="C74" s="38" t="s">
        <v>176</v>
      </c>
      <c r="D74" s="42">
        <v>0</v>
      </c>
      <c r="E74" s="65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5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TRUNC(2061.83477232407,-1)</f>
        <v>2060</v>
      </c>
      <c r="E79" s="65">
        <f t="shared" si="3"/>
        <v>6800</v>
      </c>
      <c r="F79" s="2" t="s">
        <v>250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5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TRUNC(1047.44411590775+587.614429331756,-1)</f>
        <v>1630</v>
      </c>
      <c r="E84" s="65">
        <f>TRUNC(+D84*3.3058,-1)</f>
        <v>5380</v>
      </c>
      <c r="F84" s="2" t="s">
        <v>251</v>
      </c>
    </row>
    <row r="85" spans="1:7" x14ac:dyDescent="0.3">
      <c r="A85" s="2">
        <v>17</v>
      </c>
      <c r="C85" s="38" t="s">
        <v>123</v>
      </c>
      <c r="D85" s="42">
        <v>0</v>
      </c>
      <c r="E85" s="65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3"/>
        <v>0</v>
      </c>
    </row>
    <row r="89" spans="1:7" x14ac:dyDescent="0.3">
      <c r="A89" s="2">
        <v>21</v>
      </c>
      <c r="C89" s="38" t="s">
        <v>35</v>
      </c>
      <c r="D89" s="42">
        <f>TRUNC(2022.17291543465,-1)</f>
        <v>2020</v>
      </c>
      <c r="E89" s="65">
        <f t="shared" si="3"/>
        <v>6670</v>
      </c>
      <c r="F89" s="2" t="s">
        <v>252</v>
      </c>
    </row>
    <row r="90" spans="1:7" x14ac:dyDescent="0.3">
      <c r="A90" s="2">
        <v>22</v>
      </c>
      <c r="C90" s="38" t="s">
        <v>36</v>
      </c>
      <c r="D90" s="42">
        <v>0</v>
      </c>
      <c r="E90" s="65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5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TRUNC(208.943228858664,-1)</f>
        <v>200</v>
      </c>
      <c r="E92" s="65">
        <f>TRUNC(+D92*3.3058,-1)</f>
        <v>660</v>
      </c>
    </row>
    <row r="93" spans="1:7" x14ac:dyDescent="0.3">
      <c r="A93" s="2">
        <v>25</v>
      </c>
      <c r="C93" s="38" t="s">
        <v>148</v>
      </c>
      <c r="D93" s="42">
        <v>0</v>
      </c>
      <c r="E93" s="65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TRUNC(235.338024837374,-1)</f>
        <v>230</v>
      </c>
      <c r="E94" s="66">
        <f>TRUNC(+D94*3.3058,-1)</f>
        <v>760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17960</v>
      </c>
      <c r="E95" s="39">
        <f>SUM(E69:E94)</f>
        <v>59330</v>
      </c>
    </row>
    <row r="96" spans="1:7" s="54" customFormat="1" x14ac:dyDescent="0.3">
      <c r="C96" s="55"/>
      <c r="D96" s="55"/>
      <c r="E96" s="55"/>
      <c r="F96" s="53"/>
      <c r="G96" s="53"/>
    </row>
    <row r="97" spans="1:7" s="54" customFormat="1" ht="17.25" thickBot="1" x14ac:dyDescent="0.35">
      <c r="B97" s="54" t="s">
        <v>242</v>
      </c>
      <c r="C97" s="54" t="s">
        <v>241</v>
      </c>
      <c r="D97" s="55" t="s">
        <v>235</v>
      </c>
      <c r="E97" s="55" t="s">
        <v>153</v>
      </c>
      <c r="F97" s="53"/>
      <c r="G97" s="53"/>
    </row>
    <row r="98" spans="1:7" x14ac:dyDescent="0.3">
      <c r="A98" s="2">
        <v>1</v>
      </c>
      <c r="C98" s="38" t="s">
        <v>39</v>
      </c>
      <c r="D98" s="40">
        <f>TRUNC(3841.15647545831,-1)</f>
        <v>3840</v>
      </c>
      <c r="E98" s="64">
        <f t="shared" ref="E98:E118" si="4">TRUNC(+D98*3.3058,-1)</f>
        <v>12690</v>
      </c>
    </row>
    <row r="99" spans="1:7" x14ac:dyDescent="0.3">
      <c r="A99" s="2">
        <v>2</v>
      </c>
      <c r="C99" s="38" t="s">
        <v>40</v>
      </c>
      <c r="D99" s="42">
        <v>0</v>
      </c>
      <c r="E99" s="65">
        <f t="shared" si="4"/>
        <v>0</v>
      </c>
    </row>
    <row r="100" spans="1:7" x14ac:dyDescent="0.3">
      <c r="A100" s="2">
        <v>3</v>
      </c>
      <c r="C100" s="38" t="s">
        <v>41</v>
      </c>
      <c r="D100" s="42">
        <f>TRUNC(14813.3395623891,-1)</f>
        <v>14810</v>
      </c>
      <c r="E100" s="65">
        <f t="shared" si="4"/>
        <v>48950</v>
      </c>
    </row>
    <row r="101" spans="1:7" x14ac:dyDescent="0.3">
      <c r="A101" s="2">
        <v>4</v>
      </c>
      <c r="C101" s="38" t="s">
        <v>42</v>
      </c>
      <c r="D101" s="42">
        <v>0</v>
      </c>
      <c r="E101" s="65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TRUNC(5622.73234772324,-1)</f>
        <v>5620</v>
      </c>
      <c r="E102" s="65">
        <f t="shared" si="4"/>
        <v>18570</v>
      </c>
    </row>
    <row r="103" spans="1:7" x14ac:dyDescent="0.3">
      <c r="A103" s="2">
        <v>6</v>
      </c>
      <c r="C103" s="38" t="s">
        <v>44</v>
      </c>
      <c r="D103" s="42">
        <v>0</v>
      </c>
      <c r="E103" s="65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TRUNC(1813.2691898285,-1)</f>
        <v>1810</v>
      </c>
      <c r="E104" s="65">
        <f t="shared" si="4"/>
        <v>5980</v>
      </c>
      <c r="F104" s="2" t="s">
        <v>254</v>
      </c>
    </row>
    <row r="105" spans="1:7" x14ac:dyDescent="0.3">
      <c r="A105" s="2">
        <v>8</v>
      </c>
      <c r="C105" s="38" t="s">
        <v>46</v>
      </c>
      <c r="D105" s="42">
        <f>TRUNC(1332.22460082791,-1)</f>
        <v>1330</v>
      </c>
      <c r="E105" s="65">
        <f t="shared" si="4"/>
        <v>4390</v>
      </c>
    </row>
    <row r="106" spans="1:7" x14ac:dyDescent="0.3">
      <c r="A106" s="2">
        <v>9</v>
      </c>
      <c r="C106" s="38" t="s">
        <v>135</v>
      </c>
      <c r="D106" s="42">
        <v>0</v>
      </c>
      <c r="E106" s="65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5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TRUNC(1407.69923122413,-1)</f>
        <v>1400</v>
      </c>
      <c r="E108" s="65">
        <f t="shared" si="4"/>
        <v>4620</v>
      </c>
    </row>
    <row r="109" spans="1:7" x14ac:dyDescent="0.3">
      <c r="A109" s="2">
        <v>12</v>
      </c>
      <c r="C109" s="38" t="s">
        <v>125</v>
      </c>
      <c r="D109" s="42">
        <v>0</v>
      </c>
      <c r="E109" s="65">
        <f t="shared" si="4"/>
        <v>0</v>
      </c>
    </row>
    <row r="110" spans="1:7" x14ac:dyDescent="0.3">
      <c r="A110" s="2">
        <v>13</v>
      </c>
      <c r="C110" s="38" t="s">
        <v>127</v>
      </c>
      <c r="D110" s="42">
        <f>TRUNC(265.086575990538+482.332820816085,-1)</f>
        <v>740</v>
      </c>
      <c r="E110" s="65">
        <f t="shared" si="4"/>
        <v>2440</v>
      </c>
      <c r="F110" s="2" t="s">
        <v>255</v>
      </c>
    </row>
    <row r="111" spans="1:7" x14ac:dyDescent="0.3">
      <c r="A111" s="2">
        <v>14</v>
      </c>
      <c r="C111" s="38" t="s">
        <v>129</v>
      </c>
      <c r="D111" s="42">
        <v>0</v>
      </c>
      <c r="E111" s="65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5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5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TRUNC(2211.86091070373,-1)</f>
        <v>2210</v>
      </c>
      <c r="E114" s="65">
        <f t="shared" si="4"/>
        <v>7300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5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5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TRUNC(4338.90005913661+17435.3636901242,-1)</f>
        <v>21770</v>
      </c>
      <c r="E117" s="65">
        <f t="shared" si="4"/>
        <v>71960</v>
      </c>
      <c r="F117" s="2" t="s">
        <v>269</v>
      </c>
    </row>
    <row r="118" spans="1:7" ht="17.25" thickBot="1" x14ac:dyDescent="0.35">
      <c r="A118" s="2">
        <v>21</v>
      </c>
      <c r="C118" s="38" t="s">
        <v>47</v>
      </c>
      <c r="D118" s="43">
        <f>TRUNC(3646.92702542874,-1)</f>
        <v>3640</v>
      </c>
      <c r="E118" s="66">
        <f t="shared" si="4"/>
        <v>12030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57170</v>
      </c>
      <c r="E119" s="39">
        <f>SUM(E98:E118)</f>
        <v>188930</v>
      </c>
    </row>
    <row r="120" spans="1:7" s="54" customFormat="1" x14ac:dyDescent="0.3">
      <c r="C120" s="55"/>
      <c r="D120" s="55"/>
      <c r="E120" s="55"/>
      <c r="F120" s="53"/>
      <c r="G120" s="53"/>
    </row>
    <row r="121" spans="1:7" s="54" customFormat="1" ht="17.25" thickBot="1" x14ac:dyDescent="0.35">
      <c r="B121" s="54" t="s">
        <v>243</v>
      </c>
      <c r="C121" s="54" t="s">
        <v>241</v>
      </c>
      <c r="D121" s="55" t="s">
        <v>235</v>
      </c>
      <c r="E121" s="55" t="s">
        <v>153</v>
      </c>
      <c r="F121" s="53"/>
      <c r="G121" s="53"/>
    </row>
    <row r="122" spans="1:7" x14ac:dyDescent="0.3">
      <c r="A122" s="2">
        <v>1</v>
      </c>
      <c r="C122" s="38" t="s">
        <v>55</v>
      </c>
      <c r="D122" s="40">
        <v>0</v>
      </c>
      <c r="E122" s="64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TRUNC(5607.00070963927,-1)</f>
        <v>5600</v>
      </c>
      <c r="E123" s="65">
        <f t="shared" si="5"/>
        <v>18510</v>
      </c>
      <c r="F123" s="2" t="s">
        <v>258</v>
      </c>
    </row>
    <row r="124" spans="1:7" x14ac:dyDescent="0.3">
      <c r="A124" s="2">
        <v>3</v>
      </c>
      <c r="C124" s="38" t="s">
        <v>151</v>
      </c>
      <c r="D124" s="42">
        <v>0</v>
      </c>
      <c r="E124" s="65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TRUNC(3527.05381431106,-1)</f>
        <v>3520</v>
      </c>
      <c r="E125" s="65">
        <f t="shared" si="5"/>
        <v>11630</v>
      </c>
      <c r="F125" s="2" t="s">
        <v>259</v>
      </c>
    </row>
    <row r="126" spans="1:7" x14ac:dyDescent="0.3">
      <c r="A126" s="2">
        <v>5</v>
      </c>
      <c r="C126" s="38" t="s">
        <v>53</v>
      </c>
      <c r="D126" s="42">
        <f>TRUNC(1424.18911886458,-1)</f>
        <v>1420</v>
      </c>
      <c r="E126" s="65">
        <f t="shared" si="5"/>
        <v>4690</v>
      </c>
    </row>
    <row r="127" spans="1:7" x14ac:dyDescent="0.3">
      <c r="A127" s="2">
        <v>6</v>
      </c>
      <c r="C127" s="38" t="s">
        <v>56</v>
      </c>
      <c r="D127" s="42">
        <v>0</v>
      </c>
      <c r="E127" s="65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5">
        <f t="shared" si="5"/>
        <v>0</v>
      </c>
    </row>
    <row r="129" spans="1:7" x14ac:dyDescent="0.3">
      <c r="A129" s="2">
        <v>8</v>
      </c>
      <c r="C129" s="38" t="s">
        <v>126</v>
      </c>
      <c r="D129" s="42">
        <f>TRUNC(2215.38356002365,-1)</f>
        <v>2210</v>
      </c>
      <c r="E129" s="65">
        <f t="shared" si="5"/>
        <v>7300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5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TRUNC(18290.2424600828,-1)</f>
        <v>18290</v>
      </c>
      <c r="E131" s="65">
        <f t="shared" si="5"/>
        <v>60460</v>
      </c>
      <c r="F131" s="2" t="s">
        <v>260</v>
      </c>
    </row>
    <row r="132" spans="1:7" ht="17.25" thickBot="1" x14ac:dyDescent="0.35">
      <c r="A132" s="2">
        <v>11</v>
      </c>
      <c r="C132" s="38" t="s">
        <v>47</v>
      </c>
      <c r="D132" s="43">
        <f>TRUNC(1198.83323477232,-1)</f>
        <v>1190</v>
      </c>
      <c r="E132" s="66">
        <f t="shared" si="5"/>
        <v>3930</v>
      </c>
      <c r="F132" s="2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32230</v>
      </c>
      <c r="E133" s="39">
        <f>SUM(E122:E132)</f>
        <v>106520</v>
      </c>
    </row>
    <row r="134" spans="1:7" s="54" customFormat="1" x14ac:dyDescent="0.3">
      <c r="C134" s="55"/>
      <c r="D134" s="55"/>
      <c r="E134" s="55"/>
      <c r="F134" s="53"/>
      <c r="G134" s="53"/>
    </row>
    <row r="135" spans="1:7" s="54" customFormat="1" ht="17.25" thickBot="1" x14ac:dyDescent="0.35">
      <c r="B135" s="54" t="s">
        <v>244</v>
      </c>
      <c r="C135" s="54" t="s">
        <v>241</v>
      </c>
      <c r="D135" s="55" t="s">
        <v>268</v>
      </c>
      <c r="E135" s="55" t="s">
        <v>153</v>
      </c>
      <c r="F135" s="53"/>
      <c r="G135" s="53"/>
    </row>
    <row r="136" spans="1:7" x14ac:dyDescent="0.3">
      <c r="A136" s="2">
        <v>1</v>
      </c>
      <c r="C136" s="38" t="s">
        <v>131</v>
      </c>
      <c r="D136" s="40">
        <f>TRUNC(6223.0170313424,-1)</f>
        <v>6220</v>
      </c>
      <c r="E136" s="64">
        <f t="shared" ref="E136:E145" si="6">TRUNC(+D136*3.3058,-1)</f>
        <v>20560</v>
      </c>
    </row>
    <row r="137" spans="1:7" x14ac:dyDescent="0.3">
      <c r="A137" s="2">
        <v>2</v>
      </c>
      <c r="C137" s="38" t="s">
        <v>47</v>
      </c>
      <c r="D137" s="42">
        <f>TRUNC(5210.89118864577,-1)</f>
        <v>5210</v>
      </c>
      <c r="E137" s="65">
        <f t="shared" si="6"/>
        <v>17220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5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5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5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5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5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5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TRUNC(3925.01478415139,-1)</f>
        <v>3920</v>
      </c>
      <c r="E145" s="66">
        <f t="shared" si="6"/>
        <v>12950</v>
      </c>
      <c r="F145" s="2" t="s">
        <v>270</v>
      </c>
    </row>
    <row r="146" spans="1:7" x14ac:dyDescent="0.3">
      <c r="A146" s="2">
        <v>11</v>
      </c>
      <c r="C146" s="27" t="s">
        <v>112</v>
      </c>
      <c r="D146" s="39">
        <f>SUM(D136:D145)</f>
        <v>15350</v>
      </c>
      <c r="E146" s="39">
        <f>SUM(E136:E145)</f>
        <v>50730</v>
      </c>
    </row>
    <row r="147" spans="1:7" s="54" customFormat="1" x14ac:dyDescent="0.3">
      <c r="C147" s="55"/>
      <c r="D147" s="55"/>
      <c r="E147" s="55"/>
      <c r="F147" s="53"/>
      <c r="G147" s="53"/>
    </row>
    <row r="148" spans="1:7" s="54" customFormat="1" ht="17.25" thickBot="1" x14ac:dyDescent="0.35">
      <c r="B148" s="54" t="s">
        <v>245</v>
      </c>
      <c r="C148" s="54" t="s">
        <v>241</v>
      </c>
      <c r="D148" s="55" t="s">
        <v>268</v>
      </c>
      <c r="E148" s="55" t="s">
        <v>153</v>
      </c>
      <c r="F148" s="53"/>
      <c r="G148" s="53"/>
    </row>
    <row r="149" spans="1:7" x14ac:dyDescent="0.3">
      <c r="A149" s="2">
        <v>1</v>
      </c>
      <c r="C149" s="38" t="s">
        <v>48</v>
      </c>
      <c r="D149" s="40">
        <f>TRUNC(1187.50609107037,-1)</f>
        <v>1180</v>
      </c>
      <c r="E149" s="64">
        <f>TRUNC(+D149*3.3058,-1)</f>
        <v>3900</v>
      </c>
      <c r="F149" s="2" t="s">
        <v>263</v>
      </c>
    </row>
    <row r="150" spans="1:7" x14ac:dyDescent="0.3">
      <c r="A150" s="2">
        <v>2</v>
      </c>
      <c r="C150" s="38" t="s">
        <v>49</v>
      </c>
      <c r="D150" s="42">
        <f>TRUNC(9261.14275576582,-1)</f>
        <v>9260</v>
      </c>
      <c r="E150" s="65">
        <f>TRUNC(+D150*3.3058,-1)</f>
        <v>30610</v>
      </c>
    </row>
    <row r="151" spans="1:7" x14ac:dyDescent="0.3">
      <c r="A151" s="2">
        <v>3</v>
      </c>
      <c r="C151" s="38" t="s">
        <v>50</v>
      </c>
      <c r="D151" s="42">
        <f>TRUNC(50393.6353636901,-1)</f>
        <v>50390</v>
      </c>
      <c r="E151" s="65">
        <f>TRUNC(+D151*3.3058,-1)</f>
        <v>166570</v>
      </c>
    </row>
    <row r="152" spans="1:7" x14ac:dyDescent="0.3">
      <c r="A152" s="2">
        <v>4</v>
      </c>
      <c r="C152" s="38" t="s">
        <v>47</v>
      </c>
      <c r="D152" s="42">
        <f>TRUNC(7079.17492607924+6305.28929627439+3468.71673565937+1767.79420461266+52.0229450029568+3198.44707273802+2955.05617977528,-1)</f>
        <v>24820</v>
      </c>
      <c r="E152" s="65">
        <f>TRUNC(+D152*3.3058,-1)</f>
        <v>82040</v>
      </c>
      <c r="F152" s="56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6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85650</v>
      </c>
      <c r="E154" s="39">
        <f>SUM(E149:E153)</f>
        <v>283120</v>
      </c>
    </row>
    <row r="155" spans="1:7" s="54" customFormat="1" x14ac:dyDescent="0.3">
      <c r="C155" s="55"/>
      <c r="D155" s="55"/>
      <c r="E155" s="55"/>
      <c r="F155" s="53"/>
      <c r="G155" s="53"/>
    </row>
    <row r="156" spans="1:7" s="54" customFormat="1" ht="17.25" thickBot="1" x14ac:dyDescent="0.35">
      <c r="B156" s="54" t="s">
        <v>246</v>
      </c>
      <c r="C156" s="54" t="s">
        <v>241</v>
      </c>
      <c r="D156" s="55" t="s">
        <v>268</v>
      </c>
      <c r="E156" s="55" t="s">
        <v>153</v>
      </c>
      <c r="F156" s="53"/>
      <c r="G156" s="53"/>
    </row>
    <row r="157" spans="1:7" x14ac:dyDescent="0.3">
      <c r="A157" s="2">
        <v>1</v>
      </c>
      <c r="C157" s="38" t="s">
        <v>51</v>
      </c>
      <c r="D157" s="40">
        <v>0</v>
      </c>
      <c r="E157" s="64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5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TRUNC(9627.52418687167,-1)</f>
        <v>9620</v>
      </c>
      <c r="E159" s="65">
        <f>TRUNC(+D159*3.3058,-1)</f>
        <v>31800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9620</v>
      </c>
      <c r="E161" s="39">
        <f>SUM(E157:E160)</f>
        <v>31800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2020-12-07T09:05:21Z</dcterms:modified>
</cp:coreProperties>
</file>