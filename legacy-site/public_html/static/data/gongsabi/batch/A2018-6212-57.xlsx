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8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60" i="4" l="1"/>
  <c r="D158" i="4"/>
  <c r="D157" i="4"/>
  <c r="D153" i="4"/>
  <c r="D152" i="4"/>
  <c r="D151" i="4"/>
  <c r="D150" i="4"/>
  <c r="D149" i="4"/>
  <c r="D144" i="4"/>
  <c r="D142" i="4"/>
  <c r="D141" i="4"/>
  <c r="D140" i="4"/>
  <c r="D139" i="4"/>
  <c r="D137" i="4"/>
  <c r="D132" i="4"/>
  <c r="D131" i="4"/>
  <c r="D128" i="4"/>
  <c r="D125" i="4"/>
  <c r="D117" i="4"/>
  <c r="D116" i="4"/>
  <c r="D114" i="4"/>
  <c r="D105" i="4"/>
  <c r="D104" i="4"/>
  <c r="D102" i="4"/>
  <c r="D101" i="4"/>
  <c r="D99" i="4"/>
  <c r="D98" i="4"/>
  <c r="D94" i="4"/>
  <c r="D92" i="4"/>
  <c r="D91" i="4"/>
  <c r="D89" i="4"/>
  <c r="D73" i="4"/>
  <c r="D71" i="4"/>
  <c r="D69" i="4"/>
  <c r="D59" i="4"/>
  <c r="D58" i="4"/>
  <c r="D53" i="4"/>
  <c r="D52" i="4"/>
  <c r="D50" i="4"/>
  <c r="D49" i="4"/>
  <c r="D48" i="4"/>
  <c r="D46" i="4"/>
  <c r="D45" i="4"/>
  <c r="D44" i="4"/>
  <c r="D41" i="4"/>
  <c r="D40" i="4"/>
  <c r="D159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61" i="4" l="1"/>
  <c r="E154" i="4"/>
  <c r="E66" i="4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<sst xmlns="http://schemas.openxmlformats.org/spreadsheetml/2006/main" count="393" uniqueCount="268">
  <si>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</si>
  <si>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</si>
  <si>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</si>
  <si>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</si>
  <si>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</si>
  <si>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</si>
  <si>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</si>
  <si>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</si>
  <si>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</si>
  <si>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</si>
  <si>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</si>
  <si>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</si>
  <si>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</si>
  <si>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</si>
  <si>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</si>
  <si>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</si>
  <si>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</si>
  <si>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</si>
  <si>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</si>
  <si>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</si>
  <si>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</si>
  <si>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</si>
  <si>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</si>
  <si>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</si>
  <si>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</si>
  <si>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</si>
  <si>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</si>
  <si>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</si>
  <si>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</si>
  <si>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</si>
  <si>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</si>
  <si>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</si>
  <si>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</si>
  <si>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</si>
  <si>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</si>
  <si>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</si>
  <si>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</si>
  <si>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</si>
  <si>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</si>
  <si>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</si>
  <si>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</si>
  <si>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</si>
  <si>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</si>
  <si>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</si>
  <si>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</si>
  <si>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</si>
  <si>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</si>
  <si>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</si>
  <si>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</si>
  <si>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</si>
  <si>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</si>
  <si>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</si>
  <si>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</si>
  <si>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</si>
  <si>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</si>
  <si>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</si>
  <si>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</si>
  <si>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</si>
  <si>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</si>
  <si>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</si>
  <si>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</si>
  <si>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</si>
  <si>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</si>
  <si>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</si>
  <si>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</si>
  <si>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</si>
  <si>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</si>
  <si>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</si>
  <si>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</si>
  <si>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</si>
  <si>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</si>
  <si>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</si>
  <si>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</si>
  <si>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</si>
  <si>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</si>
  <si>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</si>
  <si>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</si>
  <si>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</si>
  <si>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</si>
  <si>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</si>
  <si>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</si>
  <si>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</si>
  <si>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</si>
  <si>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</si>
  <si>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</si>
  <si>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</si>
  <si>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</si>
  <si>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</si>
  <si>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</si>
  <si>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</si>
  <si>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</si>
  <si>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</si>
  <si>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</si>
  <si>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</si>
  <si>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</si>
  <si>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</si>
  <si>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</si>
  <si>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</si>
  <si>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</si>
  <si>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</si>
  <si>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</si>
  <si>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</si>
  <si>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</si>
  <si>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</si>
  <si>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</si>
  <si>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</si>
  <si>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</si>
  <si>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</si>
  <si>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</si>
  <si>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</si>
  <si>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</si>
  <si>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</si>
  <si>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</si>
  <si>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</si>
  <si>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</si>
  <si>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</si>
  <si>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</si>
  <si>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</si>
  <si>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</si>
  <si>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</si>
  <si>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</si>
  <si>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</si>
  <si>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</si>
  <si>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</si>
  <si>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</si>
  <si>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</si>
  <si>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</si>
  <si>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</si>
  <si>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</si>
  <si>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</si>
  <si>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</si>
  <si>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</si>
  <si>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</si>
  <si>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</si>
  <si>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</si>
  <si>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</si>
  <si>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</si>
  <si>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</si>
  <si>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</si>
  <si>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</si>
  <si>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</si>
  <si>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</si>
  <si>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</si>
  <si>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</si>
  <si>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</si>
  <si>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</si>
  <si>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</si>
  <si>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</si>
  <si>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</si>
  <si>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</si>
  <si>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</si>
  <si>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</si>
  <si>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</si>
  <si>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</si>
  <si>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</si>
  <si>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</si>
  <si>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</si>
  <si>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</si>
  <si>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</si>
  <si>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</si>
  <si>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</si>
  <si>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</si>
  <si>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</si>
  <si>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</si>
  <si>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</si>
  <si>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</si>
  <si>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</si>
  <si>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</si>
  <si>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</si>
  <si>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</si>
  <si>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</si>
  <si>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</si>
  <si>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</si>
  <si>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</si>
  <si>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</si>
  <si>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</si>
  <si>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</si>
  <si>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</si>
  <si>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</si>
  <si>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</si>
  <si>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</si>
  <si>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</si>
  <si>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</si>
  <si>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</si>
  <si>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</si>
  <si>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</si>
  <si>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</si>
  <si>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</si>
  <si>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</si>
  <si>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</si>
  <si>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</si>
  <si>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</si>
  <si>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</si>
  <si>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</si>
  <si>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</si>
  <si>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</si>
  <si>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</si>
  <si>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</si>
  <si>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</si>
  <si>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</si>
  <si>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</si>
  <si>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</si>
  <si>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</si>
  <si>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</si>
  <si>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</si>
  <si>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</si>
  <si>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</si>
  <si>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</si>
  <si>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</si>
  <si>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</si>
  <si>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</si>
  <si>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</si>
  <si>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</si>
  <si>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</si>
  <si>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</si>
  <si>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</si>
  <si>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</si>
  <si>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</si>
  <si>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</si>
  <si>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</si>
  <si>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</si>
  <si>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</si>
  <si>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</si>
  <si>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</si>
  <si>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</si>
  <si>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</si>
  <si>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</si>
  <si>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</si>
  <si>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</si>
  <si>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</si>
  <si>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</si>
  <si>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</si>
  <si>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</si>
  <si>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</si>
  <si>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</si>
  <si>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</si>
  <si>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</si>
  <si>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</si>
  <si>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</si>
  <si>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</si>
  <si>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</si>
  <si>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</si>
  <si>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</si>
  <si>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</si>
  <si>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</si>
  <si>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</si>
  <si>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</si>
  <si>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</si>
  <si>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남해 다이어트 보물섬 조성사업</t>
    <phoneticPr fontId="2" type="noConversion"/>
  </si>
  <si>
    <t>근생</t>
  </si>
  <si>
    <t>경상도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</si>
  <si>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</si>
  <si>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</si>
  <si>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</si>
  <si>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기초공사,골재비및운반비, 기타공사</t>
    <phoneticPr fontId="2" type="noConversion"/>
  </si>
  <si>
    <t>난방배관공사, 우수처리시설공사, 기타공사</t>
    <phoneticPr fontId="2" type="noConversion"/>
  </si>
  <si>
    <t>전기인입 및 수변전 설비공사</t>
    <phoneticPr fontId="2" type="noConversion"/>
  </si>
  <si>
    <t>옥외보안등설비공사</t>
    <phoneticPr fontId="2" type="noConversion"/>
  </si>
  <si>
    <t>CATV 및 TV 설비공사</t>
    <phoneticPr fontId="2" type="noConversion"/>
  </si>
  <si>
    <t>CCTV설비공사</t>
    <phoneticPr fontId="2" type="noConversion"/>
  </si>
  <si>
    <t>펌프실배관공사</t>
    <phoneticPr fontId="2" type="noConversion"/>
  </si>
  <si>
    <t>상수도공사, 사급자재비, 기타공사</t>
    <phoneticPr fontId="2" type="noConversion"/>
  </si>
  <si>
    <t>포장공사, 기타공사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</si>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</sst>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265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2922.81</v>
      </c>
      <c r="D7" s="36">
        <f>+C7/3.3058</f>
        <v>884.14604634279146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208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266</v>
      </c>
    </row>
    <row r="19" spans="1:5" x14ac:dyDescent="0.3">
      <c r="A19" s="2">
        <v>9</v>
      </c>
      <c r="B19" s="2" t="s">
        <v>267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1250190</v>
      </c>
      <c r="E25" s="59">
        <f t="shared" si="0"/>
        <v>4132870</v>
      </c>
    </row>
    <row r="26" spans="1:5" x14ac:dyDescent="0.3">
      <c r="B26" s="2">
        <v>3</v>
      </c>
      <c r="C26" s="35" t="s">
        <v>95</v>
      </c>
      <c r="D26" s="45">
        <f>+D66</f>
        <v>98100</v>
      </c>
      <c r="E26" s="59">
        <f t="shared" si="0"/>
        <v>324290</v>
      </c>
    </row>
    <row r="27" spans="1:5" x14ac:dyDescent="0.3">
      <c r="B27" s="2">
        <v>4</v>
      </c>
      <c r="C27" s="35" t="s">
        <v>96</v>
      </c>
      <c r="D27" s="45">
        <f>+D95</f>
        <v>420120</v>
      </c>
      <c r="E27" s="59">
        <f t="shared" si="0"/>
        <v>1388830</v>
      </c>
    </row>
    <row r="28" spans="1:5" x14ac:dyDescent="0.3">
      <c r="B28" s="2">
        <v>5</v>
      </c>
      <c r="C28" s="35" t="s">
        <v>97</v>
      </c>
      <c r="D28" s="45">
        <f>+D119</f>
        <v>372730</v>
      </c>
      <c r="E28" s="59">
        <f t="shared" si="0"/>
        <v>1232170</v>
      </c>
    </row>
    <row r="29" spans="1:5" x14ac:dyDescent="0.3">
      <c r="B29" s="2">
        <v>6</v>
      </c>
      <c r="C29" s="35" t="s">
        <v>98</v>
      </c>
      <c r="D29" s="45">
        <f>+D133</f>
        <v>34120</v>
      </c>
      <c r="E29" s="59">
        <f t="shared" si="0"/>
        <v>112790</v>
      </c>
    </row>
    <row r="30" spans="1:5" x14ac:dyDescent="0.3">
      <c r="B30" s="2">
        <v>7</v>
      </c>
      <c r="C30" s="35" t="s">
        <v>99</v>
      </c>
      <c r="D30" s="45">
        <f>+D146</f>
        <v>70980</v>
      </c>
      <c r="E30" s="59">
        <f t="shared" si="0"/>
        <v>234640</v>
      </c>
    </row>
    <row r="31" spans="1:5" x14ac:dyDescent="0.3">
      <c r="B31" s="2">
        <v>8</v>
      </c>
      <c r="C31" s="35" t="s">
        <v>100</v>
      </c>
      <c r="D31" s="45">
        <f>+D154</f>
        <v>583410</v>
      </c>
      <c r="E31" s="59">
        <f t="shared" si="0"/>
        <v>1928630</v>
      </c>
    </row>
    <row r="32" spans="1:5" x14ac:dyDescent="0.3">
      <c r="B32" s="2">
        <v>9</v>
      </c>
      <c r="C32" s="35" t="s">
        <v>101</v>
      </c>
      <c r="D32" s="45">
        <f>+D161</f>
        <v>1061450</v>
      </c>
      <c r="E32" s="59">
        <f t="shared" si="0"/>
        <v>3508940</v>
      </c>
    </row>
    <row r="33" spans="1:7" x14ac:dyDescent="0.3">
      <c r="B33" s="2">
        <v>10</v>
      </c>
      <c r="C33" s="35" t="s">
        <v>154</v>
      </c>
      <c r="D33" s="53">
        <f>TRUNC(SUM(D24:D32)*0.275,-1)</f>
        <v>1070050</v>
      </c>
      <c r="E33" s="60">
        <f t="shared" si="0"/>
        <v>3537370</v>
      </c>
    </row>
    <row r="34" spans="1:7" x14ac:dyDescent="0.3">
      <c r="C34" s="35" t="s">
        <v>112</v>
      </c>
      <c r="D34" s="44">
        <f>SUM(D24:D33)</f>
        <v>4961150</v>
      </c>
      <c r="E34" s="44">
        <f>SUM(E24:E33)</f>
        <v>16400530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263</v>
      </c>
      <c r="E39" s="67" t="s">
        <v>264</v>
      </c>
      <c r="G39" s="68"/>
    </row>
    <row r="40" spans="1:7" x14ac:dyDescent="0.3">
      <c r="A40" s="2">
        <v>1</v>
      </c>
      <c r="C40" s="38" t="s">
        <v>15</v>
      </c>
      <c r="D40" s="40">
        <f>TRUNC(305494,-1)</f>
        <v>305490</v>
      </c>
      <c r="E40" s="62">
        <f t="shared" ref="E40:E59" si="1">TRUNC(+D40*3.3058,-1)</f>
        <v>1009880</v>
      </c>
    </row>
    <row r="41" spans="1:7" x14ac:dyDescent="0.3">
      <c r="A41" s="2">
        <v>2</v>
      </c>
      <c r="C41" s="38" t="s">
        <v>13</v>
      </c>
      <c r="D41" s="42">
        <f>TRUNC(263309,-1)</f>
        <v>263300</v>
      </c>
      <c r="E41" s="63">
        <f t="shared" si="1"/>
        <v>870410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v>13860</v>
      </c>
      <c r="E43" s="63">
        <f t="shared" si="1"/>
        <v>45810</v>
      </c>
    </row>
    <row r="44" spans="1:7" x14ac:dyDescent="0.3">
      <c r="A44" s="2">
        <v>5</v>
      </c>
      <c r="C44" s="38" t="s">
        <v>17</v>
      </c>
      <c r="D44" s="42">
        <f>TRUNC(58642,-1)</f>
        <v>58640</v>
      </c>
      <c r="E44" s="63">
        <f t="shared" si="1"/>
        <v>193850</v>
      </c>
    </row>
    <row r="45" spans="1:7" x14ac:dyDescent="0.3">
      <c r="A45" s="2">
        <v>6</v>
      </c>
      <c r="C45" s="38" t="s">
        <v>18</v>
      </c>
      <c r="D45" s="42">
        <f>TRUNC(18296,-1)</f>
        <v>18290</v>
      </c>
      <c r="E45" s="63">
        <f t="shared" si="1"/>
        <v>60460</v>
      </c>
    </row>
    <row r="46" spans="1:7" x14ac:dyDescent="0.3">
      <c r="A46" s="2">
        <v>7</v>
      </c>
      <c r="C46" s="38" t="s">
        <v>19</v>
      </c>
      <c r="D46" s="42">
        <f>TRUNC(19368,-1)</f>
        <v>19360</v>
      </c>
      <c r="E46" s="63">
        <f t="shared" si="1"/>
        <v>64000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TRUNC(34739,-1)</f>
        <v>34730</v>
      </c>
      <c r="E48" s="63">
        <f t="shared" si="1"/>
        <v>114810</v>
      </c>
      <c r="F48" s="2" t="s">
        <v>251</v>
      </c>
    </row>
    <row r="49" spans="1:7" x14ac:dyDescent="0.3">
      <c r="A49" s="2">
        <v>10</v>
      </c>
      <c r="C49" s="38" t="s">
        <v>22</v>
      </c>
      <c r="D49" s="42">
        <f>TRUNC(17139,-1)</f>
        <v>17130</v>
      </c>
      <c r="E49" s="63">
        <f t="shared" si="1"/>
        <v>56620</v>
      </c>
    </row>
    <row r="50" spans="1:7" x14ac:dyDescent="0.3">
      <c r="A50" s="2">
        <v>11</v>
      </c>
      <c r="C50" s="38" t="s">
        <v>155</v>
      </c>
      <c r="D50" s="42">
        <f>TRUNC(52839,-1)</f>
        <v>52830</v>
      </c>
      <c r="E50" s="63">
        <f t="shared" si="1"/>
        <v>174640</v>
      </c>
      <c r="F50" s="2" t="s">
        <v>252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TRUNC(18487,-1)</f>
        <v>18480</v>
      </c>
      <c r="E52" s="63">
        <f t="shared" si="1"/>
        <v>61090</v>
      </c>
    </row>
    <row r="53" spans="1:7" x14ac:dyDescent="0.3">
      <c r="A53" s="2">
        <v>14</v>
      </c>
      <c r="C53" s="38" t="s">
        <v>25</v>
      </c>
      <c r="D53" s="42">
        <f>TRUNC(180014,-1)</f>
        <v>180010</v>
      </c>
      <c r="E53" s="63">
        <f t="shared" si="1"/>
        <v>595070</v>
      </c>
      <c r="F53" s="2" t="s">
        <v>253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TRUNC(1501+6943+25831,-1)</f>
        <v>34270</v>
      </c>
      <c r="E58" s="63">
        <f t="shared" si="1"/>
        <v>113280</v>
      </c>
      <c r="F58" s="2" t="s">
        <v>254</v>
      </c>
    </row>
    <row r="59" spans="1:7" ht="17.25" thickBot="1" x14ac:dyDescent="0.35">
      <c r="A59" s="2">
        <v>20</v>
      </c>
      <c r="C59" s="38" t="s">
        <v>148</v>
      </c>
      <c r="D59" s="43">
        <f>TRUNC(233806,-1)</f>
        <v>233800</v>
      </c>
      <c r="E59" s="64">
        <f t="shared" si="1"/>
        <v>772890</v>
      </c>
    </row>
    <row r="60" spans="1:7" x14ac:dyDescent="0.3">
      <c r="A60" s="2">
        <v>21</v>
      </c>
      <c r="C60" s="27" t="s">
        <v>112</v>
      </c>
      <c r="D60" s="39">
        <f>SUM(D40:D59)</f>
        <v>1250190</v>
      </c>
      <c r="E60" s="39">
        <f>SUM(E40:E59)</f>
        <v>4132810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v>80340</v>
      </c>
      <c r="E63" s="62">
        <f>TRUNC(+D63*3.3058,-1)</f>
        <v>265580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17760</v>
      </c>
      <c r="E65" s="64">
        <f>TRUNC(+D65*3.3058,-1)</f>
        <v>58710</v>
      </c>
    </row>
    <row r="66" spans="1:7" x14ac:dyDescent="0.3">
      <c r="A66" s="2">
        <v>4</v>
      </c>
      <c r="C66" s="27" t="s">
        <v>112</v>
      </c>
      <c r="D66" s="39">
        <f>SUM(D63:D65)</f>
        <v>98100</v>
      </c>
      <c r="E66" s="65">
        <f>SUM(E63:E65)</f>
        <v>324290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TRUNC(84925,-1)</f>
        <v>84920</v>
      </c>
      <c r="E69" s="62">
        <f t="shared" ref="E69:E94" si="2">TRUNC(+D69*3.3058,-1)</f>
        <v>280720</v>
      </c>
    </row>
    <row r="70" spans="1:7" ht="16.5" customHeight="1" x14ac:dyDescent="0.3">
      <c r="A70" s="2">
        <v>2</v>
      </c>
      <c r="C70" s="38" t="s">
        <v>31</v>
      </c>
      <c r="D70" s="42">
        <v>1200</v>
      </c>
      <c r="E70" s="63">
        <f t="shared" si="2"/>
        <v>3960</v>
      </c>
    </row>
    <row r="71" spans="1:7" x14ac:dyDescent="0.3">
      <c r="A71" s="2">
        <v>3</v>
      </c>
      <c r="C71" s="38" t="s">
        <v>32</v>
      </c>
      <c r="D71" s="42">
        <f>TRUNC(45486,-1)</f>
        <v>45480</v>
      </c>
      <c r="E71" s="63">
        <f t="shared" si="2"/>
        <v>150340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f>TRUNC(151692,-1)</f>
        <v>151690</v>
      </c>
      <c r="E73" s="63">
        <f t="shared" si="2"/>
        <v>501450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TRUNC(17876,-1)</f>
        <v>17870</v>
      </c>
      <c r="E89" s="63">
        <f t="shared" si="2"/>
        <v>59070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TRUNC(17877,-1)</f>
        <v>17870</v>
      </c>
      <c r="E91" s="63">
        <f t="shared" si="2"/>
        <v>59070</v>
      </c>
    </row>
    <row r="92" spans="1:7" x14ac:dyDescent="0.3">
      <c r="A92" s="2">
        <v>24</v>
      </c>
      <c r="C92" s="38" t="s">
        <v>38</v>
      </c>
      <c r="D92" s="42">
        <f>TRUNC(8288,-1)</f>
        <v>8280</v>
      </c>
      <c r="E92" s="63">
        <f t="shared" si="2"/>
        <v>27370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TRUNC(5814+16886+70111,-1)</f>
        <v>92810</v>
      </c>
      <c r="E94" s="64">
        <f t="shared" si="2"/>
        <v>306810</v>
      </c>
      <c r="F94" s="2" t="s">
        <v>255</v>
      </c>
    </row>
    <row r="95" spans="1:7" x14ac:dyDescent="0.3">
      <c r="A95" s="2">
        <v>27</v>
      </c>
      <c r="C95" s="27" t="s">
        <v>112</v>
      </c>
      <c r="D95" s="39">
        <f>SUM(D69:D94)</f>
        <v>420120</v>
      </c>
      <c r="E95" s="39">
        <f>SUM(E69:E94)</f>
        <v>1388790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TRUNC(42566,-1)</f>
        <v>42560</v>
      </c>
      <c r="E98" s="62">
        <f t="shared" ref="E98:E118" si="3">TRUNC(+D98*3.3058,-1)</f>
        <v>140690</v>
      </c>
    </row>
    <row r="99" spans="1:7" x14ac:dyDescent="0.3">
      <c r="A99" s="2">
        <v>2</v>
      </c>
      <c r="C99" s="38" t="s">
        <v>40</v>
      </c>
      <c r="D99" s="42">
        <f>TRUNC(35059,-1)</f>
        <v>35050</v>
      </c>
      <c r="E99" s="63">
        <f t="shared" si="3"/>
        <v>115860</v>
      </c>
    </row>
    <row r="100" spans="1:7" x14ac:dyDescent="0.3">
      <c r="A100" s="2">
        <v>3</v>
      </c>
      <c r="C100" s="38" t="s">
        <v>41</v>
      </c>
      <c r="D100" s="42">
        <v>32460</v>
      </c>
      <c r="E100" s="63">
        <f t="shared" si="3"/>
        <v>107300</v>
      </c>
    </row>
    <row r="101" spans="1:7" x14ac:dyDescent="0.3">
      <c r="A101" s="2">
        <v>4</v>
      </c>
      <c r="C101" s="38" t="s">
        <v>42</v>
      </c>
      <c r="D101" s="42">
        <f>TRUNC(61027,-1)</f>
        <v>61020</v>
      </c>
      <c r="E101" s="63">
        <f t="shared" si="3"/>
        <v>201710</v>
      </c>
    </row>
    <row r="102" spans="1:7" x14ac:dyDescent="0.3">
      <c r="A102" s="2">
        <v>5</v>
      </c>
      <c r="C102" s="38" t="s">
        <v>43</v>
      </c>
      <c r="D102" s="42">
        <f>TRUNC(8784,-1)</f>
        <v>8780</v>
      </c>
      <c r="E102" s="63">
        <f t="shared" si="3"/>
        <v>29020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TRUNC(7268,-1)</f>
        <v>7260</v>
      </c>
      <c r="E104" s="63">
        <f t="shared" si="3"/>
        <v>24000</v>
      </c>
    </row>
    <row r="105" spans="1:7" x14ac:dyDescent="0.3">
      <c r="A105" s="2">
        <v>8</v>
      </c>
      <c r="C105" s="38" t="s">
        <v>46</v>
      </c>
      <c r="D105" s="42">
        <f>TRUNC(8344,-1)</f>
        <v>8340</v>
      </c>
      <c r="E105" s="63">
        <f t="shared" si="3"/>
        <v>27570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TRUNC(6124,-1)</f>
        <v>6120</v>
      </c>
      <c r="E114" s="63">
        <f t="shared" si="3"/>
        <v>20230</v>
      </c>
      <c r="F114" s="2" t="s">
        <v>257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TRUNC(8593,-1)</f>
        <v>8590</v>
      </c>
      <c r="E116" s="63">
        <f t="shared" si="3"/>
        <v>28390</v>
      </c>
      <c r="F116" s="2" t="s">
        <v>256</v>
      </c>
    </row>
    <row r="117" spans="1:7" x14ac:dyDescent="0.3">
      <c r="A117" s="2">
        <v>20</v>
      </c>
      <c r="C117" s="38" t="s">
        <v>148</v>
      </c>
      <c r="D117" s="42">
        <f>TRUNC(162558,-1)</f>
        <v>162550</v>
      </c>
      <c r="E117" s="63">
        <f t="shared" si="3"/>
        <v>537350</v>
      </c>
    </row>
    <row r="118" spans="1:7" ht="17.25" thickBot="1" x14ac:dyDescent="0.35">
      <c r="A118" s="2">
        <v>21</v>
      </c>
      <c r="C118" s="38" t="s">
        <v>47</v>
      </c>
      <c r="D118" s="43">
        <v>0</v>
      </c>
      <c r="E118" s="64">
        <f t="shared" si="3"/>
        <v>0</v>
      </c>
    </row>
    <row r="119" spans="1:7" x14ac:dyDescent="0.3">
      <c r="A119" s="2">
        <v>22</v>
      </c>
      <c r="C119" s="27" t="s">
        <v>112</v>
      </c>
      <c r="D119" s="39">
        <f>SUM(D98:D118)</f>
        <v>372730</v>
      </c>
      <c r="E119" s="39">
        <f>SUM(E98:E118)</f>
        <v>1232120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v>5980</v>
      </c>
      <c r="E122" s="62">
        <f t="shared" ref="E122:E132" si="4">TRUNC(+D122*3.3058,-1)</f>
        <v>19760</v>
      </c>
      <c r="F122" s="2" t="s">
        <v>258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TRUNC(3522,-1)</f>
        <v>3520</v>
      </c>
      <c r="E125" s="63">
        <f t="shared" si="4"/>
        <v>11630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TRUNC(1634,-1)</f>
        <v>1630</v>
      </c>
      <c r="E128" s="63">
        <f t="shared" si="4"/>
        <v>5380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v>13730</v>
      </c>
      <c r="E130" s="63">
        <f t="shared" si="4"/>
        <v>45380</v>
      </c>
    </row>
    <row r="131" spans="1:7" x14ac:dyDescent="0.3">
      <c r="A131" s="2">
        <v>10</v>
      </c>
      <c r="C131" s="38" t="s">
        <v>148</v>
      </c>
      <c r="D131" s="42">
        <f>TRUNC(8199,-1)</f>
        <v>8190</v>
      </c>
      <c r="E131" s="63">
        <f t="shared" si="4"/>
        <v>27070</v>
      </c>
    </row>
    <row r="132" spans="1:7" ht="18" thickBot="1" x14ac:dyDescent="0.35">
      <c r="A132" s="2">
        <v>11</v>
      </c>
      <c r="C132" s="38" t="s">
        <v>47</v>
      </c>
      <c r="D132" s="43">
        <f>TRUNC(1078,-1)</f>
        <v>1070</v>
      </c>
      <c r="E132" s="64">
        <f t="shared" si="4"/>
        <v>3530</v>
      </c>
      <c r="F132" s="54" t="s">
        <v>259</v>
      </c>
    </row>
    <row r="133" spans="1:7" x14ac:dyDescent="0.3">
      <c r="A133" s="2">
        <v>12</v>
      </c>
      <c r="C133" s="27" t="s">
        <v>112</v>
      </c>
      <c r="D133" s="39">
        <f>SUM(D122:D132)</f>
        <v>34120</v>
      </c>
      <c r="E133" s="39">
        <f>SUM(E122:E132)</f>
        <v>112750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TRUNC(9813,-1)</f>
        <v>9810</v>
      </c>
      <c r="E137" s="63">
        <f t="shared" si="5"/>
        <v>32420</v>
      </c>
      <c r="F137" s="2" t="s">
        <v>260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TRUNC(909,-1)</f>
        <v>900</v>
      </c>
      <c r="E139" s="63">
        <f t="shared" si="5"/>
        <v>2970</v>
      </c>
    </row>
    <row r="140" spans="1:7" x14ac:dyDescent="0.3">
      <c r="A140" s="2">
        <v>5</v>
      </c>
      <c r="C140" s="38" t="s">
        <v>57</v>
      </c>
      <c r="D140" s="42">
        <f>TRUNC(2278,-1)</f>
        <v>2270</v>
      </c>
      <c r="E140" s="63">
        <f t="shared" si="5"/>
        <v>7500</v>
      </c>
    </row>
    <row r="141" spans="1:7" x14ac:dyDescent="0.3">
      <c r="A141" s="2">
        <v>6</v>
      </c>
      <c r="C141" s="38" t="s">
        <v>59</v>
      </c>
      <c r="D141" s="42">
        <f>TRUNC(30418,-1)</f>
        <v>30410</v>
      </c>
      <c r="E141" s="63">
        <f t="shared" si="5"/>
        <v>100520</v>
      </c>
    </row>
    <row r="142" spans="1:7" x14ac:dyDescent="0.3">
      <c r="A142" s="2">
        <v>7</v>
      </c>
      <c r="C142" s="38" t="s">
        <v>58</v>
      </c>
      <c r="D142" s="42">
        <f>TRUNC(5914,-1)</f>
        <v>5910</v>
      </c>
      <c r="E142" s="63">
        <f t="shared" si="5"/>
        <v>19530</v>
      </c>
    </row>
    <row r="143" spans="1:7" x14ac:dyDescent="0.3">
      <c r="A143" s="2">
        <v>8</v>
      </c>
      <c r="C143" s="38" t="s">
        <v>62</v>
      </c>
      <c r="D143" s="42">
        <v>5100</v>
      </c>
      <c r="E143" s="63">
        <f t="shared" si="5"/>
        <v>16850</v>
      </c>
    </row>
    <row r="144" spans="1:7" x14ac:dyDescent="0.3">
      <c r="A144" s="2">
        <v>9</v>
      </c>
      <c r="C144" s="38" t="s">
        <v>63</v>
      </c>
      <c r="D144" s="42">
        <f>TRUNC(16582,-1)</f>
        <v>16580</v>
      </c>
      <c r="E144" s="63">
        <f t="shared" si="5"/>
        <v>54810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70980</v>
      </c>
      <c r="E146" s="39">
        <f>SUM(E136:E145)</f>
        <v>234600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TRUNC(44720+1819,-1)</f>
        <v>46530</v>
      </c>
      <c r="E149" s="62">
        <f>TRUNC(+D149*3.3058,-1)</f>
        <v>153810</v>
      </c>
    </row>
    <row r="150" spans="1:7" x14ac:dyDescent="0.3">
      <c r="A150" s="2">
        <v>2</v>
      </c>
      <c r="C150" s="38" t="s">
        <v>49</v>
      </c>
      <c r="D150" s="42">
        <f>TRUNC(32258,-1)</f>
        <v>32250</v>
      </c>
      <c r="E150" s="63">
        <f>TRUNC(+D150*3.3058,-1)</f>
        <v>106610</v>
      </c>
    </row>
    <row r="151" spans="1:7" x14ac:dyDescent="0.3">
      <c r="A151" s="2">
        <v>3</v>
      </c>
      <c r="C151" s="38" t="s">
        <v>50</v>
      </c>
      <c r="D151" s="42">
        <f>TRUNC(163463,-1)</f>
        <v>163460</v>
      </c>
      <c r="E151" s="63">
        <f>TRUNC(+D151*3.3058,-1)</f>
        <v>540360</v>
      </c>
    </row>
    <row r="152" spans="1:7" x14ac:dyDescent="0.3">
      <c r="A152" s="2">
        <v>4</v>
      </c>
      <c r="C152" s="38" t="s">
        <v>47</v>
      </c>
      <c r="D152" s="42">
        <f>TRUNC(22138+4902+195744,-1)</f>
        <v>222780</v>
      </c>
      <c r="E152" s="63">
        <f>TRUNC(+D152*3.3058,-1)</f>
        <v>736460</v>
      </c>
      <c r="F152" s="2" t="s">
        <v>261</v>
      </c>
    </row>
    <row r="153" spans="1:7" ht="17.25" thickBot="1" x14ac:dyDescent="0.35">
      <c r="A153" s="2">
        <v>5</v>
      </c>
      <c r="C153" s="38" t="s">
        <v>148</v>
      </c>
      <c r="D153" s="43">
        <f>TRUNC(118396,-1)</f>
        <v>118390</v>
      </c>
      <c r="E153" s="64">
        <f>TRUNC(+D153*3.3058,-1)</f>
        <v>391370</v>
      </c>
    </row>
    <row r="154" spans="1:7" x14ac:dyDescent="0.3">
      <c r="A154" s="2">
        <v>6</v>
      </c>
      <c r="C154" s="27" t="s">
        <v>112</v>
      </c>
      <c r="D154" s="39">
        <f>SUM(D149:D153)</f>
        <v>583410</v>
      </c>
      <c r="E154" s="39">
        <f>SUM(E149:E153)</f>
        <v>1928610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TRUNC(230786,-1)</f>
        <v>230780</v>
      </c>
      <c r="E157" s="62">
        <f>TRUNC(+D157*3.3058,-1)</f>
        <v>762910</v>
      </c>
    </row>
    <row r="158" spans="1:7" x14ac:dyDescent="0.3">
      <c r="A158" s="2">
        <v>2</v>
      </c>
      <c r="C158" s="38" t="s">
        <v>52</v>
      </c>
      <c r="D158" s="42">
        <f>TRUNC(443544,-1)</f>
        <v>443540</v>
      </c>
      <c r="E158" s="63">
        <f>TRUNC(+D158*3.3058,-1)</f>
        <v>1466250</v>
      </c>
    </row>
    <row r="159" spans="1:7" x14ac:dyDescent="0.3">
      <c r="A159" s="2">
        <v>3</v>
      </c>
      <c r="C159" s="38" t="s">
        <v>47</v>
      </c>
      <c r="D159" s="42">
        <f>81210+19190</f>
        <v>100400</v>
      </c>
      <c r="E159" s="63">
        <f>TRUNC(+D159*3.3058,-1)</f>
        <v>331900</v>
      </c>
      <c r="F159" s="2" t="s">
        <v>262</v>
      </c>
    </row>
    <row r="160" spans="1:7" ht="17.25" thickBot="1" x14ac:dyDescent="0.35">
      <c r="A160" s="2">
        <v>4</v>
      </c>
      <c r="C160" s="38" t="s">
        <v>148</v>
      </c>
      <c r="D160" s="43">
        <f>TRUNC(286734,-1)</f>
        <v>286730</v>
      </c>
      <c r="E160" s="64">
        <f>TRUNC(+D160*3.3058,-1)</f>
        <v>947870</v>
      </c>
    </row>
    <row r="161" spans="1:5" x14ac:dyDescent="0.3">
      <c r="A161" s="2">
        <v>5</v>
      </c>
      <c r="C161" s="27" t="s">
        <v>112</v>
      </c>
      <c r="D161" s="39">
        <f>SUM(D157:D160)</f>
        <v>1061450</v>
      </c>
      <c r="E161" s="39">
        <f>SUM(E157:E160)</f>
        <v>3508930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2020-12-08T02:34:34Z</dcterms:modified>
</cp:coreProperties>
</file>