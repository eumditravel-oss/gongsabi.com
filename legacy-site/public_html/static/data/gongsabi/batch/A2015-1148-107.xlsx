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3" i="4"/>
  <c r="D142" i="4"/>
  <c r="D141" i="4"/>
  <c r="D140" i="4"/>
  <c r="D137" i="4"/>
  <c r="D132" i="4"/>
  <c r="D131" i="4"/>
  <c r="D130" i="4"/>
  <c r="D128" i="4"/>
  <c r="D125" i="4"/>
  <c r="D124" i="4"/>
  <c r="D118" i="4"/>
  <c r="D117" i="4"/>
  <c r="D116" i="4"/>
  <c r="D114" i="4"/>
  <c r="D105" i="4"/>
  <c r="D104" i="4"/>
  <c r="D102" i="4"/>
  <c r="D100" i="4"/>
  <c r="D99" i="4"/>
  <c r="D98" i="4"/>
  <c r="D94" i="4"/>
  <c r="D93" i="4"/>
  <c r="D92" i="4"/>
  <c r="D91" i="4"/>
  <c r="D90" i="4"/>
  <c r="D89" i="4"/>
  <c r="D76" i="4"/>
  <c r="D73" i="4"/>
  <c r="D71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<sst xmlns="http://schemas.openxmlformats.org/spreadsheetml/2006/main" count="393" uniqueCount="269">
  <si>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</si>
  <si>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</si>
  <si>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</si>
  <si>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</si>
  <si>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</si>
  <si>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</si>
  <si>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</si>
  <si>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</si>
  <si>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</si>
  <si>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</si>
  <si>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</si>
  <si>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</si>
  <si>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</si>
  <si>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</si>
  <si>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</si>
  <si>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</si>
  <si>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</si>
  <si>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</si>
  <si>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</si>
  <si>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</si>
  <si>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</si>
  <si>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</si>
  <si>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</si>
  <si>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</si>
  <si>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</si>
  <si>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</si>
  <si>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</si>
  <si>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</si>
  <si>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</si>
  <si>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</si>
  <si>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</si>
  <si>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</si>
  <si>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</si>
  <si>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</si>
  <si>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</si>
  <si>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</si>
  <si>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</si>
  <si>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</si>
  <si>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</si>
  <si>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</si>
  <si>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</si>
  <si>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</si>
  <si>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</si>
  <si>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</si>
  <si>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</si>
  <si>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</si>
  <si>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</si>
  <si>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</si>
  <si>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</si>
  <si>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</si>
  <si>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</si>
  <si>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</si>
  <si>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</si>
  <si>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</si>
  <si>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</si>
  <si>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</si>
  <si>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</si>
  <si>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</si>
  <si>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</si>
  <si>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</si>
  <si>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</si>
  <si>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</si>
  <si>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</si>
  <si>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</si>
  <si>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</si>
  <si>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</si>
  <si>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</si>
  <si>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</si>
  <si>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</si>
  <si>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</si>
  <si>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</si>
  <si>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</si>
  <si>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</si>
  <si>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</si>
  <si>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</si>
  <si>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</si>
  <si>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</si>
  <si>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</si>
  <si>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</si>
  <si>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</si>
  <si>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</si>
  <si>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</si>
  <si>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</si>
  <si>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</si>
  <si>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</si>
  <si>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</si>
  <si>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</si>
  <si>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</si>
  <si>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</si>
  <si>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</si>
  <si>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</si>
  <si>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</si>
  <si>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</si>
  <si>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</si>
  <si>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</si>
  <si>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</si>
  <si>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</si>
  <si>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</si>
  <si>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</si>
  <si>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</si>
  <si>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</si>
  <si>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</si>
  <si>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</si>
  <si>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</si>
  <si>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</si>
  <si>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</si>
  <si>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</si>
  <si>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</si>
  <si>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</si>
  <si>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</si>
  <si>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</si>
  <si>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</si>
  <si>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</si>
  <si>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</si>
  <si>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</si>
  <si>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</si>
  <si>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</si>
  <si>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</si>
  <si>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</si>
  <si>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</si>
  <si>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</si>
  <si>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</si>
  <si>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</si>
  <si>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</si>
  <si>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</si>
  <si>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</si>
  <si>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</si>
  <si>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</si>
  <si>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</si>
  <si>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</si>
  <si>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</si>
  <si>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</si>
  <si>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</si>
  <si>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</si>
  <si>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</si>
  <si>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</si>
  <si>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</si>
  <si>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</si>
  <si>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</si>
  <si>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</si>
  <si>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</si>
  <si>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</si>
  <si>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</si>
  <si>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</si>
  <si>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</si>
  <si>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</si>
  <si>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</si>
  <si>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</si>
  <si>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</si>
  <si>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</si>
  <si>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</si>
  <si>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</si>
  <si>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</si>
  <si>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</si>
  <si>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</si>
  <si>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</si>
  <si>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</si>
  <si>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</si>
  <si>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</si>
  <si>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</si>
  <si>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</si>
  <si>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</si>
  <si>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</si>
  <si>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</si>
  <si>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</si>
  <si>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</si>
  <si>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</si>
  <si>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</si>
  <si>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</si>
  <si>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</si>
  <si>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</si>
  <si>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</si>
  <si>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</si>
  <si>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</si>
  <si>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</si>
  <si>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</si>
  <si>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</si>
  <si>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</si>
  <si>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</si>
  <si>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</si>
  <si>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</si>
  <si>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</si>
  <si>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</si>
  <si>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</si>
  <si>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</si>
  <si>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</si>
  <si>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</si>
  <si>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</si>
  <si>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</si>
  <si>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</si>
  <si>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</si>
  <si>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</si>
  <si>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</si>
  <si>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</si>
  <si>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</si>
  <si>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</si>
  <si>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</si>
  <si>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</si>
  <si>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</si>
  <si>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</si>
  <si>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</si>
  <si>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</si>
  <si>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</si>
  <si>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</si>
  <si>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</si>
  <si>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</si>
  <si>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</si>
  <si>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</si>
  <si>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</si>
  <si>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</si>
  <si>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</si>
  <si>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</si>
  <si>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</si>
  <si>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</si>
  <si>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</si>
  <si>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</si>
  <si>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</si>
  <si>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</si>
  <si>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</si>
  <si>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</si>
  <si>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</si>
  <si>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</si>
  <si>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</si>
  <si>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</si>
  <si>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</si>
  <si>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</si>
  <si>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</si>
  <si>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</si>
  <si>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</si>
  <si>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</si>
  <si>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</si>
  <si>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</si>
  <si>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</si>
  <si>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</si>
  <si>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</si>
  <si>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</si>
  <si>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</si>
  <si>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</si>
  <si>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</si>
  <si>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</si>
  <si>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</si>
  <si>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</si>
  <si>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</si>
  <si>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</si>
  <si>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</si>
  <si>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</si>
  <si>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</si>
  <si>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</si>
  <si>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</si>
  <si>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</si>
  <si>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</si>
  <si>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</si>
  <si>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</si>
  <si>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</si>
  <si>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</si>
  <si>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</si>
  <si>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</si>
  <si>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글벗유·초등학교 신축공사</t>
    <phoneticPr fontId="2" type="noConversion"/>
  </si>
  <si>
    <t>세종시</t>
  </si>
  <si>
    <t>기초공사, 골재비및운반비, 작업부산물, 기타공사</t>
    <phoneticPr fontId="2" type="noConversion"/>
  </si>
  <si>
    <t>공조배관공사,난방배관공사,바닥난방공사,기타공사</t>
    <phoneticPr fontId="2" type="noConversion"/>
  </si>
  <si>
    <t>옥외보안등설비공사</t>
    <phoneticPr fontId="2" type="noConversion"/>
  </si>
  <si>
    <t>CCTV설비공사</t>
    <phoneticPr fontId="2" type="noConversion"/>
  </si>
  <si>
    <t>옥외소화배관공사, 펌프실배관공사, 기타공사</t>
    <phoneticPr fontId="2" type="noConversion"/>
  </si>
  <si>
    <t>사급자재비, 운반비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</si>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</sst>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18357.36</v>
      </c>
      <c r="D7" s="36">
        <f>+C7/3.3058</f>
        <v>5553.0764111561502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787170</v>
      </c>
      <c r="E25" s="59">
        <f t="shared" si="0"/>
        <v>2602220</v>
      </c>
    </row>
    <row r="26" spans="1:5" x14ac:dyDescent="0.3">
      <c r="B26" s="2">
        <v>3</v>
      </c>
      <c r="C26" s="35" t="s">
        <v>95</v>
      </c>
      <c r="D26" s="45">
        <f>+D66</f>
        <v>3410</v>
      </c>
      <c r="E26" s="59">
        <f t="shared" si="0"/>
        <v>11270</v>
      </c>
    </row>
    <row r="27" spans="1:5" x14ac:dyDescent="0.3">
      <c r="B27" s="2">
        <v>4</v>
      </c>
      <c r="C27" s="35" t="s">
        <v>96</v>
      </c>
      <c r="D27" s="45">
        <f>+D95</f>
        <v>207060</v>
      </c>
      <c r="E27" s="59">
        <f t="shared" si="0"/>
        <v>684490</v>
      </c>
    </row>
    <row r="28" spans="1:5" x14ac:dyDescent="0.3">
      <c r="B28" s="2">
        <v>5</v>
      </c>
      <c r="C28" s="35" t="s">
        <v>97</v>
      </c>
      <c r="D28" s="45">
        <f>+D119</f>
        <v>138050</v>
      </c>
      <c r="E28" s="59">
        <f t="shared" si="0"/>
        <v>456360</v>
      </c>
    </row>
    <row r="29" spans="1:5" x14ac:dyDescent="0.3">
      <c r="B29" s="2">
        <v>6</v>
      </c>
      <c r="C29" s="35" t="s">
        <v>98</v>
      </c>
      <c r="D29" s="45">
        <f>+D133</f>
        <v>46300</v>
      </c>
      <c r="E29" s="59">
        <f t="shared" si="0"/>
        <v>153050</v>
      </c>
    </row>
    <row r="30" spans="1:5" x14ac:dyDescent="0.3">
      <c r="B30" s="2">
        <v>7</v>
      </c>
      <c r="C30" s="35" t="s">
        <v>99</v>
      </c>
      <c r="D30" s="45">
        <f>+D146</f>
        <v>46310</v>
      </c>
      <c r="E30" s="59">
        <f t="shared" si="0"/>
        <v>153090</v>
      </c>
    </row>
    <row r="31" spans="1:5" x14ac:dyDescent="0.3">
      <c r="B31" s="2">
        <v>8</v>
      </c>
      <c r="C31" s="35" t="s">
        <v>100</v>
      </c>
      <c r="D31" s="45">
        <f>+D154</f>
        <v>24250</v>
      </c>
      <c r="E31" s="59">
        <f t="shared" si="0"/>
        <v>80160</v>
      </c>
    </row>
    <row r="32" spans="1:5" x14ac:dyDescent="0.3">
      <c r="B32" s="2">
        <v>9</v>
      </c>
      <c r="C32" s="35" t="s">
        <v>101</v>
      </c>
      <c r="D32" s="45">
        <f>+D161</f>
        <v>25060</v>
      </c>
      <c r="E32" s="59">
        <f t="shared" si="0"/>
        <v>82840</v>
      </c>
    </row>
    <row r="33" spans="1:7" x14ac:dyDescent="0.3">
      <c r="B33" s="2">
        <v>10</v>
      </c>
      <c r="C33" s="35" t="s">
        <v>154</v>
      </c>
      <c r="D33" s="53">
        <f>TRUNC(SUM(D24:D32)*0.275,-1)</f>
        <v>351340</v>
      </c>
      <c r="E33" s="60">
        <f t="shared" si="0"/>
        <v>1161450</v>
      </c>
    </row>
    <row r="34" spans="1:7" x14ac:dyDescent="0.3">
      <c r="C34" s="35" t="s">
        <v>112</v>
      </c>
      <c r="D34" s="44">
        <f>SUM(D24:D33)</f>
        <v>1628950</v>
      </c>
      <c r="E34" s="44">
        <f>SUM(E24:E33)</f>
        <v>5384930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TRUNC(49265,-1)</f>
        <v>49260</v>
      </c>
      <c r="E40" s="62">
        <f t="shared" ref="E40:E59" si="1">TRUNC(+D40*3.3058,-1)</f>
        <v>162840</v>
      </c>
    </row>
    <row r="41" spans="1:7" x14ac:dyDescent="0.3">
      <c r="A41" s="2">
        <v>2</v>
      </c>
      <c r="C41" s="38" t="s">
        <v>13</v>
      </c>
      <c r="D41" s="42">
        <f>TRUNC(133312,-1)</f>
        <v>133310</v>
      </c>
      <c r="E41" s="63">
        <f t="shared" si="1"/>
        <v>440690</v>
      </c>
    </row>
    <row r="42" spans="1:7" x14ac:dyDescent="0.3">
      <c r="A42" s="2">
        <v>3</v>
      </c>
      <c r="C42" s="38" t="s">
        <v>14</v>
      </c>
      <c r="D42" s="42">
        <f>TRUNC(4589,-1)</f>
        <v>4580</v>
      </c>
      <c r="E42" s="63">
        <f t="shared" si="1"/>
        <v>15140</v>
      </c>
    </row>
    <row r="43" spans="1:7" x14ac:dyDescent="0.3">
      <c r="A43" s="2">
        <v>4</v>
      </c>
      <c r="C43" s="38" t="s">
        <v>16</v>
      </c>
      <c r="D43" s="42">
        <f>TRUNC(39355,-1)</f>
        <v>39350</v>
      </c>
      <c r="E43" s="63">
        <f t="shared" si="1"/>
        <v>130080</v>
      </c>
    </row>
    <row r="44" spans="1:7" x14ac:dyDescent="0.3">
      <c r="A44" s="2">
        <v>5</v>
      </c>
      <c r="C44" s="38" t="s">
        <v>17</v>
      </c>
      <c r="D44" s="42">
        <f>TRUNC(23474,-1)</f>
        <v>23470</v>
      </c>
      <c r="E44" s="63">
        <f t="shared" si="1"/>
        <v>77580</v>
      </c>
    </row>
    <row r="45" spans="1:7" x14ac:dyDescent="0.3">
      <c r="A45" s="2">
        <v>6</v>
      </c>
      <c r="C45" s="38" t="s">
        <v>18</v>
      </c>
      <c r="D45" s="42">
        <f>TRUNC(10911,-1)</f>
        <v>10910</v>
      </c>
      <c r="E45" s="63">
        <f t="shared" si="1"/>
        <v>36060</v>
      </c>
    </row>
    <row r="46" spans="1:7" x14ac:dyDescent="0.3">
      <c r="A46" s="2">
        <v>7</v>
      </c>
      <c r="C46" s="38" t="s">
        <v>19</v>
      </c>
      <c r="D46" s="42">
        <f>TRUNC(21698,-1)</f>
        <v>21690</v>
      </c>
      <c r="E46" s="63">
        <f t="shared" si="1"/>
        <v>71700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TRUNC(60342,-1)</f>
        <v>60340</v>
      </c>
      <c r="E48" s="63">
        <f t="shared" si="1"/>
        <v>199470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TRUNC(19946,-1)</f>
        <v>19940</v>
      </c>
      <c r="E49" s="63">
        <f t="shared" si="1"/>
        <v>65910</v>
      </c>
    </row>
    <row r="50" spans="1:7" x14ac:dyDescent="0.3">
      <c r="A50" s="2">
        <v>11</v>
      </c>
      <c r="C50" s="38" t="s">
        <v>155</v>
      </c>
      <c r="D50" s="42">
        <f>TRUNC(31634,-1)</f>
        <v>31630</v>
      </c>
      <c r="E50" s="63">
        <f t="shared" si="1"/>
        <v>104560</v>
      </c>
      <c r="F50" s="2" t="s">
        <v>255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TRUNC(10183,-1)</f>
        <v>10180</v>
      </c>
      <c r="E52" s="63">
        <f t="shared" si="1"/>
        <v>33650</v>
      </c>
    </row>
    <row r="53" spans="1:7" x14ac:dyDescent="0.3">
      <c r="A53" s="2">
        <v>14</v>
      </c>
      <c r="C53" s="38" t="s">
        <v>25</v>
      </c>
      <c r="D53" s="42">
        <f>TRUNC(61105,-1)</f>
        <v>61100</v>
      </c>
      <c r="E53" s="63">
        <f t="shared" si="1"/>
        <v>201980</v>
      </c>
      <c r="F53" s="2" t="s">
        <v>256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TRUNC(25463+6863-507+9227,-1)</f>
        <v>41040</v>
      </c>
      <c r="E58" s="63">
        <f t="shared" si="1"/>
        <v>135670</v>
      </c>
      <c r="F58" s="2" t="s">
        <v>259</v>
      </c>
    </row>
    <row r="59" spans="1:7" ht="17.25" thickBot="1" x14ac:dyDescent="0.35">
      <c r="A59" s="2">
        <v>20</v>
      </c>
      <c r="C59" s="38" t="s">
        <v>148</v>
      </c>
      <c r="D59" s="43">
        <f>TRUNC(280374,-1)</f>
        <v>280370</v>
      </c>
      <c r="E59" s="64">
        <f t="shared" si="1"/>
        <v>926840</v>
      </c>
    </row>
    <row r="60" spans="1:7" x14ac:dyDescent="0.3">
      <c r="A60" s="2">
        <v>21</v>
      </c>
      <c r="C60" s="27" t="s">
        <v>112</v>
      </c>
      <c r="D60" s="39">
        <f>SUM(D40:D59)</f>
        <v>787170</v>
      </c>
      <c r="E60" s="39">
        <f>SUM(E40:E59)</f>
        <v>2602170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TRUNC(3411,-1)</f>
        <v>3410</v>
      </c>
      <c r="E63" s="62">
        <f>TRUNC(+D63*3.3058,-1)</f>
        <v>11270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3410</v>
      </c>
      <c r="E66" s="65">
        <f>SUM(E63:E65)</f>
        <v>11270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7840</v>
      </c>
      <c r="E69" s="62">
        <f t="shared" ref="E69:E94" si="2">TRUNC(+D69*3.3058,-1)</f>
        <v>25910</v>
      </c>
    </row>
    <row r="70" spans="1:7" ht="16.5" customHeight="1" x14ac:dyDescent="0.3">
      <c r="A70" s="2">
        <v>2</v>
      </c>
      <c r="C70" s="38" t="s">
        <v>31</v>
      </c>
      <c r="D70" s="42">
        <v>1860</v>
      </c>
      <c r="E70" s="63">
        <f t="shared" si="2"/>
        <v>6140</v>
      </c>
    </row>
    <row r="71" spans="1:7" x14ac:dyDescent="0.3">
      <c r="A71" s="2">
        <v>3</v>
      </c>
      <c r="C71" s="38" t="s">
        <v>32</v>
      </c>
      <c r="D71" s="42">
        <f>TRUNC(7259,-1)</f>
        <v>7250</v>
      </c>
      <c r="E71" s="63">
        <f t="shared" si="2"/>
        <v>23960</v>
      </c>
    </row>
    <row r="72" spans="1:7" x14ac:dyDescent="0.3">
      <c r="A72" s="2">
        <v>4</v>
      </c>
      <c r="C72" s="38" t="s">
        <v>33</v>
      </c>
      <c r="D72" s="42">
        <v>2770</v>
      </c>
      <c r="E72" s="63">
        <f t="shared" si="2"/>
        <v>9150</v>
      </c>
    </row>
    <row r="73" spans="1:7" x14ac:dyDescent="0.3">
      <c r="A73" s="2">
        <v>5</v>
      </c>
      <c r="C73" s="38" t="s">
        <v>34</v>
      </c>
      <c r="D73" s="42">
        <f>TRUNC(11542,-1)</f>
        <v>11540</v>
      </c>
      <c r="E73" s="63">
        <f t="shared" si="2"/>
        <v>38140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TRUNC(35379,-1)</f>
        <v>35370</v>
      </c>
      <c r="E76" s="63">
        <f t="shared" si="2"/>
        <v>116920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TRUNC(8574,-1)</f>
        <v>8570</v>
      </c>
      <c r="E89" s="63">
        <f t="shared" si="2"/>
        <v>28330</v>
      </c>
    </row>
    <row r="90" spans="1:7" x14ac:dyDescent="0.3">
      <c r="A90" s="2">
        <v>22</v>
      </c>
      <c r="C90" s="38" t="s">
        <v>36</v>
      </c>
      <c r="D90" s="42">
        <f>TRUNC(362,-1)</f>
        <v>360</v>
      </c>
      <c r="E90" s="63">
        <f t="shared" si="2"/>
        <v>1190</v>
      </c>
    </row>
    <row r="91" spans="1:7" x14ac:dyDescent="0.3">
      <c r="A91" s="2">
        <v>23</v>
      </c>
      <c r="C91" s="38" t="s">
        <v>37</v>
      </c>
      <c r="D91" s="42">
        <f>TRUNC(10874,-1)</f>
        <v>10870</v>
      </c>
      <c r="E91" s="63">
        <f t="shared" si="2"/>
        <v>35930</v>
      </c>
    </row>
    <row r="92" spans="1:7" x14ac:dyDescent="0.3">
      <c r="A92" s="2">
        <v>24</v>
      </c>
      <c r="C92" s="38" t="s">
        <v>38</v>
      </c>
      <c r="D92" s="42">
        <f>TRUNC(10195,-1)</f>
        <v>10190</v>
      </c>
      <c r="E92" s="63">
        <f t="shared" si="2"/>
        <v>33680</v>
      </c>
    </row>
    <row r="93" spans="1:7" x14ac:dyDescent="0.3">
      <c r="A93" s="2">
        <v>25</v>
      </c>
      <c r="C93" s="38" t="s">
        <v>148</v>
      </c>
      <c r="D93" s="42">
        <f>TRUNC(92012,-1)</f>
        <v>92010</v>
      </c>
      <c r="E93" s="63">
        <f t="shared" si="2"/>
        <v>304160</v>
      </c>
    </row>
    <row r="94" spans="1:7" ht="17.25" thickBot="1" x14ac:dyDescent="0.35">
      <c r="A94" s="2">
        <v>26</v>
      </c>
      <c r="C94" s="38" t="s">
        <v>47</v>
      </c>
      <c r="D94" s="43">
        <f>TRUNC(427+4469+1786+11754,-1)</f>
        <v>18430</v>
      </c>
      <c r="E94" s="64">
        <f t="shared" si="2"/>
        <v>60920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207060</v>
      </c>
      <c r="E95" s="39">
        <f>SUM(E69:E94)</f>
        <v>684430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TRUNC(9639,-1)</f>
        <v>9630</v>
      </c>
      <c r="E98" s="62">
        <f t="shared" ref="E98:E118" si="3">TRUNC(+D98*3.3058,-1)</f>
        <v>31830</v>
      </c>
    </row>
    <row r="99" spans="1:7" x14ac:dyDescent="0.3">
      <c r="A99" s="2">
        <v>2</v>
      </c>
      <c r="C99" s="38" t="s">
        <v>40</v>
      </c>
      <c r="D99" s="42">
        <f>TRUNC(9408,-1)</f>
        <v>9400</v>
      </c>
      <c r="E99" s="63">
        <f t="shared" si="3"/>
        <v>31070</v>
      </c>
    </row>
    <row r="100" spans="1:7" x14ac:dyDescent="0.3">
      <c r="A100" s="2">
        <v>3</v>
      </c>
      <c r="C100" s="38" t="s">
        <v>41</v>
      </c>
      <c r="D100" s="42">
        <f>TRUNC(23301,-1)</f>
        <v>23300</v>
      </c>
      <c r="E100" s="63">
        <f t="shared" si="3"/>
        <v>77020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TRUNC(15401,-1)</f>
        <v>15400</v>
      </c>
      <c r="E102" s="63">
        <f t="shared" si="3"/>
        <v>50900</v>
      </c>
    </row>
    <row r="103" spans="1:7" x14ac:dyDescent="0.3">
      <c r="A103" s="2">
        <v>6</v>
      </c>
      <c r="C103" s="38" t="s">
        <v>44</v>
      </c>
      <c r="D103" s="42">
        <v>5550</v>
      </c>
      <c r="E103" s="63">
        <f t="shared" si="3"/>
        <v>18340</v>
      </c>
    </row>
    <row r="104" spans="1:7" x14ac:dyDescent="0.3">
      <c r="A104" s="2">
        <v>7</v>
      </c>
      <c r="C104" s="38" t="s">
        <v>45</v>
      </c>
      <c r="D104" s="42">
        <f>TRUNC(2586,-1)</f>
        <v>2580</v>
      </c>
      <c r="E104" s="63">
        <f t="shared" si="3"/>
        <v>8520</v>
      </c>
    </row>
    <row r="105" spans="1:7" x14ac:dyDescent="0.3">
      <c r="A105" s="2">
        <v>8</v>
      </c>
      <c r="C105" s="38" t="s">
        <v>46</v>
      </c>
      <c r="D105" s="42">
        <f>TRUNC(8453,-1)</f>
        <v>8450</v>
      </c>
      <c r="E105" s="63">
        <f t="shared" si="3"/>
        <v>27930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TRUNC(1621,-1)</f>
        <v>1620</v>
      </c>
      <c r="E114" s="63">
        <f t="shared" si="3"/>
        <v>5350</v>
      </c>
      <c r="F114" s="2" t="s">
        <v>261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TRUNC(1944,-1)</f>
        <v>1940</v>
      </c>
      <c r="E116" s="63">
        <f t="shared" si="3"/>
        <v>6410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TRUNC(59433,-1)</f>
        <v>59430</v>
      </c>
      <c r="E117" s="63">
        <f t="shared" si="3"/>
        <v>196460</v>
      </c>
    </row>
    <row r="118" spans="1:7" ht="17.25" thickBot="1" x14ac:dyDescent="0.35">
      <c r="A118" s="2">
        <v>21</v>
      </c>
      <c r="C118" s="38" t="s">
        <v>47</v>
      </c>
      <c r="D118" s="43">
        <f>TRUNC(757,-1)</f>
        <v>750</v>
      </c>
      <c r="E118" s="64">
        <f t="shared" si="3"/>
        <v>2470</v>
      </c>
      <c r="F118" s="2" t="s">
        <v>254</v>
      </c>
    </row>
    <row r="119" spans="1:7" x14ac:dyDescent="0.3">
      <c r="A119" s="2">
        <v>22</v>
      </c>
      <c r="C119" s="27" t="s">
        <v>112</v>
      </c>
      <c r="D119" s="39">
        <f>SUM(D98:D118)</f>
        <v>138050</v>
      </c>
      <c r="E119" s="39">
        <f>SUM(E98:E118)</f>
        <v>456300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TRUNC(544,-1)</f>
        <v>540</v>
      </c>
      <c r="E124" s="63">
        <f t="shared" si="4"/>
        <v>1780</v>
      </c>
    </row>
    <row r="125" spans="1:7" x14ac:dyDescent="0.3">
      <c r="A125" s="2">
        <v>4</v>
      </c>
      <c r="C125" s="38" t="s">
        <v>138</v>
      </c>
      <c r="D125" s="42">
        <f>TRUNC(9802,-1)</f>
        <v>9800</v>
      </c>
      <c r="E125" s="63">
        <f t="shared" si="4"/>
        <v>32390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TRUNC(6059,-1)</f>
        <v>6050</v>
      </c>
      <c r="E128" s="63">
        <f t="shared" si="4"/>
        <v>20000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TRUNC(11693,-1)</f>
        <v>11690</v>
      </c>
      <c r="E130" s="63">
        <f t="shared" si="4"/>
        <v>38640</v>
      </c>
    </row>
    <row r="131" spans="1:7" x14ac:dyDescent="0.3">
      <c r="A131" s="2">
        <v>10</v>
      </c>
      <c r="C131" s="38" t="s">
        <v>148</v>
      </c>
      <c r="D131" s="42">
        <f>TRUNC(15279,-1)</f>
        <v>15270</v>
      </c>
      <c r="E131" s="63">
        <f t="shared" si="4"/>
        <v>50470</v>
      </c>
    </row>
    <row r="132" spans="1:7" ht="18" thickBot="1" x14ac:dyDescent="0.35">
      <c r="A132" s="2">
        <v>11</v>
      </c>
      <c r="C132" s="38" t="s">
        <v>47</v>
      </c>
      <c r="D132" s="43">
        <f>TRUNC(2956,-1)</f>
        <v>2950</v>
      </c>
      <c r="E132" s="64">
        <f t="shared" si="4"/>
        <v>9750</v>
      </c>
      <c r="F132" s="54" t="s">
        <v>262</v>
      </c>
    </row>
    <row r="133" spans="1:7" x14ac:dyDescent="0.3">
      <c r="A133" s="2">
        <v>12</v>
      </c>
      <c r="C133" s="27" t="s">
        <v>112</v>
      </c>
      <c r="D133" s="39">
        <f>SUM(D122:D132)</f>
        <v>46300</v>
      </c>
      <c r="E133" s="39">
        <f>SUM(E122:E132)</f>
        <v>153030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TRUNC(57+4177+1154,-1)</f>
        <v>5380</v>
      </c>
      <c r="E137" s="63">
        <f t="shared" si="5"/>
        <v>17780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TRUNC(1762,-1)</f>
        <v>1760</v>
      </c>
      <c r="E140" s="63">
        <f t="shared" si="5"/>
        <v>5810</v>
      </c>
    </row>
    <row r="141" spans="1:7" x14ac:dyDescent="0.3">
      <c r="A141" s="2">
        <v>6</v>
      </c>
      <c r="C141" s="38" t="s">
        <v>59</v>
      </c>
      <c r="D141" s="42">
        <f>TRUNC(14233,-1)</f>
        <v>14230</v>
      </c>
      <c r="E141" s="63">
        <f t="shared" si="5"/>
        <v>47040</v>
      </c>
    </row>
    <row r="142" spans="1:7" x14ac:dyDescent="0.3">
      <c r="A142" s="2">
        <v>7</v>
      </c>
      <c r="C142" s="38" t="s">
        <v>58</v>
      </c>
      <c r="D142" s="42">
        <f>TRUNC(7601,-1)</f>
        <v>7600</v>
      </c>
      <c r="E142" s="63">
        <f t="shared" si="5"/>
        <v>25120</v>
      </c>
    </row>
    <row r="143" spans="1:7" x14ac:dyDescent="0.3">
      <c r="A143" s="2">
        <v>8</v>
      </c>
      <c r="C143" s="38" t="s">
        <v>62</v>
      </c>
      <c r="D143" s="42">
        <f>TRUNC(4306,-1)</f>
        <v>4300</v>
      </c>
      <c r="E143" s="63">
        <f t="shared" si="5"/>
        <v>14210</v>
      </c>
    </row>
    <row r="144" spans="1:7" x14ac:dyDescent="0.3">
      <c r="A144" s="2">
        <v>9</v>
      </c>
      <c r="C144" s="38" t="s">
        <v>63</v>
      </c>
      <c r="D144" s="42">
        <v>13040</v>
      </c>
      <c r="E144" s="63">
        <f t="shared" si="5"/>
        <v>43100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46310</v>
      </c>
      <c r="E146" s="39">
        <f>SUM(E136:E145)</f>
        <v>153060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TRUNC(4498+2239,-1)</f>
        <v>6730</v>
      </c>
      <c r="E149" s="62">
        <f>TRUNC(+D149*3.3058,-1)</f>
        <v>22240</v>
      </c>
    </row>
    <row r="150" spans="1:7" x14ac:dyDescent="0.3">
      <c r="A150" s="2">
        <v>2</v>
      </c>
      <c r="C150" s="38" t="s">
        <v>49</v>
      </c>
      <c r="D150" s="42">
        <f>TRUNC(13803,-1)</f>
        <v>13800</v>
      </c>
      <c r="E150" s="63">
        <f>TRUNC(+D150*3.3058,-1)</f>
        <v>45620</v>
      </c>
    </row>
    <row r="151" spans="1:7" x14ac:dyDescent="0.3">
      <c r="A151" s="2">
        <v>3</v>
      </c>
      <c r="C151" s="38" t="s">
        <v>50</v>
      </c>
      <c r="D151" s="42">
        <f>TRUNC(1789,-1)</f>
        <v>1780</v>
      </c>
      <c r="E151" s="63">
        <f>TRUNC(+D151*3.3058,-1)</f>
        <v>5880</v>
      </c>
    </row>
    <row r="152" spans="1:7" x14ac:dyDescent="0.3">
      <c r="A152" s="2">
        <v>4</v>
      </c>
      <c r="C152" s="38" t="s">
        <v>47</v>
      </c>
      <c r="D152" s="42">
        <f>TRUNC(1655+288,-1)</f>
        <v>1940</v>
      </c>
      <c r="E152" s="63">
        <f>TRUNC(+D152*3.3058,-1)</f>
        <v>6410</v>
      </c>
      <c r="F152" s="2" t="s">
        <v>264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24250</v>
      </c>
      <c r="E154" s="39">
        <f>SUM(E149:E153)</f>
        <v>80150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TRUNC(19496,-1)</f>
        <v>19490</v>
      </c>
      <c r="E157" s="62">
        <f>TRUNC(+D157*3.3058,-1)</f>
        <v>64430</v>
      </c>
    </row>
    <row r="158" spans="1:7" x14ac:dyDescent="0.3">
      <c r="A158" s="2">
        <v>2</v>
      </c>
      <c r="C158" s="38" t="s">
        <v>52</v>
      </c>
      <c r="D158" s="42">
        <f>TRUNC(4284,-1)</f>
        <v>4280</v>
      </c>
      <c r="E158" s="63">
        <f>TRUNC(+D158*3.3058,-1)</f>
        <v>14140</v>
      </c>
    </row>
    <row r="159" spans="1:7" x14ac:dyDescent="0.3">
      <c r="A159" s="2">
        <v>3</v>
      </c>
      <c r="C159" s="38" t="s">
        <v>47</v>
      </c>
      <c r="D159" s="42">
        <f>TRUNC(1297,-1)</f>
        <v>1290</v>
      </c>
      <c r="E159" s="63">
        <f>TRUNC(+D159*3.3058,-1)</f>
        <v>4260</v>
      </c>
      <c r="F159" s="2" t="s">
        <v>265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25060</v>
      </c>
      <c r="E161" s="39">
        <f>SUM(E157:E160)</f>
        <v>82830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2020-12-07T10:03:13Z</dcterms:modified>
</cp:coreProperties>
</file>