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44" i="4"/>
  <c r="D141" i="4"/>
  <c r="D139" i="4"/>
  <c r="D132" i="4"/>
  <c r="D131" i="4"/>
  <c r="D127" i="4"/>
  <c r="D125" i="4"/>
  <c r="D124" i="4"/>
  <c r="D122" i="4"/>
  <c r="D118" i="4"/>
  <c r="D116" i="4"/>
  <c r="D104" i="4"/>
  <c r="D103" i="4"/>
  <c r="D102" i="4"/>
  <c r="D100" i="4"/>
  <c r="D98" i="4"/>
  <c r="D94" i="4"/>
  <c r="D93" i="4"/>
  <c r="D92" i="4"/>
  <c r="D89" i="4"/>
  <c r="D73" i="4"/>
  <c r="D72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<sst xmlns="http://schemas.openxmlformats.org/spreadsheetml/2006/main" count="392" uniqueCount="266">
  <si>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</si>
  <si>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</si>
  <si>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</si>
  <si>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</si>
  <si>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</si>
  <si>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</si>
  <si>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</si>
  <si>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</si>
  <si>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</si>
  <si>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</si>
  <si>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</si>
  <si>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</si>
  <si>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</si>
  <si>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</si>
  <si>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</si>
  <si>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</si>
  <si>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</si>
  <si>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</si>
  <si>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</si>
  <si>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</si>
  <si>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</si>
  <si>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</si>
  <si>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</si>
  <si>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</si>
  <si>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</si>
  <si>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</si>
  <si>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</si>
  <si>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</si>
  <si>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</si>
  <si>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</si>
  <si>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</si>
  <si>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</si>
  <si>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</si>
  <si>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</si>
  <si>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</si>
  <si>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</si>
  <si>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</si>
  <si>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</si>
  <si>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</si>
  <si>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</si>
  <si>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</si>
  <si>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</si>
  <si>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</si>
  <si>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</si>
  <si>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</si>
  <si>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</si>
  <si>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</si>
  <si>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</si>
  <si>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</si>
  <si>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</si>
  <si>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</si>
  <si>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</si>
  <si>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</si>
  <si>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</si>
  <si>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</si>
  <si>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</si>
  <si>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</si>
  <si>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</si>
  <si>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</si>
  <si>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</si>
  <si>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</si>
  <si>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</si>
  <si>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</si>
  <si>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</si>
  <si>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</si>
  <si>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</si>
  <si>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</si>
  <si>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</si>
  <si>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</si>
  <si>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</si>
  <si>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</si>
  <si>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</si>
  <si>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</si>
  <si>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</si>
  <si>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</si>
  <si>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</si>
  <si>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</si>
  <si>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</si>
  <si>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</si>
  <si>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</si>
  <si>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</si>
  <si>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</si>
  <si>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</si>
  <si>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</si>
  <si>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</si>
  <si>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</si>
  <si>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</si>
  <si>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</si>
  <si>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</si>
  <si>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</si>
  <si>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</si>
  <si>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</si>
  <si>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</si>
  <si>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</si>
  <si>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</si>
  <si>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</si>
  <si>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</si>
  <si>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</si>
  <si>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</si>
  <si>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</si>
  <si>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</si>
  <si>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</si>
  <si>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</si>
  <si>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</si>
  <si>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</si>
  <si>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</si>
  <si>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</si>
  <si>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</si>
  <si>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</si>
  <si>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</si>
  <si>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</si>
  <si>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</si>
  <si>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</si>
  <si>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</si>
  <si>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</si>
  <si>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</si>
  <si>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</si>
  <si>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</si>
  <si>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</si>
  <si>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</si>
  <si>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</si>
  <si>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</si>
  <si>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</si>
  <si>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</si>
  <si>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</si>
  <si>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</si>
  <si>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</si>
  <si>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</si>
  <si>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</si>
  <si>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</si>
  <si>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</si>
  <si>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</si>
  <si>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</si>
  <si>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</si>
  <si>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</si>
  <si>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</si>
  <si>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</si>
  <si>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</si>
  <si>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</si>
  <si>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</si>
  <si>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</si>
  <si>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</si>
  <si>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</si>
  <si>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</si>
  <si>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</si>
  <si>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</si>
  <si>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</si>
  <si>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</si>
  <si>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</si>
  <si>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</si>
  <si>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</si>
  <si>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</si>
  <si>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</si>
  <si>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</si>
  <si>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</si>
  <si>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</si>
  <si>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</si>
  <si>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</si>
  <si>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</si>
  <si>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</si>
  <si>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</si>
  <si>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</si>
  <si>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</si>
  <si>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</si>
  <si>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</si>
  <si>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</si>
  <si>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</si>
  <si>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</si>
  <si>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</si>
  <si>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</si>
  <si>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</si>
  <si>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</si>
  <si>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</si>
  <si>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</si>
  <si>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</si>
  <si>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</si>
  <si>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</si>
  <si>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</si>
  <si>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</si>
  <si>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</si>
  <si>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</si>
  <si>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</si>
  <si>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</si>
  <si>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</si>
  <si>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</si>
  <si>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</si>
  <si>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</si>
  <si>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</si>
  <si>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</si>
  <si>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</si>
  <si>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</si>
  <si>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</si>
  <si>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</si>
  <si>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</si>
  <si>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</si>
  <si>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</si>
  <si>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</si>
  <si>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</si>
  <si>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</si>
  <si>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</si>
  <si>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</si>
  <si>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</si>
  <si>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</si>
  <si>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</si>
  <si>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</si>
  <si>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</si>
  <si>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</si>
  <si>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</si>
  <si>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</si>
  <si>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</si>
  <si>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</si>
  <si>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</si>
  <si>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</si>
  <si>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</si>
  <si>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</si>
  <si>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</si>
  <si>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</si>
  <si>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</si>
  <si>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</si>
  <si>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</si>
  <si>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</si>
  <si>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</si>
  <si>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</si>
  <si>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</si>
  <si>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</si>
  <si>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</si>
  <si>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</si>
  <si>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</si>
  <si>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</si>
  <si>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</si>
  <si>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</si>
  <si>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</si>
  <si>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</si>
  <si>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</si>
  <si>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</si>
  <si>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</si>
  <si>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</si>
  <si>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</si>
  <si>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</si>
  <si>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</si>
  <si>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</si>
  <si>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</si>
  <si>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</si>
  <si>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</si>
  <si>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</si>
  <si>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</si>
  <si>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</si>
  <si>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</si>
  <si>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</si>
  <si>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</si>
  <si>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</si>
  <si>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</si>
  <si>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</si>
  <si>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</si>
  <si>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</si>
  <si>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주차관제설비공사</t>
    <phoneticPr fontId="2" type="noConversion"/>
  </si>
  <si>
    <t>포장공사, 기타공사</t>
    <phoneticPr fontId="2" type="noConversion"/>
  </si>
  <si>
    <t>업무</t>
  </si>
  <si>
    <t>한국국토정보공사 부산울산지역본부 울주지사 신축사옥 공사(건축 토목 기계)</t>
    <phoneticPr fontId="2" type="noConversion"/>
  </si>
  <si>
    <t>울산시</t>
  </si>
  <si>
    <t>기초공사, 골재비및운반비, 기타공사</t>
    <phoneticPr fontId="2" type="noConversion"/>
  </si>
  <si>
    <t>공조배관공사</t>
    <phoneticPr fontId="2" type="noConversion"/>
  </si>
  <si>
    <t>사급자재비, 운반비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</si>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</sst>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2656.72</v>
      </c>
      <c r="D7" s="36">
        <f>+C7/3.3058</f>
        <v>803.65418355617396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1255780</v>
      </c>
      <c r="E25" s="59">
        <f t="shared" si="0"/>
        <v>4151350</v>
      </c>
    </row>
    <row r="26" spans="1:5" x14ac:dyDescent="0.3">
      <c r="B26" s="2">
        <v>3</v>
      </c>
      <c r="C26" s="35" t="s">
        <v>95</v>
      </c>
      <c r="D26" s="45">
        <f>+D66</f>
        <v>92600</v>
      </c>
      <c r="E26" s="59">
        <f t="shared" si="0"/>
        <v>306110</v>
      </c>
    </row>
    <row r="27" spans="1:5" x14ac:dyDescent="0.3">
      <c r="B27" s="2">
        <v>4</v>
      </c>
      <c r="C27" s="35" t="s">
        <v>96</v>
      </c>
      <c r="D27" s="45">
        <f>+D95</f>
        <v>119210</v>
      </c>
      <c r="E27" s="59">
        <f t="shared" si="0"/>
        <v>394080</v>
      </c>
    </row>
    <row r="28" spans="1:5" x14ac:dyDescent="0.3">
      <c r="B28" s="2">
        <v>5</v>
      </c>
      <c r="C28" s="35" t="s">
        <v>97</v>
      </c>
      <c r="D28" s="45">
        <f>+D119</f>
        <v>247950</v>
      </c>
      <c r="E28" s="59">
        <f t="shared" si="0"/>
        <v>819670</v>
      </c>
    </row>
    <row r="29" spans="1:5" x14ac:dyDescent="0.3">
      <c r="B29" s="2">
        <v>6</v>
      </c>
      <c r="C29" s="35" t="s">
        <v>98</v>
      </c>
      <c r="D29" s="45">
        <f>+D133</f>
        <v>163300</v>
      </c>
      <c r="E29" s="59">
        <f t="shared" si="0"/>
        <v>539830</v>
      </c>
    </row>
    <row r="30" spans="1:5" x14ac:dyDescent="0.3">
      <c r="B30" s="2">
        <v>7</v>
      </c>
      <c r="C30" s="35" t="s">
        <v>99</v>
      </c>
      <c r="D30" s="45">
        <f>+D146</f>
        <v>63510</v>
      </c>
      <c r="E30" s="59">
        <f t="shared" si="0"/>
        <v>209950</v>
      </c>
    </row>
    <row r="31" spans="1:5" x14ac:dyDescent="0.3">
      <c r="B31" s="2">
        <v>8</v>
      </c>
      <c r="C31" s="35" t="s">
        <v>100</v>
      </c>
      <c r="D31" s="45">
        <f>+D154</f>
        <v>10300</v>
      </c>
      <c r="E31" s="59">
        <f t="shared" si="0"/>
        <v>34040</v>
      </c>
    </row>
    <row r="32" spans="1:5" x14ac:dyDescent="0.3">
      <c r="B32" s="2">
        <v>9</v>
      </c>
      <c r="C32" s="35" t="s">
        <v>101</v>
      </c>
      <c r="D32" s="45">
        <f>+D161</f>
        <v>25340</v>
      </c>
      <c r="E32" s="59">
        <f t="shared" si="0"/>
        <v>83760</v>
      </c>
    </row>
    <row r="33" spans="1:7" x14ac:dyDescent="0.3">
      <c r="B33" s="2">
        <v>10</v>
      </c>
      <c r="C33" s="35" t="s">
        <v>155</v>
      </c>
      <c r="D33" s="53">
        <f>TRUNC(SUM(D24:D32)*0.275,-1)</f>
        <v>543940</v>
      </c>
      <c r="E33" s="60">
        <f t="shared" si="0"/>
        <v>1798150</v>
      </c>
    </row>
    <row r="34" spans="1:7" x14ac:dyDescent="0.3">
      <c r="C34" s="35" t="s">
        <v>112</v>
      </c>
      <c r="D34" s="44">
        <f>SUM(D24:D33)</f>
        <v>2521930</v>
      </c>
      <c r="E34" s="44">
        <f>SUM(E24:E33)</f>
        <v>8336940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TRUNC(87392,-1)</f>
        <v>87390</v>
      </c>
      <c r="E40" s="62">
        <f t="shared" ref="E40:E59" si="1">TRUNC(+D40*3.3058,-1)</f>
        <v>288890</v>
      </c>
    </row>
    <row r="41" spans="1:7" x14ac:dyDescent="0.3">
      <c r="A41" s="2">
        <v>2</v>
      </c>
      <c r="C41" s="38" t="s">
        <v>13</v>
      </c>
      <c r="D41" s="42">
        <f>TRUNC(256433,-1)</f>
        <v>256430</v>
      </c>
      <c r="E41" s="63">
        <f t="shared" si="1"/>
        <v>847700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12940</v>
      </c>
      <c r="E43" s="63">
        <f t="shared" si="1"/>
        <v>42770</v>
      </c>
    </row>
    <row r="44" spans="1:7" x14ac:dyDescent="0.3">
      <c r="A44" s="2">
        <v>5</v>
      </c>
      <c r="C44" s="38" t="s">
        <v>17</v>
      </c>
      <c r="D44" s="42">
        <f>TRUNC(35497,-1)</f>
        <v>35490</v>
      </c>
      <c r="E44" s="63">
        <f t="shared" si="1"/>
        <v>117320</v>
      </c>
    </row>
    <row r="45" spans="1:7" x14ac:dyDescent="0.3">
      <c r="A45" s="2">
        <v>6</v>
      </c>
      <c r="C45" s="38" t="s">
        <v>18</v>
      </c>
      <c r="D45" s="42">
        <f>TRUNC(30031,-1)</f>
        <v>30030</v>
      </c>
      <c r="E45" s="63">
        <f t="shared" si="1"/>
        <v>99270</v>
      </c>
    </row>
    <row r="46" spans="1:7" x14ac:dyDescent="0.3">
      <c r="A46" s="2">
        <v>7</v>
      </c>
      <c r="C46" s="38" t="s">
        <v>19</v>
      </c>
      <c r="D46" s="42">
        <f>TRUNC(8224,-1)</f>
        <v>8220</v>
      </c>
      <c r="E46" s="63">
        <f t="shared" si="1"/>
        <v>27170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TRUNC(35718,-1)</f>
        <v>35710</v>
      </c>
      <c r="E48" s="63">
        <f t="shared" si="1"/>
        <v>118050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TRUNC(26432,-1)</f>
        <v>26430</v>
      </c>
      <c r="E49" s="63">
        <f t="shared" si="1"/>
        <v>87370</v>
      </c>
    </row>
    <row r="50" spans="1:7" x14ac:dyDescent="0.3">
      <c r="A50" s="2">
        <v>11</v>
      </c>
      <c r="C50" s="38" t="s">
        <v>156</v>
      </c>
      <c r="D50" s="42">
        <f>TRUNC(167873,-1)</f>
        <v>167870</v>
      </c>
      <c r="E50" s="63">
        <f t="shared" si="1"/>
        <v>554940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TRUNC(17645,-1)</f>
        <v>17640</v>
      </c>
      <c r="E52" s="63">
        <f t="shared" si="1"/>
        <v>58310</v>
      </c>
    </row>
    <row r="53" spans="1:7" x14ac:dyDescent="0.3">
      <c r="A53" s="2">
        <v>14</v>
      </c>
      <c r="C53" s="38" t="s">
        <v>25</v>
      </c>
      <c r="D53" s="42">
        <f>TRUNC(105862,-1)</f>
        <v>105860</v>
      </c>
      <c r="E53" s="63">
        <f t="shared" si="1"/>
        <v>349950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TRUNC(31209+7299+195658,-1)</f>
        <v>234160</v>
      </c>
      <c r="E58" s="63">
        <f t="shared" si="1"/>
        <v>774080</v>
      </c>
      <c r="F58" s="2" t="s">
        <v>260</v>
      </c>
    </row>
    <row r="59" spans="1:7" ht="17.25" thickBot="1" x14ac:dyDescent="0.35">
      <c r="A59" s="2">
        <v>20</v>
      </c>
      <c r="C59" s="38" t="s">
        <v>149</v>
      </c>
      <c r="D59" s="43">
        <f>TRUNC(237617,-1)</f>
        <v>237610</v>
      </c>
      <c r="E59" s="64">
        <f t="shared" si="1"/>
        <v>785490</v>
      </c>
    </row>
    <row r="60" spans="1:7" x14ac:dyDescent="0.3">
      <c r="A60" s="2">
        <v>21</v>
      </c>
      <c r="C60" s="27" t="s">
        <v>112</v>
      </c>
      <c r="D60" s="39">
        <f>SUM(D40:D59)</f>
        <v>1255780</v>
      </c>
      <c r="E60" s="39">
        <f>SUM(E40:E59)</f>
        <v>4151310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TRUNC(26286,-1)</f>
        <v>26280</v>
      </c>
      <c r="E63" s="62">
        <f>TRUNC(+D63*3.3058,-1)</f>
        <v>86870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TRUNC(66326,-1)</f>
        <v>66320</v>
      </c>
      <c r="E65" s="64">
        <f>TRUNC(+D65*3.3058,-1)</f>
        <v>219240</v>
      </c>
    </row>
    <row r="66" spans="1:7" x14ac:dyDescent="0.3">
      <c r="A66" s="2">
        <v>4</v>
      </c>
      <c r="C66" s="27" t="s">
        <v>112</v>
      </c>
      <c r="D66" s="39">
        <f>SUM(D63:D65)</f>
        <v>92600</v>
      </c>
      <c r="E66" s="65">
        <f>SUM(E63:E65)</f>
        <v>306110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TRUNC(7168,-1)</f>
        <v>7160</v>
      </c>
      <c r="E69" s="62">
        <f t="shared" ref="E69:E94" si="2">TRUNC(+D69*3.3058,-1)</f>
        <v>23660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TRUNC(3797,-1)</f>
        <v>3790</v>
      </c>
      <c r="E72" s="63">
        <f t="shared" si="2"/>
        <v>12520</v>
      </c>
    </row>
    <row r="73" spans="1:7" x14ac:dyDescent="0.3">
      <c r="A73" s="2">
        <v>5</v>
      </c>
      <c r="C73" s="38" t="s">
        <v>34</v>
      </c>
      <c r="D73" s="42">
        <f>TRUNC(18325,-1)</f>
        <v>18320</v>
      </c>
      <c r="E73" s="63">
        <f t="shared" si="2"/>
        <v>60560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TRUNC(6394,-1)</f>
        <v>6390</v>
      </c>
      <c r="E89" s="63">
        <f t="shared" si="2"/>
        <v>21120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TRUNC(8338,-1)</f>
        <v>8330</v>
      </c>
      <c r="E92" s="63">
        <f t="shared" si="2"/>
        <v>27530</v>
      </c>
    </row>
    <row r="93" spans="1:7" x14ac:dyDescent="0.3">
      <c r="A93" s="2">
        <v>25</v>
      </c>
      <c r="C93" s="38" t="s">
        <v>149</v>
      </c>
      <c r="D93" s="42">
        <f>TRUNC(70535,-1)</f>
        <v>70530</v>
      </c>
      <c r="E93" s="63">
        <f t="shared" si="2"/>
        <v>233150</v>
      </c>
    </row>
    <row r="94" spans="1:7" ht="17.25" thickBot="1" x14ac:dyDescent="0.35">
      <c r="A94" s="2">
        <v>26</v>
      </c>
      <c r="C94" s="38" t="s">
        <v>47</v>
      </c>
      <c r="D94" s="43">
        <f>TRUNC(4693,-1)</f>
        <v>4690</v>
      </c>
      <c r="E94" s="64">
        <f t="shared" si="2"/>
        <v>15500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119210</v>
      </c>
      <c r="E95" s="39">
        <f>SUM(E69:E94)</f>
        <v>394040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TRUNC(14922,-1)</f>
        <v>14920</v>
      </c>
      <c r="E98" s="62">
        <f t="shared" ref="E98:E118" si="3">TRUNC(+D98*3.3058,-1)</f>
        <v>49320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TRUNC(39125,-1)</f>
        <v>39120</v>
      </c>
      <c r="E100" s="63">
        <f t="shared" si="3"/>
        <v>129320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TRUNC(25483,-1)</f>
        <v>25480</v>
      </c>
      <c r="E102" s="63">
        <f t="shared" si="3"/>
        <v>84230</v>
      </c>
    </row>
    <row r="103" spans="1:7" x14ac:dyDescent="0.3">
      <c r="A103" s="2">
        <v>6</v>
      </c>
      <c r="C103" s="38" t="s">
        <v>44</v>
      </c>
      <c r="D103" s="42">
        <f>TRUNC(7319,-1)</f>
        <v>7310</v>
      </c>
      <c r="E103" s="63">
        <f t="shared" si="3"/>
        <v>24160</v>
      </c>
    </row>
    <row r="104" spans="1:7" x14ac:dyDescent="0.3">
      <c r="A104" s="2">
        <v>7</v>
      </c>
      <c r="C104" s="38" t="s">
        <v>45</v>
      </c>
      <c r="D104" s="42">
        <f>TRUNC(5685,-1)</f>
        <v>5680</v>
      </c>
      <c r="E104" s="63">
        <f t="shared" si="3"/>
        <v>18770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TRUNC(10924,-1)</f>
        <v>10920</v>
      </c>
      <c r="E116" s="63">
        <f t="shared" si="3"/>
        <v>36090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v>139910</v>
      </c>
      <c r="E117" s="63">
        <f t="shared" si="3"/>
        <v>462510</v>
      </c>
    </row>
    <row r="118" spans="1:7" ht="17.25" thickBot="1" x14ac:dyDescent="0.35">
      <c r="A118" s="2">
        <v>21</v>
      </c>
      <c r="C118" s="38" t="s">
        <v>47</v>
      </c>
      <c r="D118" s="43">
        <f>TRUNC(4615,-1)</f>
        <v>4610</v>
      </c>
      <c r="E118" s="64">
        <f t="shared" si="3"/>
        <v>15230</v>
      </c>
    </row>
    <row r="119" spans="1:7" x14ac:dyDescent="0.3">
      <c r="A119" s="2">
        <v>22</v>
      </c>
      <c r="C119" s="27" t="s">
        <v>112</v>
      </c>
      <c r="D119" s="39">
        <f>SUM(D98:D118)</f>
        <v>247950</v>
      </c>
      <c r="E119" s="39">
        <f>SUM(E98:E118)</f>
        <v>819630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TRUNC(3822,-1)</f>
        <v>3820</v>
      </c>
      <c r="E122" s="62">
        <f t="shared" ref="E122:E132" si="4">TRUNC(+D122*3.3058,-1)</f>
        <v>12620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TRUNC(2079,-1)</f>
        <v>2070</v>
      </c>
      <c r="E124" s="63">
        <f t="shared" si="4"/>
        <v>6840</v>
      </c>
    </row>
    <row r="125" spans="1:7" x14ac:dyDescent="0.3">
      <c r="A125" s="2">
        <v>4</v>
      </c>
      <c r="C125" s="38" t="s">
        <v>138</v>
      </c>
      <c r="D125" s="42">
        <f>TRUNC(6538,-1)</f>
        <v>6530</v>
      </c>
      <c r="E125" s="63">
        <f t="shared" si="4"/>
        <v>21580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TRUNC(1254,-1)</f>
        <v>1250</v>
      </c>
      <c r="E127" s="63">
        <f t="shared" si="4"/>
        <v>4130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34980</v>
      </c>
      <c r="E130" s="63">
        <f t="shared" si="4"/>
        <v>115630</v>
      </c>
    </row>
    <row r="131" spans="1:7" x14ac:dyDescent="0.3">
      <c r="A131" s="2">
        <v>10</v>
      </c>
      <c r="C131" s="38" t="s">
        <v>149</v>
      </c>
      <c r="D131" s="42">
        <f>TRUNC(111322,-1)</f>
        <v>111320</v>
      </c>
      <c r="E131" s="63">
        <f t="shared" si="4"/>
        <v>368000</v>
      </c>
    </row>
    <row r="132" spans="1:7" ht="18" thickBot="1" x14ac:dyDescent="0.35">
      <c r="A132" s="2">
        <v>11</v>
      </c>
      <c r="C132" s="38" t="s">
        <v>47</v>
      </c>
      <c r="D132" s="43">
        <f>TRUNC(1810+1529,-1)</f>
        <v>3330</v>
      </c>
      <c r="E132" s="64">
        <f t="shared" si="4"/>
        <v>11000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163300</v>
      </c>
      <c r="E133" s="39">
        <f>SUM(E122:E132)</f>
        <v>539800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TRUNC(2112,-1)</f>
        <v>2110</v>
      </c>
      <c r="E139" s="63">
        <f t="shared" si="5"/>
        <v>6970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TRUNC(17888,-1)</f>
        <v>17880</v>
      </c>
      <c r="E141" s="63">
        <f t="shared" si="5"/>
        <v>59100</v>
      </c>
    </row>
    <row r="142" spans="1:7" x14ac:dyDescent="0.3">
      <c r="A142" s="2">
        <v>7</v>
      </c>
      <c r="C142" s="38" t="s">
        <v>58</v>
      </c>
      <c r="D142" s="42">
        <v>5070</v>
      </c>
      <c r="E142" s="63">
        <f t="shared" si="5"/>
        <v>16760</v>
      </c>
    </row>
    <row r="143" spans="1:7" x14ac:dyDescent="0.3">
      <c r="A143" s="2">
        <v>8</v>
      </c>
      <c r="C143" s="38" t="s">
        <v>62</v>
      </c>
      <c r="D143" s="42">
        <v>6220</v>
      </c>
      <c r="E143" s="63">
        <f t="shared" si="5"/>
        <v>20560</v>
      </c>
    </row>
    <row r="144" spans="1:7" x14ac:dyDescent="0.3">
      <c r="A144" s="2">
        <v>9</v>
      </c>
      <c r="C144" s="38" t="s">
        <v>63</v>
      </c>
      <c r="D144" s="42">
        <f>TRUNC(21638,-1)</f>
        <v>21630</v>
      </c>
      <c r="E144" s="63">
        <f t="shared" si="5"/>
        <v>71500</v>
      </c>
    </row>
    <row r="145" spans="1:7" ht="17.25" thickBot="1" x14ac:dyDescent="0.35">
      <c r="A145" s="2">
        <v>10</v>
      </c>
      <c r="C145" s="38" t="s">
        <v>149</v>
      </c>
      <c r="D145" s="43">
        <v>10600</v>
      </c>
      <c r="E145" s="64">
        <f t="shared" si="5"/>
        <v>35040</v>
      </c>
    </row>
    <row r="146" spans="1:7" x14ac:dyDescent="0.3">
      <c r="A146" s="2">
        <v>11</v>
      </c>
      <c r="C146" s="27" t="s">
        <v>112</v>
      </c>
      <c r="D146" s="39">
        <f>SUM(D136:D145)</f>
        <v>63510</v>
      </c>
      <c r="E146" s="39">
        <f>SUM(E136:E145)</f>
        <v>209930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TRUNC(7049+1720,-1)</f>
        <v>8760</v>
      </c>
      <c r="E152" s="63">
        <f>TRUNC(+D152*3.3058,-1)</f>
        <v>28950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f>TRUNC(1545,-1)</f>
        <v>1540</v>
      </c>
      <c r="E153" s="64">
        <f>TRUNC(+D153*3.3058,-1)</f>
        <v>5090</v>
      </c>
    </row>
    <row r="154" spans="1:7" x14ac:dyDescent="0.3">
      <c r="A154" s="2">
        <v>6</v>
      </c>
      <c r="C154" s="27" t="s">
        <v>112</v>
      </c>
      <c r="D154" s="39">
        <f>SUM(D149:D153)</f>
        <v>10300</v>
      </c>
      <c r="E154" s="39">
        <f>SUM(E149:E153)</f>
        <v>34040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TRUNC(16196,-1)</f>
        <v>16190</v>
      </c>
      <c r="E157" s="62">
        <f>TRUNC(+D157*3.3058,-1)</f>
        <v>53520</v>
      </c>
    </row>
    <row r="158" spans="1:7" x14ac:dyDescent="0.3">
      <c r="A158" s="2">
        <v>2</v>
      </c>
      <c r="C158" s="38" t="s">
        <v>52</v>
      </c>
      <c r="D158" s="42">
        <f>TRUNC(3825,-1)</f>
        <v>3820</v>
      </c>
      <c r="E158" s="63">
        <f>TRUNC(+D158*3.3058,-1)</f>
        <v>12620</v>
      </c>
    </row>
    <row r="159" spans="1:7" x14ac:dyDescent="0.3">
      <c r="A159" s="2">
        <v>3</v>
      </c>
      <c r="C159" s="38" t="s">
        <v>47</v>
      </c>
      <c r="D159" s="42">
        <f>TRUNC(3435+1896,-1)</f>
        <v>5330</v>
      </c>
      <c r="E159" s="63">
        <f>TRUNC(+D159*3.3058,-1)</f>
        <v>17610</v>
      </c>
      <c r="F159" s="2" t="s">
        <v>256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25340</v>
      </c>
      <c r="E161" s="39">
        <f>SUM(E157:E160)</f>
        <v>83750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2020-12-08T04:34:38Z</dcterms:modified>
</cp:coreProperties>
</file>