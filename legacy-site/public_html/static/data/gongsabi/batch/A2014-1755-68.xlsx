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94" i="4"/>
  <c r="D84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29" i="4"/>
  <c r="E127" i="4"/>
  <c r="E126" i="4"/>
  <c r="E124" i="4"/>
  <c r="E116" i="4"/>
  <c r="E114" i="4"/>
  <c r="E113" i="4"/>
  <c r="E112" i="4"/>
  <c r="E111" i="4"/>
  <c r="E110" i="4"/>
  <c r="E109" i="4"/>
  <c r="E108" i="4"/>
  <c r="E107" i="4"/>
  <c r="E106" i="4"/>
  <c r="E103" i="4"/>
  <c r="E94" i="4"/>
  <c r="E92" i="4"/>
  <c r="E91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4" i="4"/>
  <c r="E73" i="4"/>
  <c r="E65" i="4"/>
  <c r="E64" i="4"/>
  <c r="E63" i="4"/>
  <c r="E66" i="4" s="1"/>
  <c r="E57" i="4"/>
  <c r="E56" i="4"/>
  <c r="E54" i="4"/>
  <c r="E154" i="4" l="1"/>
  <c r="E146" i="4"/>
  <c r="D132" i="4"/>
  <c r="E132" i="4" s="1"/>
  <c r="D131" i="4"/>
  <c r="E131" i="4" s="1"/>
  <c r="D130" i="4"/>
  <c r="E130" i="4" s="1"/>
  <c r="D128" i="4"/>
  <c r="E128" i="4" s="1"/>
  <c r="D125" i="4"/>
  <c r="E125" i="4" s="1"/>
  <c r="D123" i="4"/>
  <c r="E123" i="4" s="1"/>
  <c r="D122" i="4"/>
  <c r="E122" i="4" s="1"/>
  <c r="D118" i="4"/>
  <c r="E118" i="4" s="1"/>
  <c r="D117" i="4"/>
  <c r="E117" i="4" s="1"/>
  <c r="D115" i="4"/>
  <c r="E115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93" i="4"/>
  <c r="E93" i="4" s="1"/>
  <c r="D90" i="4"/>
  <c r="E90" i="4" s="1"/>
  <c r="D78" i="4"/>
  <c r="E78" i="4" s="1"/>
  <c r="D75" i="4"/>
  <c r="E75" i="4" s="1"/>
  <c r="D72" i="4"/>
  <c r="E72" i="4" s="1"/>
  <c r="D71" i="4"/>
  <c r="E71" i="4" s="1"/>
  <c r="D70" i="4"/>
  <c r="E70" i="4" s="1"/>
  <c r="E95" i="4" s="1"/>
  <c r="D69" i="4"/>
  <c r="E69" i="4" s="1"/>
  <c r="D159" i="4"/>
  <c r="E159" i="4" s="1"/>
  <c r="E161" i="4" s="1"/>
  <c r="D152" i="4"/>
  <c r="E152" i="4" s="1"/>
  <c r="D58" i="4"/>
  <c r="E58" i="4" s="1"/>
  <c r="D59" i="4"/>
  <c r="E5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E133" i="4" l="1"/>
  <c r="E119" i="4"/>
  <c r="D161" i="4"/>
  <c r="D32" i="4" s="1"/>
  <c r="E32" i="4" s="1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E27" i="4"/>
  <c r="D33" i="4"/>
  <c r="E33" i="4" l="1"/>
  <c r="D34" i="4"/>
  <c r="E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<sst xmlns="http://schemas.openxmlformats.org/spreadsheetml/2006/main" count="391" uniqueCount="266">
  <si>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</si>
  <si>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</si>
  <si>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</si>
  <si>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</si>
  <si>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</si>
  <si>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</si>
  <si>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</si>
  <si>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</si>
  <si>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</si>
  <si>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</si>
  <si>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</si>
  <si>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</si>
  <si>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</si>
  <si>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</si>
  <si>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</si>
  <si>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</si>
  <si>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</si>
  <si>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</si>
  <si>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</si>
  <si>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</si>
  <si>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</si>
  <si>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</si>
  <si>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</si>
  <si>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</si>
  <si>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</si>
  <si>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</si>
  <si>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</si>
  <si>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</si>
  <si>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</si>
  <si>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</si>
  <si>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</si>
  <si>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</si>
  <si>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</si>
  <si>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</si>
  <si>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</si>
  <si>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</si>
  <si>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</si>
  <si>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</si>
  <si>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</si>
  <si>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</si>
  <si>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</si>
  <si>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</si>
  <si>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</si>
  <si>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</si>
  <si>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</si>
  <si>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</si>
  <si>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</si>
  <si>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</si>
  <si>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</si>
  <si>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</si>
  <si>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</si>
  <si>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</si>
  <si>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</si>
  <si>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</si>
  <si>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</si>
  <si>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</si>
  <si>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</si>
  <si>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</si>
  <si>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</si>
  <si>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</si>
  <si>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</si>
  <si>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</si>
  <si>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</si>
  <si>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</si>
  <si>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</si>
  <si>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</si>
  <si>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</si>
  <si>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</si>
  <si>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</si>
  <si>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</si>
  <si>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</si>
  <si>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</si>
  <si>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</si>
  <si>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</si>
  <si>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</si>
  <si>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</si>
  <si>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</si>
  <si>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</si>
  <si>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</si>
  <si>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</si>
  <si>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</si>
  <si>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</si>
  <si>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</si>
  <si>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</si>
  <si>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</si>
  <si>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</si>
  <si>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</si>
  <si>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</si>
  <si>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</si>
  <si>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</si>
  <si>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</si>
  <si>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</si>
  <si>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</si>
  <si>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</si>
  <si>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</si>
  <si>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</si>
  <si>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</si>
  <si>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</si>
  <si>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</si>
  <si>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</si>
  <si>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</si>
  <si>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</si>
  <si>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</si>
  <si>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</si>
  <si>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</si>
  <si>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</si>
  <si>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</si>
  <si>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</si>
  <si>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</si>
  <si>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</si>
  <si>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</si>
  <si>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</si>
  <si>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</si>
  <si>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</si>
  <si>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</si>
  <si>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</si>
  <si>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</si>
  <si>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</si>
  <si>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</si>
  <si>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</si>
  <si>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</si>
  <si>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</si>
  <si>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</si>
  <si>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</si>
  <si>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</si>
  <si>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</si>
  <si>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</si>
  <si>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</si>
  <si>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</si>
  <si>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</si>
  <si>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</si>
  <si>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</si>
  <si>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</si>
  <si>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</si>
  <si>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</si>
  <si>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</si>
  <si>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</si>
  <si>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</si>
  <si>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</si>
  <si>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</si>
  <si>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</si>
  <si>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</si>
  <si>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</si>
  <si>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</si>
  <si>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</si>
  <si>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</si>
  <si>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</si>
  <si>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</si>
  <si>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</si>
  <si>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</si>
  <si>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</si>
  <si>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</si>
  <si>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</si>
  <si>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</si>
  <si>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</si>
  <si>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</si>
  <si>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</si>
  <si>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</si>
  <si>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</si>
  <si>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</si>
  <si>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</si>
  <si>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</si>
  <si>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</si>
  <si>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</si>
  <si>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</si>
  <si>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</si>
  <si>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</si>
  <si>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</si>
  <si>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</si>
  <si>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</si>
  <si>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</si>
  <si>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</si>
  <si>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</si>
  <si>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</si>
  <si>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</si>
  <si>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</si>
  <si>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</si>
  <si>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</si>
  <si>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</si>
  <si>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</si>
  <si>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</si>
  <si>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</si>
  <si>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</si>
  <si>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</si>
  <si>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</si>
  <si>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</si>
  <si>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</si>
  <si>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</si>
  <si>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</si>
  <si>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</si>
  <si>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</si>
  <si>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</si>
  <si>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</si>
  <si>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</si>
  <si>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</si>
  <si>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</si>
  <si>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</si>
  <si>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</si>
  <si>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</si>
  <si>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</si>
  <si>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</si>
  <si>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</si>
  <si>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</si>
  <si>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</si>
  <si>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</si>
  <si>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</si>
  <si>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</si>
  <si>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</si>
  <si>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</si>
  <si>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</si>
  <si>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</si>
  <si>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</si>
  <si>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</si>
  <si>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</si>
  <si>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</si>
  <si>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</si>
  <si>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</si>
  <si>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</si>
  <si>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</si>
  <si>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</si>
  <si>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</si>
  <si>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</si>
  <si>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</si>
  <si>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</si>
  <si>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</si>
  <si>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</si>
  <si>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</si>
  <si>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</si>
  <si>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</si>
  <si>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</si>
  <si>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</si>
  <si>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</si>
  <si>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</si>
  <si>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</si>
  <si>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</si>
  <si>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</si>
  <si>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</si>
  <si>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</si>
  <si>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</si>
  <si>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</si>
  <si>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</si>
  <si>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</si>
  <si>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</si>
  <si>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</si>
  <si>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</si>
  <si>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</si>
  <si>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</si>
  <si>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</si>
  <si>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00000타운 건립공사</t>
    <phoneticPr fontId="2" type="noConversion"/>
  </si>
  <si>
    <t>대전시</t>
  </si>
  <si>
    <t>기타</t>
  </si>
  <si>
    <t>홈통공사</t>
    <phoneticPr fontId="2" type="noConversion"/>
  </si>
  <si>
    <t>부대토목공사</t>
    <phoneticPr fontId="2" type="noConversion"/>
  </si>
  <si>
    <t>부대조경공사</t>
    <phoneticPr fontId="2" type="noConversion"/>
  </si>
  <si>
    <t>품질시험비,지정공사,파일공사,건식칸막이공사,롤스크린공사,단열공사,패널공사,주방기구설치공사,냉각탑설치공사,기타공사,골재대및운반비</t>
    <phoneticPr fontId="2" type="noConversion"/>
  </si>
  <si>
    <t>BUS DUCT공사,태양광발전공사,가설공사,스튜디오조명공사</t>
    <phoneticPr fontId="2" type="noConversion"/>
  </si>
  <si>
    <t>CCTV설비공사,가설공사</t>
    <phoneticPr fontId="2" type="noConversion"/>
  </si>
  <si>
    <t>냉방기설치공사</t>
    <phoneticPr fontId="2" type="noConversion"/>
  </si>
  <si>
    <t>바닥난방공사,공조배관공사,위생배관공사,지열냉난방시스템공사,방화구획내화충전공사,주방기구설치공사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</si>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</sst>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32040</v>
      </c>
      <c r="D7" s="36">
        <f>+C7/3.3058</f>
        <v>9692.0563857462639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16560</v>
      </c>
      <c r="E24" s="58">
        <f t="shared" ref="E24:E33" si="0">TRUNC(+D24*3.3058,-1)</f>
        <v>54740</v>
      </c>
    </row>
    <row r="25" spans="1:5" x14ac:dyDescent="0.3">
      <c r="B25" s="2">
        <v>2</v>
      </c>
      <c r="C25" s="35" t="s">
        <v>111</v>
      </c>
      <c r="D25" s="45">
        <f>+D60</f>
        <v>1770240</v>
      </c>
      <c r="E25" s="59">
        <f t="shared" si="0"/>
        <v>5852050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428240</v>
      </c>
      <c r="E27" s="59">
        <f t="shared" si="0"/>
        <v>1415670</v>
      </c>
    </row>
    <row r="28" spans="1:5" x14ac:dyDescent="0.3">
      <c r="B28" s="2">
        <v>5</v>
      </c>
      <c r="C28" s="35" t="s">
        <v>97</v>
      </c>
      <c r="D28" s="45">
        <f>+D119</f>
        <v>206490</v>
      </c>
      <c r="E28" s="59">
        <f t="shared" si="0"/>
        <v>682610</v>
      </c>
    </row>
    <row r="29" spans="1:5" x14ac:dyDescent="0.3">
      <c r="B29" s="2">
        <v>6</v>
      </c>
      <c r="C29" s="35" t="s">
        <v>98</v>
      </c>
      <c r="D29" s="45">
        <f>+D133</f>
        <v>31260</v>
      </c>
      <c r="E29" s="59">
        <f t="shared" si="0"/>
        <v>103330</v>
      </c>
    </row>
    <row r="30" spans="1:5" x14ac:dyDescent="0.3">
      <c r="B30" s="2">
        <v>7</v>
      </c>
      <c r="C30" s="35" t="s">
        <v>99</v>
      </c>
      <c r="D30" s="45">
        <f>+D146</f>
        <v>48980</v>
      </c>
      <c r="E30" s="59">
        <f t="shared" si="0"/>
        <v>161910</v>
      </c>
    </row>
    <row r="31" spans="1:5" x14ac:dyDescent="0.3">
      <c r="B31" s="2">
        <v>8</v>
      </c>
      <c r="C31" s="35" t="s">
        <v>100</v>
      </c>
      <c r="D31" s="45">
        <f>+D154</f>
        <v>33170</v>
      </c>
      <c r="E31" s="59">
        <f t="shared" si="0"/>
        <v>109650</v>
      </c>
    </row>
    <row r="32" spans="1:5" x14ac:dyDescent="0.3">
      <c r="B32" s="2">
        <v>9</v>
      </c>
      <c r="C32" s="35" t="s">
        <v>101</v>
      </c>
      <c r="D32" s="45">
        <f>+D161</f>
        <v>18240</v>
      </c>
      <c r="E32" s="59">
        <f t="shared" si="0"/>
        <v>60290</v>
      </c>
    </row>
    <row r="33" spans="1:7" x14ac:dyDescent="0.3">
      <c r="B33" s="2">
        <v>10</v>
      </c>
      <c r="C33" s="35" t="s">
        <v>154</v>
      </c>
      <c r="D33" s="53">
        <f>TRUNC(SUM(D24:D32)*0.275,-1)</f>
        <v>702120</v>
      </c>
      <c r="E33" s="60">
        <f t="shared" si="0"/>
        <v>2321060</v>
      </c>
    </row>
    <row r="34" spans="1:7" x14ac:dyDescent="0.3">
      <c r="C34" s="35" t="s">
        <v>112</v>
      </c>
      <c r="D34" s="44">
        <f>SUM(D24:D33)</f>
        <v>3255300</v>
      </c>
      <c r="E34" s="44">
        <f>SUM(E24:E33)</f>
        <v>10761310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TRUNC(16563,-1)</f>
        <v>16560</v>
      </c>
      <c r="E37" s="61">
        <f>TRUNC(+D37*3.3058,-1)</f>
        <v>54740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TRUNC(43342,-1)</f>
        <v>43340</v>
      </c>
      <c r="E40" s="62">
        <f t="shared" ref="E40:E59" si="1">TRUNC(+D40*3.3058,-1)</f>
        <v>143270</v>
      </c>
    </row>
    <row r="41" spans="1:7" x14ac:dyDescent="0.3">
      <c r="A41" s="2">
        <v>2</v>
      </c>
      <c r="C41" s="38" t="s">
        <v>13</v>
      </c>
      <c r="D41" s="42">
        <f>TRUNC(110346,-1)</f>
        <v>110340</v>
      </c>
      <c r="E41" s="63">
        <f t="shared" si="1"/>
        <v>364760</v>
      </c>
    </row>
    <row r="42" spans="1:7" x14ac:dyDescent="0.3">
      <c r="A42" s="2">
        <v>3</v>
      </c>
      <c r="C42" s="38" t="s">
        <v>14</v>
      </c>
      <c r="D42" s="42">
        <f>TRUNC(76632,-1)</f>
        <v>76630</v>
      </c>
      <c r="E42" s="63">
        <f t="shared" si="1"/>
        <v>253320</v>
      </c>
    </row>
    <row r="43" spans="1:7" x14ac:dyDescent="0.3">
      <c r="A43" s="2">
        <v>4</v>
      </c>
      <c r="C43" s="38" t="s">
        <v>16</v>
      </c>
      <c r="D43" s="42">
        <f>TRUNC(10509,-1)</f>
        <v>10500</v>
      </c>
      <c r="E43" s="63">
        <f t="shared" si="1"/>
        <v>34710</v>
      </c>
    </row>
    <row r="44" spans="1:7" x14ac:dyDescent="0.3">
      <c r="A44" s="2">
        <v>5</v>
      </c>
      <c r="C44" s="38" t="s">
        <v>17</v>
      </c>
      <c r="D44" s="42">
        <f>TRUNC(29889,-1)</f>
        <v>29880</v>
      </c>
      <c r="E44" s="63">
        <f t="shared" si="1"/>
        <v>98770</v>
      </c>
    </row>
    <row r="45" spans="1:7" x14ac:dyDescent="0.3">
      <c r="A45" s="2">
        <v>6</v>
      </c>
      <c r="C45" s="38" t="s">
        <v>18</v>
      </c>
      <c r="D45" s="42">
        <f>TRUNC(7419,-1)</f>
        <v>7410</v>
      </c>
      <c r="E45" s="63">
        <f t="shared" si="1"/>
        <v>24490</v>
      </c>
    </row>
    <row r="46" spans="1:7" x14ac:dyDescent="0.3">
      <c r="A46" s="2">
        <v>7</v>
      </c>
      <c r="C46" s="38" t="s">
        <v>19</v>
      </c>
      <c r="D46" s="42">
        <f>TRUNC(806,-1)</f>
        <v>800</v>
      </c>
      <c r="E46" s="63">
        <f t="shared" si="1"/>
        <v>2640</v>
      </c>
    </row>
    <row r="47" spans="1:7" x14ac:dyDescent="0.3">
      <c r="A47" s="2">
        <v>8</v>
      </c>
      <c r="C47" s="38" t="s">
        <v>20</v>
      </c>
      <c r="D47" s="42">
        <f>TRUNC(7792,-1)</f>
        <v>7790</v>
      </c>
      <c r="E47" s="63">
        <f t="shared" si="1"/>
        <v>25750</v>
      </c>
    </row>
    <row r="48" spans="1:7" x14ac:dyDescent="0.3">
      <c r="A48" s="2">
        <v>9</v>
      </c>
      <c r="C48" s="38" t="s">
        <v>21</v>
      </c>
      <c r="D48" s="42">
        <f>TRUNC(63178,-1)</f>
        <v>63170</v>
      </c>
      <c r="E48" s="63">
        <f t="shared" si="1"/>
        <v>208820</v>
      </c>
    </row>
    <row r="49" spans="1:7" x14ac:dyDescent="0.3">
      <c r="A49" s="2">
        <v>10</v>
      </c>
      <c r="C49" s="38" t="s">
        <v>22</v>
      </c>
      <c r="D49" s="42">
        <f>TRUNC(12600,-1)</f>
        <v>12600</v>
      </c>
      <c r="E49" s="63">
        <f t="shared" si="1"/>
        <v>41650</v>
      </c>
    </row>
    <row r="50" spans="1:7" x14ac:dyDescent="0.3">
      <c r="A50" s="2">
        <v>11</v>
      </c>
      <c r="C50" s="38" t="s">
        <v>155</v>
      </c>
      <c r="D50" s="42">
        <f>TRUNC(30700,-1)</f>
        <v>30700</v>
      </c>
      <c r="E50" s="63">
        <f t="shared" si="1"/>
        <v>101480</v>
      </c>
    </row>
    <row r="51" spans="1:7" x14ac:dyDescent="0.3">
      <c r="A51" s="2">
        <v>12</v>
      </c>
      <c r="C51" s="38" t="s">
        <v>23</v>
      </c>
      <c r="D51" s="42">
        <f>TRUNC(11287,-1)</f>
        <v>11280</v>
      </c>
      <c r="E51" s="63">
        <f t="shared" si="1"/>
        <v>37280</v>
      </c>
    </row>
    <row r="52" spans="1:7" x14ac:dyDescent="0.3">
      <c r="A52" s="2">
        <v>13</v>
      </c>
      <c r="C52" s="38" t="s">
        <v>24</v>
      </c>
      <c r="D52" s="42">
        <f>TRUNC(15650,-1)</f>
        <v>15650</v>
      </c>
      <c r="E52" s="63">
        <f t="shared" si="1"/>
        <v>51730</v>
      </c>
    </row>
    <row r="53" spans="1:7" x14ac:dyDescent="0.3">
      <c r="A53" s="2">
        <v>14</v>
      </c>
      <c r="C53" s="38" t="s">
        <v>25</v>
      </c>
      <c r="D53" s="42">
        <f>TRUNC(110760,-1)</f>
        <v>110760</v>
      </c>
      <c r="E53" s="63">
        <f t="shared" si="1"/>
        <v>366150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TRUNC(2145,-1)</f>
        <v>2140</v>
      </c>
      <c r="E55" s="63">
        <f t="shared" si="1"/>
        <v>7070</v>
      </c>
      <c r="F55" s="2" t="s">
        <v>251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TRUNC(1575+3705+26805+1392+2019+34238+22586+880834+5796+6541,-1)</f>
        <v>985490</v>
      </c>
      <c r="E58" s="63">
        <f t="shared" si="1"/>
        <v>3257830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TRUNC(251769,-1)</f>
        <v>251760</v>
      </c>
      <c r="E59" s="64">
        <f t="shared" si="1"/>
        <v>832260</v>
      </c>
    </row>
    <row r="60" spans="1:7" x14ac:dyDescent="0.3">
      <c r="A60" s="2">
        <v>21</v>
      </c>
      <c r="C60" s="27" t="s">
        <v>112</v>
      </c>
      <c r="D60" s="39">
        <f>SUM(D40:D59)</f>
        <v>1770240</v>
      </c>
      <c r="E60" s="39">
        <f>SUM(E40:E59)</f>
        <v>5851980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TRUNC(7579,-1)</f>
        <v>7570</v>
      </c>
      <c r="E69" s="62">
        <f t="shared" ref="E69:E94" si="2">TRUNC(+D69*3.3058,-1)</f>
        <v>25020</v>
      </c>
    </row>
    <row r="70" spans="1:7" ht="16.5" customHeight="1" x14ac:dyDescent="0.3">
      <c r="A70" s="2">
        <v>2</v>
      </c>
      <c r="C70" s="38" t="s">
        <v>31</v>
      </c>
      <c r="D70" s="42">
        <f>TRUNC(97,-1)</f>
        <v>90</v>
      </c>
      <c r="E70" s="63">
        <f t="shared" si="2"/>
        <v>290</v>
      </c>
    </row>
    <row r="71" spans="1:7" x14ac:dyDescent="0.3">
      <c r="A71" s="2">
        <v>3</v>
      </c>
      <c r="C71" s="38" t="s">
        <v>32</v>
      </c>
      <c r="D71" s="42">
        <f>TRUNC(17075,-1)</f>
        <v>17070</v>
      </c>
      <c r="E71" s="63">
        <f t="shared" si="2"/>
        <v>56430</v>
      </c>
    </row>
    <row r="72" spans="1:7" x14ac:dyDescent="0.3">
      <c r="A72" s="2">
        <v>4</v>
      </c>
      <c r="C72" s="38" t="s">
        <v>33</v>
      </c>
      <c r="D72" s="42">
        <f>TRUNC(1868,-1)</f>
        <v>1860</v>
      </c>
      <c r="E72" s="63">
        <f t="shared" si="2"/>
        <v>6140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TRUNC(25883,-1)</f>
        <v>25880</v>
      </c>
      <c r="E75" s="63">
        <f t="shared" si="2"/>
        <v>85550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TRUNC(62974,-1)</f>
        <v>62970</v>
      </c>
      <c r="E78" s="63">
        <f t="shared" si="2"/>
        <v>208160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TRUNC(416,-1)</f>
        <v>410</v>
      </c>
      <c r="E84" s="63">
        <f t="shared" si="2"/>
        <v>1350</v>
      </c>
      <c r="F84" s="2" t="s">
        <v>257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TRUNC(1105,-1)</f>
        <v>1100</v>
      </c>
      <c r="E90" s="63">
        <f t="shared" si="2"/>
        <v>3630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TRUNC(235535,-1)</f>
        <v>235530</v>
      </c>
      <c r="E93" s="63">
        <f t="shared" si="2"/>
        <v>778610</v>
      </c>
    </row>
    <row r="94" spans="1:7" ht="17.25" thickBot="1" x14ac:dyDescent="0.35">
      <c r="A94" s="2">
        <v>26</v>
      </c>
      <c r="C94" s="38" t="s">
        <v>47</v>
      </c>
      <c r="D94" s="43">
        <f>TRUNC(863+12876+18789+42117+886+234,-1)</f>
        <v>75760</v>
      </c>
      <c r="E94" s="64">
        <f t="shared" si="2"/>
        <v>250440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428240</v>
      </c>
      <c r="E95" s="39">
        <f>SUM(E69:E94)</f>
        <v>1415620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TRUNC(51317,-1)</f>
        <v>51310</v>
      </c>
      <c r="E98" s="62">
        <f t="shared" ref="E98:E118" si="3">TRUNC(+D98*3.3058,-1)</f>
        <v>169620</v>
      </c>
    </row>
    <row r="99" spans="1:7" x14ac:dyDescent="0.3">
      <c r="A99" s="2">
        <v>2</v>
      </c>
      <c r="C99" s="38" t="s">
        <v>40</v>
      </c>
      <c r="D99" s="42">
        <f>TRUNC(8989,-1)</f>
        <v>8980</v>
      </c>
      <c r="E99" s="63">
        <f t="shared" si="3"/>
        <v>29680</v>
      </c>
    </row>
    <row r="100" spans="1:7" x14ac:dyDescent="0.3">
      <c r="A100" s="2">
        <v>3</v>
      </c>
      <c r="C100" s="38" t="s">
        <v>41</v>
      </c>
      <c r="D100" s="42">
        <f>TRUNC(21298,-1)</f>
        <v>21290</v>
      </c>
      <c r="E100" s="63">
        <f t="shared" si="3"/>
        <v>70380</v>
      </c>
    </row>
    <row r="101" spans="1:7" x14ac:dyDescent="0.3">
      <c r="A101" s="2">
        <v>4</v>
      </c>
      <c r="C101" s="38" t="s">
        <v>42</v>
      </c>
      <c r="D101" s="42">
        <f>TRUNC(745,-1)</f>
        <v>740</v>
      </c>
      <c r="E101" s="63">
        <f t="shared" si="3"/>
        <v>2440</v>
      </c>
    </row>
    <row r="102" spans="1:7" x14ac:dyDescent="0.3">
      <c r="A102" s="2">
        <v>5</v>
      </c>
      <c r="C102" s="38" t="s">
        <v>43</v>
      </c>
      <c r="D102" s="42">
        <f>TRUNC(4323,-1)</f>
        <v>4320</v>
      </c>
      <c r="E102" s="63">
        <f t="shared" si="3"/>
        <v>14280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TRUNC(3618,-1)</f>
        <v>3610</v>
      </c>
      <c r="E104" s="63">
        <f t="shared" si="3"/>
        <v>11930</v>
      </c>
    </row>
    <row r="105" spans="1:7" x14ac:dyDescent="0.3">
      <c r="A105" s="2">
        <v>8</v>
      </c>
      <c r="C105" s="38" t="s">
        <v>46</v>
      </c>
      <c r="D105" s="42">
        <f>TRUNC(8429,-1)</f>
        <v>8420</v>
      </c>
      <c r="E105" s="63">
        <f t="shared" si="3"/>
        <v>27830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TRUNC(5607,-1)</f>
        <v>5600</v>
      </c>
      <c r="E115" s="63">
        <f t="shared" si="3"/>
        <v>18510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TRUNC(82625,-1)</f>
        <v>82620</v>
      </c>
      <c r="E117" s="63">
        <f t="shared" si="3"/>
        <v>273120</v>
      </c>
    </row>
    <row r="118" spans="1:7" ht="17.25" thickBot="1" x14ac:dyDescent="0.35">
      <c r="A118" s="2">
        <v>21</v>
      </c>
      <c r="C118" s="38" t="s">
        <v>47</v>
      </c>
      <c r="D118" s="43">
        <f>TRUNC(17531+405+54+1611,-1)</f>
        <v>19600</v>
      </c>
      <c r="E118" s="64">
        <f t="shared" si="3"/>
        <v>64790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206490</v>
      </c>
      <c r="E119" s="39">
        <f>SUM(E98:E118)</f>
        <v>682580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TRUNC(2689,-1)</f>
        <v>2680</v>
      </c>
      <c r="E122" s="62">
        <f t="shared" ref="E122:E132" si="4">TRUNC(+D122*3.3058,-1)</f>
        <v>8850</v>
      </c>
    </row>
    <row r="123" spans="1:7" x14ac:dyDescent="0.3">
      <c r="A123" s="2">
        <v>2</v>
      </c>
      <c r="C123" s="38" t="s">
        <v>124</v>
      </c>
      <c r="D123" s="42">
        <f>TRUNC(2402,-1)</f>
        <v>2400</v>
      </c>
      <c r="E123" s="63">
        <f t="shared" si="4"/>
        <v>7930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TRUNC(3729,-1)</f>
        <v>3720</v>
      </c>
      <c r="E125" s="63">
        <f t="shared" si="4"/>
        <v>12290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TRUNC(1791,-1)</f>
        <v>1790</v>
      </c>
      <c r="E128" s="63">
        <f t="shared" si="4"/>
        <v>5910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TRUNC(4300,-1)</f>
        <v>4300</v>
      </c>
      <c r="E130" s="63">
        <f t="shared" si="4"/>
        <v>14210</v>
      </c>
    </row>
    <row r="131" spans="1:7" x14ac:dyDescent="0.3">
      <c r="A131" s="2">
        <v>10</v>
      </c>
      <c r="C131" s="38" t="s">
        <v>148</v>
      </c>
      <c r="D131" s="42">
        <f>TRUNC(15076,-1)</f>
        <v>15070</v>
      </c>
      <c r="E131" s="63">
        <f t="shared" si="4"/>
        <v>49810</v>
      </c>
    </row>
    <row r="132" spans="1:7" ht="18" thickBot="1" x14ac:dyDescent="0.35">
      <c r="A132" s="2">
        <v>11</v>
      </c>
      <c r="C132" s="38" t="s">
        <v>47</v>
      </c>
      <c r="D132" s="43">
        <f>TRUNC(1253+54,-1)</f>
        <v>1300</v>
      </c>
      <c r="E132" s="64">
        <f t="shared" si="4"/>
        <v>4290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31260</v>
      </c>
      <c r="E133" s="39">
        <f>SUM(E122:E132)</f>
        <v>103290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TRUNC(31081,-1)</f>
        <v>31080</v>
      </c>
      <c r="E136" s="62">
        <f t="shared" ref="E136:E145" si="5">TRUNC(+D136*3.3058,-1)</f>
        <v>102740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f>TRUNC(17908,-1)</f>
        <v>17900</v>
      </c>
      <c r="E137" s="63">
        <f t="shared" si="5"/>
        <v>59170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48980</v>
      </c>
      <c r="E146" s="39">
        <f>SUM(E136:E145)</f>
        <v>161910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TRUNC(33173,-1)</f>
        <v>33170</v>
      </c>
      <c r="E152" s="63">
        <f>TRUNC(+D152*3.3058,-1)</f>
        <v>109650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33170</v>
      </c>
      <c r="E154" s="39">
        <f>SUM(E149:E153)</f>
        <v>109650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TRUNC(18249,-1)</f>
        <v>18240</v>
      </c>
      <c r="E159" s="63">
        <f>TRUNC(+D159*3.3058,-1)</f>
        <v>60290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18240</v>
      </c>
      <c r="E161" s="39">
        <f>SUM(E157:E160)</f>
        <v>60290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2020-12-07T09:48:30Z</dcterms:modified>
</cp:coreProperties>
</file>