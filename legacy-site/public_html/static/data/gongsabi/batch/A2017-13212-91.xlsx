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6" i="4"/>
  <c r="D124" i="4"/>
  <c r="D122" i="4"/>
  <c r="D118" i="4"/>
  <c r="D117" i="4"/>
  <c r="D114" i="4"/>
  <c r="D104" i="4"/>
  <c r="D103" i="4"/>
  <c r="D102" i="4"/>
  <c r="D99" i="4"/>
  <c r="D98" i="4"/>
  <c r="D91" i="4"/>
  <c r="D90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<sst xmlns="http://schemas.openxmlformats.org/spreadsheetml/2006/main" count="390" uniqueCount="267">
  <si>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</si>
  <si>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</si>
  <si>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</si>
  <si>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</si>
  <si>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</si>
  <si>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</si>
  <si>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</si>
  <si>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</si>
  <si>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</si>
  <si>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</si>
  <si>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</si>
  <si>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</si>
  <si>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</si>
  <si>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</si>
  <si>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</si>
  <si>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</si>
  <si>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</si>
  <si>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</si>
  <si>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</si>
  <si>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</si>
  <si>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</si>
  <si>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</si>
  <si>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</si>
  <si>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</si>
  <si>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</si>
  <si>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</si>
  <si>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</si>
  <si>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</si>
  <si>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</si>
  <si>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</si>
  <si>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</si>
  <si>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</si>
  <si>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</si>
  <si>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</si>
  <si>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</si>
  <si>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</si>
  <si>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</si>
  <si>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</si>
  <si>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</si>
  <si>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</si>
  <si>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</si>
  <si>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</si>
  <si>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</si>
  <si>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</si>
  <si>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</si>
  <si>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</si>
  <si>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</si>
  <si>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</si>
  <si>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</si>
  <si>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</si>
  <si>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</si>
  <si>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</si>
  <si>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</si>
  <si>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</si>
  <si>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</si>
  <si>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</si>
  <si>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</si>
  <si>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</si>
  <si>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</si>
  <si>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</si>
  <si>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</si>
  <si>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</si>
  <si>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</si>
  <si>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</si>
  <si>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</si>
  <si>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</si>
  <si>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</si>
  <si>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</si>
  <si>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</si>
  <si>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</si>
  <si>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</si>
  <si>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</si>
  <si>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</si>
  <si>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</si>
  <si>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</si>
  <si>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</si>
  <si>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</si>
  <si>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</si>
  <si>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</si>
  <si>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</si>
  <si>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</si>
  <si>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</si>
  <si>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</si>
  <si>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</si>
  <si>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</si>
  <si>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</si>
  <si>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</si>
  <si>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</si>
  <si>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</si>
  <si>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</si>
  <si>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</si>
  <si>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</si>
  <si>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</si>
  <si>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</si>
  <si>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</si>
  <si>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</si>
  <si>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</si>
  <si>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</si>
  <si>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</si>
  <si>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</si>
  <si>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</si>
  <si>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</si>
  <si>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</si>
  <si>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</si>
  <si>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</si>
  <si>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</si>
  <si>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</si>
  <si>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</si>
  <si>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</si>
  <si>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</si>
  <si>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</si>
  <si>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</si>
  <si>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</si>
  <si>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</si>
  <si>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</si>
  <si>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</si>
  <si>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</si>
  <si>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</si>
  <si>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</si>
  <si>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</si>
  <si>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</si>
  <si>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</si>
  <si>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</si>
  <si>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</si>
  <si>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</si>
  <si>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</si>
  <si>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</si>
  <si>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</si>
  <si>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</si>
  <si>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</si>
  <si>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</si>
  <si>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</si>
  <si>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</si>
  <si>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</si>
  <si>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</si>
  <si>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</si>
  <si>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</si>
  <si>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</si>
  <si>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</si>
  <si>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</si>
  <si>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</si>
  <si>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</si>
  <si>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</si>
  <si>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</si>
  <si>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</si>
  <si>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</si>
  <si>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</si>
  <si>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</si>
  <si>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</si>
  <si>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</si>
  <si>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</si>
  <si>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</si>
  <si>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</si>
  <si>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</si>
  <si>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</si>
  <si>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</si>
  <si>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</si>
  <si>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</si>
  <si>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</si>
  <si>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</si>
  <si>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</si>
  <si>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</si>
  <si>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</si>
  <si>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</si>
  <si>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</si>
  <si>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</si>
  <si>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</si>
  <si>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</si>
  <si>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</si>
  <si>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</si>
  <si>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</si>
  <si>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</si>
  <si>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</si>
  <si>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</si>
  <si>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</si>
  <si>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</si>
  <si>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</si>
  <si>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</si>
  <si>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</si>
  <si>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</si>
  <si>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</si>
  <si>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</si>
  <si>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</si>
  <si>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</si>
  <si>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</si>
  <si>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</si>
  <si>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</si>
  <si>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</si>
  <si>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</si>
  <si>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</si>
  <si>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</si>
  <si>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</si>
  <si>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</si>
  <si>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</si>
  <si>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</si>
  <si>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</si>
  <si>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</si>
  <si>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</si>
  <si>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</si>
  <si>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</si>
  <si>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</si>
  <si>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</si>
  <si>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</si>
  <si>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</si>
  <si>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</si>
  <si>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</si>
  <si>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</si>
  <si>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</si>
  <si>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</si>
  <si>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</si>
  <si>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</si>
  <si>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</si>
  <si>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</si>
  <si>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</si>
  <si>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</si>
  <si>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</si>
  <si>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</si>
  <si>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</si>
  <si>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</si>
  <si>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</si>
  <si>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</si>
  <si>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</si>
  <si>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</si>
  <si>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</si>
  <si>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</si>
  <si>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</si>
  <si>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</si>
  <si>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</si>
  <si>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</si>
  <si>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</si>
  <si>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</si>
  <si>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</si>
  <si>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</si>
  <si>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</si>
  <si>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</si>
  <si>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</si>
  <si>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</si>
  <si>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</si>
  <si>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</si>
  <si>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</si>
  <si>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</si>
  <si>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</si>
  <si>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</si>
  <si>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</si>
  <si>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</si>
  <si>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</si>
  <si>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</si>
  <si>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</si>
  <si>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</si>
  <si>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</si>
  <si>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</si>
  <si>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</si>
  <si>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</si>
  <si>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</si>
  <si>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</si>
  <si>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한국국토정보공사 경남지역본부 진주지사 사옥 신축공사</t>
    <phoneticPr fontId="2" type="noConversion"/>
  </si>
  <si>
    <t>경상도</t>
  </si>
  <si>
    <t>기초공사, 골재비및운반비, 기타공사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</si>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</sst>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2354.58</v>
      </c>
      <c r="D7" s="36">
        <f>+C7/3.3058</f>
        <v>712.25724484239822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1037110</v>
      </c>
      <c r="E25" s="59">
        <f t="shared" si="0"/>
        <v>3428470</v>
      </c>
    </row>
    <row r="26" spans="1:5" x14ac:dyDescent="0.3">
      <c r="B26" s="2">
        <v>3</v>
      </c>
      <c r="C26" s="35" t="s">
        <v>95</v>
      </c>
      <c r="D26" s="45">
        <f>+D66</f>
        <v>7220</v>
      </c>
      <c r="E26" s="59">
        <f t="shared" si="0"/>
        <v>23860</v>
      </c>
    </row>
    <row r="27" spans="1:5" x14ac:dyDescent="0.3">
      <c r="B27" s="2">
        <v>4</v>
      </c>
      <c r="C27" s="35" t="s">
        <v>96</v>
      </c>
      <c r="D27" s="45">
        <f>+D95</f>
        <v>71070</v>
      </c>
      <c r="E27" s="59">
        <f t="shared" si="0"/>
        <v>234940</v>
      </c>
    </row>
    <row r="28" spans="1:5" x14ac:dyDescent="0.3">
      <c r="B28" s="2">
        <v>5</v>
      </c>
      <c r="C28" s="35" t="s">
        <v>97</v>
      </c>
      <c r="D28" s="45">
        <f>+D119</f>
        <v>200660</v>
      </c>
      <c r="E28" s="59">
        <f t="shared" si="0"/>
        <v>663340</v>
      </c>
    </row>
    <row r="29" spans="1:5" x14ac:dyDescent="0.3">
      <c r="B29" s="2">
        <v>6</v>
      </c>
      <c r="C29" s="35" t="s">
        <v>98</v>
      </c>
      <c r="D29" s="45">
        <f>+D133</f>
        <v>65370</v>
      </c>
      <c r="E29" s="59">
        <f t="shared" si="0"/>
        <v>216100</v>
      </c>
    </row>
    <row r="30" spans="1:5" x14ac:dyDescent="0.3">
      <c r="B30" s="2">
        <v>7</v>
      </c>
      <c r="C30" s="35" t="s">
        <v>99</v>
      </c>
      <c r="D30" s="45">
        <f>+D146</f>
        <v>31450</v>
      </c>
      <c r="E30" s="59">
        <f t="shared" si="0"/>
        <v>103960</v>
      </c>
    </row>
    <row r="31" spans="1:5" x14ac:dyDescent="0.3">
      <c r="B31" s="2">
        <v>8</v>
      </c>
      <c r="C31" s="35" t="s">
        <v>100</v>
      </c>
      <c r="D31" s="45">
        <f>+D154</f>
        <v>67240</v>
      </c>
      <c r="E31" s="59">
        <f t="shared" si="0"/>
        <v>222280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407030</v>
      </c>
      <c r="E33" s="60">
        <f t="shared" si="0"/>
        <v>1345550</v>
      </c>
    </row>
    <row r="34" spans="1:7" x14ac:dyDescent="0.3">
      <c r="C34" s="35" t="s">
        <v>112</v>
      </c>
      <c r="D34" s="44">
        <f>SUM(D24:D33)</f>
        <v>1887150</v>
      </c>
      <c r="E34" s="44">
        <f>SUM(E24:E33)</f>
        <v>6238500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260</v>
      </c>
      <c r="C39" s="56" t="s">
        <v>261</v>
      </c>
      <c r="D39" s="57" t="s">
        <v>262</v>
      </c>
      <c r="E39" s="57" t="s">
        <v>263</v>
      </c>
      <c r="G39" s="55"/>
    </row>
    <row r="40" spans="1:7" x14ac:dyDescent="0.3">
      <c r="A40" s="2">
        <v>1</v>
      </c>
      <c r="C40" s="38" t="s">
        <v>15</v>
      </c>
      <c r="D40" s="40">
        <f>TRUNC(54777,-1)</f>
        <v>54770</v>
      </c>
      <c r="E40" s="62">
        <f t="shared" ref="E40:E59" si="1">TRUNC(+D40*3.3058,-1)</f>
        <v>181050</v>
      </c>
    </row>
    <row r="41" spans="1:7" x14ac:dyDescent="0.3">
      <c r="A41" s="2">
        <v>2</v>
      </c>
      <c r="C41" s="38" t="s">
        <v>13</v>
      </c>
      <c r="D41" s="42">
        <f>TRUNC(174612,-1)</f>
        <v>174610</v>
      </c>
      <c r="E41" s="63">
        <f t="shared" si="1"/>
        <v>577220</v>
      </c>
    </row>
    <row r="42" spans="1:7" x14ac:dyDescent="0.3">
      <c r="A42" s="2">
        <v>3</v>
      </c>
      <c r="C42" s="38" t="s">
        <v>14</v>
      </c>
      <c r="D42" s="42">
        <f>TRUNC(6424,-1)</f>
        <v>6420</v>
      </c>
      <c r="E42" s="63">
        <f t="shared" si="1"/>
        <v>21220</v>
      </c>
    </row>
    <row r="43" spans="1:7" x14ac:dyDescent="0.3">
      <c r="A43" s="2">
        <v>4</v>
      </c>
      <c r="C43" s="38" t="s">
        <v>16</v>
      </c>
      <c r="D43" s="42">
        <f>TRUNC(5882,-1)</f>
        <v>5880</v>
      </c>
      <c r="E43" s="63">
        <f t="shared" si="1"/>
        <v>19430</v>
      </c>
    </row>
    <row r="44" spans="1:7" x14ac:dyDescent="0.3">
      <c r="A44" s="2">
        <v>5</v>
      </c>
      <c r="C44" s="38" t="s">
        <v>17</v>
      </c>
      <c r="D44" s="42">
        <v>20060</v>
      </c>
      <c r="E44" s="63">
        <f t="shared" si="1"/>
        <v>66310</v>
      </c>
    </row>
    <row r="45" spans="1:7" x14ac:dyDescent="0.3">
      <c r="A45" s="2">
        <v>6</v>
      </c>
      <c r="C45" s="38" t="s">
        <v>18</v>
      </c>
      <c r="D45" s="42">
        <v>11760</v>
      </c>
      <c r="E45" s="63">
        <f t="shared" si="1"/>
        <v>38870</v>
      </c>
    </row>
    <row r="46" spans="1:7" x14ac:dyDescent="0.3">
      <c r="A46" s="2">
        <v>7</v>
      </c>
      <c r="C46" s="38" t="s">
        <v>19</v>
      </c>
      <c r="D46" s="42">
        <v>38610</v>
      </c>
      <c r="E46" s="63">
        <f t="shared" si="1"/>
        <v>127630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TRUNC(72273,-1)</f>
        <v>72270</v>
      </c>
      <c r="E48" s="63">
        <f t="shared" si="1"/>
        <v>238910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TRUNC(29636,-1)</f>
        <v>29630</v>
      </c>
      <c r="E49" s="63">
        <f t="shared" si="1"/>
        <v>97950</v>
      </c>
    </row>
    <row r="50" spans="1:7" x14ac:dyDescent="0.3">
      <c r="A50" s="2">
        <v>11</v>
      </c>
      <c r="C50" s="38" t="s">
        <v>155</v>
      </c>
      <c r="D50" s="42">
        <f>TRUNC(51288,-1)</f>
        <v>51280</v>
      </c>
      <c r="E50" s="63">
        <f t="shared" si="1"/>
        <v>169520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TRUNC(17097,-1)</f>
        <v>17090</v>
      </c>
      <c r="E52" s="63">
        <f t="shared" si="1"/>
        <v>56490</v>
      </c>
    </row>
    <row r="53" spans="1:7" x14ac:dyDescent="0.3">
      <c r="A53" s="2">
        <v>14</v>
      </c>
      <c r="C53" s="38" t="s">
        <v>25</v>
      </c>
      <c r="D53" s="42">
        <f>TRUNC(77331,-1)</f>
        <v>77330</v>
      </c>
      <c r="E53" s="63">
        <f t="shared" si="1"/>
        <v>255630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TRUNC(27685+5154+14233,-1)</f>
        <v>47070</v>
      </c>
      <c r="E58" s="63">
        <f t="shared" si="1"/>
        <v>155600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TRUNC(430332,-1)</f>
        <v>430330</v>
      </c>
      <c r="E59" s="64">
        <f t="shared" si="1"/>
        <v>1422580</v>
      </c>
    </row>
    <row r="60" spans="1:7" x14ac:dyDescent="0.3">
      <c r="A60" s="2">
        <v>21</v>
      </c>
      <c r="C60" s="27" t="s">
        <v>112</v>
      </c>
      <c r="D60" s="39">
        <f>SUM(D40:D59)</f>
        <v>1037110</v>
      </c>
      <c r="E60" s="39">
        <f>SUM(E40:E59)</f>
        <v>3428410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TRUNC(7227,-1)</f>
        <v>7220</v>
      </c>
      <c r="E63" s="62">
        <f>TRUNC(+D63*3.3058,-1)</f>
        <v>23860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7220</v>
      </c>
      <c r="E66" s="65">
        <f>SUM(E63:E65)</f>
        <v>23860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TRUNC(16117,-1)</f>
        <v>16110</v>
      </c>
      <c r="E69" s="62">
        <f t="shared" ref="E69:E94" si="2">TRUNC(+D69*3.3058,-1)</f>
        <v>53250</v>
      </c>
    </row>
    <row r="70" spans="1:7" ht="16.5" customHeight="1" x14ac:dyDescent="0.3">
      <c r="A70" s="2">
        <v>2</v>
      </c>
      <c r="C70" s="38" t="s">
        <v>31</v>
      </c>
      <c r="D70" s="42">
        <f>TRUNC(625,-1)</f>
        <v>620</v>
      </c>
      <c r="E70" s="63">
        <f t="shared" si="2"/>
        <v>2040</v>
      </c>
    </row>
    <row r="71" spans="1:7" x14ac:dyDescent="0.3">
      <c r="A71" s="2">
        <v>3</v>
      </c>
      <c r="C71" s="38" t="s">
        <v>32</v>
      </c>
      <c r="D71" s="42">
        <f>TRUNC(12126,-1)</f>
        <v>12120</v>
      </c>
      <c r="E71" s="63">
        <f t="shared" si="2"/>
        <v>40060</v>
      </c>
    </row>
    <row r="72" spans="1:7" x14ac:dyDescent="0.3">
      <c r="A72" s="2">
        <v>4</v>
      </c>
      <c r="C72" s="38" t="s">
        <v>33</v>
      </c>
      <c r="D72" s="42">
        <f>TRUNC(5588,-1)</f>
        <v>5580</v>
      </c>
      <c r="E72" s="63">
        <f t="shared" si="2"/>
        <v>18440</v>
      </c>
    </row>
    <row r="73" spans="1:7" x14ac:dyDescent="0.3">
      <c r="A73" s="2">
        <v>5</v>
      </c>
      <c r="C73" s="38" t="s">
        <v>34</v>
      </c>
      <c r="D73" s="42">
        <f>TRUNC(31318,-1)</f>
        <v>31310</v>
      </c>
      <c r="E73" s="63">
        <f t="shared" si="2"/>
        <v>103500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TRUNC(3285,-1)</f>
        <v>3280</v>
      </c>
      <c r="E90" s="63">
        <f t="shared" si="2"/>
        <v>10840</v>
      </c>
    </row>
    <row r="91" spans="1:7" x14ac:dyDescent="0.3">
      <c r="A91" s="2">
        <v>23</v>
      </c>
      <c r="C91" s="38" t="s">
        <v>37</v>
      </c>
      <c r="D91" s="42">
        <f>TRUNC(2058,-1)</f>
        <v>2050</v>
      </c>
      <c r="E91" s="63">
        <f t="shared" si="2"/>
        <v>6770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71070</v>
      </c>
      <c r="E95" s="39">
        <f>SUM(E69:E94)</f>
        <v>234900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TRUNC(10578,-1)</f>
        <v>10570</v>
      </c>
      <c r="E98" s="62">
        <f t="shared" ref="E98:E118" si="3">TRUNC(+D98*3.3058,-1)</f>
        <v>34940</v>
      </c>
    </row>
    <row r="99" spans="1:7" x14ac:dyDescent="0.3">
      <c r="A99" s="2">
        <v>2</v>
      </c>
      <c r="C99" s="38" t="s">
        <v>40</v>
      </c>
      <c r="D99" s="42">
        <f>TRUNC(6139,-1)</f>
        <v>6130</v>
      </c>
      <c r="E99" s="63">
        <f t="shared" si="3"/>
        <v>20260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TRUNC(13364,-1)</f>
        <v>13360</v>
      </c>
      <c r="E102" s="63">
        <f t="shared" si="3"/>
        <v>44160</v>
      </c>
    </row>
    <row r="103" spans="1:7" x14ac:dyDescent="0.3">
      <c r="A103" s="2">
        <v>6</v>
      </c>
      <c r="C103" s="38" t="s">
        <v>44</v>
      </c>
      <c r="D103" s="42">
        <f>TRUNC(4796,-1)</f>
        <v>4790</v>
      </c>
      <c r="E103" s="63">
        <f t="shared" si="3"/>
        <v>15830</v>
      </c>
    </row>
    <row r="104" spans="1:7" x14ac:dyDescent="0.3">
      <c r="A104" s="2">
        <v>7</v>
      </c>
      <c r="C104" s="38" t="s">
        <v>45</v>
      </c>
      <c r="D104" s="42">
        <f>TRUNC(2383,-1)</f>
        <v>2380</v>
      </c>
      <c r="E104" s="63">
        <f t="shared" si="3"/>
        <v>7860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TRUNC(30886,-1)</f>
        <v>30880</v>
      </c>
      <c r="E114" s="63">
        <f t="shared" si="3"/>
        <v>102080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4840</v>
      </c>
      <c r="E116" s="63">
        <f t="shared" si="3"/>
        <v>16000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f>TRUNC(125524,-1)</f>
        <v>125520</v>
      </c>
      <c r="E117" s="63">
        <f t="shared" si="3"/>
        <v>414940</v>
      </c>
    </row>
    <row r="118" spans="1:7" ht="17.25" thickBot="1" x14ac:dyDescent="0.35">
      <c r="A118" s="2">
        <v>21</v>
      </c>
      <c r="C118" s="38" t="s">
        <v>47</v>
      </c>
      <c r="D118" s="43">
        <f>TRUNC(2195,-1)</f>
        <v>2190</v>
      </c>
      <c r="E118" s="64">
        <f t="shared" si="3"/>
        <v>7230</v>
      </c>
    </row>
    <row r="119" spans="1:7" x14ac:dyDescent="0.3">
      <c r="A119" s="2">
        <v>22</v>
      </c>
      <c r="C119" s="27" t="s">
        <v>112</v>
      </c>
      <c r="D119" s="39">
        <f>SUM(D98:D118)</f>
        <v>200660</v>
      </c>
      <c r="E119" s="39">
        <f>SUM(E98:E118)</f>
        <v>663300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TRUNC(2655,-1)</f>
        <v>2650</v>
      </c>
      <c r="E122" s="62">
        <f t="shared" ref="E122:E132" si="4">TRUNC(+D122*3.3058,-1)</f>
        <v>8760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TRUNC(2681,-1)</f>
        <v>2680</v>
      </c>
      <c r="E124" s="63">
        <f t="shared" si="4"/>
        <v>8850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TRUNC(6405,-1)</f>
        <v>6400</v>
      </c>
      <c r="E126" s="63">
        <f t="shared" si="4"/>
        <v>21150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TRUNC(21214,-1)</f>
        <v>21210</v>
      </c>
      <c r="E130" s="63">
        <f t="shared" si="4"/>
        <v>70110</v>
      </c>
    </row>
    <row r="131" spans="1:7" x14ac:dyDescent="0.3">
      <c r="A131" s="2">
        <v>10</v>
      </c>
      <c r="C131" s="38" t="s">
        <v>148</v>
      </c>
      <c r="D131" s="42">
        <f>TRUNC(32163,-1)</f>
        <v>32160</v>
      </c>
      <c r="E131" s="63">
        <f t="shared" si="4"/>
        <v>106310</v>
      </c>
    </row>
    <row r="132" spans="1:7" ht="18" thickBot="1" x14ac:dyDescent="0.35">
      <c r="A132" s="2">
        <v>11</v>
      </c>
      <c r="C132" s="38" t="s">
        <v>47</v>
      </c>
      <c r="D132" s="43">
        <f>TRUNC(279,-1)</f>
        <v>270</v>
      </c>
      <c r="E132" s="64">
        <f t="shared" si="4"/>
        <v>890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65370</v>
      </c>
      <c r="E133" s="39">
        <f>SUM(E122:E132)</f>
        <v>216070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TRUNC(2991,-1)</f>
        <v>2990</v>
      </c>
      <c r="E137" s="63">
        <f t="shared" si="5"/>
        <v>9880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TRUNC(1043,-1)</f>
        <v>1040</v>
      </c>
      <c r="E139" s="63">
        <f t="shared" si="5"/>
        <v>3430</v>
      </c>
    </row>
    <row r="140" spans="1:7" x14ac:dyDescent="0.3">
      <c r="A140" s="2">
        <v>5</v>
      </c>
      <c r="C140" s="38" t="s">
        <v>57</v>
      </c>
      <c r="D140" s="42">
        <f>TRUNC(1626,-1)</f>
        <v>1620</v>
      </c>
      <c r="E140" s="63">
        <f t="shared" si="5"/>
        <v>5350</v>
      </c>
    </row>
    <row r="141" spans="1:7" x14ac:dyDescent="0.3">
      <c r="A141" s="2">
        <v>6</v>
      </c>
      <c r="C141" s="38" t="s">
        <v>59</v>
      </c>
      <c r="D141" s="42">
        <f>TRUNC(3378,-1)</f>
        <v>3370</v>
      </c>
      <c r="E141" s="63">
        <f t="shared" si="5"/>
        <v>11140</v>
      </c>
    </row>
    <row r="142" spans="1:7" x14ac:dyDescent="0.3">
      <c r="A142" s="2">
        <v>7</v>
      </c>
      <c r="C142" s="38" t="s">
        <v>58</v>
      </c>
      <c r="D142" s="42">
        <f>TRUNC(3681,-1)</f>
        <v>3680</v>
      </c>
      <c r="E142" s="63">
        <f t="shared" si="5"/>
        <v>12160</v>
      </c>
    </row>
    <row r="143" spans="1:7" x14ac:dyDescent="0.3">
      <c r="A143" s="2">
        <v>8</v>
      </c>
      <c r="C143" s="38" t="s">
        <v>62</v>
      </c>
      <c r="D143" s="42">
        <f>TRUNC(4833,-1)</f>
        <v>4830</v>
      </c>
      <c r="E143" s="63">
        <f t="shared" si="5"/>
        <v>15960</v>
      </c>
    </row>
    <row r="144" spans="1:7" x14ac:dyDescent="0.3">
      <c r="A144" s="2">
        <v>9</v>
      </c>
      <c r="C144" s="38" t="s">
        <v>63</v>
      </c>
      <c r="D144" s="42">
        <f>TRUNC(13926,-1)</f>
        <v>13920</v>
      </c>
      <c r="E144" s="63">
        <f t="shared" si="5"/>
        <v>46010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31450</v>
      </c>
      <c r="E146" s="39">
        <f>SUM(E136:E145)</f>
        <v>103930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TRUNC(9433+2106,-1)</f>
        <v>11530</v>
      </c>
      <c r="E149" s="62">
        <f>TRUNC(+D149*3.3058,-1)</f>
        <v>38110</v>
      </c>
    </row>
    <row r="150" spans="1:7" x14ac:dyDescent="0.3">
      <c r="A150" s="2">
        <v>2</v>
      </c>
      <c r="C150" s="38" t="s">
        <v>49</v>
      </c>
      <c r="D150" s="42">
        <f>TRUNC(20879,-1)</f>
        <v>20870</v>
      </c>
      <c r="E150" s="63">
        <f>TRUNC(+D150*3.3058,-1)</f>
        <v>68990</v>
      </c>
    </row>
    <row r="151" spans="1:7" x14ac:dyDescent="0.3">
      <c r="A151" s="2">
        <v>3</v>
      </c>
      <c r="C151" s="38" t="s">
        <v>50</v>
      </c>
      <c r="D151" s="42">
        <f>TRUNC(23439,-1)</f>
        <v>23430</v>
      </c>
      <c r="E151" s="63">
        <f>TRUNC(+D151*3.3058,-1)</f>
        <v>77450</v>
      </c>
    </row>
    <row r="152" spans="1:7" x14ac:dyDescent="0.3">
      <c r="A152" s="2">
        <v>4</v>
      </c>
      <c r="C152" s="38" t="s">
        <v>47</v>
      </c>
      <c r="D152" s="42">
        <f>TRUNC(11412,-1)</f>
        <v>11410</v>
      </c>
      <c r="E152" s="63">
        <f>TRUNC(+D152*3.3058,-1)</f>
        <v>37710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67240</v>
      </c>
      <c r="E154" s="39">
        <f>SUM(E149:E153)</f>
        <v>222260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2020-12-08T02:08:55Z</dcterms:modified>
</cp:coreProperties>
</file>