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32" i="4"/>
  <c r="D130" i="4"/>
  <c r="D126" i="4"/>
  <c r="D125" i="4"/>
  <c r="D122" i="4"/>
  <c r="D117" i="4"/>
  <c r="D98" i="4"/>
  <c r="D118" i="4"/>
  <c r="D115" i="4"/>
  <c r="D108" i="4"/>
  <c r="D105" i="4"/>
  <c r="D104" i="4"/>
  <c r="D102" i="4"/>
  <c r="D101" i="4"/>
  <c r="D100" i="4"/>
  <c r="D99" i="4"/>
  <c r="D137" i="4"/>
  <c r="D114" i="4"/>
  <c r="D93" i="4"/>
  <c r="D85" i="4"/>
  <c r="D72" i="4"/>
  <c r="D75" i="4"/>
  <c r="D92" i="4"/>
  <c r="D79" i="4"/>
  <c r="D94" i="4"/>
  <c r="D136" i="4"/>
  <c r="D69" i="4"/>
  <c r="D59" i="4"/>
  <c r="D58" i="4"/>
  <c r="D159" i="4"/>
  <c r="D152" i="4"/>
  <c r="D50" i="4"/>
  <c r="D55" i="4"/>
  <c r="D43" i="4"/>
  <c r="D51" i="4"/>
  <c r="D53" i="4"/>
  <c r="D46" i="4"/>
  <c r="D44" i="4"/>
  <c r="D49" i="4"/>
  <c r="D47" i="4"/>
  <c r="D52" i="4"/>
  <c r="D48" i="4"/>
  <c r="D37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133" i="4"/>
  <c r="E119" i="4"/>
  <c r="E95" i="4"/>
  <c r="E154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<sst xmlns="http://schemas.openxmlformats.org/spreadsheetml/2006/main" count="405" uniqueCount="280">
  <si>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</si>
  <si>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</si>
  <si>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</si>
  <si>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</si>
  <si>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</si>
  <si>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</si>
  <si>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</si>
  <si>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</si>
  <si>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</si>
  <si>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</si>
  <si>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</si>
  <si>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</si>
  <si>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</si>
  <si>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</si>
  <si>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</si>
  <si>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</si>
  <si>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</si>
  <si>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</si>
  <si>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</si>
  <si>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</si>
  <si>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</si>
  <si>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</si>
  <si>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</si>
  <si>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</si>
  <si>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</si>
  <si>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</si>
  <si>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</si>
  <si>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</si>
  <si>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</si>
  <si>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</si>
  <si>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</si>
  <si>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</si>
  <si>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</si>
  <si>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</si>
  <si>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</si>
  <si>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</si>
  <si>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</si>
  <si>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</si>
  <si>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</si>
  <si>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</si>
  <si>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</si>
  <si>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</si>
  <si>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</si>
  <si>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</si>
  <si>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</si>
  <si>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</si>
  <si>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</si>
  <si>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</si>
  <si>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</si>
  <si>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</si>
  <si>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</si>
  <si>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</si>
  <si>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</si>
  <si>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</si>
  <si>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</si>
  <si>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</si>
  <si>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</si>
  <si>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</si>
  <si>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</si>
  <si>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</si>
  <si>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</si>
  <si>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</si>
  <si>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</si>
  <si>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</si>
  <si>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</si>
  <si>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</si>
  <si>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</si>
  <si>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</si>
  <si>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</si>
  <si>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</si>
  <si>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</si>
  <si>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</si>
  <si>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</si>
  <si>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</si>
  <si>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</si>
  <si>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</si>
  <si>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</si>
  <si>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</si>
  <si>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</si>
  <si>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</si>
  <si>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</si>
  <si>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</si>
  <si>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</si>
  <si>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</si>
  <si>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</si>
  <si>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</si>
  <si>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</si>
  <si>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</si>
  <si>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</si>
  <si>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</si>
  <si>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</si>
  <si>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</si>
  <si>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</si>
  <si>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</si>
  <si>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</si>
  <si>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</si>
  <si>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</si>
  <si>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</si>
  <si>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</si>
  <si>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</si>
  <si>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</si>
  <si>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</si>
  <si>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</si>
  <si>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</si>
  <si>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</si>
  <si>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</si>
  <si>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</si>
  <si>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</si>
  <si>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</si>
  <si>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</si>
  <si>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</si>
  <si>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</si>
  <si>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</si>
  <si>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</si>
  <si>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</si>
  <si>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</si>
  <si>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</si>
  <si>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</si>
  <si>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</si>
  <si>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</si>
  <si>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</si>
  <si>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</si>
  <si>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</si>
  <si>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</si>
  <si>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</si>
  <si>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</si>
  <si>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</si>
  <si>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</si>
  <si>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</si>
  <si>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</si>
  <si>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</si>
  <si>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</si>
  <si>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</si>
  <si>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</si>
  <si>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</si>
  <si>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</si>
  <si>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</si>
  <si>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</si>
  <si>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</si>
  <si>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</si>
  <si>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</si>
  <si>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</si>
  <si>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</si>
  <si>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</si>
  <si>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</si>
  <si>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</si>
  <si>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</si>
  <si>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</si>
  <si>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</si>
  <si>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</si>
  <si>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</si>
  <si>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</si>
  <si>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</si>
  <si>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</si>
  <si>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</si>
  <si>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</si>
  <si>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</si>
  <si>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</si>
  <si>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</si>
  <si>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</si>
  <si>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</si>
  <si>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</si>
  <si>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</si>
  <si>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</si>
  <si>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</si>
  <si>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</si>
  <si>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</si>
  <si>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</si>
  <si>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</si>
  <si>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</si>
  <si>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</si>
  <si>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</si>
  <si>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</si>
  <si>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</si>
  <si>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</si>
  <si>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</si>
  <si>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</si>
  <si>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</si>
  <si>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</si>
  <si>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</si>
  <si>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</si>
  <si>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</si>
  <si>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</si>
  <si>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</si>
  <si>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</si>
  <si>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</si>
  <si>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</si>
  <si>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</si>
  <si>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</si>
  <si>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</si>
  <si>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</si>
  <si>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</si>
  <si>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</si>
  <si>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</si>
  <si>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</si>
  <si>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</si>
  <si>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</si>
  <si>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</si>
  <si>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</si>
  <si>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</si>
  <si>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</si>
  <si>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</si>
  <si>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</si>
  <si>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</si>
  <si>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</si>
  <si>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</si>
  <si>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</si>
  <si>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</si>
  <si>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</si>
  <si>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</si>
  <si>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</si>
  <si>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</si>
  <si>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</si>
  <si>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</si>
  <si>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</si>
  <si>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</si>
  <si>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</si>
  <si>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</si>
  <si>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</si>
  <si>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</si>
  <si>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</si>
  <si>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</si>
  <si>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</si>
  <si>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</si>
  <si>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</si>
  <si>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</si>
  <si>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</si>
  <si>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</si>
  <si>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</si>
  <si>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</si>
  <si>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</si>
  <si>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</si>
  <si>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</si>
  <si>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</si>
  <si>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</si>
  <si>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</si>
  <si>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</si>
  <si>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</si>
  <si>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</si>
  <si>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</si>
  <si>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</si>
  <si>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</si>
  <si>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</si>
  <si>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</si>
  <si>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</si>
  <si>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</si>
  <si>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</si>
  <si>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</si>
  <si>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 00기지 건립사업</t>
    <phoneticPr fontId="2" type="noConversion"/>
  </si>
  <si>
    <t>창고</t>
  </si>
  <si>
    <t>경기도</t>
  </si>
  <si>
    <t>부대조경공사</t>
    <phoneticPr fontId="2" type="noConversion"/>
  </si>
  <si>
    <t>부대토목공사</t>
    <phoneticPr fontId="2" type="noConversion"/>
  </si>
  <si>
    <t>계근대,골재비,국기게양대,기타공사,냉동설비공사,부출입구,운반비,원형계단,작업설부산물,주출입구</t>
    <phoneticPr fontId="2" type="noConversion"/>
  </si>
  <si>
    <t>옥외공통공사,난방배관공사,초절전온돌난방공사,냉장설비설치공사</t>
    <phoneticPr fontId="2" type="noConversion"/>
  </si>
  <si>
    <t>기계 소화설비공사</t>
    <phoneticPr fontId="2" type="noConversion"/>
  </si>
  <si>
    <t>환기덕트설치공사</t>
    <phoneticPr fontId="2" type="noConversion"/>
  </si>
  <si>
    <t>위생설비공사</t>
    <phoneticPr fontId="2" type="noConversion"/>
  </si>
  <si>
    <t>옥외전력인입및옥외전력간선설비공사</t>
    <phoneticPr fontId="2" type="noConversion"/>
  </si>
  <si>
    <t>창고-C동 수배전반설비공사</t>
    <phoneticPr fontId="2" type="noConversion"/>
  </si>
  <si>
    <t>창고-C동 전력제어설비공사</t>
    <phoneticPr fontId="2" type="noConversion"/>
  </si>
  <si>
    <t>창고-A동 전력간선설비공사,창고-C동 전력간선설비공사</t>
    <phoneticPr fontId="2" type="noConversion"/>
  </si>
  <si>
    <t>창고-A동 동력설비공사,창고-C동 동력설비공사</t>
    <phoneticPr fontId="2" type="noConversion"/>
  </si>
  <si>
    <t>창고-C동 냉난방설비공사</t>
    <phoneticPr fontId="2" type="noConversion"/>
  </si>
  <si>
    <t>창고-C동 전열설비공사</t>
    <phoneticPr fontId="2" type="noConversion"/>
  </si>
  <si>
    <t>창고-A동 전등설비공사,창고-C동 전등설비공사</t>
    <phoneticPr fontId="2" type="noConversion"/>
  </si>
  <si>
    <t>창고-C동 피뢰및접지설비공사</t>
    <phoneticPr fontId="2" type="noConversion"/>
  </si>
  <si>
    <t>창고-A동 케이블트레이공사,창고-C동 케이블트레이공사</t>
    <phoneticPr fontId="2" type="noConversion"/>
  </si>
  <si>
    <t>창고-B동,관리동</t>
    <phoneticPr fontId="2" type="noConversion"/>
  </si>
  <si>
    <t>전기 소방공사</t>
    <phoneticPr fontId="2" type="noConversion"/>
  </si>
  <si>
    <t>관리동 TV공청 설비공사</t>
    <phoneticPr fontId="2" type="noConversion"/>
  </si>
  <si>
    <t>공통 옥외통신공사</t>
    <phoneticPr fontId="2" type="noConversion"/>
  </si>
  <si>
    <t>관리동 방송설비공사,창고-A동 방송설비공사</t>
    <phoneticPr fontId="2" type="noConversion"/>
  </si>
  <si>
    <t>관리동 CCTV설비공사,창고-A동 CCTV 설비공사,창고-B동</t>
    <phoneticPr fontId="2" type="noConversion"/>
  </si>
  <si>
    <t>관리동 통합배선설비공사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</si>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</sst>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156</v>
      </c>
      <c r="B2" s="76" t="s">
        <v>0</v>
      </c>
      <c r="C2" s="77"/>
      <c r="D2" s="76" t="s">
        <v>1</v>
      </c>
      <c r="E2" s="77"/>
      <c r="F2" s="76" t="s">
        <v>157</v>
      </c>
      <c r="G2" s="77"/>
      <c r="H2" s="76" t="s">
        <v>2</v>
      </c>
      <c r="I2" s="77"/>
      <c r="J2" s="76" t="s">
        <v>3</v>
      </c>
      <c r="K2" s="77"/>
      <c r="L2" s="76" t="s">
        <v>158</v>
      </c>
      <c r="M2" s="77"/>
      <c r="N2" s="76" t="s">
        <v>159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11563</v>
      </c>
      <c r="D7" s="36">
        <f>+C7/3.3058</f>
        <v>3497.7917599370803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278</v>
      </c>
    </row>
    <row r="19" spans="1:5" x14ac:dyDescent="0.3">
      <c r="A19" s="2">
        <v>9</v>
      </c>
      <c r="B19" s="2" t="s">
        <v>279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10060</v>
      </c>
      <c r="E24" s="58">
        <f t="shared" ref="E24:E33" si="0">TRUNC(+D24*3.3058,-1)</f>
        <v>33250</v>
      </c>
    </row>
    <row r="25" spans="1:5" x14ac:dyDescent="0.3">
      <c r="B25" s="2">
        <v>2</v>
      </c>
      <c r="C25" s="35" t="s">
        <v>111</v>
      </c>
      <c r="D25" s="45">
        <f>+D60</f>
        <v>556280</v>
      </c>
      <c r="E25" s="59">
        <f t="shared" si="0"/>
        <v>1838950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288030</v>
      </c>
      <c r="E27" s="59">
        <f t="shared" si="0"/>
        <v>952160</v>
      </c>
    </row>
    <row r="28" spans="1:5" x14ac:dyDescent="0.3">
      <c r="B28" s="2">
        <v>5</v>
      </c>
      <c r="C28" s="35" t="s">
        <v>97</v>
      </c>
      <c r="D28" s="45">
        <f>+D119</f>
        <v>152350</v>
      </c>
      <c r="E28" s="59">
        <f t="shared" si="0"/>
        <v>503630</v>
      </c>
    </row>
    <row r="29" spans="1:5" x14ac:dyDescent="0.3">
      <c r="B29" s="2">
        <v>6</v>
      </c>
      <c r="C29" s="35" t="s">
        <v>98</v>
      </c>
      <c r="D29" s="45">
        <f>+D133</f>
        <v>13490</v>
      </c>
      <c r="E29" s="59">
        <f t="shared" si="0"/>
        <v>44590</v>
      </c>
    </row>
    <row r="30" spans="1:5" x14ac:dyDescent="0.3">
      <c r="B30" s="2">
        <v>7</v>
      </c>
      <c r="C30" s="35" t="s">
        <v>99</v>
      </c>
      <c r="D30" s="45">
        <f>+D146</f>
        <v>64810</v>
      </c>
      <c r="E30" s="59">
        <f t="shared" si="0"/>
        <v>214240</v>
      </c>
    </row>
    <row r="31" spans="1:5" x14ac:dyDescent="0.3">
      <c r="B31" s="2">
        <v>8</v>
      </c>
      <c r="C31" s="35" t="s">
        <v>100</v>
      </c>
      <c r="D31" s="45">
        <f>+D154</f>
        <v>39900</v>
      </c>
      <c r="E31" s="59">
        <f t="shared" si="0"/>
        <v>131900</v>
      </c>
    </row>
    <row r="32" spans="1:5" x14ac:dyDescent="0.3">
      <c r="B32" s="2">
        <v>9</v>
      </c>
      <c r="C32" s="35" t="s">
        <v>101</v>
      </c>
      <c r="D32" s="45">
        <f>+D161</f>
        <v>16260</v>
      </c>
      <c r="E32" s="59">
        <f t="shared" si="0"/>
        <v>53750</v>
      </c>
    </row>
    <row r="33" spans="1:7" x14ac:dyDescent="0.3">
      <c r="B33" s="2">
        <v>10</v>
      </c>
      <c r="C33" s="35" t="s">
        <v>154</v>
      </c>
      <c r="D33" s="53">
        <f>TRUNC(SUM(D24:D32)*0.275,-1)</f>
        <v>313820</v>
      </c>
      <c r="E33" s="60">
        <f t="shared" si="0"/>
        <v>1037420</v>
      </c>
    </row>
    <row r="34" spans="1:7" x14ac:dyDescent="0.3">
      <c r="C34" s="35" t="s">
        <v>112</v>
      </c>
      <c r="D34" s="44">
        <f>SUM(D24:D33)</f>
        <v>1455000</v>
      </c>
      <c r="E34" s="44">
        <f>SUM(E24:E33)</f>
        <v>4809890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TRUNC(10063,-1)</f>
        <v>10060</v>
      </c>
      <c r="E37" s="61">
        <f>TRUNC(+D37*3.3058,-1)</f>
        <v>33250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242</v>
      </c>
      <c r="D39" s="68" t="s">
        <v>275</v>
      </c>
      <c r="E39" s="68" t="s">
        <v>276</v>
      </c>
      <c r="G39" s="69"/>
    </row>
    <row r="40" spans="1:7" x14ac:dyDescent="0.3">
      <c r="A40" s="2">
        <v>1</v>
      </c>
      <c r="C40" s="38" t="s">
        <v>15</v>
      </c>
      <c r="D40" s="40">
        <f>TRUNC(26611,-1)</f>
        <v>26610</v>
      </c>
      <c r="E40" s="62">
        <f t="shared" ref="E40:E59" si="1">TRUNC(+D40*3.3058,-1)</f>
        <v>87960</v>
      </c>
    </row>
    <row r="41" spans="1:7" x14ac:dyDescent="0.3">
      <c r="A41" s="2">
        <v>2</v>
      </c>
      <c r="C41" s="38" t="s">
        <v>13</v>
      </c>
      <c r="D41" s="42">
        <v>0</v>
      </c>
      <c r="E41" s="63">
        <f t="shared" si="1"/>
        <v>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TRUNC(2233,-1)</f>
        <v>2230</v>
      </c>
      <c r="E43" s="63">
        <f t="shared" si="1"/>
        <v>7370</v>
      </c>
    </row>
    <row r="44" spans="1:7" x14ac:dyDescent="0.3">
      <c r="A44" s="2">
        <v>5</v>
      </c>
      <c r="C44" s="38" t="s">
        <v>17</v>
      </c>
      <c r="D44" s="42">
        <f>TRUNC(13822,-1)</f>
        <v>13820</v>
      </c>
      <c r="E44" s="63">
        <f t="shared" si="1"/>
        <v>45680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TRUNC(3217,-1)</f>
        <v>3210</v>
      </c>
      <c r="E46" s="63">
        <f t="shared" si="1"/>
        <v>10610</v>
      </c>
    </row>
    <row r="47" spans="1:7" x14ac:dyDescent="0.3">
      <c r="A47" s="2">
        <v>8</v>
      </c>
      <c r="C47" s="38" t="s">
        <v>20</v>
      </c>
      <c r="D47" s="42">
        <f>TRUNC(9347,-1)</f>
        <v>9340</v>
      </c>
      <c r="E47" s="63">
        <f t="shared" si="1"/>
        <v>30870</v>
      </c>
    </row>
    <row r="48" spans="1:7" x14ac:dyDescent="0.3">
      <c r="A48" s="2">
        <v>9</v>
      </c>
      <c r="C48" s="38" t="s">
        <v>21</v>
      </c>
      <c r="D48" s="42">
        <f>TRUNC(24543,-1)</f>
        <v>24540</v>
      </c>
      <c r="E48" s="63">
        <f t="shared" si="1"/>
        <v>81120</v>
      </c>
    </row>
    <row r="49" spans="1:7" x14ac:dyDescent="0.3">
      <c r="A49" s="2">
        <v>10</v>
      </c>
      <c r="C49" s="38" t="s">
        <v>22</v>
      </c>
      <c r="D49" s="42">
        <f>TRUNC(13855,-1)</f>
        <v>13850</v>
      </c>
      <c r="E49" s="63">
        <f t="shared" si="1"/>
        <v>45780</v>
      </c>
    </row>
    <row r="50" spans="1:7" x14ac:dyDescent="0.3">
      <c r="A50" s="2">
        <v>11</v>
      </c>
      <c r="C50" s="38" t="s">
        <v>155</v>
      </c>
      <c r="D50" s="42">
        <f>TRUNC(5356,-1)</f>
        <v>5350</v>
      </c>
      <c r="E50" s="63">
        <f t="shared" si="1"/>
        <v>17680</v>
      </c>
    </row>
    <row r="51" spans="1:7" x14ac:dyDescent="0.3">
      <c r="A51" s="2">
        <v>12</v>
      </c>
      <c r="C51" s="38" t="s">
        <v>23</v>
      </c>
      <c r="D51" s="42">
        <f>TRUNC(2629,-1)</f>
        <v>2620</v>
      </c>
      <c r="E51" s="63">
        <f t="shared" si="1"/>
        <v>8660</v>
      </c>
    </row>
    <row r="52" spans="1:7" x14ac:dyDescent="0.3">
      <c r="A52" s="2">
        <v>13</v>
      </c>
      <c r="C52" s="38" t="s">
        <v>24</v>
      </c>
      <c r="D52" s="42">
        <f>TRUNC(3127,-1)</f>
        <v>3120</v>
      </c>
      <c r="E52" s="63">
        <f t="shared" si="1"/>
        <v>10310</v>
      </c>
    </row>
    <row r="53" spans="1:7" x14ac:dyDescent="0.3">
      <c r="A53" s="2">
        <v>14</v>
      </c>
      <c r="C53" s="38" t="s">
        <v>25</v>
      </c>
      <c r="D53" s="42">
        <f>TRUNC(20959,-1)</f>
        <v>20950</v>
      </c>
      <c r="E53" s="63">
        <f t="shared" si="1"/>
        <v>69250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TRUNC(319,-1)</f>
        <v>310</v>
      </c>
      <c r="E55" s="63">
        <f t="shared" si="1"/>
        <v>1020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TRUNC(2184+373+156+33339+52256+1860+3108+1076-4119+1964,-1)</f>
        <v>92190</v>
      </c>
      <c r="E58" s="63">
        <f t="shared" si="1"/>
        <v>304760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TRUNC(338143,-1)</f>
        <v>338140</v>
      </c>
      <c r="E59" s="64">
        <f t="shared" si="1"/>
        <v>1117820</v>
      </c>
    </row>
    <row r="60" spans="1:7" x14ac:dyDescent="0.3">
      <c r="A60" s="2">
        <v>21</v>
      </c>
      <c r="C60" s="27" t="s">
        <v>112</v>
      </c>
      <c r="D60" s="39">
        <f>SUM(D40:D59)</f>
        <v>556280</v>
      </c>
      <c r="E60" s="39">
        <f>SUM(E40:E59)</f>
        <v>1838890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TRUNC(6807,-1)</f>
        <v>6800</v>
      </c>
      <c r="E69" s="62">
        <f t="shared" ref="E69:E94" si="2">TRUNC(+D69*3.3058,-1)</f>
        <v>22470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TRUNC(251,-1)</f>
        <v>250</v>
      </c>
      <c r="E72" s="63">
        <f t="shared" si="2"/>
        <v>820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TRUNC(307,-1)</f>
        <v>300</v>
      </c>
      <c r="E75" s="63">
        <f t="shared" si="2"/>
        <v>990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TRUNC(2341,-1)</f>
        <v>2340</v>
      </c>
      <c r="E79" s="63">
        <f t="shared" si="2"/>
        <v>7730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TRUNC(27,-1)</f>
        <v>20</v>
      </c>
      <c r="E85" s="63">
        <f t="shared" si="2"/>
        <v>60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TRUNC(8004,-1)</f>
        <v>8000</v>
      </c>
      <c r="E92" s="63">
        <f t="shared" si="2"/>
        <v>26440</v>
      </c>
      <c r="F92" s="2" t="s">
        <v>257</v>
      </c>
    </row>
    <row r="93" spans="1:7" x14ac:dyDescent="0.3">
      <c r="A93" s="2">
        <v>25</v>
      </c>
      <c r="C93" s="38" t="s">
        <v>148</v>
      </c>
      <c r="D93" s="42">
        <f>TRUNC(78669,-1)</f>
        <v>78660</v>
      </c>
      <c r="E93" s="63">
        <f t="shared" si="2"/>
        <v>260030</v>
      </c>
    </row>
    <row r="94" spans="1:7" ht="17.25" thickBot="1" x14ac:dyDescent="0.35">
      <c r="A94" s="2">
        <v>26</v>
      </c>
      <c r="C94" s="38" t="s">
        <v>47</v>
      </c>
      <c r="D94" s="43">
        <f>TRUNC(6372+482+707+184104,-1)</f>
        <v>191660</v>
      </c>
      <c r="E94" s="64">
        <f t="shared" si="2"/>
        <v>633580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288030</v>
      </c>
      <c r="E95" s="39">
        <f>SUM(E69:E94)</f>
        <v>952120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TRUNC(1620+10674,-1)</f>
        <v>12290</v>
      </c>
      <c r="E98" s="62">
        <f t="shared" ref="E98:E118" si="3">TRUNC(+D98*3.3058,-1)</f>
        <v>40620</v>
      </c>
      <c r="F98" s="2" t="s">
        <v>261</v>
      </c>
    </row>
    <row r="99" spans="1:7" x14ac:dyDescent="0.3">
      <c r="A99" s="2">
        <v>2</v>
      </c>
      <c r="C99" s="38" t="s">
        <v>40</v>
      </c>
      <c r="D99" s="42">
        <f>TRUNC(1791+5986,-1)</f>
        <v>7770</v>
      </c>
      <c r="E99" s="63">
        <f t="shared" si="3"/>
        <v>25680</v>
      </c>
      <c r="F99" s="2" t="s">
        <v>262</v>
      </c>
    </row>
    <row r="100" spans="1:7" x14ac:dyDescent="0.3">
      <c r="A100" s="2">
        <v>3</v>
      </c>
      <c r="C100" s="38" t="s">
        <v>41</v>
      </c>
      <c r="D100" s="42">
        <f>TRUNC(1758+9147,-1)</f>
        <v>10900</v>
      </c>
      <c r="E100" s="63">
        <f t="shared" si="3"/>
        <v>36030</v>
      </c>
      <c r="F100" s="2" t="s">
        <v>265</v>
      </c>
    </row>
    <row r="101" spans="1:7" x14ac:dyDescent="0.3">
      <c r="A101" s="2">
        <v>4</v>
      </c>
      <c r="C101" s="38" t="s">
        <v>42</v>
      </c>
      <c r="D101" s="42">
        <f>TRUNC(773,-1)</f>
        <v>770</v>
      </c>
      <c r="E101" s="63">
        <f t="shared" si="3"/>
        <v>2540</v>
      </c>
      <c r="F101" s="66" t="s">
        <v>260</v>
      </c>
    </row>
    <row r="102" spans="1:7" x14ac:dyDescent="0.3">
      <c r="A102" s="2">
        <v>5</v>
      </c>
      <c r="C102" s="38" t="s">
        <v>43</v>
      </c>
      <c r="D102" s="42">
        <f>TRUNC(858,-1)</f>
        <v>850</v>
      </c>
      <c r="E102" s="63">
        <f t="shared" si="3"/>
        <v>2800</v>
      </c>
      <c r="F102" s="2" t="s">
        <v>264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TRUNC(6364,-1)</f>
        <v>6360</v>
      </c>
      <c r="E104" s="63">
        <f t="shared" si="3"/>
        <v>21020</v>
      </c>
      <c r="F104" s="2" t="s">
        <v>266</v>
      </c>
    </row>
    <row r="105" spans="1:7" x14ac:dyDescent="0.3">
      <c r="A105" s="2">
        <v>8</v>
      </c>
      <c r="C105" s="38" t="s">
        <v>46</v>
      </c>
      <c r="D105" s="42">
        <f>TRUNC(1664+5286,-1)</f>
        <v>6950</v>
      </c>
      <c r="E105" s="63">
        <f t="shared" si="3"/>
        <v>22970</v>
      </c>
      <c r="F105" s="2" t="s">
        <v>267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TRUNC(934,-1)</f>
        <v>930</v>
      </c>
      <c r="E108" s="63">
        <f t="shared" si="3"/>
        <v>3070</v>
      </c>
      <c r="F108" s="2" t="s">
        <v>263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TRUNC(5104,-1)</f>
        <v>5100</v>
      </c>
      <c r="E114" s="63">
        <f t="shared" si="3"/>
        <v>16850</v>
      </c>
      <c r="F114" s="2" t="s">
        <v>258</v>
      </c>
    </row>
    <row r="115" spans="1:7" x14ac:dyDescent="0.3">
      <c r="A115" s="2">
        <v>18</v>
      </c>
      <c r="C115" s="38" t="s">
        <v>116</v>
      </c>
      <c r="D115" s="42">
        <f>TRUNC(5824,-1)</f>
        <v>5820</v>
      </c>
      <c r="E115" s="63">
        <f t="shared" si="3"/>
        <v>19230</v>
      </c>
      <c r="F115" s="2" t="s">
        <v>259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TRUNC(85685,-1)</f>
        <v>85680</v>
      </c>
      <c r="E117" s="63">
        <f t="shared" si="3"/>
        <v>283240</v>
      </c>
    </row>
    <row r="118" spans="1:7" ht="17.25" thickBot="1" x14ac:dyDescent="0.35">
      <c r="A118" s="2">
        <v>21</v>
      </c>
      <c r="C118" s="38" t="s">
        <v>47</v>
      </c>
      <c r="D118" s="43">
        <f>TRUNC(6492+2441,-1)</f>
        <v>8930</v>
      </c>
      <c r="E118" s="64">
        <f t="shared" si="3"/>
        <v>29520</v>
      </c>
      <c r="F118" s="2" t="s">
        <v>268</v>
      </c>
    </row>
    <row r="119" spans="1:7" x14ac:dyDescent="0.3">
      <c r="A119" s="2">
        <v>22</v>
      </c>
      <c r="C119" s="27" t="s">
        <v>112</v>
      </c>
      <c r="D119" s="39">
        <f>SUM(D98:D118)</f>
        <v>152350</v>
      </c>
      <c r="E119" s="39">
        <f>SUM(E98:E118)</f>
        <v>503570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TRUNC(408,-1)</f>
        <v>400</v>
      </c>
      <c r="E122" s="62">
        <f t="shared" ref="E122:E132" si="4">TRUNC(+D122*3.3058,-1)</f>
        <v>1320</v>
      </c>
      <c r="F122" s="2" t="s">
        <v>270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TRUNC(451+480,-1)</f>
        <v>930</v>
      </c>
      <c r="E125" s="63">
        <f t="shared" si="4"/>
        <v>3070</v>
      </c>
      <c r="F125" s="2" t="s">
        <v>272</v>
      </c>
    </row>
    <row r="126" spans="1:7" x14ac:dyDescent="0.3">
      <c r="A126" s="2">
        <v>5</v>
      </c>
      <c r="C126" s="38" t="s">
        <v>53</v>
      </c>
      <c r="D126" s="42">
        <f>TRUNC(3884,-1)</f>
        <v>3880</v>
      </c>
      <c r="E126" s="63">
        <f t="shared" si="4"/>
        <v>12820</v>
      </c>
      <c r="F126" s="2" t="s">
        <v>271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TRUNC(2420,-1)</f>
        <v>2420</v>
      </c>
      <c r="E130" s="63">
        <f t="shared" si="4"/>
        <v>8000</v>
      </c>
      <c r="F130" s="2" t="s">
        <v>274</v>
      </c>
    </row>
    <row r="131" spans="1:7" x14ac:dyDescent="0.3">
      <c r="A131" s="2">
        <v>10</v>
      </c>
      <c r="C131" s="38" t="s">
        <v>148</v>
      </c>
      <c r="D131" s="42">
        <f>TRUNC(4955,-1)</f>
        <v>4950</v>
      </c>
      <c r="E131" s="63">
        <f t="shared" si="4"/>
        <v>16360</v>
      </c>
    </row>
    <row r="132" spans="1:7" ht="18" thickBot="1" x14ac:dyDescent="0.35">
      <c r="A132" s="2">
        <v>11</v>
      </c>
      <c r="C132" s="38" t="s">
        <v>47</v>
      </c>
      <c r="D132" s="43">
        <f>TRUNC(59+243+610,-1)</f>
        <v>910</v>
      </c>
      <c r="E132" s="64">
        <f t="shared" si="4"/>
        <v>3000</v>
      </c>
      <c r="F132" s="54" t="s">
        <v>273</v>
      </c>
    </row>
    <row r="133" spans="1:7" x14ac:dyDescent="0.3">
      <c r="A133" s="2">
        <v>12</v>
      </c>
      <c r="C133" s="27" t="s">
        <v>112</v>
      </c>
      <c r="D133" s="39">
        <f>SUM(D122:D132)</f>
        <v>13490</v>
      </c>
      <c r="E133" s="39">
        <f>SUM(E122:E132)</f>
        <v>44570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TRUNC(35635,-1)</f>
        <v>35630</v>
      </c>
      <c r="E136" s="62">
        <f t="shared" ref="E136:E145" si="5">TRUNC(+D136*3.3058,-1)</f>
        <v>117780</v>
      </c>
      <c r="F136" s="2" t="s">
        <v>255</v>
      </c>
    </row>
    <row r="137" spans="1:7" x14ac:dyDescent="0.3">
      <c r="A137" s="2">
        <v>2</v>
      </c>
      <c r="C137" s="38" t="s">
        <v>47</v>
      </c>
      <c r="D137" s="42">
        <f>TRUNC(29188,-1)</f>
        <v>29180</v>
      </c>
      <c r="E137" s="63">
        <f t="shared" si="5"/>
        <v>96460</v>
      </c>
      <c r="F137" s="2" t="s">
        <v>269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64810</v>
      </c>
      <c r="E146" s="39">
        <f>SUM(E136:E145)</f>
        <v>214240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TRUNC(39906,-1)</f>
        <v>39900</v>
      </c>
      <c r="E152" s="63">
        <f>TRUNC(+D152*3.3058,-1)</f>
        <v>131900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39900</v>
      </c>
      <c r="E154" s="39">
        <f>SUM(E149:E153)</f>
        <v>131900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TRUNC(16265,-1)</f>
        <v>16260</v>
      </c>
      <c r="E159" s="63">
        <f>TRUNC(+D159*3.3058,-1)</f>
        <v>53750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16260</v>
      </c>
      <c r="E161" s="39">
        <f>SUM(E157:E160)</f>
        <v>53750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2020-12-07T09:45:06Z</dcterms:modified>
</cp:coreProperties>
</file>