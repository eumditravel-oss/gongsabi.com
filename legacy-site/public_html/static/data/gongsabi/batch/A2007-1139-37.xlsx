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51" i="4" l="1"/>
  <c r="D152" i="4"/>
  <c r="D64" i="4"/>
  <c r="D58" i="4"/>
  <c r="D59" i="4" l="1"/>
  <c r="D55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7" i="4"/>
  <c r="D149" i="4"/>
  <c r="D63" i="4"/>
  <c r="D94" i="4"/>
  <c r="D79" i="4"/>
  <c r="D90" i="4"/>
  <c r="D89" i="4"/>
  <c r="D73" i="4"/>
  <c r="D71" i="4"/>
  <c r="D70" i="4"/>
  <c r="D92" i="4"/>
  <c r="D69" i="4"/>
  <c r="D105" i="4"/>
  <c r="D99" i="4"/>
  <c r="D102" i="4"/>
  <c r="D108" i="4"/>
  <c r="D100" i="4"/>
  <c r="D98" i="4"/>
  <c r="D114" i="4"/>
  <c r="D143" i="4"/>
  <c r="D144" i="4"/>
  <c r="D125" i="4"/>
  <c r="D128" i="4"/>
  <c r="D124" i="4"/>
  <c r="D122" i="4"/>
  <c r="D123" i="4"/>
  <c r="D126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6" i="4"/>
  <c r="E60" i="4"/>
  <c r="E154" i="4"/>
  <c r="E95" i="4"/>
  <c r="E119" i="4"/>
  <c r="E146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<sst xmlns="http://schemas.openxmlformats.org/spreadsheetml/2006/main" count="399" uniqueCount="273">
  <si>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</si>
  <si>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</si>
  <si>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</si>
  <si>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</si>
  <si>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</si>
  <si>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</si>
  <si>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</si>
  <si>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</si>
  <si>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</si>
  <si>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</si>
  <si>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</si>
  <si>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</si>
  <si>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</si>
  <si>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</si>
  <si>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</si>
  <si>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</si>
  <si>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</si>
  <si>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</si>
  <si>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</si>
  <si>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</si>
  <si>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</si>
  <si>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</si>
  <si>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</si>
  <si>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</si>
  <si>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</si>
  <si>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</si>
  <si>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</si>
  <si>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</si>
  <si>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</si>
  <si>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</si>
  <si>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</si>
  <si>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</si>
  <si>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</si>
  <si>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</si>
  <si>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</si>
  <si>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</si>
  <si>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</si>
  <si>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</si>
  <si>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</si>
  <si>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</si>
  <si>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</si>
  <si>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</si>
  <si>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</si>
  <si>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</si>
  <si>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</si>
  <si>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</si>
  <si>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</si>
  <si>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</si>
  <si>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</si>
  <si>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</si>
  <si>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</si>
  <si>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</si>
  <si>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</si>
  <si>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</si>
  <si>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</si>
  <si>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</si>
  <si>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</si>
  <si>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</si>
  <si>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</si>
  <si>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</si>
  <si>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</si>
  <si>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</si>
  <si>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</si>
  <si>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</si>
  <si>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</si>
  <si>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</si>
  <si>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</si>
  <si>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</si>
  <si>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</si>
  <si>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</si>
  <si>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</si>
  <si>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</si>
  <si>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</si>
  <si>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</si>
  <si>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</si>
  <si>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</si>
  <si>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</si>
  <si>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</si>
  <si>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</si>
  <si>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</si>
  <si>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</si>
  <si>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</si>
  <si>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</si>
  <si>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</si>
  <si>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</si>
  <si>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</si>
  <si>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</si>
  <si>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</si>
  <si>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</si>
  <si>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</si>
  <si>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</si>
  <si>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</si>
  <si>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</si>
  <si>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</si>
  <si>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</si>
  <si>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</si>
  <si>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</si>
  <si>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</si>
  <si>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</si>
  <si>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</si>
  <si>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</si>
  <si>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</si>
  <si>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</si>
  <si>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</si>
  <si>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</si>
  <si>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</si>
  <si>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</si>
  <si>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</si>
  <si>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</si>
  <si>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</si>
  <si>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</si>
  <si>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</si>
  <si>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</si>
  <si>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</si>
  <si>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</si>
  <si>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</si>
  <si>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</si>
  <si>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</si>
  <si>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</si>
  <si>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</si>
  <si>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</si>
  <si>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</si>
  <si>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</si>
  <si>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</si>
  <si>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</si>
  <si>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</si>
  <si>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</si>
  <si>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</si>
  <si>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</si>
  <si>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</si>
  <si>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</si>
  <si>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</si>
  <si>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</si>
  <si>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</si>
  <si>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</si>
  <si>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</si>
  <si>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</si>
  <si>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</si>
  <si>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</si>
  <si>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</si>
  <si>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</si>
  <si>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</si>
  <si>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</si>
  <si>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</si>
  <si>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</si>
  <si>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</si>
  <si>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</si>
  <si>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</si>
  <si>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</si>
  <si>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</si>
  <si>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</si>
  <si>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</si>
  <si>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</si>
  <si>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</si>
  <si>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</si>
  <si>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</si>
  <si>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</si>
  <si>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</si>
  <si>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</si>
  <si>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</si>
  <si>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</si>
  <si>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</si>
  <si>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</si>
  <si>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</si>
  <si>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</si>
  <si>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</si>
  <si>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</si>
  <si>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</si>
  <si>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</si>
  <si>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</si>
  <si>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</si>
  <si>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</si>
  <si>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</si>
  <si>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</si>
  <si>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</si>
  <si>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</si>
  <si>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</si>
  <si>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</si>
  <si>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</si>
  <si>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</si>
  <si>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</si>
  <si>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</si>
  <si>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</si>
  <si>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</si>
  <si>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</si>
  <si>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</si>
  <si>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</si>
  <si>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</si>
  <si>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</si>
  <si>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</si>
  <si>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</si>
  <si>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</si>
  <si>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</si>
  <si>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</si>
  <si>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</si>
  <si>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</si>
  <si>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</si>
  <si>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</si>
  <si>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</si>
  <si>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</si>
  <si>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</si>
  <si>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</si>
  <si>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</si>
  <si>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</si>
  <si>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</si>
  <si>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</si>
  <si>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</si>
  <si>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</si>
  <si>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</si>
  <si>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</si>
  <si>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</si>
  <si>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</si>
  <si>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</si>
  <si>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</si>
  <si>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</si>
  <si>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</si>
  <si>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</si>
  <si>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</si>
  <si>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</si>
  <si>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</si>
  <si>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</si>
  <si>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</si>
  <si>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</si>
  <si>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</si>
  <si>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</si>
  <si>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</si>
  <si>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</si>
  <si>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</si>
  <si>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</si>
  <si>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</si>
  <si>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</si>
  <si>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</si>
  <si>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</si>
  <si>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</si>
  <si>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</si>
  <si>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</si>
  <si>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</si>
  <si>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</si>
  <si>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</si>
  <si>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</si>
  <si>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</si>
  <si>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</si>
  <si>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</si>
  <si>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</si>
  <si>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</si>
  <si>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</si>
  <si>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</si>
  <si>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</si>
  <si>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</si>
  <si>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00초등학교 신축공사</t>
  </si>
  <si>
    <t>교육연구</t>
  </si>
  <si>
    <t>광주시</t>
  </si>
  <si>
    <t>옥외통신간선공사</t>
  </si>
  <si>
    <t>전화공사,LAN공사</t>
    <phoneticPr fontId="2" type="noConversion"/>
  </si>
  <si>
    <t>옥외방송공사,방송공사</t>
    <phoneticPr fontId="2" type="noConversion"/>
  </si>
  <si>
    <t>전기 자동화재탐지</t>
    <phoneticPr fontId="2" type="noConversion"/>
  </si>
  <si>
    <t>전기 유도등, 비상등공사,급식실동 유도등 공사,강당동 유도등공사</t>
    <phoneticPr fontId="2" type="noConversion"/>
  </si>
  <si>
    <t>옥외전력간선및 가로등설비 공사</t>
  </si>
  <si>
    <t>전열설비공사,선풍기전열설비공사,환기전열설비공사</t>
    <phoneticPr fontId="2" type="noConversion"/>
  </si>
  <si>
    <t>기계실 동력설비공사</t>
    <phoneticPr fontId="2" type="noConversion"/>
  </si>
  <si>
    <t>기계 소방공사</t>
    <phoneticPr fontId="2" type="noConversion"/>
  </si>
  <si>
    <t>기계실위생배관공사</t>
  </si>
  <si>
    <t>보일러연도설치공사</t>
  </si>
  <si>
    <t>.</t>
    <phoneticPr fontId="2" type="noConversion"/>
  </si>
  <si>
    <t>화장실환기공사,조리실환기공사</t>
    <phoneticPr fontId="2" type="noConversion"/>
  </si>
  <si>
    <t>냉난방배관공사,저수조경보설치공사,주방기구설치공사</t>
    <phoneticPr fontId="2" type="noConversion"/>
  </si>
  <si>
    <t>우수공사,오수공사</t>
  </si>
  <si>
    <t>토공사,기타공사,골재비,작업부산물,품질관리비,증축분,폐기물처리</t>
    <phoneticPr fontId="2" type="noConversion"/>
  </si>
  <si>
    <t>오토리프팅공사</t>
  </si>
  <si>
    <t>운동장시설공사,단지포장시설공사,자연석시설공사,구령대시설공사,음수대시설공사,국기게양대시설공사,출입문 및 부대시설공사,조경시설공사,신발흙털이시설공사,옹벽시설공사,정화조시설공사,철거공사,운반공사,철근고재,골재대,폐기물처리비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</si>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</sst>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270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7470</v>
      </c>
      <c r="D7" s="36">
        <f>+C7/3.3058</f>
        <v>2259.664831508258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271</v>
      </c>
    </row>
    <row r="19" spans="1:5" x14ac:dyDescent="0.3">
      <c r="A19" s="2">
        <v>9</v>
      </c>
      <c r="B19" s="2" t="s">
        <v>272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3060</v>
      </c>
      <c r="E24" s="58">
        <f t="shared" ref="E24:E33" si="0">TRUNC(+D24*3.3058,-1)</f>
        <v>10110</v>
      </c>
    </row>
    <row r="25" spans="1:5" x14ac:dyDescent="0.3">
      <c r="B25" s="2">
        <v>2</v>
      </c>
      <c r="C25" s="35" t="s">
        <v>111</v>
      </c>
      <c r="D25" s="45">
        <f>+D60</f>
        <v>635300</v>
      </c>
      <c r="E25" s="59">
        <f t="shared" si="0"/>
        <v>2100170</v>
      </c>
    </row>
    <row r="26" spans="1:5" x14ac:dyDescent="0.3">
      <c r="B26" s="2">
        <v>3</v>
      </c>
      <c r="C26" s="35" t="s">
        <v>95</v>
      </c>
      <c r="D26" s="45">
        <f>+D66</f>
        <v>60200</v>
      </c>
      <c r="E26" s="59">
        <f t="shared" si="0"/>
        <v>199000</v>
      </c>
    </row>
    <row r="27" spans="1:5" x14ac:dyDescent="0.3">
      <c r="B27" s="2">
        <v>4</v>
      </c>
      <c r="C27" s="35" t="s">
        <v>96</v>
      </c>
      <c r="D27" s="45">
        <f>+D95</f>
        <v>63650</v>
      </c>
      <c r="E27" s="59">
        <f t="shared" si="0"/>
        <v>210410</v>
      </c>
    </row>
    <row r="28" spans="1:5" x14ac:dyDescent="0.3">
      <c r="B28" s="2">
        <v>5</v>
      </c>
      <c r="C28" s="35" t="s">
        <v>97</v>
      </c>
      <c r="D28" s="45">
        <f>+D119</f>
        <v>40460</v>
      </c>
      <c r="E28" s="59">
        <f t="shared" si="0"/>
        <v>133750</v>
      </c>
    </row>
    <row r="29" spans="1:5" x14ac:dyDescent="0.3">
      <c r="B29" s="2">
        <v>6</v>
      </c>
      <c r="C29" s="35" t="s">
        <v>98</v>
      </c>
      <c r="D29" s="45">
        <f>+D133</f>
        <v>17550</v>
      </c>
      <c r="E29" s="59">
        <f t="shared" si="0"/>
        <v>58010</v>
      </c>
    </row>
    <row r="30" spans="1:5" x14ac:dyDescent="0.3">
      <c r="B30" s="2">
        <v>7</v>
      </c>
      <c r="C30" s="35" t="s">
        <v>99</v>
      </c>
      <c r="D30" s="45">
        <f>+D146</f>
        <v>11040</v>
      </c>
      <c r="E30" s="59">
        <f t="shared" si="0"/>
        <v>36490</v>
      </c>
    </row>
    <row r="31" spans="1:5" x14ac:dyDescent="0.3">
      <c r="B31" s="2">
        <v>8</v>
      </c>
      <c r="C31" s="35" t="s">
        <v>100</v>
      </c>
      <c r="D31" s="45">
        <f>+D154</f>
        <v>77380</v>
      </c>
      <c r="E31" s="59">
        <f t="shared" si="0"/>
        <v>255800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249870</v>
      </c>
      <c r="E33" s="60">
        <f t="shared" si="0"/>
        <v>826020</v>
      </c>
    </row>
    <row r="34" spans="1:7" x14ac:dyDescent="0.3">
      <c r="C34" s="35" t="s">
        <v>112</v>
      </c>
      <c r="D34" s="44">
        <f>SUM(D24:D33)</f>
        <v>1158510</v>
      </c>
      <c r="E34" s="44">
        <f>SUM(E24:E33)</f>
        <v>3829760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f>TRUNC(3067.37402945114,-1)</f>
        <v>3060</v>
      </c>
      <c r="E37" s="61">
        <f>TRUNC(+D37*3.3058,-1)</f>
        <v>10110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113</v>
      </c>
      <c r="D39" s="57" t="s">
        <v>236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TRUNC(32485.3116465863,-1)</f>
        <v>32480</v>
      </c>
      <c r="E40" s="62">
        <f t="shared" ref="E40:E59" si="1">TRUNC(+D40*3.3058,-1)</f>
        <v>107370</v>
      </c>
    </row>
    <row r="41" spans="1:7" x14ac:dyDescent="0.3">
      <c r="A41" s="2">
        <v>2</v>
      </c>
      <c r="C41" s="38" t="s">
        <v>13</v>
      </c>
      <c r="D41" s="42">
        <f>TRUNC(117022.388353414,-1)</f>
        <v>117020</v>
      </c>
      <c r="E41" s="63">
        <f t="shared" si="1"/>
        <v>386840</v>
      </c>
    </row>
    <row r="42" spans="1:7" x14ac:dyDescent="0.3">
      <c r="A42" s="2">
        <v>3</v>
      </c>
      <c r="C42" s="38" t="s">
        <v>14</v>
      </c>
      <c r="D42" s="42">
        <f>TRUNC(8075.50053547523,-1)</f>
        <v>8070</v>
      </c>
      <c r="E42" s="63">
        <f t="shared" si="1"/>
        <v>26670</v>
      </c>
    </row>
    <row r="43" spans="1:7" x14ac:dyDescent="0.3">
      <c r="A43" s="2">
        <v>4</v>
      </c>
      <c r="C43" s="38" t="s">
        <v>16</v>
      </c>
      <c r="D43" s="42">
        <f>TRUNC(27590.9680053548,-1)</f>
        <v>27590</v>
      </c>
      <c r="E43" s="63">
        <f t="shared" si="1"/>
        <v>91200</v>
      </c>
    </row>
    <row r="44" spans="1:7" x14ac:dyDescent="0.3">
      <c r="A44" s="2">
        <v>5</v>
      </c>
      <c r="C44" s="38" t="s">
        <v>17</v>
      </c>
      <c r="D44" s="42">
        <f>TRUNC(22690.4677376171,-1)</f>
        <v>22690</v>
      </c>
      <c r="E44" s="63">
        <f t="shared" si="1"/>
        <v>75000</v>
      </c>
    </row>
    <row r="45" spans="1:7" x14ac:dyDescent="0.3">
      <c r="A45" s="2">
        <v>6</v>
      </c>
      <c r="C45" s="38" t="s">
        <v>18</v>
      </c>
      <c r="D45" s="42">
        <f>TRUNC(8578.77161981258,-1)</f>
        <v>8570</v>
      </c>
      <c r="E45" s="63">
        <f t="shared" si="1"/>
        <v>28330</v>
      </c>
    </row>
    <row r="46" spans="1:7" x14ac:dyDescent="0.3">
      <c r="A46" s="2">
        <v>7</v>
      </c>
      <c r="C46" s="38" t="s">
        <v>19</v>
      </c>
      <c r="D46" s="42">
        <f>TRUNC(10006.8516733601,-1)</f>
        <v>10000</v>
      </c>
      <c r="E46" s="63">
        <f t="shared" si="1"/>
        <v>33050</v>
      </c>
    </row>
    <row r="47" spans="1:7" x14ac:dyDescent="0.3">
      <c r="A47" s="2">
        <v>8</v>
      </c>
      <c r="C47" s="38" t="s">
        <v>20</v>
      </c>
      <c r="D47" s="42">
        <f>TRUNC(26858.2116465863,-1)</f>
        <v>26850</v>
      </c>
      <c r="E47" s="63">
        <f t="shared" si="1"/>
        <v>88760</v>
      </c>
    </row>
    <row r="48" spans="1:7" x14ac:dyDescent="0.3">
      <c r="A48" s="2">
        <v>9</v>
      </c>
      <c r="C48" s="38" t="s">
        <v>21</v>
      </c>
      <c r="D48" s="42">
        <f>TRUNC(37254.4554216867,-1)</f>
        <v>37250</v>
      </c>
      <c r="E48" s="63">
        <f t="shared" si="1"/>
        <v>123140</v>
      </c>
    </row>
    <row r="49" spans="1:7" x14ac:dyDescent="0.3">
      <c r="A49" s="2">
        <v>10</v>
      </c>
      <c r="C49" s="38" t="s">
        <v>22</v>
      </c>
      <c r="D49" s="42">
        <f>TRUNC(18969.9341365462,-1)</f>
        <v>18960</v>
      </c>
      <c r="E49" s="63">
        <f t="shared" si="1"/>
        <v>62670</v>
      </c>
    </row>
    <row r="50" spans="1:7" x14ac:dyDescent="0.3">
      <c r="A50" s="2">
        <v>11</v>
      </c>
      <c r="C50" s="38" t="s">
        <v>156</v>
      </c>
      <c r="D50" s="42">
        <f>TRUNC(69769.6392235609,-1)</f>
        <v>69760</v>
      </c>
      <c r="E50" s="63">
        <f t="shared" si="1"/>
        <v>230610</v>
      </c>
    </row>
    <row r="51" spans="1:7" x14ac:dyDescent="0.3">
      <c r="A51" s="2">
        <v>12</v>
      </c>
      <c r="C51" s="38" t="s">
        <v>23</v>
      </c>
      <c r="D51" s="42">
        <f>TRUNC(5782.02543507363,-1)</f>
        <v>5780</v>
      </c>
      <c r="E51" s="63">
        <f t="shared" si="1"/>
        <v>19100</v>
      </c>
    </row>
    <row r="52" spans="1:7" x14ac:dyDescent="0.3">
      <c r="A52" s="2">
        <v>13</v>
      </c>
      <c r="C52" s="38" t="s">
        <v>24</v>
      </c>
      <c r="D52" s="42">
        <f>TRUNC(9926.05716198126,-1)</f>
        <v>9920</v>
      </c>
      <c r="E52" s="63">
        <f t="shared" si="1"/>
        <v>32790</v>
      </c>
    </row>
    <row r="53" spans="1:7" x14ac:dyDescent="0.3">
      <c r="A53" s="2">
        <v>14</v>
      </c>
      <c r="C53" s="38" t="s">
        <v>25</v>
      </c>
      <c r="D53" s="42">
        <f>TRUNC(30453.8356091031,-1)</f>
        <v>30450</v>
      </c>
      <c r="E53" s="63">
        <f t="shared" si="1"/>
        <v>100660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f>TRUNC(16366.909103079,-1)</f>
        <v>16360</v>
      </c>
      <c r="E55" s="63">
        <f t="shared" si="1"/>
        <v>54080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TRUNC(4534.28072289157+4842.75850066934+8291.83360107095-412.101740294511+371.084337349398+1647.59651941098+765.093708165997,-1)</f>
        <v>20040</v>
      </c>
      <c r="E58" s="63">
        <f t="shared" si="1"/>
        <v>66240</v>
      </c>
      <c r="F58" s="2" t="s">
        <v>267</v>
      </c>
    </row>
    <row r="59" spans="1:7" ht="17.25" thickBot="1" x14ac:dyDescent="0.35">
      <c r="A59" s="2">
        <v>20</v>
      </c>
      <c r="C59" s="38" t="s">
        <v>149</v>
      </c>
      <c r="D59" s="43">
        <f>TRUNC(173519.544846051,-1)</f>
        <v>173510</v>
      </c>
      <c r="E59" s="64">
        <f t="shared" si="1"/>
        <v>573580</v>
      </c>
    </row>
    <row r="60" spans="1:7" x14ac:dyDescent="0.3">
      <c r="A60" s="2">
        <v>21</v>
      </c>
      <c r="C60" s="27" t="s">
        <v>112</v>
      </c>
      <c r="D60" s="39">
        <f>SUM(D40:D59)</f>
        <v>635300</v>
      </c>
      <c r="E60" s="39">
        <f>SUM(E40:E59)</f>
        <v>2100090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TRUNC(22742.7918340027,-1)</f>
        <v>22740</v>
      </c>
      <c r="E63" s="62">
        <f>TRUNC(+D63*3.3058,-1)</f>
        <v>75170</v>
      </c>
    </row>
    <row r="64" spans="1:7" x14ac:dyDescent="0.3">
      <c r="A64" s="2">
        <v>2</v>
      </c>
      <c r="C64" s="38" t="s">
        <v>29</v>
      </c>
      <c r="D64" s="42">
        <f>TRUNC(37468.6697456493,-1)</f>
        <v>37460</v>
      </c>
      <c r="E64" s="63">
        <f>TRUNC(+D64*3.3058,-1)</f>
        <v>123830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60200</v>
      </c>
      <c r="E66" s="65">
        <f>SUM(E63:E65)</f>
        <v>199000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TRUNC(13046.7005354752,-1)</f>
        <v>13040</v>
      </c>
      <c r="E69" s="62">
        <f t="shared" ref="E69:E94" si="2">TRUNC(+D69*3.3058,-1)</f>
        <v>43100</v>
      </c>
    </row>
    <row r="70" spans="1:7" ht="16.5" customHeight="1" x14ac:dyDescent="0.3">
      <c r="A70" s="2">
        <v>2</v>
      </c>
      <c r="C70" s="38" t="s">
        <v>31</v>
      </c>
      <c r="D70" s="42">
        <f>TRUNC(2247.26572958501,-1)</f>
        <v>2240</v>
      </c>
      <c r="E70" s="63">
        <f t="shared" si="2"/>
        <v>7400</v>
      </c>
    </row>
    <row r="71" spans="1:7" x14ac:dyDescent="0.3">
      <c r="A71" s="2">
        <v>3</v>
      </c>
      <c r="C71" s="38" t="s">
        <v>32</v>
      </c>
      <c r="D71" s="42">
        <f>TRUNC(5520.38915662651,-1)</f>
        <v>5520</v>
      </c>
      <c r="E71" s="63">
        <f t="shared" si="2"/>
        <v>18240</v>
      </c>
      <c r="F71" s="2" t="s">
        <v>261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TRUNC(16171.4004016064,-1)</f>
        <v>16170</v>
      </c>
      <c r="E73" s="63">
        <f t="shared" si="2"/>
        <v>53450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TRUNC(777.647523427042+1091.39303882195,-1)</f>
        <v>1860</v>
      </c>
      <c r="E79" s="63">
        <f t="shared" si="2"/>
        <v>6140</v>
      </c>
      <c r="F79" s="2" t="s">
        <v>264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TRUNC(12116.9847389558,-1)</f>
        <v>12110</v>
      </c>
      <c r="E89" s="63">
        <f t="shared" si="2"/>
        <v>40030</v>
      </c>
    </row>
    <row r="90" spans="1:7" x14ac:dyDescent="0.3">
      <c r="A90" s="2">
        <v>22</v>
      </c>
      <c r="C90" s="38" t="s">
        <v>36</v>
      </c>
      <c r="D90" s="42">
        <f>TRUNC(493.64765729585,-1)</f>
        <v>490</v>
      </c>
      <c r="E90" s="63">
        <f t="shared" si="2"/>
        <v>1610</v>
      </c>
      <c r="F90" s="2" t="s">
        <v>262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TRUNC(7445.10548862115,-1)</f>
        <v>7440</v>
      </c>
      <c r="E92" s="63">
        <f t="shared" si="2"/>
        <v>24590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TRUNC(2109.70749665328+198.240562248996+2474.29705488621,-1)</f>
        <v>4780</v>
      </c>
      <c r="E94" s="64">
        <f t="shared" si="2"/>
        <v>15800</v>
      </c>
      <c r="F94" s="2" t="s">
        <v>265</v>
      </c>
    </row>
    <row r="95" spans="1:7" x14ac:dyDescent="0.3">
      <c r="A95" s="2">
        <v>27</v>
      </c>
      <c r="C95" s="27" t="s">
        <v>112</v>
      </c>
      <c r="D95" s="39">
        <f>SUM(D69:D94)</f>
        <v>63650</v>
      </c>
      <c r="E95" s="39">
        <f>SUM(E69:E94)</f>
        <v>210360</v>
      </c>
      <c r="F95" s="2" t="s">
        <v>263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TRUNC(7915.58995983936,-1)</f>
        <v>7910</v>
      </c>
      <c r="E98" s="62">
        <f t="shared" ref="E98:E118" si="3">TRUNC(+D98*3.3058,-1)</f>
        <v>26140</v>
      </c>
    </row>
    <row r="99" spans="1:7" x14ac:dyDescent="0.3">
      <c r="A99" s="2">
        <v>2</v>
      </c>
      <c r="C99" s="38" t="s">
        <v>40</v>
      </c>
      <c r="D99" s="42">
        <f>TRUNC(544.717938420348,-1)</f>
        <v>540</v>
      </c>
      <c r="E99" s="63">
        <f t="shared" si="3"/>
        <v>1780</v>
      </c>
      <c r="F99" s="2" t="s">
        <v>259</v>
      </c>
    </row>
    <row r="100" spans="1:7" x14ac:dyDescent="0.3">
      <c r="A100" s="2">
        <v>3</v>
      </c>
      <c r="C100" s="38" t="s">
        <v>41</v>
      </c>
      <c r="D100" s="42">
        <f>TRUNC(10304.1838018742+1152.83641231593,-1)</f>
        <v>11450</v>
      </c>
      <c r="E100" s="63">
        <f t="shared" si="3"/>
        <v>37850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TRUNC(6825.00321285141+1280.89263721553+1768.65073627845,-1)</f>
        <v>9870</v>
      </c>
      <c r="E102" s="63">
        <f t="shared" si="3"/>
        <v>32620</v>
      </c>
      <c r="F102" s="2" t="s">
        <v>258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TRUNC(1966.83105756359,-1)</f>
        <v>1960</v>
      </c>
      <c r="E105" s="63">
        <f t="shared" si="3"/>
        <v>6470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TRUNC(4421.359437751,-1)</f>
        <v>4420</v>
      </c>
      <c r="E108" s="63">
        <f t="shared" si="3"/>
        <v>14610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1530</v>
      </c>
      <c r="E112" s="63">
        <f t="shared" si="3"/>
        <v>5050</v>
      </c>
      <c r="F112" s="2" t="s">
        <v>268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TRUNC(2782.66050870147,-1)</f>
        <v>2780</v>
      </c>
      <c r="E114" s="63">
        <f t="shared" si="3"/>
        <v>9190</v>
      </c>
      <c r="F114" s="2" t="s">
        <v>257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40460</v>
      </c>
      <c r="E119" s="39">
        <f>SUM(E98:E118)</f>
        <v>133710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TRUNC(1779.91659973226,-1)</f>
        <v>1770</v>
      </c>
      <c r="E122" s="62">
        <f t="shared" ref="E122:E132" si="4">TRUNC(+D122*3.3058,-1)</f>
        <v>5850</v>
      </c>
    </row>
    <row r="123" spans="1:7" x14ac:dyDescent="0.3">
      <c r="A123" s="2">
        <v>2</v>
      </c>
      <c r="C123" s="38" t="s">
        <v>124</v>
      </c>
      <c r="D123" s="42">
        <f>TRUNC(4198.40441767068+5179.61686746988,-1)</f>
        <v>9370</v>
      </c>
      <c r="E123" s="63">
        <f t="shared" si="4"/>
        <v>30970</v>
      </c>
      <c r="F123" s="2" t="s">
        <v>253</v>
      </c>
    </row>
    <row r="124" spans="1:7" x14ac:dyDescent="0.3">
      <c r="A124" s="2">
        <v>3</v>
      </c>
      <c r="C124" s="38" t="s">
        <v>152</v>
      </c>
      <c r="D124" s="42">
        <f>TRUNC(336.45327978581,-1)</f>
        <v>330</v>
      </c>
      <c r="E124" s="63">
        <f t="shared" si="4"/>
        <v>1090</v>
      </c>
    </row>
    <row r="125" spans="1:7" x14ac:dyDescent="0.3">
      <c r="A125" s="2">
        <v>4</v>
      </c>
      <c r="C125" s="38" t="s">
        <v>138</v>
      </c>
      <c r="D125" s="42">
        <f>TRUNC(216.293306559572+2815.42878179384,-1)</f>
        <v>3030</v>
      </c>
      <c r="E125" s="63">
        <f t="shared" si="4"/>
        <v>10010</v>
      </c>
      <c r="F125" s="2" t="s">
        <v>254</v>
      </c>
    </row>
    <row r="126" spans="1:7" x14ac:dyDescent="0.3">
      <c r="A126" s="2">
        <v>5</v>
      </c>
      <c r="C126" s="38" t="s">
        <v>53</v>
      </c>
      <c r="D126" s="42">
        <f>TRUNC(580.633734939759,-1)</f>
        <v>580</v>
      </c>
      <c r="E126" s="63">
        <f t="shared" si="4"/>
        <v>1910</v>
      </c>
      <c r="F126" s="2" t="s">
        <v>252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TRUNC(2476.90736278447,-1)</f>
        <v>2470</v>
      </c>
      <c r="E128" s="63">
        <f t="shared" si="4"/>
        <v>8160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149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17550</v>
      </c>
      <c r="E133" s="39">
        <f>SUM(E122:E132)</f>
        <v>57990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f>TRUNC(5892.35997322624,-1)</f>
        <v>5890</v>
      </c>
      <c r="E136" s="62">
        <f t="shared" ref="E136:E145" si="5">TRUNC(+D136*3.3058,-1)</f>
        <v>19470</v>
      </c>
      <c r="F136" s="2" t="s">
        <v>260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TRUNC(1700.71271753682+133.314323962517+120.716733601071,-1)</f>
        <v>1950</v>
      </c>
      <c r="E143" s="63">
        <f t="shared" si="5"/>
        <v>6440</v>
      </c>
      <c r="F143" s="2" t="s">
        <v>256</v>
      </c>
    </row>
    <row r="144" spans="1:7" x14ac:dyDescent="0.3">
      <c r="A144" s="2">
        <v>9</v>
      </c>
      <c r="C144" s="38" t="s">
        <v>63</v>
      </c>
      <c r="D144" s="42">
        <f>TRUNC(3205.49745649264,-1)</f>
        <v>3200</v>
      </c>
      <c r="E144" s="63">
        <f t="shared" si="5"/>
        <v>10570</v>
      </c>
      <c r="F144" s="2" t="s">
        <v>255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11040</v>
      </c>
      <c r="E146" s="39">
        <f>SUM(E136:E145)</f>
        <v>36480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TRUNC(9258.56827309237+1160.00080321285,-1)</f>
        <v>10410</v>
      </c>
      <c r="E149" s="62">
        <f>TRUNC(+D149*3.3058,-1)</f>
        <v>34410</v>
      </c>
      <c r="F149" s="2" t="s">
        <v>266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f>TRUNC(1868.12998661312,-1)</f>
        <v>1860</v>
      </c>
      <c r="E151" s="63">
        <f>TRUNC(+D151*3.3058,-1)</f>
        <v>6140</v>
      </c>
    </row>
    <row r="152" spans="1:7" x14ac:dyDescent="0.3">
      <c r="A152" s="2">
        <v>4</v>
      </c>
      <c r="C152" s="38" t="s">
        <v>47</v>
      </c>
      <c r="D152" s="42">
        <f>TRUNC(3606.03078982597+18118.1864792503+1473.07215528782+346.11780455154+375.54203480589+144.645247657296+14071.9688085676+14359.4927710843+2362.15341365462+8670.48527443106+358.024230254351+459.479518072289+339.079919678715-41.6385542168675+19.2771084337349+456.305220883534,-1)</f>
        <v>65110</v>
      </c>
      <c r="E152" s="63">
        <f>TRUNC(+D152*3.3058,-1)</f>
        <v>215240</v>
      </c>
      <c r="F152" s="2" t="s">
        <v>269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77380</v>
      </c>
      <c r="E154" s="39">
        <f>SUM(E149:E153)</f>
        <v>255790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2020-12-07T09:17:49Z</dcterms:modified>
</cp:coreProperties>
</file>