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7" i="4" l="1"/>
  <c r="D159" i="4"/>
  <c r="D158" i="4"/>
  <c r="D157" i="4"/>
  <c r="D152" i="4"/>
  <c r="D151" i="4"/>
  <c r="D150" i="4"/>
  <c r="D145" i="4"/>
  <c r="D144" i="4"/>
  <c r="D142" i="4"/>
  <c r="D140" i="4"/>
  <c r="D139" i="4"/>
  <c r="D138" i="4"/>
  <c r="D137" i="4"/>
  <c r="D132" i="4"/>
  <c r="D131" i="4"/>
  <c r="D130" i="4"/>
  <c r="D125" i="4"/>
  <c r="D116" i="4"/>
  <c r="D59" i="4"/>
  <c r="D58" i="4"/>
  <c r="D127" i="4"/>
  <c r="D124" i="4"/>
  <c r="D122" i="4"/>
  <c r="D114" i="4"/>
  <c r="D105" i="4"/>
  <c r="D104" i="4"/>
  <c r="D102" i="4"/>
  <c r="D101" i="4"/>
  <c r="D99" i="4"/>
  <c r="D98" i="4"/>
  <c r="D94" i="4"/>
  <c r="D92" i="4"/>
  <c r="D91" i="4"/>
  <c r="D90" i="4"/>
  <c r="D89" i="4"/>
  <c r="D75" i="4"/>
  <c r="D73" i="4"/>
  <c r="D72" i="4"/>
  <c r="D71" i="4"/>
  <c r="D70" i="4"/>
  <c r="D69" i="4"/>
  <c r="D63" i="4"/>
  <c r="D53" i="4"/>
  <c r="D52" i="4"/>
  <c r="D50" i="4"/>
  <c r="D49" i="4"/>
  <c r="D46" i="4"/>
  <c r="D45" i="4"/>
  <c r="D42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<sst xmlns="http://schemas.openxmlformats.org/spreadsheetml/2006/main" count="393" uniqueCount="267">
  <si>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</si>
  <si>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</si>
  <si>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</si>
  <si>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</si>
  <si>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</si>
  <si>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</si>
  <si>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</si>
  <si>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</si>
  <si>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</si>
  <si>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</si>
  <si>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</si>
  <si>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</si>
  <si>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</si>
  <si>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</si>
  <si>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</si>
  <si>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</si>
  <si>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</si>
  <si>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</si>
  <si>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</si>
  <si>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</si>
  <si>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</si>
  <si>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</si>
  <si>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</si>
  <si>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</si>
  <si>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</si>
  <si>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</si>
  <si>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</si>
  <si>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</si>
  <si>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</si>
  <si>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</si>
  <si>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</si>
  <si>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</si>
  <si>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</si>
  <si>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</si>
  <si>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</si>
  <si>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</si>
  <si>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</si>
  <si>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</si>
  <si>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</si>
  <si>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</si>
  <si>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</si>
  <si>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</si>
  <si>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</si>
  <si>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</si>
  <si>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</si>
  <si>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</si>
  <si>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</si>
  <si>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</si>
  <si>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</si>
  <si>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</si>
  <si>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</si>
  <si>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</si>
  <si>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</si>
  <si>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</si>
  <si>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</si>
  <si>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</si>
  <si>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</si>
  <si>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</si>
  <si>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</si>
  <si>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</si>
  <si>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</si>
  <si>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</si>
  <si>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</si>
  <si>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</si>
  <si>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</si>
  <si>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</si>
  <si>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</si>
  <si>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</si>
  <si>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</si>
  <si>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</si>
  <si>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</si>
  <si>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</si>
  <si>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</si>
  <si>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</si>
  <si>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</si>
  <si>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</si>
  <si>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</si>
  <si>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</si>
  <si>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</si>
  <si>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</si>
  <si>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</si>
  <si>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</si>
  <si>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</si>
  <si>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</si>
  <si>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</si>
  <si>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</si>
  <si>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</si>
  <si>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</si>
  <si>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</si>
  <si>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</si>
  <si>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</si>
  <si>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</si>
  <si>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</si>
  <si>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</si>
  <si>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</si>
  <si>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</si>
  <si>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</si>
  <si>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</si>
  <si>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</si>
  <si>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</si>
  <si>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</si>
  <si>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</si>
  <si>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</si>
  <si>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</si>
  <si>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</si>
  <si>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</si>
  <si>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</si>
  <si>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</si>
  <si>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</si>
  <si>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</si>
  <si>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</si>
  <si>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</si>
  <si>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</si>
  <si>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</si>
  <si>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</si>
  <si>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</si>
  <si>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</si>
  <si>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</si>
  <si>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</si>
  <si>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</si>
  <si>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</si>
  <si>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</si>
  <si>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</si>
  <si>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</si>
  <si>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</si>
  <si>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</si>
  <si>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</si>
  <si>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</si>
  <si>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</si>
  <si>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</si>
  <si>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</si>
  <si>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</si>
  <si>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</si>
  <si>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</si>
  <si>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</si>
  <si>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</si>
  <si>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</si>
  <si>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</si>
  <si>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</si>
  <si>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</si>
  <si>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</si>
  <si>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</si>
  <si>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</si>
  <si>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</si>
  <si>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</si>
  <si>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</si>
  <si>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</si>
  <si>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</si>
  <si>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</si>
  <si>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</si>
  <si>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</si>
  <si>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</si>
  <si>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</si>
  <si>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</si>
  <si>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</si>
  <si>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</si>
  <si>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</si>
  <si>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</si>
  <si>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</si>
  <si>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</si>
  <si>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</si>
  <si>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</si>
  <si>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</si>
  <si>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</si>
  <si>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</si>
  <si>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</si>
  <si>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</si>
  <si>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</si>
  <si>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</si>
  <si>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</si>
  <si>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</si>
  <si>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</si>
  <si>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</si>
  <si>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</si>
  <si>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</si>
  <si>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</si>
  <si>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</si>
  <si>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</si>
  <si>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</si>
  <si>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</si>
  <si>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</si>
  <si>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</si>
  <si>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</si>
  <si>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</si>
  <si>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</si>
  <si>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</si>
  <si>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</si>
  <si>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</si>
  <si>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</si>
  <si>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</si>
  <si>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</si>
  <si>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</si>
  <si>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</si>
  <si>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</si>
  <si>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</si>
  <si>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</si>
  <si>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</si>
  <si>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</si>
  <si>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</si>
  <si>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</si>
  <si>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</si>
  <si>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</si>
  <si>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</si>
  <si>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</si>
  <si>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</si>
  <si>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</si>
  <si>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</si>
  <si>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</si>
  <si>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</si>
  <si>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</si>
  <si>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</si>
  <si>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</si>
  <si>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</si>
  <si>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</si>
  <si>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</si>
  <si>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</si>
  <si>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</si>
  <si>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</si>
  <si>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</si>
  <si>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</si>
  <si>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</si>
  <si>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</si>
  <si>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</si>
  <si>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</si>
  <si>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</si>
  <si>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</si>
  <si>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</si>
  <si>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</si>
  <si>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</si>
  <si>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</si>
  <si>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</si>
  <si>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</si>
  <si>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</si>
  <si>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</si>
  <si>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</si>
  <si>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</si>
  <si>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</si>
  <si>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</si>
  <si>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</si>
  <si>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</si>
  <si>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</si>
  <si>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</si>
  <si>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</si>
  <si>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</si>
  <si>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</si>
  <si>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</si>
  <si>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</si>
  <si>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</si>
  <si>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</si>
  <si>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</si>
  <si>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</si>
  <si>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</si>
  <si>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</si>
  <si>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</si>
  <si>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</si>
  <si>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</si>
  <si>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교육연구</t>
  </si>
  <si>
    <t>농업기술실용화재단 이전사업</t>
    <phoneticPr fontId="2" type="noConversion"/>
  </si>
  <si>
    <t>전라도</t>
  </si>
  <si>
    <t>기초공사, 해체및철거공사, 폐기물처리비, 골재비및운반비, 작업부산물, 품질시험비, 기타공사</t>
    <phoneticPr fontId="2" type="noConversion"/>
  </si>
  <si>
    <t>공조배관공사, 우수처리시설공사, 바닥난방공사, 기타공사</t>
    <phoneticPr fontId="2" type="noConversion"/>
  </si>
  <si>
    <t>CCTV설비공사, 주차관제설비공사, 기타공사</t>
    <phoneticPr fontId="2" type="noConversion"/>
  </si>
  <si>
    <t>옥외소화배관공사, 펌프실배관공사, 기타공사</t>
    <phoneticPr fontId="2" type="noConversion"/>
  </si>
  <si>
    <t>상수도공사,사급자재비,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</si>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</sst>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23477.74</v>
      </c>
      <c r="D7" s="36">
        <f>+C7/3.3058</f>
        <v>7101.9843910702402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1294770</v>
      </c>
      <c r="E25" s="59">
        <f t="shared" si="0"/>
        <v>4280250</v>
      </c>
    </row>
    <row r="26" spans="1:5" x14ac:dyDescent="0.3">
      <c r="B26" s="2">
        <v>3</v>
      </c>
      <c r="C26" s="35" t="s">
        <v>95</v>
      </c>
      <c r="D26" s="45">
        <f>+D66</f>
        <v>48180</v>
      </c>
      <c r="E26" s="59">
        <f t="shared" si="0"/>
        <v>159270</v>
      </c>
    </row>
    <row r="27" spans="1:5" x14ac:dyDescent="0.3">
      <c r="B27" s="2">
        <v>4</v>
      </c>
      <c r="C27" s="35" t="s">
        <v>96</v>
      </c>
      <c r="D27" s="45">
        <f>+D95</f>
        <v>241690</v>
      </c>
      <c r="E27" s="59">
        <f t="shared" si="0"/>
        <v>798970</v>
      </c>
    </row>
    <row r="28" spans="1:5" x14ac:dyDescent="0.3">
      <c r="B28" s="2">
        <v>5</v>
      </c>
      <c r="C28" s="35" t="s">
        <v>97</v>
      </c>
      <c r="D28" s="45">
        <f>+D119</f>
        <v>309040</v>
      </c>
      <c r="E28" s="59">
        <f t="shared" si="0"/>
        <v>1021620</v>
      </c>
    </row>
    <row r="29" spans="1:5" x14ac:dyDescent="0.3">
      <c r="B29" s="2">
        <v>6</v>
      </c>
      <c r="C29" s="35" t="s">
        <v>98</v>
      </c>
      <c r="D29" s="45">
        <f>+D133</f>
        <v>91880</v>
      </c>
      <c r="E29" s="59">
        <f t="shared" si="0"/>
        <v>303730</v>
      </c>
    </row>
    <row r="30" spans="1:5" x14ac:dyDescent="0.3">
      <c r="B30" s="2">
        <v>7</v>
      </c>
      <c r="C30" s="35" t="s">
        <v>99</v>
      </c>
      <c r="D30" s="45">
        <f>+D146</f>
        <v>30850</v>
      </c>
      <c r="E30" s="59">
        <f t="shared" si="0"/>
        <v>101980</v>
      </c>
    </row>
    <row r="31" spans="1:5" x14ac:dyDescent="0.3">
      <c r="B31" s="2">
        <v>8</v>
      </c>
      <c r="C31" s="35" t="s">
        <v>100</v>
      </c>
      <c r="D31" s="45">
        <f>+D154</f>
        <v>110920</v>
      </c>
      <c r="E31" s="59">
        <f t="shared" si="0"/>
        <v>366670</v>
      </c>
    </row>
    <row r="32" spans="1:5" x14ac:dyDescent="0.3">
      <c r="B32" s="2">
        <v>9</v>
      </c>
      <c r="C32" s="35" t="s">
        <v>101</v>
      </c>
      <c r="D32" s="45">
        <f>+D161</f>
        <v>60410</v>
      </c>
      <c r="E32" s="59">
        <f t="shared" si="0"/>
        <v>199700</v>
      </c>
    </row>
    <row r="33" spans="1:7" x14ac:dyDescent="0.3">
      <c r="B33" s="2">
        <v>10</v>
      </c>
      <c r="C33" s="35" t="s">
        <v>155</v>
      </c>
      <c r="D33" s="53">
        <f>TRUNC(SUM(D24:D32)*0.275,-1)</f>
        <v>601620</v>
      </c>
      <c r="E33" s="60">
        <f t="shared" si="0"/>
        <v>1988830</v>
      </c>
    </row>
    <row r="34" spans="1:7" x14ac:dyDescent="0.3">
      <c r="C34" s="35" t="s">
        <v>112</v>
      </c>
      <c r="D34" s="44">
        <f>SUM(D24:D33)</f>
        <v>2789360</v>
      </c>
      <c r="E34" s="44">
        <f>SUM(E24:E33)</f>
        <v>9221020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TRUNC(49455,-1)</f>
        <v>49450</v>
      </c>
      <c r="E40" s="62">
        <f t="shared" ref="E40:E59" si="1">TRUNC(+D40*3.3058,-1)</f>
        <v>163470</v>
      </c>
    </row>
    <row r="41" spans="1:7" x14ac:dyDescent="0.3">
      <c r="A41" s="2">
        <v>2</v>
      </c>
      <c r="C41" s="38" t="s">
        <v>13</v>
      </c>
      <c r="D41" s="42">
        <v>111560</v>
      </c>
      <c r="E41" s="63">
        <f t="shared" si="1"/>
        <v>368790</v>
      </c>
    </row>
    <row r="42" spans="1:7" x14ac:dyDescent="0.3">
      <c r="A42" s="2">
        <v>3</v>
      </c>
      <c r="C42" s="38" t="s">
        <v>14</v>
      </c>
      <c r="D42" s="42">
        <f>TRUNC(49645,-1)</f>
        <v>49640</v>
      </c>
      <c r="E42" s="63">
        <f t="shared" si="1"/>
        <v>164090</v>
      </c>
    </row>
    <row r="43" spans="1:7" x14ac:dyDescent="0.3">
      <c r="A43" s="2">
        <v>4</v>
      </c>
      <c r="C43" s="38" t="s">
        <v>16</v>
      </c>
      <c r="D43" s="42">
        <v>48620</v>
      </c>
      <c r="E43" s="63">
        <f t="shared" si="1"/>
        <v>160720</v>
      </c>
    </row>
    <row r="44" spans="1:7" x14ac:dyDescent="0.3">
      <c r="A44" s="2">
        <v>5</v>
      </c>
      <c r="C44" s="38" t="s">
        <v>17</v>
      </c>
      <c r="D44" s="42">
        <v>30940</v>
      </c>
      <c r="E44" s="63">
        <f t="shared" si="1"/>
        <v>102280</v>
      </c>
    </row>
    <row r="45" spans="1:7" x14ac:dyDescent="0.3">
      <c r="A45" s="2">
        <v>6</v>
      </c>
      <c r="C45" s="38" t="s">
        <v>18</v>
      </c>
      <c r="D45" s="42">
        <f>TRUNC(3375,-1)</f>
        <v>3370</v>
      </c>
      <c r="E45" s="63">
        <f t="shared" si="1"/>
        <v>11140</v>
      </c>
    </row>
    <row r="46" spans="1:7" x14ac:dyDescent="0.3">
      <c r="A46" s="2">
        <v>7</v>
      </c>
      <c r="C46" s="38" t="s">
        <v>19</v>
      </c>
      <c r="D46" s="42">
        <f>TRUNC(9235,-1)</f>
        <v>9230</v>
      </c>
      <c r="E46" s="63">
        <f t="shared" si="1"/>
        <v>30510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46090</v>
      </c>
      <c r="E48" s="63">
        <f t="shared" si="1"/>
        <v>152360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TRUNC(17901,-1)</f>
        <v>17900</v>
      </c>
      <c r="E49" s="63">
        <f t="shared" si="1"/>
        <v>59170</v>
      </c>
    </row>
    <row r="50" spans="1:7" x14ac:dyDescent="0.3">
      <c r="A50" s="2">
        <v>11</v>
      </c>
      <c r="C50" s="38" t="s">
        <v>156</v>
      </c>
      <c r="D50" s="42">
        <f>TRUNC(51427,-1)</f>
        <v>51420</v>
      </c>
      <c r="E50" s="63">
        <f t="shared" si="1"/>
        <v>169980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TRUNC(12548,-1)</f>
        <v>12540</v>
      </c>
      <c r="E52" s="63">
        <f t="shared" si="1"/>
        <v>41450</v>
      </c>
    </row>
    <row r="53" spans="1:7" x14ac:dyDescent="0.3">
      <c r="A53" s="2">
        <v>14</v>
      </c>
      <c r="C53" s="38" t="s">
        <v>25</v>
      </c>
      <c r="D53" s="42">
        <f>TRUNC(123662,-1)</f>
        <v>123660</v>
      </c>
      <c r="E53" s="63">
        <f t="shared" si="1"/>
        <v>408790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TRUNC(22630+8758+241+3775-722+672+42781,-1)</f>
        <v>78130</v>
      </c>
      <c r="E58" s="63">
        <f t="shared" si="1"/>
        <v>258280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f>TRUNC(662228,-1)</f>
        <v>662220</v>
      </c>
      <c r="E59" s="64">
        <f t="shared" si="1"/>
        <v>2189160</v>
      </c>
    </row>
    <row r="60" spans="1:7" x14ac:dyDescent="0.3">
      <c r="A60" s="2">
        <v>21</v>
      </c>
      <c r="C60" s="27" t="s">
        <v>112</v>
      </c>
      <c r="D60" s="39">
        <f>SUM(D40:D59)</f>
        <v>1294770</v>
      </c>
      <c r="E60" s="39">
        <f>SUM(E40:E59)</f>
        <v>4280190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TRUNC(48189,-1)</f>
        <v>48180</v>
      </c>
      <c r="E63" s="62">
        <f>TRUNC(+D63*3.3058,-1)</f>
        <v>159270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48180</v>
      </c>
      <c r="E66" s="65">
        <f>SUM(E63:E65)</f>
        <v>159270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TRUNC(31353,-1)</f>
        <v>31350</v>
      </c>
      <c r="E69" s="62">
        <f t="shared" ref="E69:E94" si="2">TRUNC(+D69*3.3058,-1)</f>
        <v>103630</v>
      </c>
    </row>
    <row r="70" spans="1:7" ht="16.5" customHeight="1" x14ac:dyDescent="0.3">
      <c r="A70" s="2">
        <v>2</v>
      </c>
      <c r="C70" s="38" t="s">
        <v>31</v>
      </c>
      <c r="D70" s="42">
        <f>TRUNC(688,-1)</f>
        <v>680</v>
      </c>
      <c r="E70" s="63">
        <f t="shared" si="2"/>
        <v>2240</v>
      </c>
    </row>
    <row r="71" spans="1:7" x14ac:dyDescent="0.3">
      <c r="A71" s="2">
        <v>3</v>
      </c>
      <c r="C71" s="38" t="s">
        <v>32</v>
      </c>
      <c r="D71" s="42">
        <f>TRUNC(6102,-1)</f>
        <v>6100</v>
      </c>
      <c r="E71" s="63">
        <f t="shared" si="2"/>
        <v>20160</v>
      </c>
    </row>
    <row r="72" spans="1:7" x14ac:dyDescent="0.3">
      <c r="A72" s="2">
        <v>4</v>
      </c>
      <c r="C72" s="38" t="s">
        <v>33</v>
      </c>
      <c r="D72" s="42">
        <f>TRUNC(14086,-1)</f>
        <v>14080</v>
      </c>
      <c r="E72" s="63">
        <f t="shared" si="2"/>
        <v>46540</v>
      </c>
    </row>
    <row r="73" spans="1:7" x14ac:dyDescent="0.3">
      <c r="A73" s="2">
        <v>5</v>
      </c>
      <c r="C73" s="38" t="s">
        <v>34</v>
      </c>
      <c r="D73" s="42">
        <f>TRUNC(7323,-1)</f>
        <v>7320</v>
      </c>
      <c r="E73" s="63">
        <f t="shared" si="2"/>
        <v>24190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TRUNC(7649,-1)</f>
        <v>7640</v>
      </c>
      <c r="E75" s="63">
        <f t="shared" si="2"/>
        <v>25250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TRUNC(10672,-1)</f>
        <v>10670</v>
      </c>
      <c r="E89" s="63">
        <f t="shared" si="2"/>
        <v>35270</v>
      </c>
    </row>
    <row r="90" spans="1:7" x14ac:dyDescent="0.3">
      <c r="A90" s="2">
        <v>22</v>
      </c>
      <c r="C90" s="38" t="s">
        <v>36</v>
      </c>
      <c r="D90" s="42">
        <f>TRUNC(454,-1)</f>
        <v>450</v>
      </c>
      <c r="E90" s="63">
        <f t="shared" si="2"/>
        <v>1480</v>
      </c>
    </row>
    <row r="91" spans="1:7" x14ac:dyDescent="0.3">
      <c r="A91" s="2">
        <v>23</v>
      </c>
      <c r="C91" s="38" t="s">
        <v>37</v>
      </c>
      <c r="D91" s="42">
        <f>TRUNC(72962,-1)</f>
        <v>72960</v>
      </c>
      <c r="E91" s="63">
        <f t="shared" si="2"/>
        <v>241190</v>
      </c>
    </row>
    <row r="92" spans="1:7" x14ac:dyDescent="0.3">
      <c r="A92" s="2">
        <v>24</v>
      </c>
      <c r="C92" s="38" t="s">
        <v>38</v>
      </c>
      <c r="D92" s="42">
        <f>TRUNC(3063,-1)</f>
        <v>3060</v>
      </c>
      <c r="E92" s="63">
        <f t="shared" si="2"/>
        <v>10110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TRUNC(29113+10254+216+47799,-1)</f>
        <v>87380</v>
      </c>
      <c r="E94" s="64">
        <f t="shared" si="2"/>
        <v>288860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241690</v>
      </c>
      <c r="E95" s="39">
        <f>SUM(E69:E94)</f>
        <v>798920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TRUNC(51178,-1)</f>
        <v>51170</v>
      </c>
      <c r="E98" s="62">
        <f t="shared" ref="E98:E118" si="3">TRUNC(+D98*3.3058,-1)</f>
        <v>169150</v>
      </c>
    </row>
    <row r="99" spans="1:7" x14ac:dyDescent="0.3">
      <c r="A99" s="2">
        <v>2</v>
      </c>
      <c r="C99" s="38" t="s">
        <v>40</v>
      </c>
      <c r="D99" s="42">
        <f>TRUNC(25606,-1)</f>
        <v>25600</v>
      </c>
      <c r="E99" s="63">
        <f t="shared" si="3"/>
        <v>84620</v>
      </c>
    </row>
    <row r="100" spans="1:7" x14ac:dyDescent="0.3">
      <c r="A100" s="2">
        <v>3</v>
      </c>
      <c r="C100" s="38" t="s">
        <v>41</v>
      </c>
      <c r="D100" s="42">
        <v>31790</v>
      </c>
      <c r="E100" s="63">
        <f t="shared" si="3"/>
        <v>105090</v>
      </c>
    </row>
    <row r="101" spans="1:7" x14ac:dyDescent="0.3">
      <c r="A101" s="2">
        <v>4</v>
      </c>
      <c r="C101" s="38" t="s">
        <v>42</v>
      </c>
      <c r="D101" s="42">
        <f>TRUNC(2776,-1)</f>
        <v>2770</v>
      </c>
      <c r="E101" s="63">
        <f t="shared" si="3"/>
        <v>9150</v>
      </c>
    </row>
    <row r="102" spans="1:7" x14ac:dyDescent="0.3">
      <c r="A102" s="2">
        <v>5</v>
      </c>
      <c r="C102" s="38" t="s">
        <v>43</v>
      </c>
      <c r="D102" s="42">
        <f>TRUNC(9278,-1)</f>
        <v>9270</v>
      </c>
      <c r="E102" s="63">
        <f t="shared" si="3"/>
        <v>30640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TRUNC(9365,-1)</f>
        <v>9360</v>
      </c>
      <c r="E104" s="63">
        <f t="shared" si="3"/>
        <v>30940</v>
      </c>
    </row>
    <row r="105" spans="1:7" x14ac:dyDescent="0.3">
      <c r="A105" s="2">
        <v>8</v>
      </c>
      <c r="C105" s="38" t="s">
        <v>46</v>
      </c>
      <c r="D105" s="42">
        <f>TRUNC(12611,-1)</f>
        <v>12610</v>
      </c>
      <c r="E105" s="63">
        <f t="shared" si="3"/>
        <v>41680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TRUNC(7557,-1)</f>
        <v>7550</v>
      </c>
      <c r="E114" s="63">
        <f t="shared" si="3"/>
        <v>24950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TRUNC(13591,-1)</f>
        <v>13590</v>
      </c>
      <c r="E116" s="63">
        <f t="shared" si="3"/>
        <v>44920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TRUNC(142091,-1)</f>
        <v>142090</v>
      </c>
      <c r="E117" s="63">
        <f t="shared" si="3"/>
        <v>469720</v>
      </c>
    </row>
    <row r="118" spans="1:7" ht="17.25" thickBot="1" x14ac:dyDescent="0.35">
      <c r="A118" s="2">
        <v>21</v>
      </c>
      <c r="C118" s="38" t="s">
        <v>47</v>
      </c>
      <c r="D118" s="43">
        <v>3240</v>
      </c>
      <c r="E118" s="64">
        <f t="shared" si="3"/>
        <v>10710</v>
      </c>
    </row>
    <row r="119" spans="1:7" x14ac:dyDescent="0.3">
      <c r="A119" s="2">
        <v>22</v>
      </c>
      <c r="C119" s="27" t="s">
        <v>112</v>
      </c>
      <c r="D119" s="39">
        <f>SUM(D98:D118)</f>
        <v>309040</v>
      </c>
      <c r="E119" s="39">
        <f>SUM(E98:E118)</f>
        <v>1021570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TRUNC(6854,-1)</f>
        <v>6850</v>
      </c>
      <c r="E122" s="62">
        <f t="shared" ref="E122:E132" si="4">TRUNC(+D122*3.3058,-1)</f>
        <v>22640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TRUNC(343,-1)</f>
        <v>340</v>
      </c>
      <c r="E124" s="63">
        <f t="shared" si="4"/>
        <v>1120</v>
      </c>
    </row>
    <row r="125" spans="1:7" x14ac:dyDescent="0.3">
      <c r="A125" s="2">
        <v>4</v>
      </c>
      <c r="C125" s="38" t="s">
        <v>138</v>
      </c>
      <c r="D125" s="42">
        <f>TRUNC(5953,-1)</f>
        <v>5950</v>
      </c>
      <c r="E125" s="63">
        <f t="shared" si="4"/>
        <v>19660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TRUNC(446,-1)</f>
        <v>440</v>
      </c>
      <c r="E127" s="63">
        <f t="shared" si="4"/>
        <v>1450</v>
      </c>
    </row>
    <row r="128" spans="1:7" x14ac:dyDescent="0.3">
      <c r="A128" s="2">
        <v>7</v>
      </c>
      <c r="C128" s="38" t="s">
        <v>46</v>
      </c>
      <c r="D128" s="42">
        <v>5290</v>
      </c>
      <c r="E128" s="63">
        <f t="shared" si="4"/>
        <v>17480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TRUNC(42411,-1)</f>
        <v>42410</v>
      </c>
      <c r="E130" s="63">
        <f t="shared" si="4"/>
        <v>140190</v>
      </c>
    </row>
    <row r="131" spans="1:7" x14ac:dyDescent="0.3">
      <c r="A131" s="2">
        <v>10</v>
      </c>
      <c r="C131" s="38" t="s">
        <v>149</v>
      </c>
      <c r="D131" s="42">
        <f>TRUNC(28278,-1)</f>
        <v>28270</v>
      </c>
      <c r="E131" s="63">
        <f t="shared" si="4"/>
        <v>93450</v>
      </c>
    </row>
    <row r="132" spans="1:7" ht="18" thickBot="1" x14ac:dyDescent="0.35">
      <c r="A132" s="2">
        <v>11</v>
      </c>
      <c r="C132" s="38" t="s">
        <v>47</v>
      </c>
      <c r="D132" s="43">
        <f>TRUNC(1963+280+96,-1)</f>
        <v>2330</v>
      </c>
      <c r="E132" s="64">
        <f t="shared" si="4"/>
        <v>7700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91880</v>
      </c>
      <c r="E133" s="39">
        <f>SUM(E122:E132)</f>
        <v>303690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TRUNC(670+1367+429,-1)</f>
        <v>2460</v>
      </c>
      <c r="E137" s="63">
        <f t="shared" si="5"/>
        <v>8130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f>TRUNC(1625,-1)</f>
        <v>1620</v>
      </c>
      <c r="E138" s="63">
        <f t="shared" si="5"/>
        <v>5350</v>
      </c>
    </row>
    <row r="139" spans="1:7" x14ac:dyDescent="0.3">
      <c r="A139" s="2">
        <v>4</v>
      </c>
      <c r="C139" s="38" t="s">
        <v>61</v>
      </c>
      <c r="D139" s="42">
        <f>TRUNC(1075,-1)</f>
        <v>1070</v>
      </c>
      <c r="E139" s="63">
        <f t="shared" si="5"/>
        <v>3530</v>
      </c>
    </row>
    <row r="140" spans="1:7" x14ac:dyDescent="0.3">
      <c r="A140" s="2">
        <v>5</v>
      </c>
      <c r="C140" s="38" t="s">
        <v>57</v>
      </c>
      <c r="D140" s="42">
        <f>TRUNC(955,-1)</f>
        <v>950</v>
      </c>
      <c r="E140" s="63">
        <f t="shared" si="5"/>
        <v>3140</v>
      </c>
    </row>
    <row r="141" spans="1:7" x14ac:dyDescent="0.3">
      <c r="A141" s="2">
        <v>6</v>
      </c>
      <c r="C141" s="38" t="s">
        <v>59</v>
      </c>
      <c r="D141" s="42">
        <v>930</v>
      </c>
      <c r="E141" s="63">
        <f t="shared" si="5"/>
        <v>3070</v>
      </c>
    </row>
    <row r="142" spans="1:7" x14ac:dyDescent="0.3">
      <c r="A142" s="2">
        <v>7</v>
      </c>
      <c r="C142" s="38" t="s">
        <v>58</v>
      </c>
      <c r="D142" s="42">
        <f>TRUNC(4322,-1)</f>
        <v>4320</v>
      </c>
      <c r="E142" s="63">
        <f t="shared" si="5"/>
        <v>14280</v>
      </c>
    </row>
    <row r="143" spans="1:7" x14ac:dyDescent="0.3">
      <c r="A143" s="2">
        <v>8</v>
      </c>
      <c r="C143" s="38" t="s">
        <v>62</v>
      </c>
      <c r="D143" s="42">
        <v>4180</v>
      </c>
      <c r="E143" s="63">
        <f t="shared" si="5"/>
        <v>13810</v>
      </c>
    </row>
    <row r="144" spans="1:7" x14ac:dyDescent="0.3">
      <c r="A144" s="2">
        <v>9</v>
      </c>
      <c r="C144" s="38" t="s">
        <v>63</v>
      </c>
      <c r="D144" s="42">
        <f>TRUNC(14148,-1)</f>
        <v>14140</v>
      </c>
      <c r="E144" s="63">
        <f t="shared" si="5"/>
        <v>46740</v>
      </c>
    </row>
    <row r="145" spans="1:7" ht="17.25" thickBot="1" x14ac:dyDescent="0.35">
      <c r="A145" s="2">
        <v>10</v>
      </c>
      <c r="C145" s="38" t="s">
        <v>149</v>
      </c>
      <c r="D145" s="43">
        <f>TRUNC(1189,-1)</f>
        <v>1180</v>
      </c>
      <c r="E145" s="64">
        <f t="shared" si="5"/>
        <v>3900</v>
      </c>
    </row>
    <row r="146" spans="1:7" x14ac:dyDescent="0.3">
      <c r="A146" s="2">
        <v>11</v>
      </c>
      <c r="C146" s="27" t="s">
        <v>112</v>
      </c>
      <c r="D146" s="39">
        <f>SUM(D136:D145)</f>
        <v>30850</v>
      </c>
      <c r="E146" s="39">
        <f>SUM(E136:E145)</f>
        <v>101950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v>14470</v>
      </c>
      <c r="E149" s="62">
        <f>TRUNC(+D149*3.3058,-1)</f>
        <v>47830</v>
      </c>
    </row>
    <row r="150" spans="1:7" x14ac:dyDescent="0.3">
      <c r="A150" s="2">
        <v>2</v>
      </c>
      <c r="C150" s="38" t="s">
        <v>49</v>
      </c>
      <c r="D150" s="42">
        <f>TRUNC(39282,-1)</f>
        <v>39280</v>
      </c>
      <c r="E150" s="63">
        <f>TRUNC(+D150*3.3058,-1)</f>
        <v>129850</v>
      </c>
    </row>
    <row r="151" spans="1:7" x14ac:dyDescent="0.3">
      <c r="A151" s="2">
        <v>3</v>
      </c>
      <c r="C151" s="38" t="s">
        <v>50</v>
      </c>
      <c r="D151" s="42">
        <f>TRUNC(25661,-1)</f>
        <v>25660</v>
      </c>
      <c r="E151" s="63">
        <f>TRUNC(+D151*3.3058,-1)</f>
        <v>84820</v>
      </c>
    </row>
    <row r="152" spans="1:7" x14ac:dyDescent="0.3">
      <c r="A152" s="2">
        <v>4</v>
      </c>
      <c r="C152" s="38" t="s">
        <v>47</v>
      </c>
      <c r="D152" s="42">
        <f>TRUNC(1253+2212+28047,-1)</f>
        <v>31510</v>
      </c>
      <c r="E152" s="63">
        <f>TRUNC(+D152*3.3058,-1)</f>
        <v>104160</v>
      </c>
      <c r="F152" s="2" t="s">
        <v>263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110920</v>
      </c>
      <c r="E154" s="39">
        <f>SUM(E149:E153)</f>
        <v>366660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TRUNC(36655,-1)</f>
        <v>36650</v>
      </c>
      <c r="E157" s="62">
        <f>TRUNC(+D157*3.3058,-1)</f>
        <v>121150</v>
      </c>
    </row>
    <row r="158" spans="1:7" x14ac:dyDescent="0.3">
      <c r="A158" s="2">
        <v>2</v>
      </c>
      <c r="C158" s="38" t="s">
        <v>52</v>
      </c>
      <c r="D158" s="42">
        <f>TRUNC(9691,-1)</f>
        <v>9690</v>
      </c>
      <c r="E158" s="63">
        <f>TRUNC(+D158*3.3058,-1)</f>
        <v>32030</v>
      </c>
    </row>
    <row r="159" spans="1:7" x14ac:dyDescent="0.3">
      <c r="A159" s="2">
        <v>3</v>
      </c>
      <c r="C159" s="38" t="s">
        <v>47</v>
      </c>
      <c r="D159" s="42">
        <f>TRUNC(8508+5567,-1)</f>
        <v>14070</v>
      </c>
      <c r="E159" s="63">
        <f>TRUNC(+D159*3.3058,-1)</f>
        <v>46510</v>
      </c>
      <c r="F159" s="2" t="s">
        <v>255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60410</v>
      </c>
      <c r="E161" s="39">
        <f>SUM(E157:E160)</f>
        <v>199690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2020-12-08T01:30:40Z</dcterms:modified>
</cp:coreProperties>
</file>