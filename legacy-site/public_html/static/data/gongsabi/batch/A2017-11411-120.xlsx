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4" i="4"/>
  <c r="D143" i="4"/>
  <c r="D142" i="4"/>
  <c r="D141" i="4"/>
  <c r="D140" i="4"/>
  <c r="D139" i="4"/>
  <c r="D137" i="4"/>
  <c r="D132" i="4"/>
  <c r="D131" i="4"/>
  <c r="D128" i="4"/>
  <c r="D127" i="4"/>
  <c r="D126" i="4"/>
  <c r="D125" i="4"/>
  <c r="D124" i="4" l="1"/>
  <c r="D122" i="4"/>
  <c r="D118" i="4"/>
  <c r="D117" i="4"/>
  <c r="D114" i="4"/>
  <c r="D105" i="4"/>
  <c r="D104" i="4"/>
  <c r="D103" i="4"/>
  <c r="D102" i="4"/>
  <c r="D100" i="4"/>
  <c r="D99" i="4"/>
  <c r="D98" i="4"/>
  <c r="D94" i="4"/>
  <c r="D93" i="4"/>
  <c r="D92" i="4"/>
  <c r="D91" i="4"/>
  <c r="D89" i="4"/>
  <c r="D76" i="4"/>
  <c r="D73" i="4"/>
  <c r="D72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<sst xmlns="http://schemas.openxmlformats.org/spreadsheetml/2006/main" count="391" uniqueCount="267">
  <si>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</si>
  <si>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</si>
  <si>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</si>
  <si>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</si>
  <si>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</si>
  <si>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</si>
  <si>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</si>
  <si>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</si>
  <si>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</si>
  <si>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</si>
  <si>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</si>
  <si>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</si>
  <si>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</si>
  <si>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</si>
  <si>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</si>
  <si>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</si>
  <si>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</si>
  <si>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</si>
  <si>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</si>
  <si>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</si>
  <si>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</si>
  <si>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</si>
  <si>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</si>
  <si>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</si>
  <si>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</si>
  <si>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</si>
  <si>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</si>
  <si>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</si>
  <si>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</si>
  <si>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</si>
  <si>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</si>
  <si>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</si>
  <si>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</si>
  <si>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</si>
  <si>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</si>
  <si>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</si>
  <si>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</si>
  <si>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</si>
  <si>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</si>
  <si>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</si>
  <si>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</si>
  <si>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</si>
  <si>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</si>
  <si>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</si>
  <si>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</si>
  <si>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</si>
  <si>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</si>
  <si>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</si>
  <si>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</si>
  <si>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</si>
  <si>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</si>
  <si>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</si>
  <si>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</si>
  <si>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</si>
  <si>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</si>
  <si>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</si>
  <si>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</si>
  <si>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</si>
  <si>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</si>
  <si>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</si>
  <si>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</si>
  <si>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</si>
  <si>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</si>
  <si>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</si>
  <si>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</si>
  <si>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</si>
  <si>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</si>
  <si>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</si>
  <si>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</si>
  <si>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</si>
  <si>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</si>
  <si>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</si>
  <si>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</si>
  <si>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</si>
  <si>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</si>
  <si>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</si>
  <si>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</si>
  <si>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</si>
  <si>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</si>
  <si>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</si>
  <si>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</si>
  <si>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</si>
  <si>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</si>
  <si>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</si>
  <si>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</si>
  <si>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</si>
  <si>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</si>
  <si>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</si>
  <si>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</si>
  <si>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</si>
  <si>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</si>
  <si>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</si>
  <si>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</si>
  <si>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</si>
  <si>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</si>
  <si>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</si>
  <si>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</si>
  <si>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</si>
  <si>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</si>
  <si>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</si>
  <si>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</si>
  <si>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</si>
  <si>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</si>
  <si>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</si>
  <si>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</si>
  <si>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</si>
  <si>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</si>
  <si>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</si>
  <si>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</si>
  <si>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</si>
  <si>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</si>
  <si>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</si>
  <si>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</si>
  <si>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</si>
  <si>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</si>
  <si>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</si>
  <si>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</si>
  <si>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</si>
  <si>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</si>
  <si>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</si>
  <si>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</si>
  <si>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</si>
  <si>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</si>
  <si>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</si>
  <si>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</si>
  <si>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</si>
  <si>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</si>
  <si>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</si>
  <si>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</si>
  <si>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</si>
  <si>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</si>
  <si>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</si>
  <si>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</si>
  <si>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</si>
  <si>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</si>
  <si>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</si>
  <si>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</si>
  <si>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</si>
  <si>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</si>
  <si>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</si>
  <si>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</si>
  <si>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</si>
  <si>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</si>
  <si>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</si>
  <si>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</si>
  <si>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</si>
  <si>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</si>
  <si>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</si>
  <si>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</si>
  <si>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</si>
  <si>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</si>
  <si>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</si>
  <si>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</si>
  <si>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</si>
  <si>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</si>
  <si>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</si>
  <si>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</si>
  <si>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</si>
  <si>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</si>
  <si>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</si>
  <si>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</si>
  <si>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</si>
  <si>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</si>
  <si>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</si>
  <si>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</si>
  <si>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</si>
  <si>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</si>
  <si>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</si>
  <si>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</si>
  <si>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</si>
  <si>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</si>
  <si>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</si>
  <si>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</si>
  <si>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</si>
  <si>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</si>
  <si>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</si>
  <si>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</si>
  <si>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</si>
  <si>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</si>
  <si>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</si>
  <si>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</si>
  <si>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</si>
  <si>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</si>
  <si>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</si>
  <si>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</si>
  <si>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</si>
  <si>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</si>
  <si>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</si>
  <si>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</si>
  <si>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</si>
  <si>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</si>
  <si>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</si>
  <si>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</si>
  <si>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</si>
  <si>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</si>
  <si>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</si>
  <si>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</si>
  <si>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</si>
  <si>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</si>
  <si>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</si>
  <si>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</si>
  <si>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</si>
  <si>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</si>
  <si>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</si>
  <si>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</si>
  <si>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</si>
  <si>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</si>
  <si>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</si>
  <si>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</si>
  <si>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</si>
  <si>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</si>
  <si>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</si>
  <si>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</si>
  <si>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</si>
  <si>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</si>
  <si>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</si>
  <si>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</si>
  <si>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</si>
  <si>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</si>
  <si>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</si>
  <si>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</si>
  <si>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</si>
  <si>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</si>
  <si>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</si>
  <si>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</si>
  <si>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</si>
  <si>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</si>
  <si>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</si>
  <si>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</si>
  <si>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</si>
  <si>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</si>
  <si>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</si>
  <si>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</si>
  <si>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</si>
  <si>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</si>
  <si>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</si>
  <si>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</si>
  <si>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</si>
  <si>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</si>
  <si>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</si>
  <si>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</si>
  <si>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</si>
  <si>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</si>
  <si>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</si>
  <si>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</si>
  <si>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</si>
  <si>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</si>
  <si>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</si>
  <si>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</si>
  <si>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</si>
  <si>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</si>
  <si>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</si>
  <si>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</si>
  <si>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교육연구</t>
  </si>
  <si>
    <t>충청도</t>
  </si>
  <si>
    <t>기초공사, 골재비및운반비, 작업부산물, 품질시험비, 기타공사</t>
    <phoneticPr fontId="2" type="noConversion"/>
  </si>
  <si>
    <t>공조배관공사, 난방배관공사, 기타공사</t>
    <phoneticPr fontId="2" type="noConversion"/>
  </si>
  <si>
    <t>CCTV설비공사, 기타공사</t>
    <phoneticPr fontId="2" type="noConversion"/>
  </si>
  <si>
    <t>옥외소화배관공사, 기타공사</t>
    <phoneticPr fontId="2" type="noConversion"/>
  </si>
  <si>
    <t>상수도공사, 사급자재비, 운반비,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</si>
  <si>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</si>
  <si>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</si>
  <si>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</si>
  <si>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(가칭)옥산2초등학교 신축공사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</si>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</sst>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10420.299999999999</v>
      </c>
      <c r="D7" s="36">
        <f>+C7/3.3058</f>
        <v>3152.1265654304552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847810</v>
      </c>
      <c r="E25" s="59">
        <f t="shared" si="0"/>
        <v>2802690</v>
      </c>
    </row>
    <row r="26" spans="1:5" x14ac:dyDescent="0.3">
      <c r="B26" s="2">
        <v>3</v>
      </c>
      <c r="C26" s="35" t="s">
        <v>95</v>
      </c>
      <c r="D26" s="45">
        <f>+D66</f>
        <v>5160</v>
      </c>
      <c r="E26" s="59">
        <f t="shared" si="0"/>
        <v>17050</v>
      </c>
    </row>
    <row r="27" spans="1:5" x14ac:dyDescent="0.3">
      <c r="B27" s="2">
        <v>4</v>
      </c>
      <c r="C27" s="35" t="s">
        <v>96</v>
      </c>
      <c r="D27" s="45">
        <f>+D95</f>
        <v>157870</v>
      </c>
      <c r="E27" s="59">
        <f t="shared" si="0"/>
        <v>521880</v>
      </c>
    </row>
    <row r="28" spans="1:5" x14ac:dyDescent="0.3">
      <c r="B28" s="2">
        <v>5</v>
      </c>
      <c r="C28" s="35" t="s">
        <v>97</v>
      </c>
      <c r="D28" s="45">
        <f>+D119</f>
        <v>168140</v>
      </c>
      <c r="E28" s="59">
        <f t="shared" si="0"/>
        <v>555830</v>
      </c>
    </row>
    <row r="29" spans="1:5" x14ac:dyDescent="0.3">
      <c r="B29" s="2">
        <v>6</v>
      </c>
      <c r="C29" s="35" t="s">
        <v>98</v>
      </c>
      <c r="D29" s="45">
        <f>+D133</f>
        <v>58400</v>
      </c>
      <c r="E29" s="59">
        <f t="shared" si="0"/>
        <v>193050</v>
      </c>
    </row>
    <row r="30" spans="1:5" x14ac:dyDescent="0.3">
      <c r="B30" s="2">
        <v>7</v>
      </c>
      <c r="C30" s="35" t="s">
        <v>99</v>
      </c>
      <c r="D30" s="45">
        <f>+D146</f>
        <v>42040</v>
      </c>
      <c r="E30" s="59">
        <f t="shared" si="0"/>
        <v>138970</v>
      </c>
    </row>
    <row r="31" spans="1:5" x14ac:dyDescent="0.3">
      <c r="B31" s="2">
        <v>8</v>
      </c>
      <c r="C31" s="35" t="s">
        <v>100</v>
      </c>
      <c r="D31" s="45">
        <f>+D154</f>
        <v>40150</v>
      </c>
      <c r="E31" s="59">
        <f t="shared" si="0"/>
        <v>132720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362880</v>
      </c>
      <c r="E33" s="60">
        <f t="shared" si="0"/>
        <v>1199600</v>
      </c>
    </row>
    <row r="34" spans="1:7" x14ac:dyDescent="0.3">
      <c r="C34" s="35" t="s">
        <v>112</v>
      </c>
      <c r="D34" s="44">
        <f>SUM(D24:D33)</f>
        <v>1682450</v>
      </c>
      <c r="E34" s="44">
        <f>SUM(E24:E33)</f>
        <v>5561790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260</v>
      </c>
      <c r="D39" s="57" t="s">
        <v>261</v>
      </c>
      <c r="E39" s="57" t="s">
        <v>262</v>
      </c>
      <c r="G39" s="55"/>
    </row>
    <row r="40" spans="1:7" x14ac:dyDescent="0.3">
      <c r="A40" s="2">
        <v>1</v>
      </c>
      <c r="C40" s="38" t="s">
        <v>15</v>
      </c>
      <c r="D40" s="40">
        <f>TRUNC(36902,-1)</f>
        <v>36900</v>
      </c>
      <c r="E40" s="62">
        <f t="shared" ref="E40:E59" si="1">TRUNC(+D40*3.3058,-1)</f>
        <v>121980</v>
      </c>
    </row>
    <row r="41" spans="1:7" x14ac:dyDescent="0.3">
      <c r="A41" s="2">
        <v>2</v>
      </c>
      <c r="C41" s="38" t="s">
        <v>13</v>
      </c>
      <c r="D41" s="42">
        <v>147070</v>
      </c>
      <c r="E41" s="63">
        <f t="shared" si="1"/>
        <v>486180</v>
      </c>
    </row>
    <row r="42" spans="1:7" x14ac:dyDescent="0.3">
      <c r="A42" s="2">
        <v>3</v>
      </c>
      <c r="C42" s="38" t="s">
        <v>14</v>
      </c>
      <c r="D42" s="42">
        <f>TRUNC(11908,-1)</f>
        <v>11900</v>
      </c>
      <c r="E42" s="63">
        <f t="shared" si="1"/>
        <v>39330</v>
      </c>
    </row>
    <row r="43" spans="1:7" x14ac:dyDescent="0.3">
      <c r="A43" s="2">
        <v>4</v>
      </c>
      <c r="C43" s="38" t="s">
        <v>16</v>
      </c>
      <c r="D43" s="42">
        <f>TRUNC(36789,-1)</f>
        <v>36780</v>
      </c>
      <c r="E43" s="63">
        <f t="shared" si="1"/>
        <v>121580</v>
      </c>
    </row>
    <row r="44" spans="1:7" x14ac:dyDescent="0.3">
      <c r="A44" s="2">
        <v>5</v>
      </c>
      <c r="C44" s="38" t="s">
        <v>17</v>
      </c>
      <c r="D44" s="42">
        <f>TRUNC(17921,-1)</f>
        <v>17920</v>
      </c>
      <c r="E44" s="63">
        <f t="shared" si="1"/>
        <v>59230</v>
      </c>
    </row>
    <row r="45" spans="1:7" x14ac:dyDescent="0.3">
      <c r="A45" s="2">
        <v>6</v>
      </c>
      <c r="C45" s="38" t="s">
        <v>18</v>
      </c>
      <c r="D45" s="42">
        <f>TRUNC(8993,-1)</f>
        <v>8990</v>
      </c>
      <c r="E45" s="63">
        <f t="shared" si="1"/>
        <v>29710</v>
      </c>
    </row>
    <row r="46" spans="1:7" x14ac:dyDescent="0.3">
      <c r="A46" s="2">
        <v>7</v>
      </c>
      <c r="C46" s="38" t="s">
        <v>19</v>
      </c>
      <c r="D46" s="42">
        <f>TRUNC(19542,-1)</f>
        <v>19540</v>
      </c>
      <c r="E46" s="63">
        <f t="shared" si="1"/>
        <v>64590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TRUNC(66072,-1)</f>
        <v>66070</v>
      </c>
      <c r="E48" s="63">
        <f t="shared" si="1"/>
        <v>218410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TRUNC(18395,-1)</f>
        <v>18390</v>
      </c>
      <c r="E49" s="63">
        <f t="shared" si="1"/>
        <v>60790</v>
      </c>
    </row>
    <row r="50" spans="1:7" x14ac:dyDescent="0.3">
      <c r="A50" s="2">
        <v>11</v>
      </c>
      <c r="C50" s="38" t="s">
        <v>155</v>
      </c>
      <c r="D50" s="42">
        <f>TRUNC(55716,-1)</f>
        <v>55710</v>
      </c>
      <c r="E50" s="63">
        <f t="shared" si="1"/>
        <v>184160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TRUNC(10172,-1)</f>
        <v>10170</v>
      </c>
      <c r="E52" s="63">
        <f t="shared" si="1"/>
        <v>33610</v>
      </c>
    </row>
    <row r="53" spans="1:7" x14ac:dyDescent="0.3">
      <c r="A53" s="2">
        <v>14</v>
      </c>
      <c r="C53" s="38" t="s">
        <v>25</v>
      </c>
      <c r="D53" s="42">
        <f>TRUNC(107389,-1)</f>
        <v>107380</v>
      </c>
      <c r="E53" s="63">
        <f t="shared" si="1"/>
        <v>354970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TRUNC(10381+4324-664+1168+21047,-1)</f>
        <v>36250</v>
      </c>
      <c r="E58" s="63">
        <f t="shared" si="1"/>
        <v>119830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TRUNC(274744,-1)</f>
        <v>274740</v>
      </c>
      <c r="E59" s="64">
        <f t="shared" si="1"/>
        <v>908230</v>
      </c>
    </row>
    <row r="60" spans="1:7" x14ac:dyDescent="0.3">
      <c r="A60" s="2">
        <v>21</v>
      </c>
      <c r="C60" s="27" t="s">
        <v>112</v>
      </c>
      <c r="D60" s="39">
        <f>SUM(D40:D59)</f>
        <v>847810</v>
      </c>
      <c r="E60" s="39">
        <f>SUM(E40:E59)</f>
        <v>2802600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TRUNC(5164,-1)</f>
        <v>5160</v>
      </c>
      <c r="E63" s="62">
        <f>TRUNC(+D63*3.3058,-1)</f>
        <v>17050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5160</v>
      </c>
      <c r="E66" s="65">
        <f>SUM(E63:E65)</f>
        <v>17050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TRUNC(11763,-1)</f>
        <v>11760</v>
      </c>
      <c r="E69" s="62">
        <f t="shared" ref="E69:E94" si="2">TRUNC(+D69*3.3058,-1)</f>
        <v>38870</v>
      </c>
    </row>
    <row r="70" spans="1:7" ht="16.5" customHeight="1" x14ac:dyDescent="0.3">
      <c r="A70" s="2">
        <v>2</v>
      </c>
      <c r="C70" s="38" t="s">
        <v>31</v>
      </c>
      <c r="D70" s="42">
        <v>1510</v>
      </c>
      <c r="E70" s="63">
        <f t="shared" si="2"/>
        <v>4990</v>
      </c>
    </row>
    <row r="71" spans="1:7" x14ac:dyDescent="0.3">
      <c r="A71" s="2">
        <v>3</v>
      </c>
      <c r="C71" s="38" t="s">
        <v>32</v>
      </c>
      <c r="D71" s="42">
        <f>TRUNC(11547,-1)</f>
        <v>11540</v>
      </c>
      <c r="E71" s="63">
        <f t="shared" si="2"/>
        <v>38140</v>
      </c>
    </row>
    <row r="72" spans="1:7" x14ac:dyDescent="0.3">
      <c r="A72" s="2">
        <v>4</v>
      </c>
      <c r="C72" s="38" t="s">
        <v>33</v>
      </c>
      <c r="D72" s="42">
        <f>TRUNC(4432,-1)</f>
        <v>4430</v>
      </c>
      <c r="E72" s="63">
        <f t="shared" si="2"/>
        <v>14640</v>
      </c>
    </row>
    <row r="73" spans="1:7" x14ac:dyDescent="0.3">
      <c r="A73" s="2">
        <v>5</v>
      </c>
      <c r="C73" s="38" t="s">
        <v>34</v>
      </c>
      <c r="D73" s="42">
        <f>TRUNC(19092,-1)</f>
        <v>19090</v>
      </c>
      <c r="E73" s="63">
        <f t="shared" si="2"/>
        <v>63100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TRUNC(12835,-1)</f>
        <v>12830</v>
      </c>
      <c r="E76" s="63">
        <f t="shared" si="2"/>
        <v>42410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TRUNC(6078,-1)</f>
        <v>6070</v>
      </c>
      <c r="E89" s="63">
        <f t="shared" si="2"/>
        <v>20060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TRUNC(4942,-1)</f>
        <v>4940</v>
      </c>
      <c r="E91" s="63">
        <f t="shared" si="2"/>
        <v>16330</v>
      </c>
    </row>
    <row r="92" spans="1:7" x14ac:dyDescent="0.3">
      <c r="A92" s="2">
        <v>24</v>
      </c>
      <c r="C92" s="38" t="s">
        <v>38</v>
      </c>
      <c r="D92" s="42">
        <f>TRUNC(9637,-1)</f>
        <v>9630</v>
      </c>
      <c r="E92" s="63">
        <f t="shared" si="2"/>
        <v>31830</v>
      </c>
    </row>
    <row r="93" spans="1:7" x14ac:dyDescent="0.3">
      <c r="A93" s="2">
        <v>25</v>
      </c>
      <c r="C93" s="38" t="s">
        <v>148</v>
      </c>
      <c r="D93" s="42">
        <f>TRUNC(71048,-1)</f>
        <v>71040</v>
      </c>
      <c r="E93" s="63">
        <f t="shared" si="2"/>
        <v>234840</v>
      </c>
    </row>
    <row r="94" spans="1:7" ht="17.25" thickBot="1" x14ac:dyDescent="0.35">
      <c r="A94" s="2">
        <v>26</v>
      </c>
      <c r="C94" s="38" t="s">
        <v>47</v>
      </c>
      <c r="D94" s="43">
        <f>TRUNC(1565+256+3218,-1)</f>
        <v>5030</v>
      </c>
      <c r="E94" s="64">
        <f t="shared" si="2"/>
        <v>16620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157870</v>
      </c>
      <c r="E95" s="39">
        <f>SUM(E69:E94)</f>
        <v>521830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TRUNC(9381,-1)</f>
        <v>9380</v>
      </c>
      <c r="E98" s="62">
        <f t="shared" ref="E98:E118" si="3">TRUNC(+D98*3.3058,-1)</f>
        <v>31000</v>
      </c>
    </row>
    <row r="99" spans="1:7" x14ac:dyDescent="0.3">
      <c r="A99" s="2">
        <v>2</v>
      </c>
      <c r="C99" s="38" t="s">
        <v>40</v>
      </c>
      <c r="D99" s="42">
        <f>TRUNC(2405,-1)</f>
        <v>2400</v>
      </c>
      <c r="E99" s="63">
        <f t="shared" si="3"/>
        <v>7930</v>
      </c>
    </row>
    <row r="100" spans="1:7" x14ac:dyDescent="0.3">
      <c r="A100" s="2">
        <v>3</v>
      </c>
      <c r="C100" s="38" t="s">
        <v>41</v>
      </c>
      <c r="D100" s="42">
        <f>TRUNC(27257,-1)</f>
        <v>27250</v>
      </c>
      <c r="E100" s="63">
        <f t="shared" si="3"/>
        <v>90080</v>
      </c>
    </row>
    <row r="101" spans="1:7" x14ac:dyDescent="0.3">
      <c r="A101" s="2">
        <v>4</v>
      </c>
      <c r="C101" s="38" t="s">
        <v>42</v>
      </c>
      <c r="D101" s="42">
        <v>500</v>
      </c>
      <c r="E101" s="63">
        <f t="shared" si="3"/>
        <v>1650</v>
      </c>
    </row>
    <row r="102" spans="1:7" x14ac:dyDescent="0.3">
      <c r="A102" s="2">
        <v>5</v>
      </c>
      <c r="C102" s="38" t="s">
        <v>43</v>
      </c>
      <c r="D102" s="42">
        <f>TRUNC(15953,-1)</f>
        <v>15950</v>
      </c>
      <c r="E102" s="63">
        <f t="shared" si="3"/>
        <v>52720</v>
      </c>
    </row>
    <row r="103" spans="1:7" x14ac:dyDescent="0.3">
      <c r="A103" s="2">
        <v>6</v>
      </c>
      <c r="C103" s="38" t="s">
        <v>44</v>
      </c>
      <c r="D103" s="42">
        <f>TRUNC(5324,-1)</f>
        <v>5320</v>
      </c>
      <c r="E103" s="63">
        <f t="shared" si="3"/>
        <v>17580</v>
      </c>
    </row>
    <row r="104" spans="1:7" x14ac:dyDescent="0.3">
      <c r="A104" s="2">
        <v>7</v>
      </c>
      <c r="C104" s="38" t="s">
        <v>45</v>
      </c>
      <c r="D104" s="42">
        <f>TRUNC(2572,-1)</f>
        <v>2570</v>
      </c>
      <c r="E104" s="63">
        <f t="shared" si="3"/>
        <v>8490</v>
      </c>
    </row>
    <row r="105" spans="1:7" x14ac:dyDescent="0.3">
      <c r="A105" s="2">
        <v>8</v>
      </c>
      <c r="C105" s="38" t="s">
        <v>46</v>
      </c>
      <c r="D105" s="42">
        <f>TRUNC(8471,-1)</f>
        <v>8470</v>
      </c>
      <c r="E105" s="63">
        <f t="shared" si="3"/>
        <v>28000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TRUNC(9285,-1)</f>
        <v>9280</v>
      </c>
      <c r="E114" s="63">
        <f t="shared" si="3"/>
        <v>30670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TRUNC(85144,-1)</f>
        <v>85140</v>
      </c>
      <c r="E117" s="63">
        <f t="shared" si="3"/>
        <v>281450</v>
      </c>
    </row>
    <row r="118" spans="1:7" ht="17.25" thickBot="1" x14ac:dyDescent="0.35">
      <c r="A118" s="2">
        <v>21</v>
      </c>
      <c r="C118" s="38" t="s">
        <v>47</v>
      </c>
      <c r="D118" s="43">
        <f>TRUNC(1888,-1)</f>
        <v>1880</v>
      </c>
      <c r="E118" s="64">
        <f t="shared" si="3"/>
        <v>6210</v>
      </c>
    </row>
    <row r="119" spans="1:7" x14ac:dyDescent="0.3">
      <c r="A119" s="2">
        <v>22</v>
      </c>
      <c r="C119" s="27" t="s">
        <v>112</v>
      </c>
      <c r="D119" s="39">
        <f>SUM(D98:D118)</f>
        <v>168140</v>
      </c>
      <c r="E119" s="39">
        <f>SUM(E98:E118)</f>
        <v>555780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TRUNC(18614,-1)</f>
        <v>18610</v>
      </c>
      <c r="E122" s="62">
        <f t="shared" ref="E122:E132" si="4">TRUNC(+D122*3.3058,-1)</f>
        <v>61520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TRUNC(1357,-1)</f>
        <v>1350</v>
      </c>
      <c r="E124" s="63">
        <f t="shared" si="4"/>
        <v>4460</v>
      </c>
    </row>
    <row r="125" spans="1:7" x14ac:dyDescent="0.3">
      <c r="A125" s="2">
        <v>4</v>
      </c>
      <c r="C125" s="38" t="s">
        <v>138</v>
      </c>
      <c r="D125" s="42">
        <f>TRUNC(5964,-1)</f>
        <v>5960</v>
      </c>
      <c r="E125" s="63">
        <f t="shared" si="4"/>
        <v>19700</v>
      </c>
    </row>
    <row r="126" spans="1:7" x14ac:dyDescent="0.3">
      <c r="A126" s="2">
        <v>5</v>
      </c>
      <c r="C126" s="38" t="s">
        <v>53</v>
      </c>
      <c r="D126" s="42">
        <f>TRUNC(4018,-1)</f>
        <v>4010</v>
      </c>
      <c r="E126" s="63">
        <f t="shared" si="4"/>
        <v>13250</v>
      </c>
    </row>
    <row r="127" spans="1:7" x14ac:dyDescent="0.3">
      <c r="A127" s="2">
        <v>6</v>
      </c>
      <c r="C127" s="38" t="s">
        <v>56</v>
      </c>
      <c r="D127" s="42">
        <f>TRUNC(4919,-1)</f>
        <v>4910</v>
      </c>
      <c r="E127" s="63">
        <f t="shared" si="4"/>
        <v>16230</v>
      </c>
    </row>
    <row r="128" spans="1:7" x14ac:dyDescent="0.3">
      <c r="A128" s="2">
        <v>7</v>
      </c>
      <c r="C128" s="38" t="s">
        <v>46</v>
      </c>
      <c r="D128" s="42">
        <f>TRUNC(6088,-1)</f>
        <v>6080</v>
      </c>
      <c r="E128" s="63">
        <f t="shared" si="4"/>
        <v>20090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TRUNC(15105,-1)</f>
        <v>15100</v>
      </c>
      <c r="E131" s="63">
        <f t="shared" si="4"/>
        <v>49910</v>
      </c>
    </row>
    <row r="132" spans="1:7" ht="18" thickBot="1" x14ac:dyDescent="0.35">
      <c r="A132" s="2">
        <v>11</v>
      </c>
      <c r="C132" s="38" t="s">
        <v>47</v>
      </c>
      <c r="D132" s="43">
        <f>TRUNC(2078+307,-1)</f>
        <v>2380</v>
      </c>
      <c r="E132" s="64">
        <f t="shared" si="4"/>
        <v>7860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58400</v>
      </c>
      <c r="E133" s="39">
        <f>SUM(E122:E132)</f>
        <v>193020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TRUNC(309+6221,-1)</f>
        <v>6530</v>
      </c>
      <c r="E137" s="63">
        <f t="shared" si="5"/>
        <v>21580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TRUNC(2719,-1)</f>
        <v>2710</v>
      </c>
      <c r="E139" s="63">
        <f t="shared" si="5"/>
        <v>8950</v>
      </c>
    </row>
    <row r="140" spans="1:7" x14ac:dyDescent="0.3">
      <c r="A140" s="2">
        <v>5</v>
      </c>
      <c r="C140" s="38" t="s">
        <v>57</v>
      </c>
      <c r="D140" s="42">
        <f>TRUNC(6992,-1)</f>
        <v>6990</v>
      </c>
      <c r="E140" s="63">
        <f t="shared" si="5"/>
        <v>23100</v>
      </c>
    </row>
    <row r="141" spans="1:7" x14ac:dyDescent="0.3">
      <c r="A141" s="2">
        <v>6</v>
      </c>
      <c r="C141" s="38" t="s">
        <v>59</v>
      </c>
      <c r="D141" s="42">
        <f>TRUNC(3728,-1)</f>
        <v>3720</v>
      </c>
      <c r="E141" s="63">
        <f t="shared" si="5"/>
        <v>12290</v>
      </c>
    </row>
    <row r="142" spans="1:7" x14ac:dyDescent="0.3">
      <c r="A142" s="2">
        <v>7</v>
      </c>
      <c r="C142" s="38" t="s">
        <v>58</v>
      </c>
      <c r="D142" s="42">
        <f>TRUNC(5469,-1)</f>
        <v>5460</v>
      </c>
      <c r="E142" s="63">
        <f t="shared" si="5"/>
        <v>18040</v>
      </c>
    </row>
    <row r="143" spans="1:7" x14ac:dyDescent="0.3">
      <c r="A143" s="2">
        <v>8</v>
      </c>
      <c r="C143" s="38" t="s">
        <v>62</v>
      </c>
      <c r="D143" s="42">
        <f>TRUNC(11079,-1)</f>
        <v>11070</v>
      </c>
      <c r="E143" s="63">
        <f t="shared" si="5"/>
        <v>36590</v>
      </c>
    </row>
    <row r="144" spans="1:7" x14ac:dyDescent="0.3">
      <c r="A144" s="2">
        <v>9</v>
      </c>
      <c r="C144" s="38" t="s">
        <v>63</v>
      </c>
      <c r="D144" s="42">
        <f>TRUNC(5566,-1)</f>
        <v>5560</v>
      </c>
      <c r="E144" s="63">
        <f t="shared" si="5"/>
        <v>18380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42040</v>
      </c>
      <c r="E146" s="39">
        <f>SUM(E136:E145)</f>
        <v>138930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3979+1331</f>
        <v>5310</v>
      </c>
      <c r="E149" s="62">
        <f>TRUNC(+D149*3.3058,-1)</f>
        <v>17550</v>
      </c>
    </row>
    <row r="150" spans="1:7" x14ac:dyDescent="0.3">
      <c r="A150" s="2">
        <v>2</v>
      </c>
      <c r="C150" s="38" t="s">
        <v>49</v>
      </c>
      <c r="D150" s="42">
        <f>TRUNC(3095,-1)</f>
        <v>3090</v>
      </c>
      <c r="E150" s="63">
        <f>TRUNC(+D150*3.3058,-1)</f>
        <v>10210</v>
      </c>
    </row>
    <row r="151" spans="1:7" x14ac:dyDescent="0.3">
      <c r="A151" s="2">
        <v>3</v>
      </c>
      <c r="C151" s="38" t="s">
        <v>50</v>
      </c>
      <c r="D151" s="42">
        <v>14230</v>
      </c>
      <c r="E151" s="63">
        <f>TRUNC(+D151*3.3058,-1)</f>
        <v>47040</v>
      </c>
    </row>
    <row r="152" spans="1:7" x14ac:dyDescent="0.3">
      <c r="A152" s="2">
        <v>4</v>
      </c>
      <c r="C152" s="38" t="s">
        <v>47</v>
      </c>
      <c r="D152" s="42">
        <f>TRUNC(2484+10680+177+4181,-1)</f>
        <v>17520</v>
      </c>
      <c r="E152" s="63">
        <f>TRUNC(+D152*3.3058,-1)</f>
        <v>57910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40150</v>
      </c>
      <c r="E154" s="39">
        <f>SUM(E149:E153)</f>
        <v>132710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2020-12-08T01:59:28Z</dcterms:modified>
</cp:coreProperties>
</file>