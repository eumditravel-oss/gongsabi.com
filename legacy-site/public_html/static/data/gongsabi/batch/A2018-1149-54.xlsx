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117" i="4"/>
  <c r="D93" i="4"/>
  <c r="D59" i="4"/>
  <c r="D158" i="4"/>
  <c r="D157" i="4"/>
  <c r="D152" i="4"/>
  <c r="D151" i="4"/>
  <c r="D150" i="4"/>
  <c r="D149" i="4"/>
  <c r="D144" i="4"/>
  <c r="D143" i="4"/>
  <c r="D139" i="4"/>
  <c r="D141" i="4"/>
  <c r="D142" i="4"/>
  <c r="D137" i="4"/>
  <c r="D128" i="4"/>
  <c r="D125" i="4"/>
  <c r="D122" i="4"/>
  <c r="D130" i="4"/>
  <c r="D126" i="4"/>
  <c r="D118" i="4"/>
  <c r="D105" i="4"/>
  <c r="D104" i="4"/>
  <c r="D103" i="4"/>
  <c r="D102" i="4"/>
  <c r="D100" i="4"/>
  <c r="D99" i="4"/>
  <c r="D114" i="4"/>
  <c r="D98" i="4"/>
  <c r="D116" i="4"/>
  <c r="D94" i="4"/>
  <c r="D75" i="4"/>
  <c r="D92" i="4"/>
  <c r="D91" i="4"/>
  <c r="D90" i="4"/>
  <c r="D89" i="4"/>
  <c r="D73" i="4"/>
  <c r="D72" i="4"/>
  <c r="D71" i="4"/>
  <c r="D70" i="4"/>
  <c r="D69" i="4"/>
  <c r="D65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154" i="4"/>
  <c r="E146" i="4"/>
  <c r="E119" i="4"/>
  <c r="E95" i="4"/>
  <c r="E66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<sst xmlns="http://schemas.openxmlformats.org/spreadsheetml/2006/main" count="393" uniqueCount="268">
  <si>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</si>
  <si>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</si>
  <si>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</si>
  <si>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</si>
  <si>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</si>
  <si>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</si>
  <si>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</si>
  <si>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</si>
  <si>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</si>
  <si>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</si>
  <si>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</si>
  <si>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</si>
  <si>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</si>
  <si>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</si>
  <si>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</si>
  <si>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</si>
  <si>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</si>
  <si>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</si>
  <si>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</si>
  <si>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</si>
  <si>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</si>
  <si>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</si>
  <si>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</si>
  <si>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</si>
  <si>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</si>
  <si>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</si>
  <si>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</si>
  <si>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</si>
  <si>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</si>
  <si>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</si>
  <si>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</si>
  <si>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</si>
  <si>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</si>
  <si>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</si>
  <si>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</si>
  <si>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</si>
  <si>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</si>
  <si>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</si>
  <si>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</si>
  <si>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</si>
  <si>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</si>
  <si>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</si>
  <si>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</si>
  <si>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</si>
  <si>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</si>
  <si>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</si>
  <si>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</si>
  <si>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</si>
  <si>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</si>
  <si>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</si>
  <si>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</si>
  <si>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</si>
  <si>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</si>
  <si>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</si>
  <si>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</si>
  <si>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</si>
  <si>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</si>
  <si>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</si>
  <si>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</si>
  <si>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</si>
  <si>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</si>
  <si>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</si>
  <si>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</si>
  <si>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</si>
  <si>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</si>
  <si>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</si>
  <si>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</si>
  <si>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</si>
  <si>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</si>
  <si>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</si>
  <si>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</si>
  <si>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</si>
  <si>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</si>
  <si>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</si>
  <si>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</si>
  <si>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</si>
  <si>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</si>
  <si>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</si>
  <si>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</si>
  <si>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</si>
  <si>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</si>
  <si>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</si>
  <si>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</si>
  <si>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</si>
  <si>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</si>
  <si>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</si>
  <si>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</si>
  <si>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</si>
  <si>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</si>
  <si>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</si>
  <si>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</si>
  <si>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</si>
  <si>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</si>
  <si>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</si>
  <si>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</si>
  <si>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</si>
  <si>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</si>
  <si>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</si>
  <si>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</si>
  <si>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</si>
  <si>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</si>
  <si>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</si>
  <si>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</si>
  <si>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</si>
  <si>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</si>
  <si>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</si>
  <si>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</si>
  <si>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</si>
  <si>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</si>
  <si>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</si>
  <si>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</si>
  <si>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</si>
  <si>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</si>
  <si>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</si>
  <si>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</si>
  <si>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</si>
  <si>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</si>
  <si>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</si>
  <si>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</si>
  <si>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</si>
  <si>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</si>
  <si>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</si>
  <si>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</si>
  <si>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</si>
  <si>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</si>
  <si>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</si>
  <si>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</si>
  <si>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</si>
  <si>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</si>
  <si>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</si>
  <si>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</si>
  <si>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</si>
  <si>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</si>
  <si>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</si>
  <si>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</si>
  <si>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</si>
  <si>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</si>
  <si>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</si>
  <si>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</si>
  <si>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</si>
  <si>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</si>
  <si>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</si>
  <si>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</si>
  <si>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</si>
  <si>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</si>
  <si>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</si>
  <si>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</si>
  <si>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</si>
  <si>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</si>
  <si>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</si>
  <si>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</si>
  <si>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</si>
  <si>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</si>
  <si>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</si>
  <si>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</si>
  <si>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</si>
  <si>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</si>
  <si>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</si>
  <si>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</si>
  <si>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</si>
  <si>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</si>
  <si>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</si>
  <si>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</si>
  <si>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</si>
  <si>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</si>
  <si>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</si>
  <si>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</si>
  <si>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</si>
  <si>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</si>
  <si>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</si>
  <si>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</si>
  <si>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</si>
  <si>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</si>
  <si>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</si>
  <si>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</si>
  <si>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</si>
  <si>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</si>
  <si>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</si>
  <si>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</si>
  <si>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</si>
  <si>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</si>
  <si>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</si>
  <si>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</si>
  <si>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</si>
  <si>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</si>
  <si>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</si>
  <si>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</si>
  <si>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</si>
  <si>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</si>
  <si>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</si>
  <si>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</si>
  <si>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</si>
  <si>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</si>
  <si>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</si>
  <si>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</si>
  <si>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</si>
  <si>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</si>
  <si>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</si>
  <si>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</si>
  <si>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</si>
  <si>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</si>
  <si>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</si>
  <si>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</si>
  <si>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</si>
  <si>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</si>
  <si>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</si>
  <si>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</si>
  <si>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</si>
  <si>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</si>
  <si>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</si>
  <si>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</si>
  <si>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</si>
  <si>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</si>
  <si>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</si>
  <si>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</si>
  <si>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</si>
  <si>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</si>
  <si>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</si>
  <si>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</si>
  <si>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</si>
  <si>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</si>
  <si>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</si>
  <si>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</si>
  <si>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</si>
  <si>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</si>
  <si>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</si>
  <si>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</si>
  <si>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</si>
  <si>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</si>
  <si>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</si>
  <si>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</si>
  <si>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</si>
  <si>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</si>
  <si>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</si>
  <si>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</si>
  <si>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</si>
  <si>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</si>
  <si>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</si>
  <si>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</si>
  <si>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</si>
  <si>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</si>
  <si>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</si>
  <si>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</si>
  <si>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</si>
  <si>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</si>
  <si>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</si>
  <si>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</si>
  <si>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</si>
  <si>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전남대학교 디지털도서관 신축공사</t>
    <phoneticPr fontId="2" type="noConversion"/>
  </si>
  <si>
    <t>교육연구</t>
  </si>
  <si>
    <t>광주시</t>
  </si>
  <si>
    <t>기초공사,해체및철거공사,골재비및운반비,작업부산물,품질시험비,기타공사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</si>
  <si>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</si>
  <si>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</si>
  <si>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</si>
  <si>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공조배관공사,우수처리시설공사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</si>
  <si>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</si>
  <si>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</si>
  <si>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</si>
  <si>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옥외소화배관공사,펌프실배관공사,무선통신보조설비공사</t>
    <phoneticPr fontId="2" type="noConversion"/>
  </si>
  <si>
    <t>우수공사,오수공사</t>
    <phoneticPr fontId="2" type="noConversion"/>
  </si>
  <si>
    <t>운반비,기타공사</t>
    <phoneticPr fontId="2" type="noConversion"/>
  </si>
  <si>
    <t>조경시설물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</si>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</sst>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10497.89</v>
      </c>
      <c r="D7" s="36">
        <f>+C7/3.3058</f>
        <v>3175.5974348115433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852090</v>
      </c>
      <c r="E25" s="59">
        <f t="shared" si="0"/>
        <v>2816830</v>
      </c>
    </row>
    <row r="26" spans="1:5" x14ac:dyDescent="0.3">
      <c r="B26" s="2">
        <v>3</v>
      </c>
      <c r="C26" s="35" t="s">
        <v>95</v>
      </c>
      <c r="D26" s="45">
        <f>+D66</f>
        <v>46640</v>
      </c>
      <c r="E26" s="59">
        <f t="shared" si="0"/>
        <v>154180</v>
      </c>
    </row>
    <row r="27" spans="1:5" x14ac:dyDescent="0.3">
      <c r="B27" s="2">
        <v>4</v>
      </c>
      <c r="C27" s="35" t="s">
        <v>96</v>
      </c>
      <c r="D27" s="45">
        <f>+D95</f>
        <v>275220</v>
      </c>
      <c r="E27" s="59">
        <f t="shared" si="0"/>
        <v>909820</v>
      </c>
    </row>
    <row r="28" spans="1:5" x14ac:dyDescent="0.3">
      <c r="B28" s="2">
        <v>5</v>
      </c>
      <c r="C28" s="35" t="s">
        <v>97</v>
      </c>
      <c r="D28" s="45">
        <f>+D119</f>
        <v>149960</v>
      </c>
      <c r="E28" s="59">
        <f t="shared" si="0"/>
        <v>495730</v>
      </c>
    </row>
    <row r="29" spans="1:5" x14ac:dyDescent="0.3">
      <c r="B29" s="2">
        <v>6</v>
      </c>
      <c r="C29" s="35" t="s">
        <v>98</v>
      </c>
      <c r="D29" s="45">
        <f>+D133</f>
        <v>46610</v>
      </c>
      <c r="E29" s="59">
        <f t="shared" si="0"/>
        <v>154080</v>
      </c>
    </row>
    <row r="30" spans="1:5" x14ac:dyDescent="0.3">
      <c r="B30" s="2">
        <v>7</v>
      </c>
      <c r="C30" s="35" t="s">
        <v>99</v>
      </c>
      <c r="D30" s="45">
        <f>+D146</f>
        <v>71890</v>
      </c>
      <c r="E30" s="59">
        <f t="shared" si="0"/>
        <v>237650</v>
      </c>
    </row>
    <row r="31" spans="1:5" x14ac:dyDescent="0.3">
      <c r="B31" s="2">
        <v>8</v>
      </c>
      <c r="C31" s="35" t="s">
        <v>100</v>
      </c>
      <c r="D31" s="45">
        <f>+D154</f>
        <v>38560</v>
      </c>
      <c r="E31" s="59">
        <f t="shared" si="0"/>
        <v>127470</v>
      </c>
    </row>
    <row r="32" spans="1:5" x14ac:dyDescent="0.3">
      <c r="B32" s="2">
        <v>9</v>
      </c>
      <c r="C32" s="35" t="s">
        <v>101</v>
      </c>
      <c r="D32" s="45">
        <f>+D161</f>
        <v>12700</v>
      </c>
      <c r="E32" s="59">
        <f t="shared" si="0"/>
        <v>41980</v>
      </c>
    </row>
    <row r="33" spans="1:7" x14ac:dyDescent="0.3">
      <c r="B33" s="2">
        <v>10</v>
      </c>
      <c r="C33" s="35" t="s">
        <v>154</v>
      </c>
      <c r="D33" s="53">
        <f>TRUNC(SUM(D24:D32)*0.275,-1)</f>
        <v>410750</v>
      </c>
      <c r="E33" s="60">
        <f t="shared" si="0"/>
        <v>1357850</v>
      </c>
    </row>
    <row r="34" spans="1:7" x14ac:dyDescent="0.3">
      <c r="C34" s="35" t="s">
        <v>112</v>
      </c>
      <c r="D34" s="44">
        <f>SUM(D24:D33)</f>
        <v>1904420</v>
      </c>
      <c r="E34" s="44">
        <f>SUM(E24:E33)</f>
        <v>6295590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TRUNC(98686,-1)</f>
        <v>98680</v>
      </c>
      <c r="E40" s="62">
        <f t="shared" ref="E40:E59" si="1">TRUNC(+D40*3.3058,-1)</f>
        <v>326210</v>
      </c>
    </row>
    <row r="41" spans="1:7" x14ac:dyDescent="0.3">
      <c r="A41" s="2">
        <v>2</v>
      </c>
      <c r="C41" s="38" t="s">
        <v>13</v>
      </c>
      <c r="D41" s="42">
        <f>TRUNC(182271,-1)</f>
        <v>182270</v>
      </c>
      <c r="E41" s="63">
        <f t="shared" si="1"/>
        <v>602540</v>
      </c>
    </row>
    <row r="42" spans="1:7" x14ac:dyDescent="0.3">
      <c r="A42" s="2">
        <v>3</v>
      </c>
      <c r="C42" s="38" t="s">
        <v>14</v>
      </c>
      <c r="D42" s="42">
        <f>TRUNC(9245,-1)</f>
        <v>9240</v>
      </c>
      <c r="E42" s="63">
        <f t="shared" si="1"/>
        <v>30540</v>
      </c>
    </row>
    <row r="43" spans="1:7" x14ac:dyDescent="0.3">
      <c r="A43" s="2">
        <v>4</v>
      </c>
      <c r="C43" s="38" t="s">
        <v>16</v>
      </c>
      <c r="D43" s="42">
        <f>TRUNC(26568,-1)</f>
        <v>26560</v>
      </c>
      <c r="E43" s="63">
        <f t="shared" si="1"/>
        <v>87800</v>
      </c>
    </row>
    <row r="44" spans="1:7" x14ac:dyDescent="0.3">
      <c r="A44" s="2">
        <v>5</v>
      </c>
      <c r="C44" s="38" t="s">
        <v>17</v>
      </c>
      <c r="D44" s="42">
        <f>TRUNC(30448,-1)</f>
        <v>30440</v>
      </c>
      <c r="E44" s="63">
        <f t="shared" si="1"/>
        <v>100620</v>
      </c>
    </row>
    <row r="45" spans="1:7" x14ac:dyDescent="0.3">
      <c r="A45" s="2">
        <v>6</v>
      </c>
      <c r="C45" s="38" t="s">
        <v>18</v>
      </c>
      <c r="D45" s="42">
        <f>TRUNC(5980,-1)</f>
        <v>5980</v>
      </c>
      <c r="E45" s="63">
        <f t="shared" si="1"/>
        <v>19760</v>
      </c>
    </row>
    <row r="46" spans="1:7" x14ac:dyDescent="0.3">
      <c r="A46" s="2">
        <v>7</v>
      </c>
      <c r="C46" s="38" t="s">
        <v>19</v>
      </c>
      <c r="D46" s="42">
        <f>TRUNC(7053,-1)</f>
        <v>7050</v>
      </c>
      <c r="E46" s="63">
        <f t="shared" si="1"/>
        <v>23300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TRUNC(50279,-1)</f>
        <v>50270</v>
      </c>
      <c r="E48" s="63">
        <f t="shared" si="1"/>
        <v>166180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TRUNC(11172,-1)</f>
        <v>11170</v>
      </c>
      <c r="E49" s="63">
        <f t="shared" si="1"/>
        <v>36920</v>
      </c>
    </row>
    <row r="50" spans="1:7" x14ac:dyDescent="0.3">
      <c r="A50" s="2">
        <v>11</v>
      </c>
      <c r="C50" s="38" t="s">
        <v>155</v>
      </c>
      <c r="D50" s="42">
        <f>TRUNC(55562,-1)</f>
        <v>55560</v>
      </c>
      <c r="E50" s="63">
        <f t="shared" si="1"/>
        <v>183670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TRUNC(6507,-1)</f>
        <v>6500</v>
      </c>
      <c r="E52" s="63">
        <f t="shared" si="1"/>
        <v>21480</v>
      </c>
    </row>
    <row r="53" spans="1:7" x14ac:dyDescent="0.3">
      <c r="A53" s="2">
        <v>14</v>
      </c>
      <c r="C53" s="38" t="s">
        <v>25</v>
      </c>
      <c r="D53" s="42">
        <f>TRUNC(60854,-1)</f>
        <v>60850</v>
      </c>
      <c r="E53" s="63">
        <f t="shared" si="1"/>
        <v>201150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TRUNC(22460+3810+4477-1339+1275+4039,-1)</f>
        <v>34720</v>
      </c>
      <c r="E58" s="63">
        <f t="shared" si="1"/>
        <v>114770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TRUNC(272805,-1)</f>
        <v>272800</v>
      </c>
      <c r="E59" s="64">
        <f t="shared" si="1"/>
        <v>901820</v>
      </c>
    </row>
    <row r="60" spans="1:7" x14ac:dyDescent="0.3">
      <c r="A60" s="2">
        <v>21</v>
      </c>
      <c r="C60" s="27" t="s">
        <v>112</v>
      </c>
      <c r="D60" s="39">
        <f>SUM(D40:D59)</f>
        <v>852090</v>
      </c>
      <c r="E60" s="39">
        <f>SUM(E40:E59)</f>
        <v>2816760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TRUNC(21606,-1)</f>
        <v>21600</v>
      </c>
      <c r="E63" s="62">
        <f>TRUNC(+D63*3.3058,-1)</f>
        <v>71400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TRUNC(25049,-1)</f>
        <v>25040</v>
      </c>
      <c r="E65" s="64">
        <f>TRUNC(+D65*3.3058,-1)</f>
        <v>82770</v>
      </c>
    </row>
    <row r="66" spans="1:7" x14ac:dyDescent="0.3">
      <c r="A66" s="2">
        <v>4</v>
      </c>
      <c r="C66" s="27" t="s">
        <v>112</v>
      </c>
      <c r="D66" s="39">
        <f>SUM(D63:D65)</f>
        <v>46640</v>
      </c>
      <c r="E66" s="65">
        <f>SUM(E63:E65)</f>
        <v>154170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TRUNC(3728,-1)</f>
        <v>3720</v>
      </c>
      <c r="E69" s="62">
        <f t="shared" ref="E69:E94" si="2">TRUNC(+D69*3.3058,-1)</f>
        <v>12290</v>
      </c>
    </row>
    <row r="70" spans="1:7" ht="16.5" customHeight="1" x14ac:dyDescent="0.3">
      <c r="A70" s="2">
        <v>2</v>
      </c>
      <c r="C70" s="38" t="s">
        <v>31</v>
      </c>
      <c r="D70" s="42">
        <f>TRUNC(338,-1)</f>
        <v>330</v>
      </c>
      <c r="E70" s="63">
        <f t="shared" si="2"/>
        <v>1090</v>
      </c>
    </row>
    <row r="71" spans="1:7" x14ac:dyDescent="0.3">
      <c r="A71" s="2">
        <v>3</v>
      </c>
      <c r="C71" s="38" t="s">
        <v>32</v>
      </c>
      <c r="D71" s="42">
        <f>TRUNC(15670,-1)</f>
        <v>15670</v>
      </c>
      <c r="E71" s="63">
        <f t="shared" si="2"/>
        <v>51800</v>
      </c>
    </row>
    <row r="72" spans="1:7" x14ac:dyDescent="0.3">
      <c r="A72" s="2">
        <v>4</v>
      </c>
      <c r="C72" s="38" t="s">
        <v>33</v>
      </c>
      <c r="D72" s="42">
        <f>TRUNC(1734,-1)</f>
        <v>1730</v>
      </c>
      <c r="E72" s="63">
        <f t="shared" si="2"/>
        <v>5710</v>
      </c>
    </row>
    <row r="73" spans="1:7" x14ac:dyDescent="0.3">
      <c r="A73" s="2">
        <v>5</v>
      </c>
      <c r="C73" s="38" t="s">
        <v>34</v>
      </c>
      <c r="D73" s="42">
        <f>TRUNC(3228,-1)</f>
        <v>3220</v>
      </c>
      <c r="E73" s="63">
        <f t="shared" si="2"/>
        <v>10640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TRUNC(6198,-1)</f>
        <v>6190</v>
      </c>
      <c r="E75" s="63">
        <f t="shared" si="2"/>
        <v>20460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TRUNC(4055,-1)</f>
        <v>4050</v>
      </c>
      <c r="E89" s="63">
        <f t="shared" si="2"/>
        <v>13380</v>
      </c>
    </row>
    <row r="90" spans="1:7" x14ac:dyDescent="0.3">
      <c r="A90" s="2">
        <v>22</v>
      </c>
      <c r="C90" s="38" t="s">
        <v>36</v>
      </c>
      <c r="D90" s="42">
        <f>TRUNC(1511,-1)</f>
        <v>1510</v>
      </c>
      <c r="E90" s="63">
        <f t="shared" si="2"/>
        <v>4990</v>
      </c>
    </row>
    <row r="91" spans="1:7" x14ac:dyDescent="0.3">
      <c r="A91" s="2">
        <v>23</v>
      </c>
      <c r="C91" s="38" t="s">
        <v>37</v>
      </c>
      <c r="D91" s="42">
        <f>TRUNC(45775,-1)</f>
        <v>45770</v>
      </c>
      <c r="E91" s="63">
        <f t="shared" si="2"/>
        <v>151300</v>
      </c>
    </row>
    <row r="92" spans="1:7" x14ac:dyDescent="0.3">
      <c r="A92" s="2">
        <v>24</v>
      </c>
      <c r="C92" s="38" t="s">
        <v>38</v>
      </c>
      <c r="D92" s="42">
        <f>TRUNC(2441,-1)</f>
        <v>2440</v>
      </c>
      <c r="E92" s="63">
        <f t="shared" si="2"/>
        <v>8060</v>
      </c>
    </row>
    <row r="93" spans="1:7" x14ac:dyDescent="0.3">
      <c r="A93" s="2">
        <v>25</v>
      </c>
      <c r="C93" s="38" t="s">
        <v>148</v>
      </c>
      <c r="D93" s="42">
        <f>TRUNC(167896,-1)</f>
        <v>167890</v>
      </c>
      <c r="E93" s="63">
        <f t="shared" si="2"/>
        <v>555010</v>
      </c>
    </row>
    <row r="94" spans="1:7" ht="17.25" thickBot="1" x14ac:dyDescent="0.35">
      <c r="A94" s="2">
        <v>26</v>
      </c>
      <c r="C94" s="38" t="s">
        <v>47</v>
      </c>
      <c r="D94" s="43">
        <f>TRUNC(7792+14916,-1)</f>
        <v>22700</v>
      </c>
      <c r="E94" s="64">
        <f t="shared" si="2"/>
        <v>75040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275220</v>
      </c>
      <c r="E95" s="39">
        <f>SUM(E69:E94)</f>
        <v>909770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TRUNC(10719,-1)</f>
        <v>10710</v>
      </c>
      <c r="E98" s="62">
        <f t="shared" ref="E98:E118" si="3">TRUNC(+D98*3.3058,-1)</f>
        <v>35400</v>
      </c>
    </row>
    <row r="99" spans="1:7" x14ac:dyDescent="0.3">
      <c r="A99" s="2">
        <v>2</v>
      </c>
      <c r="C99" s="38" t="s">
        <v>40</v>
      </c>
      <c r="D99" s="42">
        <f>TRUNC(5143,-1)</f>
        <v>5140</v>
      </c>
      <c r="E99" s="63">
        <f t="shared" si="3"/>
        <v>16990</v>
      </c>
    </row>
    <row r="100" spans="1:7" x14ac:dyDescent="0.3">
      <c r="A100" s="2">
        <v>3</v>
      </c>
      <c r="C100" s="38" t="s">
        <v>41</v>
      </c>
      <c r="D100" s="42">
        <f>TRUNC(30302,-1)</f>
        <v>30300</v>
      </c>
      <c r="E100" s="63">
        <f t="shared" si="3"/>
        <v>100160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TRUNC(6164,-1)</f>
        <v>6160</v>
      </c>
      <c r="E102" s="63">
        <f t="shared" si="3"/>
        <v>20360</v>
      </c>
    </row>
    <row r="103" spans="1:7" x14ac:dyDescent="0.3">
      <c r="A103" s="2">
        <v>6</v>
      </c>
      <c r="C103" s="38" t="s">
        <v>44</v>
      </c>
      <c r="D103" s="42">
        <f>TRUNC(1381,-1)</f>
        <v>1380</v>
      </c>
      <c r="E103" s="63">
        <f t="shared" si="3"/>
        <v>4560</v>
      </c>
    </row>
    <row r="104" spans="1:7" x14ac:dyDescent="0.3">
      <c r="A104" s="2">
        <v>7</v>
      </c>
      <c r="C104" s="38" t="s">
        <v>45</v>
      </c>
      <c r="D104" s="42">
        <f>TRUNC(2266,-1)</f>
        <v>2260</v>
      </c>
      <c r="E104" s="63">
        <f t="shared" si="3"/>
        <v>7470</v>
      </c>
    </row>
    <row r="105" spans="1:7" x14ac:dyDescent="0.3">
      <c r="A105" s="2">
        <v>8</v>
      </c>
      <c r="C105" s="38" t="s">
        <v>46</v>
      </c>
      <c r="D105" s="42">
        <f>TRUNC(2673,-1)</f>
        <v>2670</v>
      </c>
      <c r="E105" s="63">
        <f t="shared" si="3"/>
        <v>8820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TRUNC(1357,-1)</f>
        <v>1350</v>
      </c>
      <c r="E114" s="63">
        <f t="shared" si="3"/>
        <v>4460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TRUNC(828,-1)</f>
        <v>820</v>
      </c>
      <c r="E116" s="63">
        <f t="shared" si="3"/>
        <v>2710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TRUNC(87193,-1)</f>
        <v>87190</v>
      </c>
      <c r="E117" s="63">
        <f t="shared" si="3"/>
        <v>288230</v>
      </c>
    </row>
    <row r="118" spans="1:7" ht="17.25" thickBot="1" x14ac:dyDescent="0.35">
      <c r="A118" s="2">
        <v>21</v>
      </c>
      <c r="C118" s="38" t="s">
        <v>47</v>
      </c>
      <c r="D118" s="43">
        <f>TRUNC(1984,-1)</f>
        <v>1980</v>
      </c>
      <c r="E118" s="64">
        <f t="shared" si="3"/>
        <v>6540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149960</v>
      </c>
      <c r="E119" s="39">
        <f>SUM(E98:E118)</f>
        <v>495700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TRUNC(3037,-1)</f>
        <v>3030</v>
      </c>
      <c r="E122" s="62">
        <f t="shared" ref="E122:E132" si="4">TRUNC(+D122*3.3058,-1)</f>
        <v>10010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TRUNC(5507,-1)</f>
        <v>5500</v>
      </c>
      <c r="E125" s="63">
        <f t="shared" si="4"/>
        <v>18180</v>
      </c>
    </row>
    <row r="126" spans="1:7" x14ac:dyDescent="0.3">
      <c r="A126" s="2">
        <v>5</v>
      </c>
      <c r="C126" s="38" t="s">
        <v>53</v>
      </c>
      <c r="D126" s="42">
        <f>TRUNC(979,-1)</f>
        <v>970</v>
      </c>
      <c r="E126" s="63">
        <f t="shared" si="4"/>
        <v>3200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TRUNC(1703,-1)</f>
        <v>1700</v>
      </c>
      <c r="E128" s="63">
        <f t="shared" si="4"/>
        <v>5610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TRUNC(9371,-1)</f>
        <v>9370</v>
      </c>
      <c r="E130" s="63">
        <f t="shared" si="4"/>
        <v>30970</v>
      </c>
    </row>
    <row r="131" spans="1:7" x14ac:dyDescent="0.3">
      <c r="A131" s="2">
        <v>10</v>
      </c>
      <c r="C131" s="38" t="s">
        <v>148</v>
      </c>
      <c r="D131" s="42">
        <f>TRUNC(26041,-1)</f>
        <v>26040</v>
      </c>
      <c r="E131" s="63">
        <f t="shared" si="4"/>
        <v>86080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46610</v>
      </c>
      <c r="E133" s="39">
        <f>SUM(E122:E132)</f>
        <v>154050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TRUNC(625+5205+2579,-1)</f>
        <v>8400</v>
      </c>
      <c r="E137" s="63">
        <f t="shared" si="5"/>
        <v>27760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TRUNC(3227,-1)</f>
        <v>3220</v>
      </c>
      <c r="E139" s="63">
        <f t="shared" si="5"/>
        <v>10640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f>TRUNC(32811,-1)</f>
        <v>32810</v>
      </c>
      <c r="E141" s="63">
        <f t="shared" si="5"/>
        <v>108460</v>
      </c>
    </row>
    <row r="142" spans="1:7" x14ac:dyDescent="0.3">
      <c r="A142" s="2">
        <v>7</v>
      </c>
      <c r="C142" s="38" t="s">
        <v>58</v>
      </c>
      <c r="D142" s="42">
        <f>TRUNC(4757,-1)</f>
        <v>4750</v>
      </c>
      <c r="E142" s="63">
        <f t="shared" si="5"/>
        <v>15700</v>
      </c>
    </row>
    <row r="143" spans="1:7" x14ac:dyDescent="0.3">
      <c r="A143" s="2">
        <v>8</v>
      </c>
      <c r="C143" s="38" t="s">
        <v>62</v>
      </c>
      <c r="D143" s="42">
        <f>TRUNC(5727,-1)</f>
        <v>5720</v>
      </c>
      <c r="E143" s="63">
        <f t="shared" si="5"/>
        <v>18900</v>
      </c>
    </row>
    <row r="144" spans="1:7" x14ac:dyDescent="0.3">
      <c r="A144" s="2">
        <v>9</v>
      </c>
      <c r="C144" s="38" t="s">
        <v>63</v>
      </c>
      <c r="D144" s="42">
        <f>TRUNC(16996,-1)</f>
        <v>16990</v>
      </c>
      <c r="E144" s="63">
        <f t="shared" si="5"/>
        <v>56160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71890</v>
      </c>
      <c r="E146" s="39">
        <f>SUM(E136:E145)</f>
        <v>237620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TRUNC(11856+3961,-1)</f>
        <v>15810</v>
      </c>
      <c r="E149" s="62">
        <f>TRUNC(+D149*3.3058,-1)</f>
        <v>52260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TRUNC(5471,-1)</f>
        <v>5470</v>
      </c>
      <c r="E150" s="63">
        <f>TRUNC(+D150*3.3058,-1)</f>
        <v>18080</v>
      </c>
    </row>
    <row r="151" spans="1:7" x14ac:dyDescent="0.3">
      <c r="A151" s="2">
        <v>3</v>
      </c>
      <c r="C151" s="38" t="s">
        <v>50</v>
      </c>
      <c r="D151" s="42">
        <f>TRUNC(10909,-1)</f>
        <v>10900</v>
      </c>
      <c r="E151" s="63">
        <f>TRUNC(+D151*3.3058,-1)</f>
        <v>36030</v>
      </c>
    </row>
    <row r="152" spans="1:7" x14ac:dyDescent="0.3">
      <c r="A152" s="2">
        <v>4</v>
      </c>
      <c r="C152" s="38" t="s">
        <v>47</v>
      </c>
      <c r="D152" s="42">
        <f>TRUNC(157+6226,-1)</f>
        <v>6380</v>
      </c>
      <c r="E152" s="63">
        <f>TRUNC(+D152*3.3058,-1)</f>
        <v>21090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38560</v>
      </c>
      <c r="E154" s="39">
        <f>SUM(E149:E153)</f>
        <v>127460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TRUNC(12262,-1)</f>
        <v>12260</v>
      </c>
      <c r="E157" s="62">
        <f>TRUNC(+D157*3.3058,-1)</f>
        <v>40520</v>
      </c>
    </row>
    <row r="158" spans="1:7" x14ac:dyDescent="0.3">
      <c r="A158" s="2">
        <v>2</v>
      </c>
      <c r="C158" s="38" t="s">
        <v>52</v>
      </c>
      <c r="D158" s="42">
        <f>TRUNC(449,-1)</f>
        <v>440</v>
      </c>
      <c r="E158" s="63">
        <f>TRUNC(+D158*3.3058,-1)</f>
        <v>1450</v>
      </c>
      <c r="F158" s="2" t="s">
        <v>262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12700</v>
      </c>
      <c r="E161" s="39">
        <f>SUM(E157:E160)</f>
        <v>41970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2020-12-08T02:14:36Z</dcterms:modified>
</cp:coreProperties>
</file>