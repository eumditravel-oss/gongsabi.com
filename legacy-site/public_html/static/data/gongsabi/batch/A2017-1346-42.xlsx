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5" i="4"/>
  <c r="D142" i="4"/>
  <c r="D141" i="4"/>
  <c r="D140" i="4"/>
  <c r="D137" i="4"/>
  <c r="D131" i="4"/>
  <c r="D130" i="4"/>
  <c r="D128" i="4"/>
  <c r="D127" i="4"/>
  <c r="D126" i="4"/>
  <c r="D125" i="4"/>
  <c r="D124" i="4"/>
  <c r="D118" i="4"/>
  <c r="D116" i="4"/>
  <c r="D105" i="4"/>
  <c r="D104" i="4"/>
  <c r="D102" i="4"/>
  <c r="D99" i="4"/>
  <c r="D98" i="4"/>
  <c r="D94" i="4"/>
  <c r="D92" i="4"/>
  <c r="D91" i="4"/>
  <c r="D90" i="4"/>
  <c r="D73" i="4"/>
  <c r="D72" i="4"/>
  <c r="D71" i="4"/>
  <c r="D70" i="4"/>
  <c r="D69" i="4"/>
  <c r="D63" i="4"/>
  <c r="D60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25" i="4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<sst xmlns="http://schemas.openxmlformats.org/spreadsheetml/2006/main" count="392" uniqueCount="269">
  <si>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</si>
  <si>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</si>
  <si>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</si>
  <si>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</si>
  <si>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</si>
  <si>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</si>
  <si>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</si>
  <si>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</si>
  <si>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</si>
  <si>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</si>
  <si>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</si>
  <si>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</si>
  <si>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</si>
  <si>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</si>
  <si>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</si>
  <si>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</si>
  <si>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</si>
  <si>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</si>
  <si>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</si>
  <si>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</si>
  <si>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</si>
  <si>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</si>
  <si>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</si>
  <si>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</si>
  <si>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</si>
  <si>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</si>
  <si>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</si>
  <si>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</si>
  <si>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</si>
  <si>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</si>
  <si>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</si>
  <si>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</si>
  <si>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</si>
  <si>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</si>
  <si>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</si>
  <si>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</si>
  <si>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</si>
  <si>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</si>
  <si>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</si>
  <si>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</si>
  <si>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</si>
  <si>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</si>
  <si>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</si>
  <si>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</si>
  <si>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</si>
  <si>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</si>
  <si>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</si>
  <si>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</si>
  <si>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</si>
  <si>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</si>
  <si>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</si>
  <si>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</si>
  <si>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</si>
  <si>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</si>
  <si>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</si>
  <si>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</si>
  <si>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</si>
  <si>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</si>
  <si>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</si>
  <si>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</si>
  <si>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</si>
  <si>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</si>
  <si>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</si>
  <si>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</si>
  <si>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</si>
  <si>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</si>
  <si>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</si>
  <si>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</si>
  <si>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</si>
  <si>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</si>
  <si>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</si>
  <si>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</si>
  <si>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</si>
  <si>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</si>
  <si>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</si>
  <si>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</si>
  <si>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</si>
  <si>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</si>
  <si>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</si>
  <si>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</si>
  <si>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</si>
  <si>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</si>
  <si>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</si>
  <si>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</si>
  <si>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</si>
  <si>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</si>
  <si>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</si>
  <si>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</si>
  <si>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</si>
  <si>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</si>
  <si>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</si>
  <si>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</si>
  <si>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</si>
  <si>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</si>
  <si>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</si>
  <si>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</si>
  <si>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</si>
  <si>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</si>
  <si>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</si>
  <si>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</si>
  <si>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</si>
  <si>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</si>
  <si>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</si>
  <si>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</si>
  <si>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</si>
  <si>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</si>
  <si>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</si>
  <si>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</si>
  <si>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</si>
  <si>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</si>
  <si>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</si>
  <si>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</si>
  <si>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</si>
  <si>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</si>
  <si>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</si>
  <si>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</si>
  <si>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</si>
  <si>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</si>
  <si>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</si>
  <si>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</si>
  <si>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</si>
  <si>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</si>
  <si>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</si>
  <si>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</si>
  <si>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</si>
  <si>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</si>
  <si>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</si>
  <si>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</si>
  <si>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</si>
  <si>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</si>
  <si>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</si>
  <si>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</si>
  <si>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</si>
  <si>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</si>
  <si>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</si>
  <si>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</si>
  <si>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</si>
  <si>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</si>
  <si>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</si>
  <si>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</si>
  <si>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</si>
  <si>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</si>
  <si>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</si>
  <si>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</si>
  <si>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</si>
  <si>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</si>
  <si>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</si>
  <si>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</si>
  <si>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</si>
  <si>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</si>
  <si>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</si>
  <si>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</si>
  <si>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</si>
  <si>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</si>
  <si>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</si>
  <si>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</si>
  <si>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</si>
  <si>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</si>
  <si>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</si>
  <si>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</si>
  <si>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</si>
  <si>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</si>
  <si>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</si>
  <si>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</si>
  <si>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</si>
  <si>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</si>
  <si>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</si>
  <si>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</si>
  <si>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</si>
  <si>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</si>
  <si>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</si>
  <si>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</si>
  <si>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</si>
  <si>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</si>
  <si>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</si>
  <si>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</si>
  <si>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</si>
  <si>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</si>
  <si>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</si>
  <si>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</si>
  <si>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</si>
  <si>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</si>
  <si>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</si>
  <si>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</si>
  <si>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</si>
  <si>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</si>
  <si>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</si>
  <si>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</si>
  <si>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</si>
  <si>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</si>
  <si>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</si>
  <si>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</si>
  <si>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</si>
  <si>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</si>
  <si>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</si>
  <si>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</si>
  <si>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</si>
  <si>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</si>
  <si>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</si>
  <si>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</si>
  <si>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</si>
  <si>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</si>
  <si>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</si>
  <si>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</si>
  <si>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</si>
  <si>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</si>
  <si>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</si>
  <si>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</si>
  <si>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</si>
  <si>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</si>
  <si>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</si>
  <si>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</si>
  <si>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</si>
  <si>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</si>
  <si>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</si>
  <si>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</si>
  <si>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</si>
  <si>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</si>
  <si>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</si>
  <si>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</si>
  <si>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</si>
  <si>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</si>
  <si>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</si>
  <si>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</si>
  <si>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</si>
  <si>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</si>
  <si>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</si>
  <si>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</si>
  <si>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</si>
  <si>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</si>
  <si>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</si>
  <si>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</si>
  <si>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</si>
  <si>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</si>
  <si>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</si>
  <si>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</si>
  <si>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</si>
  <si>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</si>
  <si>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</si>
  <si>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</si>
  <si>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</si>
  <si>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</si>
  <si>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</si>
  <si>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</si>
  <si>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</si>
  <si>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</si>
  <si>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</si>
  <si>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</si>
  <si>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</si>
  <si>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</si>
  <si>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</si>
  <si>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</si>
  <si>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</si>
  <si>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</si>
  <si>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</si>
  <si>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대구서부경찰서 청사 신축공사</t>
    <phoneticPr fontId="2" type="noConversion"/>
  </si>
  <si>
    <t>대구시</t>
  </si>
  <si>
    <t>기초공사, 해체및철거공사, 골재비및운반비, 품질시험비, 기타공사</t>
    <phoneticPr fontId="2" type="noConversion"/>
  </si>
  <si>
    <t>우수처리시설공사, 바닥난방공사, 기타공사</t>
    <phoneticPr fontId="2" type="noConversion"/>
  </si>
  <si>
    <t>CCTV설비공사, 주차관제설비공사, 기타공사</t>
    <phoneticPr fontId="2" type="noConversion"/>
  </si>
  <si>
    <t>옥외소화배관공사, 펌프실배관공사, 무선통신보조설비공사, 기타공사</t>
    <phoneticPr fontId="2" type="noConversion"/>
  </si>
  <si>
    <t>상수도공사 , 사급자재비,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</si>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</sst>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11526.31</v>
      </c>
      <c r="D7" s="36">
        <f>+C7/3.3058</f>
        <v>3486.693084881118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878360</v>
      </c>
      <c r="E25" s="59">
        <f t="shared" si="0"/>
        <v>2903680</v>
      </c>
    </row>
    <row r="26" spans="1:5" x14ac:dyDescent="0.3">
      <c r="B26" s="2">
        <v>3</v>
      </c>
      <c r="C26" s="35" t="s">
        <v>95</v>
      </c>
      <c r="D26" s="45">
        <f>+D66</f>
        <v>107540</v>
      </c>
      <c r="E26" s="59">
        <f t="shared" si="0"/>
        <v>355500</v>
      </c>
    </row>
    <row r="27" spans="1:5" x14ac:dyDescent="0.3">
      <c r="B27" s="2">
        <v>4</v>
      </c>
      <c r="C27" s="35" t="s">
        <v>96</v>
      </c>
      <c r="D27" s="45">
        <f>+D95</f>
        <v>74120</v>
      </c>
      <c r="E27" s="59">
        <f t="shared" si="0"/>
        <v>245020</v>
      </c>
    </row>
    <row r="28" spans="1:5" x14ac:dyDescent="0.3">
      <c r="B28" s="2">
        <v>5</v>
      </c>
      <c r="C28" s="35" t="s">
        <v>97</v>
      </c>
      <c r="D28" s="45">
        <f>+D119</f>
        <v>211850</v>
      </c>
      <c r="E28" s="59">
        <f t="shared" si="0"/>
        <v>700330</v>
      </c>
    </row>
    <row r="29" spans="1:5" x14ac:dyDescent="0.3">
      <c r="B29" s="2">
        <v>6</v>
      </c>
      <c r="C29" s="35" t="s">
        <v>98</v>
      </c>
      <c r="D29" s="45">
        <f>+D133</f>
        <v>121760</v>
      </c>
      <c r="E29" s="59">
        <f t="shared" si="0"/>
        <v>402510</v>
      </c>
    </row>
    <row r="30" spans="1:5" x14ac:dyDescent="0.3">
      <c r="B30" s="2">
        <v>7</v>
      </c>
      <c r="C30" s="35" t="s">
        <v>99</v>
      </c>
      <c r="D30" s="45">
        <f>+D146</f>
        <v>45130</v>
      </c>
      <c r="E30" s="59">
        <f t="shared" si="0"/>
        <v>149190</v>
      </c>
    </row>
    <row r="31" spans="1:5" x14ac:dyDescent="0.3">
      <c r="B31" s="2">
        <v>8</v>
      </c>
      <c r="C31" s="35" t="s">
        <v>100</v>
      </c>
      <c r="D31" s="45">
        <f>+D154</f>
        <v>12400</v>
      </c>
      <c r="E31" s="59">
        <f t="shared" si="0"/>
        <v>40990</v>
      </c>
    </row>
    <row r="32" spans="1:5" x14ac:dyDescent="0.3">
      <c r="B32" s="2">
        <v>9</v>
      </c>
      <c r="C32" s="35" t="s">
        <v>101</v>
      </c>
      <c r="D32" s="45">
        <f>+D161</f>
        <v>20640</v>
      </c>
      <c r="E32" s="59">
        <f t="shared" si="0"/>
        <v>68230</v>
      </c>
    </row>
    <row r="33" spans="1:7" x14ac:dyDescent="0.3">
      <c r="B33" s="2">
        <v>10</v>
      </c>
      <c r="C33" s="35" t="s">
        <v>154</v>
      </c>
      <c r="D33" s="53">
        <f>TRUNC(SUM(D24:D32)*0.275,-1)</f>
        <v>404740</v>
      </c>
      <c r="E33" s="60">
        <f t="shared" si="0"/>
        <v>1337980</v>
      </c>
    </row>
    <row r="34" spans="1:7" x14ac:dyDescent="0.3">
      <c r="C34" s="35" t="s">
        <v>112</v>
      </c>
      <c r="D34" s="44">
        <f>SUM(D24:D33)</f>
        <v>1876540</v>
      </c>
      <c r="E34" s="44">
        <f>SUM(E24:E33)</f>
        <v>6203430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262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TRUNC(53116,-1)</f>
        <v>53110</v>
      </c>
      <c r="E40" s="62">
        <f t="shared" ref="E40:E59" si="1">TRUNC(+D40*3.3058,-1)</f>
        <v>175570</v>
      </c>
    </row>
    <row r="41" spans="1:7" x14ac:dyDescent="0.3">
      <c r="A41" s="2">
        <v>2</v>
      </c>
      <c r="C41" s="38" t="s">
        <v>13</v>
      </c>
      <c r="D41" s="42">
        <f>TRUNC(122162,-1)</f>
        <v>122160</v>
      </c>
      <c r="E41" s="63">
        <f t="shared" si="1"/>
        <v>403830</v>
      </c>
    </row>
    <row r="42" spans="1:7" x14ac:dyDescent="0.3">
      <c r="A42" s="2">
        <v>3</v>
      </c>
      <c r="C42" s="38" t="s">
        <v>14</v>
      </c>
      <c r="D42" s="42">
        <f>TRUNC(9552,-1)</f>
        <v>9550</v>
      </c>
      <c r="E42" s="63">
        <f t="shared" si="1"/>
        <v>31570</v>
      </c>
    </row>
    <row r="43" spans="1:7" x14ac:dyDescent="0.3">
      <c r="A43" s="2">
        <v>4</v>
      </c>
      <c r="C43" s="38" t="s">
        <v>16</v>
      </c>
      <c r="D43" s="42">
        <f>TRUNC(17843,-1)</f>
        <v>17840</v>
      </c>
      <c r="E43" s="63">
        <f t="shared" si="1"/>
        <v>58970</v>
      </c>
    </row>
    <row r="44" spans="1:7" x14ac:dyDescent="0.3">
      <c r="A44" s="2">
        <v>5</v>
      </c>
      <c r="C44" s="38" t="s">
        <v>17</v>
      </c>
      <c r="D44" s="42">
        <f>TRUNC(27206,-1)</f>
        <v>27200</v>
      </c>
      <c r="E44" s="63">
        <f t="shared" si="1"/>
        <v>89910</v>
      </c>
    </row>
    <row r="45" spans="1:7" x14ac:dyDescent="0.3">
      <c r="A45" s="2">
        <v>6</v>
      </c>
      <c r="C45" s="38" t="s">
        <v>18</v>
      </c>
      <c r="D45" s="42">
        <f>TRUNC(7241,-1)</f>
        <v>7240</v>
      </c>
      <c r="E45" s="63">
        <f t="shared" si="1"/>
        <v>23930</v>
      </c>
    </row>
    <row r="46" spans="1:7" x14ac:dyDescent="0.3">
      <c r="A46" s="2">
        <v>7</v>
      </c>
      <c r="C46" s="38" t="s">
        <v>19</v>
      </c>
      <c r="D46" s="42">
        <f>TRUNC(50148,-1)</f>
        <v>50140</v>
      </c>
      <c r="E46" s="63">
        <f t="shared" si="1"/>
        <v>165750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TRUNC(48813,-1)</f>
        <v>48810</v>
      </c>
      <c r="E48" s="63">
        <f t="shared" si="1"/>
        <v>161350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TRUNC(13244,-1)</f>
        <v>13240</v>
      </c>
      <c r="E49" s="63">
        <f t="shared" si="1"/>
        <v>43760</v>
      </c>
    </row>
    <row r="50" spans="1:7" x14ac:dyDescent="0.3">
      <c r="A50" s="2">
        <v>11</v>
      </c>
      <c r="C50" s="38" t="s">
        <v>155</v>
      </c>
      <c r="D50" s="42">
        <f>TRUNC(53181,-1)</f>
        <v>53180</v>
      </c>
      <c r="E50" s="63">
        <f t="shared" si="1"/>
        <v>175800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TRUNC(10049,-1)</f>
        <v>10040</v>
      </c>
      <c r="E52" s="63">
        <f t="shared" si="1"/>
        <v>33190</v>
      </c>
    </row>
    <row r="53" spans="1:7" x14ac:dyDescent="0.3">
      <c r="A53" s="2">
        <v>14</v>
      </c>
      <c r="C53" s="38" t="s">
        <v>25</v>
      </c>
      <c r="D53" s="42">
        <f>TRUNC(49458,-1)</f>
        <v>49450</v>
      </c>
      <c r="E53" s="63">
        <f t="shared" si="1"/>
        <v>163470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TRUNC(255+20544+3185+3309+58804,-1)</f>
        <v>86090</v>
      </c>
      <c r="E58" s="63">
        <f t="shared" si="1"/>
        <v>284590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TRUNC(330314,-1)</f>
        <v>330310</v>
      </c>
      <c r="E59" s="64">
        <f t="shared" si="1"/>
        <v>1091930</v>
      </c>
    </row>
    <row r="60" spans="1:7" x14ac:dyDescent="0.3">
      <c r="A60" s="2">
        <v>21</v>
      </c>
      <c r="C60" s="27" t="s">
        <v>112</v>
      </c>
      <c r="D60" s="39">
        <f>SUM(D40:D59)</f>
        <v>878360</v>
      </c>
      <c r="E60" s="39">
        <f>SUM(E40:E59)</f>
        <v>2903620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TRUNC(707,-1)</f>
        <v>700</v>
      </c>
      <c r="E63" s="62">
        <f>TRUNC(+D63*3.3058,-1)</f>
        <v>2310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106840</v>
      </c>
      <c r="E65" s="64">
        <f>TRUNC(+D65*3.3058,-1)</f>
        <v>353190</v>
      </c>
    </row>
    <row r="66" spans="1:7" x14ac:dyDescent="0.3">
      <c r="A66" s="2">
        <v>4</v>
      </c>
      <c r="C66" s="27" t="s">
        <v>112</v>
      </c>
      <c r="D66" s="39">
        <f>SUM(D63:D65)</f>
        <v>107540</v>
      </c>
      <c r="E66" s="65">
        <f>SUM(E63:E65)</f>
        <v>355500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TRUNC(9037,-1)</f>
        <v>9030</v>
      </c>
      <c r="E69" s="62">
        <f t="shared" ref="E69:E94" si="2">TRUNC(+D69*3.3058,-1)</f>
        <v>29850</v>
      </c>
    </row>
    <row r="70" spans="1:7" ht="16.5" customHeight="1" x14ac:dyDescent="0.3">
      <c r="A70" s="2">
        <v>2</v>
      </c>
      <c r="C70" s="38" t="s">
        <v>31</v>
      </c>
      <c r="D70" s="42">
        <f>TRUNC(78,-1)</f>
        <v>70</v>
      </c>
      <c r="E70" s="63">
        <f t="shared" si="2"/>
        <v>230</v>
      </c>
    </row>
    <row r="71" spans="1:7" x14ac:dyDescent="0.3">
      <c r="A71" s="2">
        <v>3</v>
      </c>
      <c r="C71" s="38" t="s">
        <v>32</v>
      </c>
      <c r="D71" s="42">
        <f>TRUNC(3342,-1)</f>
        <v>3340</v>
      </c>
      <c r="E71" s="63">
        <f t="shared" si="2"/>
        <v>11040</v>
      </c>
    </row>
    <row r="72" spans="1:7" x14ac:dyDescent="0.3">
      <c r="A72" s="2">
        <v>4</v>
      </c>
      <c r="C72" s="38" t="s">
        <v>33</v>
      </c>
      <c r="D72" s="42">
        <f>TRUNC(3202,-1)</f>
        <v>3200</v>
      </c>
      <c r="E72" s="63">
        <f t="shared" si="2"/>
        <v>10570</v>
      </c>
    </row>
    <row r="73" spans="1:7" x14ac:dyDescent="0.3">
      <c r="A73" s="2">
        <v>5</v>
      </c>
      <c r="C73" s="38" t="s">
        <v>34</v>
      </c>
      <c r="D73" s="42">
        <f>TRUNC(7042,-1)</f>
        <v>7040</v>
      </c>
      <c r="E73" s="63">
        <f t="shared" si="2"/>
        <v>23270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11540</v>
      </c>
      <c r="E89" s="63">
        <f t="shared" si="2"/>
        <v>38140</v>
      </c>
    </row>
    <row r="90" spans="1:7" x14ac:dyDescent="0.3">
      <c r="A90" s="2">
        <v>22</v>
      </c>
      <c r="C90" s="38" t="s">
        <v>36</v>
      </c>
      <c r="D90" s="42">
        <f>TRUNC(3494,-1)</f>
        <v>3490</v>
      </c>
      <c r="E90" s="63">
        <f t="shared" si="2"/>
        <v>11530</v>
      </c>
    </row>
    <row r="91" spans="1:7" x14ac:dyDescent="0.3">
      <c r="A91" s="2">
        <v>23</v>
      </c>
      <c r="C91" s="38" t="s">
        <v>37</v>
      </c>
      <c r="D91" s="42">
        <f>TRUNC(12743,-1)</f>
        <v>12740</v>
      </c>
      <c r="E91" s="63">
        <f t="shared" si="2"/>
        <v>42110</v>
      </c>
    </row>
    <row r="92" spans="1:7" x14ac:dyDescent="0.3">
      <c r="A92" s="2">
        <v>24</v>
      </c>
      <c r="C92" s="38" t="s">
        <v>38</v>
      </c>
      <c r="D92" s="42">
        <f>TRUNC(5337,-1)</f>
        <v>5330</v>
      </c>
      <c r="E92" s="63">
        <f t="shared" si="2"/>
        <v>17610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TRUNC(8656+1855+7833,-1)</f>
        <v>18340</v>
      </c>
      <c r="E94" s="64">
        <f t="shared" si="2"/>
        <v>60620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74120</v>
      </c>
      <c r="E95" s="39">
        <f>SUM(E69:E94)</f>
        <v>244970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TRUNC(32377,-1)</f>
        <v>32370</v>
      </c>
      <c r="E98" s="62">
        <f t="shared" ref="E98:E118" si="3">TRUNC(+D98*3.3058,-1)</f>
        <v>107000</v>
      </c>
    </row>
    <row r="99" spans="1:7" x14ac:dyDescent="0.3">
      <c r="A99" s="2">
        <v>2</v>
      </c>
      <c r="C99" s="38" t="s">
        <v>40</v>
      </c>
      <c r="D99" s="42">
        <f>TRUNC(12682,-1)</f>
        <v>12680</v>
      </c>
      <c r="E99" s="63">
        <f t="shared" si="3"/>
        <v>41910</v>
      </c>
    </row>
    <row r="100" spans="1:7" x14ac:dyDescent="0.3">
      <c r="A100" s="2">
        <v>3</v>
      </c>
      <c r="C100" s="38" t="s">
        <v>41</v>
      </c>
      <c r="D100" s="42">
        <v>30750</v>
      </c>
      <c r="E100" s="63">
        <f t="shared" si="3"/>
        <v>101650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TRUNC(16408,-1)</f>
        <v>16400</v>
      </c>
      <c r="E102" s="63">
        <f t="shared" si="3"/>
        <v>54210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TRUNC(3505,-1)</f>
        <v>3500</v>
      </c>
      <c r="E104" s="63">
        <f t="shared" si="3"/>
        <v>11570</v>
      </c>
    </row>
    <row r="105" spans="1:7" x14ac:dyDescent="0.3">
      <c r="A105" s="2">
        <v>8</v>
      </c>
      <c r="C105" s="38" t="s">
        <v>46</v>
      </c>
      <c r="D105" s="42">
        <f>TRUNC(1891,-1)</f>
        <v>1890</v>
      </c>
      <c r="E105" s="63">
        <f t="shared" si="3"/>
        <v>6240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TRUNC(8506,-1)</f>
        <v>8500</v>
      </c>
      <c r="E116" s="63">
        <f t="shared" si="3"/>
        <v>28090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v>103210</v>
      </c>
      <c r="E117" s="63">
        <f t="shared" si="3"/>
        <v>341190</v>
      </c>
    </row>
    <row r="118" spans="1:7" ht="17.25" thickBot="1" x14ac:dyDescent="0.35">
      <c r="A118" s="2">
        <v>21</v>
      </c>
      <c r="C118" s="38" t="s">
        <v>47</v>
      </c>
      <c r="D118" s="43">
        <f>TRUNC(2553,-1)</f>
        <v>2550</v>
      </c>
      <c r="E118" s="64">
        <f t="shared" si="3"/>
        <v>8420</v>
      </c>
    </row>
    <row r="119" spans="1:7" x14ac:dyDescent="0.3">
      <c r="A119" s="2">
        <v>22</v>
      </c>
      <c r="C119" s="27" t="s">
        <v>112</v>
      </c>
      <c r="D119" s="39">
        <f>SUM(D98:D118)</f>
        <v>211850</v>
      </c>
      <c r="E119" s="39">
        <f>SUM(E98:E118)</f>
        <v>700280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16120</v>
      </c>
      <c r="E122" s="62">
        <f t="shared" ref="E122:E132" si="4">TRUNC(+D122*3.3058,-1)</f>
        <v>53280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TRUNC(675,-1)</f>
        <v>670</v>
      </c>
      <c r="E124" s="63">
        <f t="shared" si="4"/>
        <v>2210</v>
      </c>
    </row>
    <row r="125" spans="1:7" x14ac:dyDescent="0.3">
      <c r="A125" s="2">
        <v>4</v>
      </c>
      <c r="C125" s="38" t="s">
        <v>138</v>
      </c>
      <c r="D125" s="42">
        <f>TRUNC(5289,-1)</f>
        <v>5280</v>
      </c>
      <c r="E125" s="63">
        <f t="shared" si="4"/>
        <v>17450</v>
      </c>
    </row>
    <row r="126" spans="1:7" x14ac:dyDescent="0.3">
      <c r="A126" s="2">
        <v>5</v>
      </c>
      <c r="C126" s="38" t="s">
        <v>53</v>
      </c>
      <c r="D126" s="42">
        <f>TRUNC(406,-1)</f>
        <v>400</v>
      </c>
      <c r="E126" s="63">
        <f t="shared" si="4"/>
        <v>1320</v>
      </c>
    </row>
    <row r="127" spans="1:7" x14ac:dyDescent="0.3">
      <c r="A127" s="2">
        <v>6</v>
      </c>
      <c r="C127" s="38" t="s">
        <v>56</v>
      </c>
      <c r="D127" s="42">
        <f>TRUNC(1153,-1)</f>
        <v>1150</v>
      </c>
      <c r="E127" s="63">
        <f t="shared" si="4"/>
        <v>3800</v>
      </c>
    </row>
    <row r="128" spans="1:7" x14ac:dyDescent="0.3">
      <c r="A128" s="2">
        <v>7</v>
      </c>
      <c r="C128" s="38" t="s">
        <v>46</v>
      </c>
      <c r="D128" s="42">
        <f>TRUNC(4657,-1)</f>
        <v>4650</v>
      </c>
      <c r="E128" s="63">
        <f t="shared" si="4"/>
        <v>15370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TRUNC(47592,-1)</f>
        <v>47590</v>
      </c>
      <c r="E130" s="63">
        <f t="shared" si="4"/>
        <v>157320</v>
      </c>
    </row>
    <row r="131" spans="1:7" x14ac:dyDescent="0.3">
      <c r="A131" s="2">
        <v>10</v>
      </c>
      <c r="C131" s="38" t="s">
        <v>148</v>
      </c>
      <c r="D131" s="42">
        <f>TRUNC(39536,-1)</f>
        <v>39530</v>
      </c>
      <c r="E131" s="63">
        <f t="shared" si="4"/>
        <v>130670</v>
      </c>
    </row>
    <row r="132" spans="1:7" ht="18" thickBot="1" x14ac:dyDescent="0.35">
      <c r="A132" s="2">
        <v>11</v>
      </c>
      <c r="C132" s="38" t="s">
        <v>47</v>
      </c>
      <c r="D132" s="43">
        <f>4988+439+943</f>
        <v>6370</v>
      </c>
      <c r="E132" s="64">
        <f t="shared" si="4"/>
        <v>21050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121760</v>
      </c>
      <c r="E133" s="39">
        <f>SUM(E122:E132)</f>
        <v>402470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TRUNC(171+1583+1449+90,-1)</f>
        <v>3290</v>
      </c>
      <c r="E137" s="63">
        <f t="shared" si="5"/>
        <v>10870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TRUNC(215,-1)</f>
        <v>210</v>
      </c>
      <c r="E140" s="63">
        <f t="shared" si="5"/>
        <v>690</v>
      </c>
    </row>
    <row r="141" spans="1:7" x14ac:dyDescent="0.3">
      <c r="A141" s="2">
        <v>6</v>
      </c>
      <c r="C141" s="38" t="s">
        <v>59</v>
      </c>
      <c r="D141" s="42">
        <f>TRUNC(10383,-1)</f>
        <v>10380</v>
      </c>
      <c r="E141" s="63">
        <f t="shared" si="5"/>
        <v>34310</v>
      </c>
    </row>
    <row r="142" spans="1:7" x14ac:dyDescent="0.3">
      <c r="A142" s="2">
        <v>7</v>
      </c>
      <c r="C142" s="38" t="s">
        <v>58</v>
      </c>
      <c r="D142" s="42">
        <f>TRUNC(7528,-1)</f>
        <v>7520</v>
      </c>
      <c r="E142" s="63">
        <f t="shared" si="5"/>
        <v>24850</v>
      </c>
    </row>
    <row r="143" spans="1:7" x14ac:dyDescent="0.3">
      <c r="A143" s="2">
        <v>8</v>
      </c>
      <c r="C143" s="38" t="s">
        <v>62</v>
      </c>
      <c r="D143" s="42">
        <v>5100</v>
      </c>
      <c r="E143" s="63">
        <f t="shared" si="5"/>
        <v>16850</v>
      </c>
    </row>
    <row r="144" spans="1:7" x14ac:dyDescent="0.3">
      <c r="A144" s="2">
        <v>9</v>
      </c>
      <c r="C144" s="38" t="s">
        <v>63</v>
      </c>
      <c r="D144" s="42">
        <v>12240</v>
      </c>
      <c r="E144" s="63">
        <f t="shared" si="5"/>
        <v>40460</v>
      </c>
    </row>
    <row r="145" spans="1:7" ht="17.25" thickBot="1" x14ac:dyDescent="0.35">
      <c r="A145" s="2">
        <v>10</v>
      </c>
      <c r="C145" s="38" t="s">
        <v>148</v>
      </c>
      <c r="D145" s="43">
        <f>TRUNC(6393,-1)</f>
        <v>6390</v>
      </c>
      <c r="E145" s="64">
        <f t="shared" si="5"/>
        <v>21120</v>
      </c>
    </row>
    <row r="146" spans="1:7" x14ac:dyDescent="0.3">
      <c r="A146" s="2">
        <v>11</v>
      </c>
      <c r="C146" s="27" t="s">
        <v>112</v>
      </c>
      <c r="D146" s="39">
        <f>SUM(D136:D145)</f>
        <v>45130</v>
      </c>
      <c r="E146" s="39">
        <f>SUM(E136:E145)</f>
        <v>149150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TRUNC(5433+886,-1)</f>
        <v>6310</v>
      </c>
      <c r="E149" s="62">
        <f>TRUNC(+D149*3.3058,-1)</f>
        <v>20850</v>
      </c>
    </row>
    <row r="150" spans="1:7" x14ac:dyDescent="0.3">
      <c r="A150" s="2">
        <v>2</v>
      </c>
      <c r="C150" s="38" t="s">
        <v>49</v>
      </c>
      <c r="D150" s="42">
        <f>TRUNC(1808,-1)</f>
        <v>1800</v>
      </c>
      <c r="E150" s="63">
        <f>TRUNC(+D150*3.3058,-1)</f>
        <v>5950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TRUNC(1132+2448+713,-1)</f>
        <v>4290</v>
      </c>
      <c r="E152" s="63">
        <f>TRUNC(+D152*3.3058,-1)</f>
        <v>14180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12400</v>
      </c>
      <c r="E154" s="39">
        <f>SUM(E149:E153)</f>
        <v>40980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TRUNC(7228,-1)</f>
        <v>7220</v>
      </c>
      <c r="E157" s="62">
        <f>TRUNC(+D157*3.3058,-1)</f>
        <v>23860</v>
      </c>
    </row>
    <row r="158" spans="1:7" x14ac:dyDescent="0.3">
      <c r="A158" s="2">
        <v>2</v>
      </c>
      <c r="C158" s="38" t="s">
        <v>52</v>
      </c>
      <c r="D158" s="42">
        <f>TRUNC(9268,-1)</f>
        <v>9260</v>
      </c>
      <c r="E158" s="63">
        <f>TRUNC(+D158*3.3058,-1)</f>
        <v>30610</v>
      </c>
    </row>
    <row r="159" spans="1:7" x14ac:dyDescent="0.3">
      <c r="A159" s="2">
        <v>3</v>
      </c>
      <c r="C159" s="38" t="s">
        <v>47</v>
      </c>
      <c r="D159" s="42">
        <f>TRUNC(1647+2518,-1)</f>
        <v>4160</v>
      </c>
      <c r="E159" s="63">
        <f>TRUNC(+D159*3.3058,-1)</f>
        <v>13750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20640</v>
      </c>
      <c r="E161" s="39">
        <f>SUM(E156:E160)</f>
        <v>68220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2020-12-08T01:42:42Z</dcterms:modified>
</cp:coreProperties>
</file>