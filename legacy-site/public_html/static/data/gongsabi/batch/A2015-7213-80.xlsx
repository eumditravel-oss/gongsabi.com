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2" i="4"/>
  <c r="D141" i="4"/>
  <c r="D140" i="4"/>
  <c r="D137" i="4"/>
  <c r="D132" i="4"/>
  <c r="D131" i="4"/>
  <c r="D130" i="4"/>
  <c r="D126" i="4"/>
  <c r="D125" i="4"/>
  <c r="D122" i="4"/>
  <c r="D117" i="4"/>
  <c r="D116" i="4"/>
  <c r="D103" i="4"/>
  <c r="D102" i="4"/>
  <c r="D100" i="4"/>
  <c r="D99" i="4"/>
  <c r="D98" i="4"/>
  <c r="D94" i="4"/>
  <c r="D92" i="4"/>
  <c r="D91" i="4"/>
  <c r="D90" i="4"/>
  <c r="D89" i="4"/>
  <c r="D73" i="4"/>
  <c r="D72" i="4"/>
  <c r="D71" i="4"/>
  <c r="D70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<sst xmlns="http://schemas.openxmlformats.org/spreadsheetml/2006/main" count="391" uniqueCount="267">
  <si>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</si>
  <si>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</si>
  <si>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</si>
  <si>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</si>
  <si>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</si>
  <si>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</si>
  <si>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</si>
  <si>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</si>
  <si>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</si>
  <si>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</si>
  <si>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</si>
  <si>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</si>
  <si>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</si>
  <si>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</si>
  <si>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</si>
  <si>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</si>
  <si>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</si>
  <si>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</si>
  <si>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</si>
  <si>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</si>
  <si>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</si>
  <si>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</si>
  <si>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</si>
  <si>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</si>
  <si>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</si>
  <si>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</si>
  <si>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</si>
  <si>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</si>
  <si>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</si>
  <si>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</si>
  <si>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</si>
  <si>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</si>
  <si>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</si>
  <si>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</si>
  <si>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</si>
  <si>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</si>
  <si>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</si>
  <si>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</si>
  <si>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</si>
  <si>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</si>
  <si>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</si>
  <si>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</si>
  <si>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</si>
  <si>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</si>
  <si>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</si>
  <si>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</si>
  <si>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</si>
  <si>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</si>
  <si>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</si>
  <si>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</si>
  <si>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</si>
  <si>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</si>
  <si>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</si>
  <si>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</si>
  <si>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</si>
  <si>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</si>
  <si>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</si>
  <si>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</si>
  <si>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</si>
  <si>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</si>
  <si>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</si>
  <si>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</si>
  <si>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</si>
  <si>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</si>
  <si>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</si>
  <si>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</si>
  <si>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</si>
  <si>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</si>
  <si>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</si>
  <si>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</si>
  <si>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</si>
  <si>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</si>
  <si>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</si>
  <si>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</si>
  <si>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</si>
  <si>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</si>
  <si>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</si>
  <si>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</si>
  <si>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</si>
  <si>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</si>
  <si>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</si>
  <si>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</si>
  <si>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</si>
  <si>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</si>
  <si>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</si>
  <si>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</si>
  <si>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</si>
  <si>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</si>
  <si>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</si>
  <si>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</si>
  <si>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</si>
  <si>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</si>
  <si>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</si>
  <si>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</si>
  <si>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</si>
  <si>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</si>
  <si>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</si>
  <si>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</si>
  <si>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</si>
  <si>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</si>
  <si>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</si>
  <si>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</si>
  <si>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</si>
  <si>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</si>
  <si>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</si>
  <si>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</si>
  <si>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</si>
  <si>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</si>
  <si>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</si>
  <si>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</si>
  <si>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</si>
  <si>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</si>
  <si>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</si>
  <si>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</si>
  <si>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</si>
  <si>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</si>
  <si>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</si>
  <si>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</si>
  <si>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</si>
  <si>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</si>
  <si>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</si>
  <si>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</si>
  <si>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</si>
  <si>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</si>
  <si>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</si>
  <si>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</si>
  <si>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</si>
  <si>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</si>
  <si>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</si>
  <si>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</si>
  <si>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</si>
  <si>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</si>
  <si>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</si>
  <si>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</si>
  <si>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</si>
  <si>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</si>
  <si>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</si>
  <si>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</si>
  <si>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</si>
  <si>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</si>
  <si>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</si>
  <si>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</si>
  <si>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</si>
  <si>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</si>
  <si>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</si>
  <si>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</si>
  <si>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</si>
  <si>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</si>
  <si>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</si>
  <si>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</si>
  <si>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</si>
  <si>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</si>
  <si>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</si>
  <si>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</si>
  <si>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</si>
  <si>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</si>
  <si>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</si>
  <si>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</si>
  <si>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</si>
  <si>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</si>
  <si>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</si>
  <si>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</si>
  <si>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</si>
  <si>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</si>
  <si>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</si>
  <si>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</si>
  <si>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</si>
  <si>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</si>
  <si>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</si>
  <si>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</si>
  <si>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</si>
  <si>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</si>
  <si>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</si>
  <si>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</si>
  <si>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</si>
  <si>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</si>
  <si>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</si>
  <si>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</si>
  <si>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</si>
  <si>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</si>
  <si>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</si>
  <si>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</si>
  <si>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</si>
  <si>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</si>
  <si>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</si>
  <si>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</si>
  <si>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</si>
  <si>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</si>
  <si>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</si>
  <si>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</si>
  <si>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</si>
  <si>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</si>
  <si>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</si>
  <si>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</si>
  <si>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</si>
  <si>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</si>
  <si>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</si>
  <si>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</si>
  <si>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</si>
  <si>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</si>
  <si>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</si>
  <si>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</si>
  <si>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</si>
  <si>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</si>
  <si>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</si>
  <si>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</si>
  <si>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</si>
  <si>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</si>
  <si>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</si>
  <si>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</si>
  <si>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</si>
  <si>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</si>
  <si>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</si>
  <si>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</si>
  <si>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</si>
  <si>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</si>
  <si>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</si>
  <si>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</si>
  <si>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</si>
  <si>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</si>
  <si>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</si>
  <si>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</si>
  <si>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</si>
  <si>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</si>
  <si>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</si>
  <si>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</si>
  <si>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</si>
  <si>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</si>
  <si>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</si>
  <si>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</si>
  <si>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</si>
  <si>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</si>
  <si>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</si>
  <si>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</si>
  <si>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</si>
  <si>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</si>
  <si>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</si>
  <si>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</si>
  <si>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</si>
  <si>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</si>
  <si>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</si>
  <si>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</si>
  <si>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</si>
  <si>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</si>
  <si>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</si>
  <si>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</si>
  <si>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</si>
  <si>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</si>
  <si>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</si>
  <si>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</si>
  <si>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</si>
  <si>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</si>
  <si>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</si>
  <si>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</si>
  <si>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</si>
  <si>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</si>
  <si>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</si>
  <si>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연지아트홀건립공사</t>
    <phoneticPr fontId="2" type="noConversion"/>
  </si>
  <si>
    <t>문화및집회</t>
  </si>
  <si>
    <t>전라도</t>
  </si>
  <si>
    <t>기초공사, 해체및철거공사, 골재비및운반비, 품질시험비, 기타공사</t>
    <phoneticPr fontId="2" type="noConversion"/>
  </si>
  <si>
    <t>공조배관공사,기타공사</t>
    <phoneticPr fontId="2" type="noConversion"/>
  </si>
  <si>
    <t>CCTV설비공사</t>
    <phoneticPr fontId="2" type="noConversion"/>
  </si>
  <si>
    <t>펌프실배관공사, 제연덕트설치공사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</si>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</sst>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2017.56</v>
      </c>
      <c r="D7" s="36">
        <f>+C7/3.3058</f>
        <v>610.30915360880874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1924590</v>
      </c>
      <c r="E25" s="59">
        <f t="shared" si="0"/>
        <v>6362300</v>
      </c>
    </row>
    <row r="26" spans="1:5" x14ac:dyDescent="0.3">
      <c r="B26" s="2">
        <v>3</v>
      </c>
      <c r="C26" s="35" t="s">
        <v>95</v>
      </c>
      <c r="D26" s="45">
        <f>+D66</f>
        <v>9530</v>
      </c>
      <c r="E26" s="59">
        <f t="shared" si="0"/>
        <v>31500</v>
      </c>
    </row>
    <row r="27" spans="1:5" x14ac:dyDescent="0.3">
      <c r="B27" s="2">
        <v>4</v>
      </c>
      <c r="C27" s="35" t="s">
        <v>96</v>
      </c>
      <c r="D27" s="45">
        <f>+D95</f>
        <v>164190</v>
      </c>
      <c r="E27" s="59">
        <f t="shared" si="0"/>
        <v>542770</v>
      </c>
    </row>
    <row r="28" spans="1:5" x14ac:dyDescent="0.3">
      <c r="B28" s="2">
        <v>5</v>
      </c>
      <c r="C28" s="35" t="s">
        <v>97</v>
      </c>
      <c r="D28" s="45">
        <f>+D119</f>
        <v>360880</v>
      </c>
      <c r="E28" s="59">
        <f t="shared" si="0"/>
        <v>1192990</v>
      </c>
    </row>
    <row r="29" spans="1:5" x14ac:dyDescent="0.3">
      <c r="B29" s="2">
        <v>6</v>
      </c>
      <c r="C29" s="35" t="s">
        <v>98</v>
      </c>
      <c r="D29" s="45">
        <f>+D133</f>
        <v>115720</v>
      </c>
      <c r="E29" s="59">
        <f t="shared" si="0"/>
        <v>382540</v>
      </c>
    </row>
    <row r="30" spans="1:5" x14ac:dyDescent="0.3">
      <c r="B30" s="2">
        <v>7</v>
      </c>
      <c r="C30" s="35" t="s">
        <v>99</v>
      </c>
      <c r="D30" s="45">
        <f>+D146</f>
        <v>144120</v>
      </c>
      <c r="E30" s="59">
        <f t="shared" si="0"/>
        <v>476430</v>
      </c>
    </row>
    <row r="31" spans="1:5" x14ac:dyDescent="0.3">
      <c r="B31" s="2">
        <v>8</v>
      </c>
      <c r="C31" s="35" t="s">
        <v>100</v>
      </c>
      <c r="D31" s="45">
        <f>+D154</f>
        <v>44360</v>
      </c>
      <c r="E31" s="59">
        <f t="shared" si="0"/>
        <v>146640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759930</v>
      </c>
      <c r="E33" s="60">
        <f t="shared" si="0"/>
        <v>2512170</v>
      </c>
    </row>
    <row r="34" spans="1:7" x14ac:dyDescent="0.3">
      <c r="C34" s="35" t="s">
        <v>112</v>
      </c>
      <c r="D34" s="44">
        <f>SUM(D24:D33)</f>
        <v>3523320</v>
      </c>
      <c r="E34" s="44">
        <f>SUM(E24:E33)</f>
        <v>11647340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TRUNC(76439,-1)</f>
        <v>76430</v>
      </c>
      <c r="E40" s="62">
        <f t="shared" ref="E40:E59" si="1">TRUNC(+D40*3.3058,-1)</f>
        <v>252660</v>
      </c>
    </row>
    <row r="41" spans="1:7" x14ac:dyDescent="0.3">
      <c r="A41" s="2">
        <v>2</v>
      </c>
      <c r="C41" s="38" t="s">
        <v>13</v>
      </c>
      <c r="D41" s="42">
        <f>TRUNC(269024,-1)</f>
        <v>269020</v>
      </c>
      <c r="E41" s="63">
        <f t="shared" si="1"/>
        <v>889320</v>
      </c>
    </row>
    <row r="42" spans="1:7" x14ac:dyDescent="0.3">
      <c r="A42" s="2">
        <v>3</v>
      </c>
      <c r="C42" s="38" t="s">
        <v>14</v>
      </c>
      <c r="D42" s="42">
        <v>94410</v>
      </c>
      <c r="E42" s="63">
        <f t="shared" si="1"/>
        <v>312100</v>
      </c>
    </row>
    <row r="43" spans="1:7" x14ac:dyDescent="0.3">
      <c r="A43" s="2">
        <v>4</v>
      </c>
      <c r="C43" s="38" t="s">
        <v>16</v>
      </c>
      <c r="D43" s="42">
        <f>TRUNC(26468,-1)</f>
        <v>26460</v>
      </c>
      <c r="E43" s="63">
        <f t="shared" si="1"/>
        <v>87470</v>
      </c>
    </row>
    <row r="44" spans="1:7" x14ac:dyDescent="0.3">
      <c r="A44" s="2">
        <v>5</v>
      </c>
      <c r="C44" s="38" t="s">
        <v>17</v>
      </c>
      <c r="D44" s="42">
        <f>TRUNC(63597,-1)</f>
        <v>63590</v>
      </c>
      <c r="E44" s="63">
        <f t="shared" si="1"/>
        <v>210210</v>
      </c>
    </row>
    <row r="45" spans="1:7" x14ac:dyDescent="0.3">
      <c r="A45" s="2">
        <v>6</v>
      </c>
      <c r="C45" s="38" t="s">
        <v>18</v>
      </c>
      <c r="D45" s="42">
        <f>TRUNC(8712,-1)</f>
        <v>8710</v>
      </c>
      <c r="E45" s="63">
        <f t="shared" si="1"/>
        <v>28790</v>
      </c>
    </row>
    <row r="46" spans="1:7" x14ac:dyDescent="0.3">
      <c r="A46" s="2">
        <v>7</v>
      </c>
      <c r="C46" s="38" t="s">
        <v>19</v>
      </c>
      <c r="D46" s="42">
        <f>TRUNC(11157,-1)</f>
        <v>11150</v>
      </c>
      <c r="E46" s="63">
        <f t="shared" si="1"/>
        <v>36850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TRUNC(109212,-1)</f>
        <v>109210</v>
      </c>
      <c r="E48" s="63">
        <f t="shared" si="1"/>
        <v>361020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TRUNC(17018,-1)</f>
        <v>17010</v>
      </c>
      <c r="E49" s="63">
        <f t="shared" si="1"/>
        <v>56230</v>
      </c>
    </row>
    <row r="50" spans="1:7" x14ac:dyDescent="0.3">
      <c r="A50" s="2">
        <v>11</v>
      </c>
      <c r="C50" s="38" t="s">
        <v>155</v>
      </c>
      <c r="D50" s="42">
        <f>TRUNC(65013,-1)</f>
        <v>65010</v>
      </c>
      <c r="E50" s="63">
        <f t="shared" si="1"/>
        <v>214910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TRUNC(17828,-1)</f>
        <v>17820</v>
      </c>
      <c r="E52" s="63">
        <f t="shared" si="1"/>
        <v>58900</v>
      </c>
    </row>
    <row r="53" spans="1:7" x14ac:dyDescent="0.3">
      <c r="A53" s="2">
        <v>14</v>
      </c>
      <c r="C53" s="38" t="s">
        <v>25</v>
      </c>
      <c r="D53" s="42">
        <f>TRUNC(260463,-1)</f>
        <v>260460</v>
      </c>
      <c r="E53" s="63">
        <f t="shared" si="1"/>
        <v>861020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TRUNC(19044+50786+7800+1191+120733,-1)</f>
        <v>199550</v>
      </c>
      <c r="E58" s="63">
        <f t="shared" si="1"/>
        <v>659670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TRUNC(705769,-1)</f>
        <v>705760</v>
      </c>
      <c r="E59" s="64">
        <f t="shared" si="1"/>
        <v>2333100</v>
      </c>
    </row>
    <row r="60" spans="1:7" x14ac:dyDescent="0.3">
      <c r="A60" s="2">
        <v>21</v>
      </c>
      <c r="C60" s="27" t="s">
        <v>112</v>
      </c>
      <c r="D60" s="39">
        <f>SUM(D40:D59)</f>
        <v>1924590</v>
      </c>
      <c r="E60" s="39">
        <f>SUM(E40:E59)</f>
        <v>6362250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TRUNC(9539,-1)</f>
        <v>9530</v>
      </c>
      <c r="E63" s="62">
        <f>TRUNC(+D63*3.3058,-1)</f>
        <v>31500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9530</v>
      </c>
      <c r="E66" s="65">
        <f>SUM(E63:E65)</f>
        <v>31500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11170</v>
      </c>
      <c r="E69" s="62">
        <f t="shared" ref="E69:E94" si="2">TRUNC(+D69*3.3058,-1)</f>
        <v>36920</v>
      </c>
    </row>
    <row r="70" spans="1:7" ht="16.5" customHeight="1" x14ac:dyDescent="0.3">
      <c r="A70" s="2">
        <v>2</v>
      </c>
      <c r="C70" s="38" t="s">
        <v>31</v>
      </c>
      <c r="D70" s="42">
        <f>TRUNC(917,-1)</f>
        <v>910</v>
      </c>
      <c r="E70" s="63">
        <f t="shared" si="2"/>
        <v>3000</v>
      </c>
    </row>
    <row r="71" spans="1:7" x14ac:dyDescent="0.3">
      <c r="A71" s="2">
        <v>3</v>
      </c>
      <c r="C71" s="38" t="s">
        <v>32</v>
      </c>
      <c r="D71" s="42">
        <f>TRUNC(17318,-1)</f>
        <v>17310</v>
      </c>
      <c r="E71" s="63">
        <f t="shared" si="2"/>
        <v>57220</v>
      </c>
    </row>
    <row r="72" spans="1:7" x14ac:dyDescent="0.3">
      <c r="A72" s="2">
        <v>4</v>
      </c>
      <c r="C72" s="38" t="s">
        <v>33</v>
      </c>
      <c r="D72" s="42">
        <f>TRUNC(5128,-1)</f>
        <v>5120</v>
      </c>
      <c r="E72" s="63">
        <f t="shared" si="2"/>
        <v>16920</v>
      </c>
    </row>
    <row r="73" spans="1:7" x14ac:dyDescent="0.3">
      <c r="A73" s="2">
        <v>5</v>
      </c>
      <c r="C73" s="38" t="s">
        <v>34</v>
      </c>
      <c r="D73" s="42">
        <f>TRUNC(4047,-1)</f>
        <v>4040</v>
      </c>
      <c r="E73" s="63">
        <f t="shared" si="2"/>
        <v>13350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TRUNC(3703,-1)</f>
        <v>3700</v>
      </c>
      <c r="E89" s="63">
        <f t="shared" si="2"/>
        <v>12230</v>
      </c>
    </row>
    <row r="90" spans="1:7" x14ac:dyDescent="0.3">
      <c r="A90" s="2">
        <v>22</v>
      </c>
      <c r="C90" s="38" t="s">
        <v>36</v>
      </c>
      <c r="D90" s="42">
        <f>TRUNC(3456,-1)</f>
        <v>3450</v>
      </c>
      <c r="E90" s="63">
        <f t="shared" si="2"/>
        <v>11400</v>
      </c>
    </row>
    <row r="91" spans="1:7" x14ac:dyDescent="0.3">
      <c r="A91" s="2">
        <v>23</v>
      </c>
      <c r="C91" s="38" t="s">
        <v>37</v>
      </c>
      <c r="D91" s="42">
        <f>TRUNC(78466,-1)</f>
        <v>78460</v>
      </c>
      <c r="E91" s="63">
        <f t="shared" si="2"/>
        <v>259370</v>
      </c>
    </row>
    <row r="92" spans="1:7" x14ac:dyDescent="0.3">
      <c r="A92" s="2">
        <v>24</v>
      </c>
      <c r="C92" s="38" t="s">
        <v>38</v>
      </c>
      <c r="D92" s="42">
        <f>TRUNC(5458,-1)</f>
        <v>5450</v>
      </c>
      <c r="E92" s="63">
        <f t="shared" si="2"/>
        <v>18010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TRUNC(31742+2841,-1)</f>
        <v>34580</v>
      </c>
      <c r="E94" s="64">
        <f t="shared" si="2"/>
        <v>114310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164190</v>
      </c>
      <c r="E95" s="39">
        <f>SUM(E69:E94)</f>
        <v>542730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TRUNC(24031,-1)</f>
        <v>24030</v>
      </c>
      <c r="E98" s="62">
        <f t="shared" ref="E98:E118" si="3">TRUNC(+D98*3.3058,-1)</f>
        <v>79430</v>
      </c>
    </row>
    <row r="99" spans="1:7" x14ac:dyDescent="0.3">
      <c r="A99" s="2">
        <v>2</v>
      </c>
      <c r="C99" s="38" t="s">
        <v>40</v>
      </c>
      <c r="D99" s="42">
        <f>TRUNC(29829,-1)</f>
        <v>29820</v>
      </c>
      <c r="E99" s="63">
        <f t="shared" si="3"/>
        <v>98570</v>
      </c>
    </row>
    <row r="100" spans="1:7" x14ac:dyDescent="0.3">
      <c r="A100" s="2">
        <v>3</v>
      </c>
      <c r="C100" s="38" t="s">
        <v>41</v>
      </c>
      <c r="D100" s="42">
        <f>TRUNC(35719,-1)</f>
        <v>35710</v>
      </c>
      <c r="E100" s="63">
        <f t="shared" si="3"/>
        <v>118050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TRUNC(7895,-1)</f>
        <v>7890</v>
      </c>
      <c r="E102" s="63">
        <f t="shared" si="3"/>
        <v>26080</v>
      </c>
    </row>
    <row r="103" spans="1:7" x14ac:dyDescent="0.3">
      <c r="A103" s="2">
        <v>6</v>
      </c>
      <c r="C103" s="38" t="s">
        <v>44</v>
      </c>
      <c r="D103" s="42">
        <f>TRUNC(2412,-1)</f>
        <v>2410</v>
      </c>
      <c r="E103" s="63">
        <f t="shared" si="3"/>
        <v>7960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TRUNC(29467,-1)</f>
        <v>29460</v>
      </c>
      <c r="E116" s="63">
        <f t="shared" si="3"/>
        <v>97380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TRUNC(227159,-1)</f>
        <v>227150</v>
      </c>
      <c r="E117" s="63">
        <f t="shared" si="3"/>
        <v>750910</v>
      </c>
    </row>
    <row r="118" spans="1:7" ht="17.25" thickBot="1" x14ac:dyDescent="0.35">
      <c r="A118" s="2">
        <v>21</v>
      </c>
      <c r="C118" s="38" t="s">
        <v>47</v>
      </c>
      <c r="D118" s="43">
        <v>4410</v>
      </c>
      <c r="E118" s="64">
        <f t="shared" si="3"/>
        <v>14570</v>
      </c>
    </row>
    <row r="119" spans="1:7" x14ac:dyDescent="0.3">
      <c r="A119" s="2">
        <v>22</v>
      </c>
      <c r="C119" s="27" t="s">
        <v>112</v>
      </c>
      <c r="D119" s="39">
        <f>SUM(D98:D118)</f>
        <v>360880</v>
      </c>
      <c r="E119" s="39">
        <f>SUM(E98:E118)</f>
        <v>1192950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TRUNC(4798,-1)</f>
        <v>4790</v>
      </c>
      <c r="E122" s="62">
        <f t="shared" ref="E122:E132" si="4">TRUNC(+D122*3.3058,-1)</f>
        <v>15830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11670</v>
      </c>
      <c r="E124" s="63">
        <f t="shared" si="4"/>
        <v>38570</v>
      </c>
    </row>
    <row r="125" spans="1:7" x14ac:dyDescent="0.3">
      <c r="A125" s="2">
        <v>4</v>
      </c>
      <c r="C125" s="38" t="s">
        <v>138</v>
      </c>
      <c r="D125" s="42">
        <f>TRUNC(14391,-1)</f>
        <v>14390</v>
      </c>
      <c r="E125" s="63">
        <f t="shared" si="4"/>
        <v>47570</v>
      </c>
    </row>
    <row r="126" spans="1:7" x14ac:dyDescent="0.3">
      <c r="A126" s="2">
        <v>5</v>
      </c>
      <c r="C126" s="38" t="s">
        <v>53</v>
      </c>
      <c r="D126" s="42">
        <f>TRUNC(12085,-1)</f>
        <v>12080</v>
      </c>
      <c r="E126" s="63">
        <f t="shared" si="4"/>
        <v>39930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TRUNC(8432,-1)</f>
        <v>8430</v>
      </c>
      <c r="E130" s="63">
        <f t="shared" si="4"/>
        <v>27860</v>
      </c>
    </row>
    <row r="131" spans="1:7" x14ac:dyDescent="0.3">
      <c r="A131" s="2">
        <v>10</v>
      </c>
      <c r="C131" s="38" t="s">
        <v>148</v>
      </c>
      <c r="D131" s="42">
        <f>TRUNC(59678,-1)</f>
        <v>59670</v>
      </c>
      <c r="E131" s="63">
        <f t="shared" si="4"/>
        <v>197250</v>
      </c>
    </row>
    <row r="132" spans="1:7" ht="18" thickBot="1" x14ac:dyDescent="0.35">
      <c r="A132" s="2">
        <v>11</v>
      </c>
      <c r="C132" s="38" t="s">
        <v>47</v>
      </c>
      <c r="D132" s="43">
        <f>TRUNC(4696,-1)</f>
        <v>4690</v>
      </c>
      <c r="E132" s="64">
        <f t="shared" si="4"/>
        <v>15500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115720</v>
      </c>
      <c r="E133" s="39">
        <f>SUM(E122:E132)</f>
        <v>382510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TRUNC(20445+2246,-1)</f>
        <v>22690</v>
      </c>
      <c r="E137" s="63">
        <f t="shared" si="5"/>
        <v>75000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TRUNC(19717,-1)</f>
        <v>19710</v>
      </c>
      <c r="E140" s="63">
        <f t="shared" si="5"/>
        <v>65150</v>
      </c>
    </row>
    <row r="141" spans="1:7" x14ac:dyDescent="0.3">
      <c r="A141" s="2">
        <v>6</v>
      </c>
      <c r="C141" s="38" t="s">
        <v>59</v>
      </c>
      <c r="D141" s="42">
        <f>TRUNC(44954,-1)</f>
        <v>44950</v>
      </c>
      <c r="E141" s="63">
        <f t="shared" si="5"/>
        <v>148590</v>
      </c>
    </row>
    <row r="142" spans="1:7" x14ac:dyDescent="0.3">
      <c r="A142" s="2">
        <v>7</v>
      </c>
      <c r="C142" s="38" t="s">
        <v>58</v>
      </c>
      <c r="D142" s="42">
        <f>TRUNC(4031,-1)</f>
        <v>4030</v>
      </c>
      <c r="E142" s="63">
        <f t="shared" si="5"/>
        <v>13320</v>
      </c>
    </row>
    <row r="143" spans="1:7" x14ac:dyDescent="0.3">
      <c r="A143" s="2">
        <v>8</v>
      </c>
      <c r="C143" s="38" t="s">
        <v>62</v>
      </c>
      <c r="D143" s="42">
        <v>12350</v>
      </c>
      <c r="E143" s="63">
        <f t="shared" si="5"/>
        <v>40820</v>
      </c>
    </row>
    <row r="144" spans="1:7" x14ac:dyDescent="0.3">
      <c r="A144" s="2">
        <v>9</v>
      </c>
      <c r="C144" s="38" t="s">
        <v>63</v>
      </c>
      <c r="D144" s="42">
        <f>TRUNC(40399,-1)</f>
        <v>40390</v>
      </c>
      <c r="E144" s="63">
        <f t="shared" si="5"/>
        <v>133520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144120</v>
      </c>
      <c r="E146" s="39">
        <f>SUM(E136:E145)</f>
        <v>476400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TRUNC(14102+2101,-1)</f>
        <v>16200</v>
      </c>
      <c r="E149" s="62">
        <f>TRUNC(+D149*3.3058,-1)</f>
        <v>53550</v>
      </c>
    </row>
    <row r="150" spans="1:7" x14ac:dyDescent="0.3">
      <c r="A150" s="2">
        <v>2</v>
      </c>
      <c r="C150" s="38" t="s">
        <v>49</v>
      </c>
      <c r="D150" s="42">
        <f>TRUNC(22217,-1)</f>
        <v>22210</v>
      </c>
      <c r="E150" s="63">
        <f>TRUNC(+D150*3.3058,-1)</f>
        <v>73420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TRUNC(566+5385,-1)</f>
        <v>5950</v>
      </c>
      <c r="E152" s="63">
        <f>TRUNC(+D152*3.3058,-1)</f>
        <v>19660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44360</v>
      </c>
      <c r="E154" s="39">
        <f>SUM(E149:E153)</f>
        <v>146630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2020-12-07T10:11:09Z</dcterms:modified>
</cp:coreProperties>
</file>