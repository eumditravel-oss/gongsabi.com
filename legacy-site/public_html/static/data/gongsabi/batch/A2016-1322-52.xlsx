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41" i="4"/>
  <c r="E138" i="4"/>
  <c r="E136" i="4"/>
  <c r="E132" i="4"/>
  <c r="E129" i="4"/>
  <c r="E127" i="4"/>
  <c r="E124" i="4"/>
  <c r="E123" i="4"/>
  <c r="E118" i="4"/>
  <c r="E116" i="4"/>
  <c r="E115" i="4"/>
  <c r="E113" i="4"/>
  <c r="E112" i="4"/>
  <c r="E111" i="4"/>
  <c r="E110" i="4"/>
  <c r="E109" i="4"/>
  <c r="E107" i="4"/>
  <c r="E106" i="4"/>
  <c r="E103" i="4"/>
  <c r="E101" i="4"/>
  <c r="E99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65" i="4"/>
  <c r="E64" i="4"/>
  <c r="E57" i="4"/>
  <c r="E56" i="4"/>
  <c r="E55" i="4"/>
  <c r="E54" i="4"/>
  <c r="E51" i="4"/>
  <c r="E47" i="4"/>
  <c r="E37" i="4"/>
  <c r="D45" i="4" l="1"/>
  <c r="E45" i="4" s="1"/>
  <c r="D59" i="4" l="1"/>
  <c r="E59" i="4" s="1"/>
  <c r="D93" i="4"/>
  <c r="E93" i="4" s="1"/>
  <c r="D117" i="4"/>
  <c r="E117" i="4" s="1"/>
  <c r="D131" i="4"/>
  <c r="E131" i="4" s="1"/>
  <c r="D153" i="4"/>
  <c r="E153" i="4" s="1"/>
  <c r="D159" i="4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E154" i="4" s="1"/>
  <c r="D63" i="4"/>
  <c r="E63" i="4" s="1"/>
  <c r="E66" i="4" s="1"/>
  <c r="D144" i="4"/>
  <c r="E144" i="4" s="1"/>
  <c r="D143" i="4"/>
  <c r="E143" i="4" s="1"/>
  <c r="D142" i="4"/>
  <c r="E142" i="4" s="1"/>
  <c r="D140" i="4"/>
  <c r="E140" i="4" s="1"/>
  <c r="D139" i="4"/>
  <c r="E139" i="4" s="1"/>
  <c r="D137" i="4"/>
  <c r="E137" i="4" s="1"/>
  <c r="D122" i="4"/>
  <c r="E122" i="4" s="1"/>
  <c r="D130" i="4"/>
  <c r="E130" i="4" s="1"/>
  <c r="D128" i="4"/>
  <c r="E128" i="4" s="1"/>
  <c r="D126" i="4"/>
  <c r="E126" i="4" s="1"/>
  <c r="D125" i="4"/>
  <c r="E125" i="4" s="1"/>
  <c r="D114" i="4"/>
  <c r="E114" i="4" s="1"/>
  <c r="D108" i="4"/>
  <c r="E108" i="4" s="1"/>
  <c r="D105" i="4"/>
  <c r="E105" i="4" s="1"/>
  <c r="D104" i="4"/>
  <c r="E104" i="4" s="1"/>
  <c r="D102" i="4"/>
  <c r="E102" i="4" s="1"/>
  <c r="D100" i="4"/>
  <c r="E100" i="4" s="1"/>
  <c r="D98" i="4"/>
  <c r="E98" i="4" s="1"/>
  <c r="D94" i="4"/>
  <c r="E94" i="4" s="1"/>
  <c r="D92" i="4"/>
  <c r="E92" i="4" s="1"/>
  <c r="D91" i="4"/>
  <c r="E91" i="4" s="1"/>
  <c r="D89" i="4"/>
  <c r="E89" i="4" s="1"/>
  <c r="D84" i="4"/>
  <c r="E84" i="4" s="1"/>
  <c r="D73" i="4"/>
  <c r="E73" i="4" s="1"/>
  <c r="D72" i="4"/>
  <c r="E72" i="4" s="1"/>
  <c r="D71" i="4"/>
  <c r="E71" i="4" s="1"/>
  <c r="D70" i="4"/>
  <c r="E70" i="4" s="1"/>
  <c r="D69" i="4"/>
  <c r="E69" i="4" s="1"/>
  <c r="E95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4" i="4"/>
  <c r="E44" i="4" s="1"/>
  <c r="D43" i="4"/>
  <c r="E43" i="4" s="1"/>
  <c r="D42" i="4"/>
  <c r="E42" i="4" s="1"/>
  <c r="D41" i="4"/>
  <c r="E41" i="4" s="1"/>
  <c r="D58" i="4"/>
  <c r="E58" i="4" s="1"/>
  <c r="D40" i="4"/>
  <c r="E40" i="4" s="1"/>
  <c r="E60" i="4" s="1"/>
  <c r="E133" i="4" l="1"/>
  <c r="E119" i="4"/>
  <c r="E14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<sst xmlns="http://schemas.openxmlformats.org/spreadsheetml/2006/main" count="389" uniqueCount="264">
  <si>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</si>
  <si>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</si>
  <si>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</si>
  <si>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</si>
  <si>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</si>
  <si>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</si>
  <si>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</si>
  <si>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</si>
  <si>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</si>
  <si>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</si>
  <si>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</si>
  <si>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</si>
  <si>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</si>
  <si>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</si>
  <si>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</si>
  <si>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</si>
  <si>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</si>
  <si>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</si>
  <si>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</si>
  <si>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</si>
  <si>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</si>
  <si>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</si>
  <si>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</si>
  <si>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</si>
  <si>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</si>
  <si>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</si>
  <si>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</si>
  <si>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</si>
  <si>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</si>
  <si>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</si>
  <si>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</si>
  <si>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</si>
  <si>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</si>
  <si>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</si>
  <si>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</si>
  <si>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</si>
  <si>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</si>
  <si>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</si>
  <si>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</si>
  <si>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</si>
  <si>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</si>
  <si>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</si>
  <si>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</si>
  <si>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</si>
  <si>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</si>
  <si>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</si>
  <si>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</si>
  <si>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</si>
  <si>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</si>
  <si>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</si>
  <si>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</si>
  <si>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</si>
  <si>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</si>
  <si>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</si>
  <si>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</si>
  <si>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</si>
  <si>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</si>
  <si>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</si>
  <si>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</si>
  <si>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</si>
  <si>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</si>
  <si>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</si>
  <si>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</si>
  <si>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</si>
  <si>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</si>
  <si>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</si>
  <si>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</si>
  <si>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</si>
  <si>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</si>
  <si>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</si>
  <si>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</si>
  <si>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</si>
  <si>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</si>
  <si>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</si>
  <si>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</si>
  <si>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</si>
  <si>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</si>
  <si>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</si>
  <si>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</si>
  <si>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</si>
  <si>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</si>
  <si>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</si>
  <si>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</si>
  <si>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</si>
  <si>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</si>
  <si>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</si>
  <si>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</si>
  <si>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</si>
  <si>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</si>
  <si>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</si>
  <si>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</si>
  <si>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</si>
  <si>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</si>
  <si>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</si>
  <si>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</si>
  <si>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</si>
  <si>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</si>
  <si>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</si>
  <si>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</si>
  <si>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</si>
  <si>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</si>
  <si>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</si>
  <si>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</si>
  <si>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</si>
  <si>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</si>
  <si>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</si>
  <si>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</si>
  <si>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</si>
  <si>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</si>
  <si>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</si>
  <si>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</si>
  <si>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</si>
  <si>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</si>
  <si>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</si>
  <si>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</si>
  <si>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</si>
  <si>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</si>
  <si>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</si>
  <si>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</si>
  <si>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</si>
  <si>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</si>
  <si>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</si>
  <si>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</si>
  <si>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</si>
  <si>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</si>
  <si>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</si>
  <si>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</si>
  <si>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</si>
  <si>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</si>
  <si>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</si>
  <si>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</si>
  <si>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</si>
  <si>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</si>
  <si>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</si>
  <si>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</si>
  <si>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</si>
  <si>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</si>
  <si>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</si>
  <si>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</si>
  <si>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</si>
  <si>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</si>
  <si>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</si>
  <si>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</si>
  <si>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</si>
  <si>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</si>
  <si>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</si>
  <si>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</si>
  <si>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</si>
  <si>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</si>
  <si>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</si>
  <si>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</si>
  <si>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</si>
  <si>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</si>
  <si>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</si>
  <si>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</si>
  <si>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</si>
  <si>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</si>
  <si>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</si>
  <si>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</si>
  <si>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</si>
  <si>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</si>
  <si>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</si>
  <si>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</si>
  <si>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</si>
  <si>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</si>
  <si>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</si>
  <si>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</si>
  <si>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</si>
  <si>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</si>
  <si>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</si>
  <si>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</si>
  <si>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</si>
  <si>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</si>
  <si>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</si>
  <si>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</si>
  <si>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</si>
  <si>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</si>
  <si>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</si>
  <si>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</si>
  <si>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</si>
  <si>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</si>
  <si>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</si>
  <si>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</si>
  <si>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</si>
  <si>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</si>
  <si>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</si>
  <si>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</si>
  <si>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</si>
  <si>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</si>
  <si>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</si>
  <si>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</si>
  <si>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</si>
  <si>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</si>
  <si>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</si>
  <si>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</si>
  <si>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</si>
  <si>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</si>
  <si>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</si>
  <si>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</si>
  <si>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</si>
  <si>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</si>
  <si>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</si>
  <si>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</si>
  <si>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</si>
  <si>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</si>
  <si>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</si>
  <si>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</si>
  <si>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</si>
  <si>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</si>
  <si>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</si>
  <si>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</si>
  <si>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</si>
  <si>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</si>
  <si>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</si>
  <si>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</si>
  <si>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</si>
  <si>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</si>
  <si>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</si>
  <si>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</si>
  <si>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</si>
  <si>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</si>
  <si>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</si>
  <si>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</si>
  <si>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</si>
  <si>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</si>
  <si>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</si>
  <si>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</si>
  <si>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</si>
  <si>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</si>
  <si>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</si>
  <si>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</si>
  <si>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</si>
  <si>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</si>
  <si>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</si>
  <si>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</si>
  <si>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</si>
  <si>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</si>
  <si>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</si>
  <si>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</si>
  <si>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</si>
  <si>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</si>
  <si>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</si>
  <si>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</si>
  <si>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</si>
  <si>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</si>
  <si>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</si>
  <si>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</si>
  <si>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</si>
  <si>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</si>
  <si>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</si>
  <si>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</si>
  <si>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국민건강보험공단 안성지사 사옥 신축공사</t>
    <phoneticPr fontId="2" type="noConversion"/>
  </si>
  <si>
    <t>경기도</t>
  </si>
  <si>
    <t>기초공사,폐기물처리비,골재비및운반비,작업부산물,품질시험비,기타공사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</si>
  <si>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</si>
  <si>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</si>
  <si>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</si>
  <si>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조경시설물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</si>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</sst>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1959.02</v>
      </c>
      <c r="D7" s="36">
        <f>+C7/3.3058</f>
        <v>592.60088329602513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1165560</v>
      </c>
      <c r="E25" s="59">
        <f t="shared" si="0"/>
        <v>3853100</v>
      </c>
    </row>
    <row r="26" spans="1:5" x14ac:dyDescent="0.3">
      <c r="B26" s="2">
        <v>3</v>
      </c>
      <c r="C26" s="35" t="s">
        <v>95</v>
      </c>
      <c r="D26" s="45">
        <f>+D66</f>
        <v>3910</v>
      </c>
      <c r="E26" s="59">
        <f t="shared" si="0"/>
        <v>12920</v>
      </c>
    </row>
    <row r="27" spans="1:5" x14ac:dyDescent="0.3">
      <c r="B27" s="2">
        <v>4</v>
      </c>
      <c r="C27" s="35" t="s">
        <v>96</v>
      </c>
      <c r="D27" s="45">
        <f>+D95</f>
        <v>191550</v>
      </c>
      <c r="E27" s="59">
        <f t="shared" si="0"/>
        <v>633220</v>
      </c>
    </row>
    <row r="28" spans="1:5" x14ac:dyDescent="0.3">
      <c r="B28" s="2">
        <v>5</v>
      </c>
      <c r="C28" s="35" t="s">
        <v>97</v>
      </c>
      <c r="D28" s="45">
        <f>+D119</f>
        <v>249350</v>
      </c>
      <c r="E28" s="59">
        <f t="shared" si="0"/>
        <v>824300</v>
      </c>
    </row>
    <row r="29" spans="1:5" x14ac:dyDescent="0.3">
      <c r="B29" s="2">
        <v>6</v>
      </c>
      <c r="C29" s="35" t="s">
        <v>98</v>
      </c>
      <c r="D29" s="45">
        <f>+D133</f>
        <v>108760</v>
      </c>
      <c r="E29" s="59">
        <f t="shared" si="0"/>
        <v>359530</v>
      </c>
    </row>
    <row r="30" spans="1:5" x14ac:dyDescent="0.3">
      <c r="B30" s="2">
        <v>7</v>
      </c>
      <c r="C30" s="35" t="s">
        <v>99</v>
      </c>
      <c r="D30" s="45">
        <f>+D146</f>
        <v>50110</v>
      </c>
      <c r="E30" s="59">
        <f t="shared" si="0"/>
        <v>165650</v>
      </c>
    </row>
    <row r="31" spans="1:5" x14ac:dyDescent="0.3">
      <c r="B31" s="2">
        <v>8</v>
      </c>
      <c r="C31" s="35" t="s">
        <v>100</v>
      </c>
      <c r="D31" s="45">
        <f>+D154</f>
        <v>62060</v>
      </c>
      <c r="E31" s="59">
        <f t="shared" si="0"/>
        <v>205150</v>
      </c>
    </row>
    <row r="32" spans="1:5" x14ac:dyDescent="0.3">
      <c r="B32" s="2">
        <v>9</v>
      </c>
      <c r="C32" s="35" t="s">
        <v>101</v>
      </c>
      <c r="D32" s="45">
        <f>+D161</f>
        <v>93250</v>
      </c>
      <c r="E32" s="59">
        <f t="shared" si="0"/>
        <v>308260</v>
      </c>
    </row>
    <row r="33" spans="1:7" x14ac:dyDescent="0.3">
      <c r="B33" s="2">
        <v>10</v>
      </c>
      <c r="C33" s="35" t="s">
        <v>154</v>
      </c>
      <c r="D33" s="53">
        <f>TRUNC(SUM(D24:D32)*0.275,-1)</f>
        <v>529250</v>
      </c>
      <c r="E33" s="60">
        <f t="shared" si="0"/>
        <v>1749590</v>
      </c>
    </row>
    <row r="34" spans="1:7" x14ac:dyDescent="0.3">
      <c r="C34" s="35" t="s">
        <v>112</v>
      </c>
      <c r="D34" s="44">
        <f>SUM(D24:D33)</f>
        <v>2453800</v>
      </c>
      <c r="E34" s="44">
        <f>SUM(E24:E33)</f>
        <v>8111720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TRUNC(69138,-1)</f>
        <v>69130</v>
      </c>
      <c r="E40" s="62">
        <f t="shared" ref="E40:E59" si="1">TRUNC(+D40*3.3058,-1)</f>
        <v>228520</v>
      </c>
    </row>
    <row r="41" spans="1:7" x14ac:dyDescent="0.3">
      <c r="A41" s="2">
        <v>2</v>
      </c>
      <c r="C41" s="38" t="s">
        <v>13</v>
      </c>
      <c r="D41" s="42">
        <f>TRUNC(149138,-1)</f>
        <v>149130</v>
      </c>
      <c r="E41" s="63">
        <f t="shared" si="1"/>
        <v>492990</v>
      </c>
    </row>
    <row r="42" spans="1:7" x14ac:dyDescent="0.3">
      <c r="A42" s="2">
        <v>3</v>
      </c>
      <c r="C42" s="38" t="s">
        <v>14</v>
      </c>
      <c r="D42" s="42">
        <f>TRUNC(9357,-1)</f>
        <v>9350</v>
      </c>
      <c r="E42" s="63">
        <f t="shared" si="1"/>
        <v>30900</v>
      </c>
    </row>
    <row r="43" spans="1:7" x14ac:dyDescent="0.3">
      <c r="A43" s="2">
        <v>4</v>
      </c>
      <c r="C43" s="38" t="s">
        <v>16</v>
      </c>
      <c r="D43" s="42">
        <f>TRUNC(21670,-1)</f>
        <v>21670</v>
      </c>
      <c r="E43" s="63">
        <f t="shared" si="1"/>
        <v>71630</v>
      </c>
    </row>
    <row r="44" spans="1:7" x14ac:dyDescent="0.3">
      <c r="A44" s="2">
        <v>5</v>
      </c>
      <c r="C44" s="38" t="s">
        <v>17</v>
      </c>
      <c r="D44" s="42">
        <f>TRUNC(40768,-1)</f>
        <v>40760</v>
      </c>
      <c r="E44" s="63">
        <f t="shared" si="1"/>
        <v>134740</v>
      </c>
    </row>
    <row r="45" spans="1:7" x14ac:dyDescent="0.3">
      <c r="A45" s="2">
        <v>6</v>
      </c>
      <c r="C45" s="38" t="s">
        <v>18</v>
      </c>
      <c r="D45" s="42">
        <f>TRUNC(17024,-1)</f>
        <v>17020</v>
      </c>
      <c r="E45" s="63">
        <f t="shared" si="1"/>
        <v>56260</v>
      </c>
    </row>
    <row r="46" spans="1:7" x14ac:dyDescent="0.3">
      <c r="A46" s="2">
        <v>7</v>
      </c>
      <c r="C46" s="38" t="s">
        <v>19</v>
      </c>
      <c r="D46" s="42">
        <f>TRUNC(104047,-1)</f>
        <v>104040</v>
      </c>
      <c r="E46" s="63">
        <f t="shared" si="1"/>
        <v>343930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TRUNC(45800,-1)</f>
        <v>45800</v>
      </c>
      <c r="E48" s="63">
        <f t="shared" si="1"/>
        <v>151400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TRUNC(13614,-1)</f>
        <v>13610</v>
      </c>
      <c r="E49" s="63">
        <f t="shared" si="1"/>
        <v>44990</v>
      </c>
    </row>
    <row r="50" spans="1:7" x14ac:dyDescent="0.3">
      <c r="A50" s="2">
        <v>11</v>
      </c>
      <c r="C50" s="38" t="s">
        <v>155</v>
      </c>
      <c r="D50" s="42">
        <f>TRUNC(103701,-1)</f>
        <v>103700</v>
      </c>
      <c r="E50" s="63">
        <f t="shared" si="1"/>
        <v>342810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TRUNC(5212,-1)</f>
        <v>5210</v>
      </c>
      <c r="E52" s="63">
        <f t="shared" si="1"/>
        <v>17220</v>
      </c>
    </row>
    <row r="53" spans="1:7" x14ac:dyDescent="0.3">
      <c r="A53" s="2">
        <v>14</v>
      </c>
      <c r="C53" s="38" t="s">
        <v>25</v>
      </c>
      <c r="D53" s="42">
        <f>TRUNC(195251,-1)</f>
        <v>195250</v>
      </c>
      <c r="E53" s="63">
        <f t="shared" si="1"/>
        <v>645450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TRUNC(19807+2108+10043-488+419+9729,-1)</f>
        <v>41610</v>
      </c>
      <c r="E58" s="63">
        <f t="shared" si="1"/>
        <v>137550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TRUNC(349282,-1)</f>
        <v>349280</v>
      </c>
      <c r="E59" s="64">
        <f t="shared" si="1"/>
        <v>1154640</v>
      </c>
    </row>
    <row r="60" spans="1:7" x14ac:dyDescent="0.3">
      <c r="A60" s="2">
        <v>21</v>
      </c>
      <c r="C60" s="27" t="s">
        <v>112</v>
      </c>
      <c r="D60" s="39">
        <f>SUM(D40:D59)</f>
        <v>1165560</v>
      </c>
      <c r="E60" s="39">
        <f>SUM(E40:E59)</f>
        <v>3853030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TRUNC(3919,-1)</f>
        <v>3910</v>
      </c>
      <c r="E63" s="62">
        <f>TRUNC(+D63*3.3058,-1)</f>
        <v>12920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3910</v>
      </c>
      <c r="E66" s="65">
        <f>SUM(E63:E65)</f>
        <v>12920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TRUNC(17335,-1)</f>
        <v>17330</v>
      </c>
      <c r="E69" s="62">
        <f t="shared" ref="E69:E94" si="2">TRUNC(+D69*3.3058,-1)</f>
        <v>57280</v>
      </c>
    </row>
    <row r="70" spans="1:7" ht="16.5" customHeight="1" x14ac:dyDescent="0.3">
      <c r="A70" s="2">
        <v>2</v>
      </c>
      <c r="C70" s="38" t="s">
        <v>31</v>
      </c>
      <c r="D70" s="42">
        <f>TRUNC(3766,-1)</f>
        <v>3760</v>
      </c>
      <c r="E70" s="63">
        <f t="shared" si="2"/>
        <v>12420</v>
      </c>
    </row>
    <row r="71" spans="1:7" x14ac:dyDescent="0.3">
      <c r="A71" s="2">
        <v>3</v>
      </c>
      <c r="C71" s="38" t="s">
        <v>32</v>
      </c>
      <c r="D71" s="42">
        <f>TRUNC(10734,-1)</f>
        <v>10730</v>
      </c>
      <c r="E71" s="63">
        <f t="shared" si="2"/>
        <v>35470</v>
      </c>
    </row>
    <row r="72" spans="1:7" x14ac:dyDescent="0.3">
      <c r="A72" s="2">
        <v>4</v>
      </c>
      <c r="C72" s="38" t="s">
        <v>33</v>
      </c>
      <c r="D72" s="42">
        <f>TRUNC(9073,-1)</f>
        <v>9070</v>
      </c>
      <c r="E72" s="63">
        <f t="shared" si="2"/>
        <v>29980</v>
      </c>
    </row>
    <row r="73" spans="1:7" x14ac:dyDescent="0.3">
      <c r="A73" s="2">
        <v>5</v>
      </c>
      <c r="C73" s="38" t="s">
        <v>34</v>
      </c>
      <c r="D73" s="42">
        <f>TRUNC(9984,-1)</f>
        <v>9980</v>
      </c>
      <c r="E73" s="63">
        <f t="shared" si="2"/>
        <v>32990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TRUNC(698,-1)</f>
        <v>690</v>
      </c>
      <c r="E84" s="63">
        <f t="shared" si="2"/>
        <v>2280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TRUNC(5232,-1)</f>
        <v>5230</v>
      </c>
      <c r="E89" s="63">
        <f t="shared" si="2"/>
        <v>17280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TRUNC(7434,-1)</f>
        <v>7430</v>
      </c>
      <c r="E91" s="63">
        <f t="shared" si="2"/>
        <v>24560</v>
      </c>
    </row>
    <row r="92" spans="1:7" x14ac:dyDescent="0.3">
      <c r="A92" s="2">
        <v>24</v>
      </c>
      <c r="C92" s="38" t="s">
        <v>38</v>
      </c>
      <c r="D92" s="42">
        <f>TRUNC(7956,-1)</f>
        <v>7950</v>
      </c>
      <c r="E92" s="63">
        <f t="shared" si="2"/>
        <v>26280</v>
      </c>
    </row>
    <row r="93" spans="1:7" x14ac:dyDescent="0.3">
      <c r="A93" s="2">
        <v>25</v>
      </c>
      <c r="C93" s="38" t="s">
        <v>148</v>
      </c>
      <c r="D93" s="42">
        <f>TRUNC(102865,-1)</f>
        <v>102860</v>
      </c>
      <c r="E93" s="63">
        <f t="shared" si="2"/>
        <v>340030</v>
      </c>
    </row>
    <row r="94" spans="1:7" ht="17.25" thickBot="1" x14ac:dyDescent="0.35">
      <c r="A94" s="2">
        <v>26</v>
      </c>
      <c r="C94" s="38" t="s">
        <v>47</v>
      </c>
      <c r="D94" s="43">
        <f>TRUNC(16529,-1)</f>
        <v>16520</v>
      </c>
      <c r="E94" s="64">
        <f t="shared" si="2"/>
        <v>54610</v>
      </c>
    </row>
    <row r="95" spans="1:7" x14ac:dyDescent="0.3">
      <c r="A95" s="2">
        <v>27</v>
      </c>
      <c r="C95" s="27" t="s">
        <v>112</v>
      </c>
      <c r="D95" s="39">
        <f>SUM(D69:D94)</f>
        <v>191550</v>
      </c>
      <c r="E95" s="39">
        <f>SUM(E69:E94)</f>
        <v>633180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TRUNC(23893,-1)</f>
        <v>23890</v>
      </c>
      <c r="E98" s="62">
        <f t="shared" ref="E98:E118" si="3">TRUNC(+D98*3.3058,-1)</f>
        <v>78970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TRUNC(40500,-1)</f>
        <v>40500</v>
      </c>
      <c r="E100" s="63">
        <f t="shared" si="3"/>
        <v>133880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TRUNC(16610,-1)</f>
        <v>16610</v>
      </c>
      <c r="E102" s="63">
        <f t="shared" si="3"/>
        <v>54900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TRUNC(14662,-1)</f>
        <v>14660</v>
      </c>
      <c r="E104" s="63">
        <f t="shared" si="3"/>
        <v>48460</v>
      </c>
    </row>
    <row r="105" spans="1:7" x14ac:dyDescent="0.3">
      <c r="A105" s="2">
        <v>8</v>
      </c>
      <c r="C105" s="38" t="s">
        <v>46</v>
      </c>
      <c r="D105" s="42">
        <f>TRUNC(2091,-1)</f>
        <v>2090</v>
      </c>
      <c r="E105" s="63">
        <f t="shared" si="3"/>
        <v>6900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TRUNC(7737,-1)</f>
        <v>7730</v>
      </c>
      <c r="E108" s="63">
        <f t="shared" si="3"/>
        <v>25550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TRUNC(8763,-1)</f>
        <v>8760</v>
      </c>
      <c r="E114" s="63">
        <f t="shared" si="3"/>
        <v>28950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TRUNC(135119,-1)</f>
        <v>135110</v>
      </c>
      <c r="E117" s="63">
        <f t="shared" si="3"/>
        <v>446640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249350</v>
      </c>
      <c r="E119" s="39">
        <f>SUM(E98:E118)</f>
        <v>824250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TRUNC(4698,-1)</f>
        <v>4690</v>
      </c>
      <c r="E122" s="62">
        <f t="shared" ref="E122:E132" si="4">TRUNC(+D122*3.3058,-1)</f>
        <v>15500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TRUNC(12089,-1)</f>
        <v>12080</v>
      </c>
      <c r="E125" s="63">
        <f t="shared" si="4"/>
        <v>39930</v>
      </c>
    </row>
    <row r="126" spans="1:7" x14ac:dyDescent="0.3">
      <c r="A126" s="2">
        <v>5</v>
      </c>
      <c r="C126" s="38" t="s">
        <v>53</v>
      </c>
      <c r="D126" s="42">
        <f>TRUNC(4032,-1)</f>
        <v>4030</v>
      </c>
      <c r="E126" s="63">
        <f t="shared" si="4"/>
        <v>13320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TRUNC(2446,-1)</f>
        <v>2440</v>
      </c>
      <c r="E128" s="63">
        <f t="shared" si="4"/>
        <v>8060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TRUNC(33521,-1)</f>
        <v>33520</v>
      </c>
      <c r="E130" s="63">
        <f t="shared" si="4"/>
        <v>110810</v>
      </c>
    </row>
    <row r="131" spans="1:7" x14ac:dyDescent="0.3">
      <c r="A131" s="2">
        <v>10</v>
      </c>
      <c r="C131" s="38" t="s">
        <v>148</v>
      </c>
      <c r="D131" s="42">
        <f>TRUNC(52002,-1)</f>
        <v>52000</v>
      </c>
      <c r="E131" s="63">
        <f t="shared" si="4"/>
        <v>171900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108760</v>
      </c>
      <c r="E133" s="39">
        <f>SUM(E122:E132)</f>
        <v>359520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TRUNC(6404,-1)</f>
        <v>6400</v>
      </c>
      <c r="E137" s="63">
        <f t="shared" si="5"/>
        <v>21150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TRUNC(2671,-1)</f>
        <v>2670</v>
      </c>
      <c r="E139" s="63">
        <f t="shared" si="5"/>
        <v>8820</v>
      </c>
    </row>
    <row r="140" spans="1:7" x14ac:dyDescent="0.3">
      <c r="A140" s="2">
        <v>5</v>
      </c>
      <c r="C140" s="38" t="s">
        <v>57</v>
      </c>
      <c r="D140" s="42">
        <f>TRUNC(5772,-1)</f>
        <v>5770</v>
      </c>
      <c r="E140" s="63">
        <f t="shared" si="5"/>
        <v>19070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TRUNC(6525,-1)</f>
        <v>6520</v>
      </c>
      <c r="E142" s="63">
        <f t="shared" si="5"/>
        <v>21550</v>
      </c>
    </row>
    <row r="143" spans="1:7" x14ac:dyDescent="0.3">
      <c r="A143" s="2">
        <v>8</v>
      </c>
      <c r="C143" s="38" t="s">
        <v>62</v>
      </c>
      <c r="D143" s="42">
        <f>TRUNC(6020,-1)</f>
        <v>6020</v>
      </c>
      <c r="E143" s="63">
        <f t="shared" si="5"/>
        <v>19900</v>
      </c>
    </row>
    <row r="144" spans="1:7" x14ac:dyDescent="0.3">
      <c r="A144" s="2">
        <v>9</v>
      </c>
      <c r="C144" s="38" t="s">
        <v>63</v>
      </c>
      <c r="D144" s="42">
        <f>TRUNC(22739,-1)</f>
        <v>22730</v>
      </c>
      <c r="E144" s="63">
        <f t="shared" si="5"/>
        <v>75140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50110</v>
      </c>
      <c r="E146" s="39">
        <f>SUM(E136:E145)</f>
        <v>165630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TRUNC(11555+1161,-1)</f>
        <v>12710</v>
      </c>
      <c r="E149" s="62">
        <f>TRUNC(+D149*3.3058,-1)</f>
        <v>42010</v>
      </c>
      <c r="F149" s="2" t="s">
        <v>255</v>
      </c>
    </row>
    <row r="150" spans="1:7" x14ac:dyDescent="0.3">
      <c r="A150" s="2">
        <v>2</v>
      </c>
      <c r="C150" s="38" t="s">
        <v>49</v>
      </c>
      <c r="D150" s="42">
        <f>TRUNC(6221,-1)</f>
        <v>6220</v>
      </c>
      <c r="E150" s="63">
        <f>TRUNC(+D150*3.3058,-1)</f>
        <v>20560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TRUNC(656+19245+2043,-1)</f>
        <v>21940</v>
      </c>
      <c r="E152" s="63">
        <f>TRUNC(+D152*3.3058,-1)</f>
        <v>72520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f>TRUNC(21190,-1)</f>
        <v>21190</v>
      </c>
      <c r="E153" s="64">
        <f>TRUNC(+D153*3.3058,-1)</f>
        <v>70040</v>
      </c>
    </row>
    <row r="154" spans="1:7" x14ac:dyDescent="0.3">
      <c r="A154" s="2">
        <v>6</v>
      </c>
      <c r="C154" s="27" t="s">
        <v>112</v>
      </c>
      <c r="D154" s="39">
        <f>SUM(D149:D153)</f>
        <v>62060</v>
      </c>
      <c r="E154" s="39">
        <f>SUM(E149:E153)</f>
        <v>205130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TRUNC(54392,-1)</f>
        <v>54390</v>
      </c>
      <c r="E157" s="62">
        <f>TRUNC(+D157*3.3058,-1)</f>
        <v>179800</v>
      </c>
    </row>
    <row r="158" spans="1:7" x14ac:dyDescent="0.3">
      <c r="A158" s="2">
        <v>2</v>
      </c>
      <c r="C158" s="38" t="s">
        <v>52</v>
      </c>
      <c r="D158" s="42">
        <f>TRUNC(26869,-1)</f>
        <v>26860</v>
      </c>
      <c r="E158" s="63">
        <f>TRUNC(+D158*3.3058,-1)</f>
        <v>88790</v>
      </c>
      <c r="F158" s="2" t="s">
        <v>257</v>
      </c>
    </row>
    <row r="159" spans="1:7" x14ac:dyDescent="0.3">
      <c r="A159" s="2">
        <v>3</v>
      </c>
      <c r="C159" s="38" t="s">
        <v>47</v>
      </c>
      <c r="D159" s="42">
        <f>TRUNC(12001,-1)</f>
        <v>12000</v>
      </c>
      <c r="E159" s="63">
        <f>TRUNC(+D159*3.3058,-1)</f>
        <v>39660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93250</v>
      </c>
      <c r="E161" s="39">
        <f>SUM(E157:E160)</f>
        <v>308250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2020-12-08T01:20:38Z</dcterms:modified>
</cp:coreProperties>
</file>