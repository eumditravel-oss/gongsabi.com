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5" i="4"/>
  <c r="D128" i="4"/>
  <c r="D122" i="4"/>
  <c r="D123" i="4"/>
  <c r="D98" i="4"/>
  <c r="D108" i="4"/>
  <c r="D102" i="4"/>
  <c r="D100" i="4"/>
  <c r="D99" i="4"/>
  <c r="D115" i="4"/>
  <c r="D118" i="4"/>
  <c r="D94" i="4"/>
  <c r="D74" i="4"/>
  <c r="D76" i="4"/>
  <c r="D78" i="4"/>
  <c r="D71" i="4"/>
  <c r="D70" i="4"/>
  <c r="D69" i="4"/>
  <c r="D58" i="4"/>
  <c r="D53" i="4"/>
  <c r="D52" i="4"/>
  <c r="D51" i="4"/>
  <c r="D50" i="4"/>
  <c r="D49" i="4"/>
  <c r="D55" i="4"/>
  <c r="D48" i="4"/>
  <c r="D45" i="4"/>
  <c r="D44" i="4"/>
  <c r="D43" i="4"/>
  <c r="D41" i="4"/>
  <c r="D40" i="4"/>
  <c r="D159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<sst xmlns="http://schemas.openxmlformats.org/spreadsheetml/2006/main" count="392" uniqueCount="267">
  <si>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</si>
  <si>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</si>
  <si>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</si>
  <si>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</si>
  <si>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</si>
  <si>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</si>
  <si>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</si>
  <si>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</si>
  <si>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</si>
  <si>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</si>
  <si>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</si>
  <si>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</si>
  <si>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</si>
  <si>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</si>
  <si>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</si>
  <si>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</si>
  <si>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</si>
  <si>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</si>
  <si>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</si>
  <si>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</si>
  <si>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</si>
  <si>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</si>
  <si>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</si>
  <si>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</si>
  <si>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</si>
  <si>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</si>
  <si>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</si>
  <si>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</si>
  <si>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</si>
  <si>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</si>
  <si>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</si>
  <si>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</si>
  <si>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</si>
  <si>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</si>
  <si>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</si>
  <si>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</si>
  <si>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</si>
  <si>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</si>
  <si>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</si>
  <si>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</si>
  <si>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</si>
  <si>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</si>
  <si>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</si>
  <si>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</si>
  <si>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</si>
  <si>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</si>
  <si>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</si>
  <si>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</si>
  <si>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</si>
  <si>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</si>
  <si>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</si>
  <si>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</si>
  <si>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</si>
  <si>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</si>
  <si>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</si>
  <si>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</si>
  <si>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</si>
  <si>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</si>
  <si>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</si>
  <si>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</si>
  <si>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</si>
  <si>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</si>
  <si>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</si>
  <si>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</si>
  <si>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</si>
  <si>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</si>
  <si>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</si>
  <si>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</si>
  <si>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</si>
  <si>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</si>
  <si>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</si>
  <si>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</si>
  <si>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</si>
  <si>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</si>
  <si>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</si>
  <si>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</si>
  <si>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</si>
  <si>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</si>
  <si>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</si>
  <si>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</si>
  <si>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</si>
  <si>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</si>
  <si>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</si>
  <si>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</si>
  <si>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</si>
  <si>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</si>
  <si>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</si>
  <si>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</si>
  <si>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</si>
  <si>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</si>
  <si>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</si>
  <si>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</si>
  <si>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</si>
  <si>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</si>
  <si>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</si>
  <si>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</si>
  <si>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</si>
  <si>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</si>
  <si>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</si>
  <si>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</si>
  <si>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</si>
  <si>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</si>
  <si>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</si>
  <si>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</si>
  <si>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</si>
  <si>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</si>
  <si>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</si>
  <si>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</si>
  <si>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</si>
  <si>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</si>
  <si>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</si>
  <si>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</si>
  <si>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</si>
  <si>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</si>
  <si>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</si>
  <si>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</si>
  <si>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</si>
  <si>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</si>
  <si>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</si>
  <si>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</si>
  <si>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</si>
  <si>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</si>
  <si>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</si>
  <si>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</si>
  <si>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</si>
  <si>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</si>
  <si>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</si>
  <si>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</si>
  <si>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</si>
  <si>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</si>
  <si>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</si>
  <si>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</si>
  <si>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</si>
  <si>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</si>
  <si>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</si>
  <si>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</si>
  <si>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</si>
  <si>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</si>
  <si>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</si>
  <si>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</si>
  <si>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</si>
  <si>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</si>
  <si>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</si>
  <si>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</si>
  <si>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</si>
  <si>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</si>
  <si>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</si>
  <si>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</si>
  <si>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</si>
  <si>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</si>
  <si>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</si>
  <si>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</si>
  <si>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</si>
  <si>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</si>
  <si>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</si>
  <si>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</si>
  <si>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</si>
  <si>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</si>
  <si>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</si>
  <si>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</si>
  <si>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</si>
  <si>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</si>
  <si>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</si>
  <si>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</si>
  <si>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</si>
  <si>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</si>
  <si>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</si>
  <si>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</si>
  <si>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</si>
  <si>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</si>
  <si>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</si>
  <si>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</si>
  <si>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</si>
  <si>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</si>
  <si>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</si>
  <si>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</si>
  <si>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</si>
  <si>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</si>
  <si>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</si>
  <si>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</si>
  <si>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</si>
  <si>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</si>
  <si>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</si>
  <si>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</si>
  <si>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</si>
  <si>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</si>
  <si>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</si>
  <si>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</si>
  <si>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</si>
  <si>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</si>
  <si>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</si>
  <si>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</si>
  <si>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</si>
  <si>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</si>
  <si>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</si>
  <si>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</si>
  <si>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</si>
  <si>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</si>
  <si>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</si>
  <si>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</si>
  <si>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</si>
  <si>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</si>
  <si>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</si>
  <si>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</si>
  <si>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</si>
  <si>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</si>
  <si>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</si>
  <si>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</si>
  <si>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</si>
  <si>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</si>
  <si>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</si>
  <si>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</si>
  <si>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</si>
  <si>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</si>
  <si>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</si>
  <si>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</si>
  <si>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</si>
  <si>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</si>
  <si>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</si>
  <si>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</si>
  <si>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</si>
  <si>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</si>
  <si>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</si>
  <si>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</si>
  <si>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</si>
  <si>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</si>
  <si>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</si>
  <si>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</si>
  <si>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</si>
  <si>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</si>
  <si>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</si>
  <si>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</si>
  <si>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</si>
  <si>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</si>
  <si>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</si>
  <si>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</si>
  <si>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</si>
  <si>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</si>
  <si>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</si>
  <si>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</si>
  <si>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</si>
  <si>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</si>
  <si>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</si>
  <si>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</si>
  <si>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</si>
  <si>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</si>
  <si>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</si>
  <si>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</si>
  <si>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 생물안전시험연구동 증축공사</t>
    <phoneticPr fontId="2" type="noConversion"/>
  </si>
  <si>
    <t>교육연구</t>
  </si>
  <si>
    <t>인천시</t>
  </si>
  <si>
    <t>부대토목공사</t>
    <phoneticPr fontId="2" type="noConversion"/>
  </si>
  <si>
    <t>부대조경공사</t>
    <phoneticPr fontId="2" type="noConversion"/>
  </si>
  <si>
    <t>토및지정공사,골재비,운반비</t>
    <phoneticPr fontId="2" type="noConversion"/>
  </si>
  <si>
    <t>지열냉난방공사</t>
    <phoneticPr fontId="2" type="noConversion"/>
  </si>
  <si>
    <t>위생배관공사,온돌난방공사,크린판넬설치및바닥공사</t>
    <phoneticPr fontId="2" type="noConversion"/>
  </si>
  <si>
    <t>실험가스공사</t>
    <phoneticPr fontId="2" type="noConversion"/>
  </si>
  <si>
    <t>연구동수변전설비공사</t>
    <phoneticPr fontId="2" type="noConversion"/>
  </si>
  <si>
    <t>전력간선공사,ABSL3 전력간선공사</t>
    <phoneticPr fontId="2" type="noConversion"/>
  </si>
  <si>
    <t>CATV설비공사</t>
    <phoneticPr fontId="2" type="noConversion"/>
  </si>
  <si>
    <t>가설사무실및창고설비공사</t>
    <phoneticPr fontId="2" type="noConversion"/>
  </si>
  <si>
    <t>UPS설치공사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</si>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</sst>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1303</v>
      </c>
      <c r="D7" s="36">
        <f>+C7/3.3058</f>
        <v>394.15572629923162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878600</v>
      </c>
      <c r="E25" s="59">
        <f t="shared" si="0"/>
        <v>2904470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620130</v>
      </c>
      <c r="E27" s="59">
        <f t="shared" si="0"/>
        <v>2050020</v>
      </c>
    </row>
    <row r="28" spans="1:5" x14ac:dyDescent="0.3">
      <c r="B28" s="2">
        <v>5</v>
      </c>
      <c r="C28" s="35" t="s">
        <v>97</v>
      </c>
      <c r="D28" s="45">
        <f>+D119</f>
        <v>147490</v>
      </c>
      <c r="E28" s="59">
        <f t="shared" si="0"/>
        <v>487570</v>
      </c>
    </row>
    <row r="29" spans="1:5" x14ac:dyDescent="0.3">
      <c r="B29" s="2">
        <v>6</v>
      </c>
      <c r="C29" s="35" t="s">
        <v>98</v>
      </c>
      <c r="D29" s="45">
        <f>+D133</f>
        <v>59290</v>
      </c>
      <c r="E29" s="59">
        <f t="shared" si="0"/>
        <v>196000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74930</v>
      </c>
      <c r="E31" s="59">
        <f t="shared" si="0"/>
        <v>247700</v>
      </c>
    </row>
    <row r="32" spans="1:5" x14ac:dyDescent="0.3">
      <c r="B32" s="2">
        <v>9</v>
      </c>
      <c r="C32" s="35" t="s">
        <v>101</v>
      </c>
      <c r="D32" s="45">
        <f>+D161</f>
        <v>29250</v>
      </c>
      <c r="E32" s="59">
        <f t="shared" si="0"/>
        <v>96690</v>
      </c>
    </row>
    <row r="33" spans="1:7" x14ac:dyDescent="0.3">
      <c r="B33" s="2">
        <v>10</v>
      </c>
      <c r="C33" s="35" t="s">
        <v>154</v>
      </c>
      <c r="D33" s="53">
        <f>TRUNC(SUM(D24:D32)*0.275,-1)</f>
        <v>497660</v>
      </c>
      <c r="E33" s="60">
        <f t="shared" si="0"/>
        <v>1645160</v>
      </c>
    </row>
    <row r="34" spans="1:7" x14ac:dyDescent="0.3">
      <c r="C34" s="35" t="s">
        <v>112</v>
      </c>
      <c r="D34" s="44">
        <f>SUM(D24:D33)</f>
        <v>2307350</v>
      </c>
      <c r="E34" s="44">
        <f>SUM(E24:E33)</f>
        <v>7627610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TRUNC(39986,-1)</f>
        <v>39980</v>
      </c>
      <c r="E40" s="62">
        <f t="shared" ref="E40:E59" si="1">TRUNC(+D40*3.3058,-1)</f>
        <v>132160</v>
      </c>
    </row>
    <row r="41" spans="1:7" x14ac:dyDescent="0.3">
      <c r="A41" s="2">
        <v>2</v>
      </c>
      <c r="C41" s="38" t="s">
        <v>13</v>
      </c>
      <c r="D41" s="42">
        <f>TRUNC(193272,-1)</f>
        <v>193270</v>
      </c>
      <c r="E41" s="63">
        <f t="shared" si="1"/>
        <v>638910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TRUNC(4033,-1)</f>
        <v>4030</v>
      </c>
      <c r="E43" s="63">
        <f t="shared" si="1"/>
        <v>13320</v>
      </c>
    </row>
    <row r="44" spans="1:7" x14ac:dyDescent="0.3">
      <c r="A44" s="2">
        <v>5</v>
      </c>
      <c r="C44" s="38" t="s">
        <v>17</v>
      </c>
      <c r="D44" s="42">
        <f>TRUNC(24537,-1)</f>
        <v>24530</v>
      </c>
      <c r="E44" s="63">
        <f t="shared" si="1"/>
        <v>81090</v>
      </c>
    </row>
    <row r="45" spans="1:7" x14ac:dyDescent="0.3">
      <c r="A45" s="2">
        <v>6</v>
      </c>
      <c r="C45" s="38" t="s">
        <v>18</v>
      </c>
      <c r="D45" s="42">
        <f>TRUNC(7482,-1)</f>
        <v>7480</v>
      </c>
      <c r="E45" s="63">
        <f t="shared" si="1"/>
        <v>24720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TRUNC(272859,-1)</f>
        <v>272850</v>
      </c>
      <c r="E48" s="63">
        <f t="shared" si="1"/>
        <v>901980</v>
      </c>
    </row>
    <row r="49" spans="1:7" x14ac:dyDescent="0.3">
      <c r="A49" s="2">
        <v>10</v>
      </c>
      <c r="C49" s="38" t="s">
        <v>22</v>
      </c>
      <c r="D49" s="42">
        <f>TRUNC(33876,-1)</f>
        <v>33870</v>
      </c>
      <c r="E49" s="63">
        <f t="shared" si="1"/>
        <v>111960</v>
      </c>
    </row>
    <row r="50" spans="1:7" x14ac:dyDescent="0.3">
      <c r="A50" s="2">
        <v>11</v>
      </c>
      <c r="C50" s="38" t="s">
        <v>155</v>
      </c>
      <c r="D50" s="42">
        <f>TRUNC(27484,-1)</f>
        <v>27480</v>
      </c>
      <c r="E50" s="63">
        <f t="shared" si="1"/>
        <v>90840</v>
      </c>
    </row>
    <row r="51" spans="1:7" x14ac:dyDescent="0.3">
      <c r="A51" s="2">
        <v>12</v>
      </c>
      <c r="C51" s="38" t="s">
        <v>23</v>
      </c>
      <c r="D51" s="42">
        <f>TRUNC(10233,-1)</f>
        <v>10230</v>
      </c>
      <c r="E51" s="63">
        <f t="shared" si="1"/>
        <v>33810</v>
      </c>
    </row>
    <row r="52" spans="1:7" x14ac:dyDescent="0.3">
      <c r="A52" s="2">
        <v>13</v>
      </c>
      <c r="C52" s="38" t="s">
        <v>24</v>
      </c>
      <c r="D52" s="42">
        <f>TRUNC(20795,-1)</f>
        <v>20790</v>
      </c>
      <c r="E52" s="63">
        <f t="shared" si="1"/>
        <v>68720</v>
      </c>
    </row>
    <row r="53" spans="1:7" x14ac:dyDescent="0.3">
      <c r="A53" s="2">
        <v>14</v>
      </c>
      <c r="C53" s="38" t="s">
        <v>25</v>
      </c>
      <c r="D53" s="42">
        <f>TRUNC(126479,-1)</f>
        <v>126470</v>
      </c>
      <c r="E53" s="63">
        <f t="shared" si="1"/>
        <v>418080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TRUNC(5414,-1)</f>
        <v>5410</v>
      </c>
      <c r="E55" s="63">
        <f t="shared" si="1"/>
        <v>17880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TRUNC(99606+9941+2670,-1)</f>
        <v>112210</v>
      </c>
      <c r="E58" s="63">
        <f t="shared" si="1"/>
        <v>370940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878600</v>
      </c>
      <c r="E60" s="39">
        <f>SUM(E40:E59)</f>
        <v>2904410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TRUNC(319649,-1)</f>
        <v>319640</v>
      </c>
      <c r="E69" s="62">
        <f t="shared" ref="E69:E94" si="2">TRUNC(+D69*3.3058,-1)</f>
        <v>1056660</v>
      </c>
    </row>
    <row r="70" spans="1:7" ht="16.5" customHeight="1" x14ac:dyDescent="0.3">
      <c r="A70" s="2">
        <v>2</v>
      </c>
      <c r="C70" s="38" t="s">
        <v>31</v>
      </c>
      <c r="D70" s="42">
        <f>TRUNC(12172,-1)</f>
        <v>12170</v>
      </c>
      <c r="E70" s="63">
        <f t="shared" si="2"/>
        <v>40230</v>
      </c>
    </row>
    <row r="71" spans="1:7" x14ac:dyDescent="0.3">
      <c r="A71" s="2">
        <v>3</v>
      </c>
      <c r="C71" s="38" t="s">
        <v>32</v>
      </c>
      <c r="D71" s="42">
        <f>TRUNC(10859,-1)</f>
        <v>10850</v>
      </c>
      <c r="E71" s="63">
        <f t="shared" si="2"/>
        <v>35860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TRUNC(44666,-1)</f>
        <v>44660</v>
      </c>
      <c r="E74" s="63">
        <f t="shared" si="2"/>
        <v>147630</v>
      </c>
      <c r="F74" s="2" t="s">
        <v>256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TRUNC(100203,-1)</f>
        <v>100200</v>
      </c>
      <c r="E76" s="63">
        <f t="shared" si="2"/>
        <v>331240</v>
      </c>
      <c r="F76" s="2" t="s">
        <v>254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TRUNC(31937,-1)</f>
        <v>31930</v>
      </c>
      <c r="E78" s="63">
        <f t="shared" si="2"/>
        <v>105550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TRUNC(36656+283+63749,-1)</f>
        <v>100680</v>
      </c>
      <c r="E94" s="64">
        <f t="shared" si="2"/>
        <v>332820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620130</v>
      </c>
      <c r="E95" s="39">
        <f>SUM(E69:E94)</f>
        <v>2049990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TRUNC(13885+9908,-1)</f>
        <v>23790</v>
      </c>
      <c r="E98" s="62">
        <f t="shared" ref="E98:E118" si="3">TRUNC(+D98*3.3058,-1)</f>
        <v>78640</v>
      </c>
      <c r="F98" s="2" t="s">
        <v>258</v>
      </c>
    </row>
    <row r="99" spans="1:7" x14ac:dyDescent="0.3">
      <c r="A99" s="2">
        <v>2</v>
      </c>
      <c r="C99" s="38" t="s">
        <v>40</v>
      </c>
      <c r="D99" s="42">
        <f>TRUNC(7953+13243,-1)</f>
        <v>21190</v>
      </c>
      <c r="E99" s="63">
        <f t="shared" si="3"/>
        <v>70040</v>
      </c>
    </row>
    <row r="100" spans="1:7" x14ac:dyDescent="0.3">
      <c r="A100" s="2">
        <v>3</v>
      </c>
      <c r="C100" s="38" t="s">
        <v>41</v>
      </c>
      <c r="D100" s="42">
        <f>TRUNC(24941+3563,-1)</f>
        <v>28500</v>
      </c>
      <c r="E100" s="63">
        <f t="shared" si="3"/>
        <v>94210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TRUNC(11402+2309,-1)</f>
        <v>13710</v>
      </c>
      <c r="E102" s="63">
        <f t="shared" si="3"/>
        <v>45320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TRUNC(3587,-1)</f>
        <v>3580</v>
      </c>
      <c r="E108" s="63">
        <f t="shared" si="3"/>
        <v>11830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TRUNC(55719,-1)</f>
        <v>55710</v>
      </c>
      <c r="E115" s="63">
        <f t="shared" si="3"/>
        <v>184160</v>
      </c>
      <c r="F115" s="2" t="s">
        <v>257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TRUNC(1019,-1)</f>
        <v>1010</v>
      </c>
      <c r="E118" s="64">
        <f t="shared" si="3"/>
        <v>3330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147490</v>
      </c>
      <c r="E119" s="39">
        <f>SUM(E98:E118)</f>
        <v>487530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TRUNC(13099,-1)</f>
        <v>13090</v>
      </c>
      <c r="E122" s="62">
        <f t="shared" ref="E122:E132" si="4">TRUNC(+D122*3.3058,-1)</f>
        <v>43270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f>TRUNC(35332,-1)</f>
        <v>35330</v>
      </c>
      <c r="E123" s="63">
        <f t="shared" si="4"/>
        <v>116790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TRUNC(4628+732+2927,-1)</f>
        <v>8280</v>
      </c>
      <c r="E125" s="63">
        <f t="shared" si="4"/>
        <v>27370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TRUNC(1708,-1)</f>
        <v>1700</v>
      </c>
      <c r="E128" s="63">
        <f t="shared" si="4"/>
        <v>5610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TRUNC(896,-1)</f>
        <v>890</v>
      </c>
      <c r="E132" s="64">
        <f t="shared" si="4"/>
        <v>2940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59290</v>
      </c>
      <c r="E133" s="39">
        <f>SUM(E122:E132)</f>
        <v>195980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TRUNC(74937,-1)</f>
        <v>74930</v>
      </c>
      <c r="E152" s="63">
        <f>TRUNC(+D152*3.3058,-1)</f>
        <v>247700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74930</v>
      </c>
      <c r="E154" s="39">
        <f>SUM(E149:E153)</f>
        <v>247700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TRUNC(29255,-1)</f>
        <v>29250</v>
      </c>
      <c r="E159" s="63">
        <f>TRUNC(+D159*3.3058,-1)</f>
        <v>96690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29250</v>
      </c>
      <c r="E161" s="39">
        <f>SUM(E157:E160)</f>
        <v>96690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2020-12-07T09:41:11Z</dcterms:modified>
</cp:coreProperties>
</file>