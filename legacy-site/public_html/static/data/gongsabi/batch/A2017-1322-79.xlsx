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0" i="4"/>
  <c r="D149" i="4"/>
  <c r="D144" i="4"/>
  <c r="D143" i="4"/>
  <c r="D142" i="4"/>
  <c r="D140" i="4"/>
  <c r="D139" i="4"/>
  <c r="D137" i="4"/>
  <c r="D132" i="4"/>
  <c r="D131" i="4"/>
  <c r="D128" i="4"/>
  <c r="D126" i="4"/>
  <c r="D122" i="4"/>
  <c r="D117" i="4"/>
  <c r="D116" i="4"/>
  <c r="D114" i="4"/>
  <c r="D105" i="4"/>
  <c r="D104" i="4"/>
  <c r="D103" i="4"/>
  <c r="D99" i="4"/>
  <c r="D98" i="4"/>
  <c r="D94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<sst xmlns="http://schemas.openxmlformats.org/spreadsheetml/2006/main" count="392" uniqueCount="269">
  <si>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</si>
  <si>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</si>
  <si>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</si>
  <si>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</si>
  <si>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</si>
  <si>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</si>
  <si>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</si>
  <si>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</si>
  <si>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</si>
  <si>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</si>
  <si>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</si>
  <si>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</si>
  <si>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</si>
  <si>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</si>
  <si>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</si>
  <si>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</si>
  <si>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</si>
  <si>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</si>
  <si>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</si>
  <si>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</si>
  <si>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</si>
  <si>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</si>
  <si>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</si>
  <si>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</si>
  <si>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</si>
  <si>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</si>
  <si>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</si>
  <si>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</si>
  <si>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</si>
  <si>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</si>
  <si>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</si>
  <si>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</si>
  <si>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</si>
  <si>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</si>
  <si>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</si>
  <si>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</si>
  <si>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</si>
  <si>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</si>
  <si>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</si>
  <si>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</si>
  <si>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</si>
  <si>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</si>
  <si>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</si>
  <si>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</si>
  <si>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</si>
  <si>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</si>
  <si>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</si>
  <si>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</si>
  <si>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</si>
  <si>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</si>
  <si>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</si>
  <si>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</si>
  <si>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</si>
  <si>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</si>
  <si>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</si>
  <si>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</si>
  <si>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</si>
  <si>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</si>
  <si>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</si>
  <si>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</si>
  <si>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</si>
  <si>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</si>
  <si>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</si>
  <si>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</si>
  <si>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</si>
  <si>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</si>
  <si>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</si>
  <si>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</si>
  <si>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</si>
  <si>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</si>
  <si>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</si>
  <si>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</si>
  <si>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</si>
  <si>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</si>
  <si>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</si>
  <si>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</si>
  <si>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</si>
  <si>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</si>
  <si>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</si>
  <si>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</si>
  <si>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</si>
  <si>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</si>
  <si>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</si>
  <si>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</si>
  <si>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</si>
  <si>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</si>
  <si>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</si>
  <si>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</si>
  <si>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</si>
  <si>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</si>
  <si>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</si>
  <si>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</si>
  <si>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</si>
  <si>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</si>
  <si>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</si>
  <si>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</si>
  <si>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</si>
  <si>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</si>
  <si>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</si>
  <si>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</si>
  <si>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</si>
  <si>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</si>
  <si>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</si>
  <si>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</si>
  <si>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</si>
  <si>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</si>
  <si>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</si>
  <si>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</si>
  <si>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</si>
  <si>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</si>
  <si>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</si>
  <si>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</si>
  <si>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</si>
  <si>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</si>
  <si>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</si>
  <si>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</si>
  <si>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</si>
  <si>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</si>
  <si>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</si>
  <si>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</si>
  <si>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</si>
  <si>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</si>
  <si>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</si>
  <si>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</si>
  <si>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</si>
  <si>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</si>
  <si>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</si>
  <si>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</si>
  <si>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</si>
  <si>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</si>
  <si>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</si>
  <si>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</si>
  <si>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</si>
  <si>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</si>
  <si>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</si>
  <si>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</si>
  <si>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</si>
  <si>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</si>
  <si>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</si>
  <si>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</si>
  <si>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</si>
  <si>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</si>
  <si>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</si>
  <si>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</si>
  <si>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</si>
  <si>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</si>
  <si>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</si>
  <si>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</si>
  <si>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</si>
  <si>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</si>
  <si>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</si>
  <si>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</si>
  <si>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</si>
  <si>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</si>
  <si>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</si>
  <si>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</si>
  <si>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</si>
  <si>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</si>
  <si>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</si>
  <si>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</si>
  <si>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</si>
  <si>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</si>
  <si>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</si>
  <si>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</si>
  <si>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</si>
  <si>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</si>
  <si>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</si>
  <si>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</si>
  <si>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</si>
  <si>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</si>
  <si>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</si>
  <si>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</si>
  <si>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</si>
  <si>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</si>
  <si>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</si>
  <si>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</si>
  <si>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</si>
  <si>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</si>
  <si>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</si>
  <si>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</si>
  <si>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</si>
  <si>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</si>
  <si>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</si>
  <si>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</si>
  <si>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</si>
  <si>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</si>
  <si>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</si>
  <si>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</si>
  <si>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</si>
  <si>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</si>
  <si>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</si>
  <si>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</si>
  <si>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</si>
  <si>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</si>
  <si>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</si>
  <si>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</si>
  <si>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</si>
  <si>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</si>
  <si>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</si>
  <si>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</si>
  <si>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</si>
  <si>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</si>
  <si>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</si>
  <si>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</si>
  <si>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</si>
  <si>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</si>
  <si>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</si>
  <si>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</si>
  <si>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</si>
  <si>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</si>
  <si>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</si>
  <si>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</si>
  <si>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</si>
  <si>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</si>
  <si>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</si>
  <si>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</si>
  <si>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</si>
  <si>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</si>
  <si>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</si>
  <si>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</si>
  <si>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</si>
  <si>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</si>
  <si>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</si>
  <si>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</si>
  <si>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</si>
  <si>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</si>
  <si>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</si>
  <si>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</si>
  <si>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</si>
  <si>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</si>
  <si>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</si>
  <si>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</si>
  <si>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</si>
  <si>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</si>
  <si>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</si>
  <si>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</si>
  <si>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</si>
  <si>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</si>
  <si>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</si>
  <si>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</si>
  <si>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</si>
  <si>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</si>
  <si>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</si>
  <si>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</si>
  <si>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</si>
  <si>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</si>
  <si>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</si>
  <si>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</si>
  <si>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</si>
  <si>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</si>
  <si>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</si>
  <si>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</si>
  <si>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</si>
  <si>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</si>
  <si>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 xml:space="preserve"> 사급자재비, 운반비, 기타공사</t>
    <phoneticPr fontId="2" type="noConversion"/>
  </si>
  <si>
    <t>수도권기상청 청사 신축공사</t>
    <phoneticPr fontId="2" type="noConversion"/>
  </si>
  <si>
    <t>업무</t>
  </si>
  <si>
    <t>경기도</t>
  </si>
  <si>
    <t>기초공사, 골재비및운반비, 작업부산물, 품질시험비, 기타공사</t>
    <phoneticPr fontId="2" type="noConversion"/>
  </si>
  <si>
    <t>CCTV설비공사</t>
    <phoneticPr fontId="2" type="noConversion"/>
  </si>
  <si>
    <t>펌프실배관공사</t>
    <phoneticPr fontId="2" type="noConversion"/>
  </si>
  <si>
    <t>포장공사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</si>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</sst>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2519.61</v>
      </c>
      <c r="D7" s="36">
        <f>+C7/3.3058</f>
        <v>762.17859519632168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1211540</v>
      </c>
      <c r="E25" s="59">
        <f t="shared" si="0"/>
        <v>4005100</v>
      </c>
    </row>
    <row r="26" spans="1:5" x14ac:dyDescent="0.3">
      <c r="B26" s="2">
        <v>3</v>
      </c>
      <c r="C26" s="35" t="s">
        <v>95</v>
      </c>
      <c r="D26" s="45">
        <f>+D66</f>
        <v>31660</v>
      </c>
      <c r="E26" s="59">
        <f t="shared" si="0"/>
        <v>104660</v>
      </c>
    </row>
    <row r="27" spans="1:5" x14ac:dyDescent="0.3">
      <c r="B27" s="2">
        <v>4</v>
      </c>
      <c r="C27" s="35" t="s">
        <v>96</v>
      </c>
      <c r="D27" s="45">
        <f>+D95</f>
        <v>83760</v>
      </c>
      <c r="E27" s="59">
        <f t="shared" si="0"/>
        <v>276890</v>
      </c>
    </row>
    <row r="28" spans="1:5" x14ac:dyDescent="0.3">
      <c r="B28" s="2">
        <v>5</v>
      </c>
      <c r="C28" s="35" t="s">
        <v>97</v>
      </c>
      <c r="D28" s="45">
        <f>+D119</f>
        <v>381500</v>
      </c>
      <c r="E28" s="59">
        <f t="shared" si="0"/>
        <v>1261160</v>
      </c>
    </row>
    <row r="29" spans="1:5" x14ac:dyDescent="0.3">
      <c r="B29" s="2">
        <v>6</v>
      </c>
      <c r="C29" s="35" t="s">
        <v>98</v>
      </c>
      <c r="D29" s="45">
        <f>+D133</f>
        <v>81370</v>
      </c>
      <c r="E29" s="59">
        <f t="shared" si="0"/>
        <v>268990</v>
      </c>
    </row>
    <row r="30" spans="1:5" x14ac:dyDescent="0.3">
      <c r="B30" s="2">
        <v>7</v>
      </c>
      <c r="C30" s="35" t="s">
        <v>99</v>
      </c>
      <c r="D30" s="45">
        <f>+D146</f>
        <v>37350</v>
      </c>
      <c r="E30" s="59">
        <f t="shared" si="0"/>
        <v>123470</v>
      </c>
    </row>
    <row r="31" spans="1:5" x14ac:dyDescent="0.3">
      <c r="B31" s="2">
        <v>8</v>
      </c>
      <c r="C31" s="35" t="s">
        <v>100</v>
      </c>
      <c r="D31" s="45">
        <f>+D154</f>
        <v>90540</v>
      </c>
      <c r="E31" s="59">
        <f t="shared" si="0"/>
        <v>299300</v>
      </c>
    </row>
    <row r="32" spans="1:5" x14ac:dyDescent="0.3">
      <c r="B32" s="2">
        <v>9</v>
      </c>
      <c r="C32" s="35" t="s">
        <v>101</v>
      </c>
      <c r="D32" s="45">
        <f>+D161</f>
        <v>61640</v>
      </c>
      <c r="E32" s="59">
        <f t="shared" si="0"/>
        <v>203760</v>
      </c>
    </row>
    <row r="33" spans="1:7" x14ac:dyDescent="0.3">
      <c r="B33" s="2">
        <v>10</v>
      </c>
      <c r="C33" s="35" t="s">
        <v>154</v>
      </c>
      <c r="D33" s="53">
        <f>TRUNC(SUM(D24:D32)*0.275,-1)</f>
        <v>544320</v>
      </c>
      <c r="E33" s="60">
        <f t="shared" si="0"/>
        <v>1799410</v>
      </c>
    </row>
    <row r="34" spans="1:7" x14ac:dyDescent="0.3">
      <c r="C34" s="35" t="s">
        <v>112</v>
      </c>
      <c r="D34" s="44">
        <f>SUM(D24:D33)</f>
        <v>2523680</v>
      </c>
      <c r="E34" s="44">
        <f>SUM(E24:E33)</f>
        <v>8342740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TRUNC(70572,-1)</f>
        <v>70570</v>
      </c>
      <c r="E40" s="62">
        <f t="shared" ref="E40:E59" si="1">TRUNC(+D40*3.3058,-1)</f>
        <v>233290</v>
      </c>
    </row>
    <row r="41" spans="1:7" x14ac:dyDescent="0.3">
      <c r="A41" s="2">
        <v>2</v>
      </c>
      <c r="C41" s="38" t="s">
        <v>13</v>
      </c>
      <c r="D41" s="42">
        <f>TRUNC(175989,-1)</f>
        <v>175980</v>
      </c>
      <c r="E41" s="63">
        <f t="shared" si="1"/>
        <v>581750</v>
      </c>
    </row>
    <row r="42" spans="1:7" x14ac:dyDescent="0.3">
      <c r="A42" s="2">
        <v>3</v>
      </c>
      <c r="C42" s="38" t="s">
        <v>14</v>
      </c>
      <c r="D42" s="42">
        <f>TRUNC(13169,-1)</f>
        <v>13160</v>
      </c>
      <c r="E42" s="63">
        <f t="shared" si="1"/>
        <v>43500</v>
      </c>
    </row>
    <row r="43" spans="1:7" x14ac:dyDescent="0.3">
      <c r="A43" s="2">
        <v>4</v>
      </c>
      <c r="C43" s="38" t="s">
        <v>16</v>
      </c>
      <c r="D43" s="42">
        <f>TRUNC(18999,-1)</f>
        <v>18990</v>
      </c>
      <c r="E43" s="63">
        <f t="shared" si="1"/>
        <v>62770</v>
      </c>
    </row>
    <row r="44" spans="1:7" x14ac:dyDescent="0.3">
      <c r="A44" s="2">
        <v>5</v>
      </c>
      <c r="C44" s="38" t="s">
        <v>17</v>
      </c>
      <c r="D44" s="42">
        <f>TRUNC(32322,-1)</f>
        <v>32320</v>
      </c>
      <c r="E44" s="63">
        <f t="shared" si="1"/>
        <v>106840</v>
      </c>
    </row>
    <row r="45" spans="1:7" x14ac:dyDescent="0.3">
      <c r="A45" s="2">
        <v>6</v>
      </c>
      <c r="C45" s="38" t="s">
        <v>18</v>
      </c>
      <c r="D45" s="42">
        <f>TRUNC(10693,-1)</f>
        <v>10690</v>
      </c>
      <c r="E45" s="63">
        <f t="shared" si="1"/>
        <v>35330</v>
      </c>
    </row>
    <row r="46" spans="1:7" x14ac:dyDescent="0.3">
      <c r="A46" s="2">
        <v>7</v>
      </c>
      <c r="C46" s="38" t="s">
        <v>19</v>
      </c>
      <c r="D46" s="42">
        <f>TRUNC(12375,-1)</f>
        <v>12370</v>
      </c>
      <c r="E46" s="63">
        <f t="shared" si="1"/>
        <v>40890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TRUNC(48427,-1)</f>
        <v>48420</v>
      </c>
      <c r="E48" s="63">
        <f t="shared" si="1"/>
        <v>160060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v>21640</v>
      </c>
      <c r="E49" s="63">
        <f t="shared" si="1"/>
        <v>71530</v>
      </c>
    </row>
    <row r="50" spans="1:7" x14ac:dyDescent="0.3">
      <c r="A50" s="2">
        <v>11</v>
      </c>
      <c r="C50" s="38" t="s">
        <v>155</v>
      </c>
      <c r="D50" s="42">
        <f>TRUNC(48475,-1)</f>
        <v>48470</v>
      </c>
      <c r="E50" s="63">
        <f t="shared" si="1"/>
        <v>160230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TRUNC(14211,-1)</f>
        <v>14210</v>
      </c>
      <c r="E52" s="63">
        <f t="shared" si="1"/>
        <v>46970</v>
      </c>
    </row>
    <row r="53" spans="1:7" x14ac:dyDescent="0.3">
      <c r="A53" s="2">
        <v>14</v>
      </c>
      <c r="C53" s="38" t="s">
        <v>25</v>
      </c>
      <c r="D53" s="42">
        <f>TRUNC(106833,-1)</f>
        <v>106830</v>
      </c>
      <c r="E53" s="63">
        <f t="shared" si="1"/>
        <v>353150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TRUNC(35698+12830-1498+2587+39947,-1)</f>
        <v>89560</v>
      </c>
      <c r="E58" s="63">
        <f t="shared" si="1"/>
        <v>296060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TRUNC(548333,-1)</f>
        <v>548330</v>
      </c>
      <c r="E59" s="64">
        <f t="shared" si="1"/>
        <v>1812660</v>
      </c>
    </row>
    <row r="60" spans="1:7" x14ac:dyDescent="0.3">
      <c r="A60" s="2">
        <v>21</v>
      </c>
      <c r="C60" s="27" t="s">
        <v>112</v>
      </c>
      <c r="D60" s="39">
        <f>SUM(D40:D59)</f>
        <v>1211540</v>
      </c>
      <c r="E60" s="39">
        <f>SUM(E40:E59)</f>
        <v>4005030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TRUNC(31666,-1)</f>
        <v>31660</v>
      </c>
      <c r="E63" s="62">
        <f>TRUNC(+D63*3.3058,-1)</f>
        <v>104660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31660</v>
      </c>
      <c r="E66" s="65">
        <f>SUM(E63:E65)</f>
        <v>104660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TRUNC(18152,-1)</f>
        <v>18150</v>
      </c>
      <c r="E69" s="62">
        <f t="shared" ref="E69:E94" si="2">TRUNC(+D69*3.3058,-1)</f>
        <v>60000</v>
      </c>
    </row>
    <row r="70" spans="1:7" ht="16.5" customHeight="1" x14ac:dyDescent="0.3">
      <c r="A70" s="2">
        <v>2</v>
      </c>
      <c r="C70" s="38" t="s">
        <v>31</v>
      </c>
      <c r="D70" s="42">
        <f>TRUNC(5789,-1)</f>
        <v>5780</v>
      </c>
      <c r="E70" s="63">
        <f t="shared" si="2"/>
        <v>19100</v>
      </c>
    </row>
    <row r="71" spans="1:7" x14ac:dyDescent="0.3">
      <c r="A71" s="2">
        <v>3</v>
      </c>
      <c r="C71" s="38" t="s">
        <v>32</v>
      </c>
      <c r="D71" s="42">
        <f>TRUNC(7288,-1)</f>
        <v>7280</v>
      </c>
      <c r="E71" s="63">
        <f t="shared" si="2"/>
        <v>24060</v>
      </c>
    </row>
    <row r="72" spans="1:7" x14ac:dyDescent="0.3">
      <c r="A72" s="2">
        <v>4</v>
      </c>
      <c r="C72" s="38" t="s">
        <v>33</v>
      </c>
      <c r="D72" s="42">
        <f>TRUNC(9253,-1)</f>
        <v>9250</v>
      </c>
      <c r="E72" s="63">
        <f t="shared" si="2"/>
        <v>30570</v>
      </c>
    </row>
    <row r="73" spans="1:7" x14ac:dyDescent="0.3">
      <c r="A73" s="2">
        <v>5</v>
      </c>
      <c r="C73" s="38" t="s">
        <v>34</v>
      </c>
      <c r="D73" s="42">
        <f>TRUNC(16526,-1)</f>
        <v>16520</v>
      </c>
      <c r="E73" s="63">
        <f t="shared" si="2"/>
        <v>54610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TRUNC(826,-1)</f>
        <v>820</v>
      </c>
      <c r="E89" s="63">
        <f t="shared" si="2"/>
        <v>2710</v>
      </c>
    </row>
    <row r="90" spans="1:7" x14ac:dyDescent="0.3">
      <c r="A90" s="2">
        <v>22</v>
      </c>
      <c r="C90" s="38" t="s">
        <v>36</v>
      </c>
      <c r="D90" s="42">
        <v>5370</v>
      </c>
      <c r="E90" s="63">
        <f t="shared" si="2"/>
        <v>17750</v>
      </c>
    </row>
    <row r="91" spans="1:7" x14ac:dyDescent="0.3">
      <c r="A91" s="2">
        <v>23</v>
      </c>
      <c r="C91" s="38" t="s">
        <v>37</v>
      </c>
      <c r="D91" s="42">
        <f>TRUNC(14961,-1)</f>
        <v>14960</v>
      </c>
      <c r="E91" s="63">
        <f t="shared" si="2"/>
        <v>49450</v>
      </c>
    </row>
    <row r="92" spans="1:7" x14ac:dyDescent="0.3">
      <c r="A92" s="2">
        <v>24</v>
      </c>
      <c r="C92" s="38" t="s">
        <v>38</v>
      </c>
      <c r="D92" s="42">
        <f>TRUNC(219,-1)</f>
        <v>210</v>
      </c>
      <c r="E92" s="63">
        <f t="shared" si="2"/>
        <v>690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TRUNC(5427,-1)</f>
        <v>5420</v>
      </c>
      <c r="E94" s="64">
        <f t="shared" si="2"/>
        <v>17910</v>
      </c>
    </row>
    <row r="95" spans="1:7" x14ac:dyDescent="0.3">
      <c r="A95" s="2">
        <v>27</v>
      </c>
      <c r="C95" s="27" t="s">
        <v>112</v>
      </c>
      <c r="D95" s="39">
        <f>SUM(D69:D94)</f>
        <v>83760</v>
      </c>
      <c r="E95" s="39">
        <f>SUM(E69:E94)</f>
        <v>276850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TRUNC(20617,-1)</f>
        <v>20610</v>
      </c>
      <c r="E98" s="62">
        <f t="shared" ref="E98:E118" si="3">TRUNC(+D98*3.3058,-1)</f>
        <v>68130</v>
      </c>
    </row>
    <row r="99" spans="1:7" x14ac:dyDescent="0.3">
      <c r="A99" s="2">
        <v>2</v>
      </c>
      <c r="C99" s="38" t="s">
        <v>40</v>
      </c>
      <c r="D99" s="42">
        <f>TRUNC(7146,-1)</f>
        <v>7140</v>
      </c>
      <c r="E99" s="63">
        <f t="shared" si="3"/>
        <v>23600</v>
      </c>
    </row>
    <row r="100" spans="1:7" x14ac:dyDescent="0.3">
      <c r="A100" s="2">
        <v>3</v>
      </c>
      <c r="C100" s="38" t="s">
        <v>41</v>
      </c>
      <c r="D100" s="42">
        <v>24330</v>
      </c>
      <c r="E100" s="63">
        <f t="shared" si="3"/>
        <v>80430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f>TRUNC(4044,-1)</f>
        <v>4040</v>
      </c>
      <c r="E103" s="63">
        <f t="shared" si="3"/>
        <v>13350</v>
      </c>
    </row>
    <row r="104" spans="1:7" x14ac:dyDescent="0.3">
      <c r="A104" s="2">
        <v>7</v>
      </c>
      <c r="C104" s="38" t="s">
        <v>45</v>
      </c>
      <c r="D104" s="42">
        <f>TRUNC(9841,-1)</f>
        <v>9840</v>
      </c>
      <c r="E104" s="63">
        <f t="shared" si="3"/>
        <v>32520</v>
      </c>
    </row>
    <row r="105" spans="1:7" x14ac:dyDescent="0.3">
      <c r="A105" s="2">
        <v>8</v>
      </c>
      <c r="C105" s="38" t="s">
        <v>46</v>
      </c>
      <c r="D105" s="42">
        <f>TRUNC(7737,-1)</f>
        <v>7730</v>
      </c>
      <c r="E105" s="63">
        <f t="shared" si="3"/>
        <v>25550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TRUNC(38063,-1)</f>
        <v>38060</v>
      </c>
      <c r="E114" s="63">
        <f t="shared" si="3"/>
        <v>125810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TRUNC(17194,-1)</f>
        <v>17190</v>
      </c>
      <c r="E116" s="63">
        <f t="shared" si="3"/>
        <v>56820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TRUNC(248083,-1)</f>
        <v>248080</v>
      </c>
      <c r="E117" s="63">
        <f t="shared" si="3"/>
        <v>820100</v>
      </c>
    </row>
    <row r="118" spans="1:7" ht="17.25" thickBot="1" x14ac:dyDescent="0.35">
      <c r="A118" s="2">
        <v>21</v>
      </c>
      <c r="C118" s="38" t="s">
        <v>47</v>
      </c>
      <c r="D118" s="43">
        <v>4480</v>
      </c>
      <c r="E118" s="64">
        <f t="shared" si="3"/>
        <v>14800</v>
      </c>
    </row>
    <row r="119" spans="1:7" x14ac:dyDescent="0.3">
      <c r="A119" s="2">
        <v>22</v>
      </c>
      <c r="C119" s="27" t="s">
        <v>112</v>
      </c>
      <c r="D119" s="39">
        <f>SUM(D98:D118)</f>
        <v>381500</v>
      </c>
      <c r="E119" s="39">
        <f>SUM(E98:E118)</f>
        <v>1261110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TRUNC(8676,-1)</f>
        <v>8670</v>
      </c>
      <c r="E122" s="62">
        <f t="shared" ref="E122:E132" si="4">TRUNC(+D122*3.3058,-1)</f>
        <v>28660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TRUNC(34219,-1)</f>
        <v>34210</v>
      </c>
      <c r="E126" s="63">
        <f t="shared" si="4"/>
        <v>113090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TRUNC(6125,-1)</f>
        <v>6120</v>
      </c>
      <c r="E128" s="63">
        <f t="shared" si="4"/>
        <v>20230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TRUNC(23348,-1)</f>
        <v>23340</v>
      </c>
      <c r="E131" s="63">
        <f t="shared" si="4"/>
        <v>77150</v>
      </c>
    </row>
    <row r="132" spans="1:7" ht="18" thickBot="1" x14ac:dyDescent="0.35">
      <c r="A132" s="2">
        <v>11</v>
      </c>
      <c r="C132" s="38" t="s">
        <v>47</v>
      </c>
      <c r="D132" s="43">
        <f>TRUNC(9034,-1)</f>
        <v>9030</v>
      </c>
      <c r="E132" s="64">
        <f t="shared" si="4"/>
        <v>29850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81370</v>
      </c>
      <c r="E133" s="39">
        <f>SUM(E122:E132)</f>
        <v>268980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TRUNC(4012,-1)</f>
        <v>4010</v>
      </c>
      <c r="E137" s="63">
        <f t="shared" si="5"/>
        <v>13250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TRUNC(1226,-1)</f>
        <v>1220</v>
      </c>
      <c r="E139" s="63">
        <f t="shared" si="5"/>
        <v>4030</v>
      </c>
    </row>
    <row r="140" spans="1:7" x14ac:dyDescent="0.3">
      <c r="A140" s="2">
        <v>5</v>
      </c>
      <c r="C140" s="38" t="s">
        <v>57</v>
      </c>
      <c r="D140" s="42">
        <f>TRUNC(4685,-1)</f>
        <v>4680</v>
      </c>
      <c r="E140" s="63">
        <f t="shared" si="5"/>
        <v>15470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TRUNC(4765,-1)</f>
        <v>4760</v>
      </c>
      <c r="E142" s="63">
        <f t="shared" si="5"/>
        <v>15730</v>
      </c>
    </row>
    <row r="143" spans="1:7" x14ac:dyDescent="0.3">
      <c r="A143" s="2">
        <v>8</v>
      </c>
      <c r="C143" s="38" t="s">
        <v>62</v>
      </c>
      <c r="D143" s="42">
        <f>TRUNC(5182,-1)</f>
        <v>5180</v>
      </c>
      <c r="E143" s="63">
        <f t="shared" si="5"/>
        <v>17120</v>
      </c>
    </row>
    <row r="144" spans="1:7" x14ac:dyDescent="0.3">
      <c r="A144" s="2">
        <v>9</v>
      </c>
      <c r="C144" s="38" t="s">
        <v>63</v>
      </c>
      <c r="D144" s="42">
        <f>TRUNC(17501,-1)</f>
        <v>17500</v>
      </c>
      <c r="E144" s="63">
        <f t="shared" si="5"/>
        <v>57850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37350</v>
      </c>
      <c r="E146" s="39">
        <f>SUM(E136:E145)</f>
        <v>123450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TRUNC(31629+2968,-1)</f>
        <v>34590</v>
      </c>
      <c r="E149" s="62">
        <f>TRUNC(+D149*3.3058,-1)</f>
        <v>114340</v>
      </c>
    </row>
    <row r="150" spans="1:7" x14ac:dyDescent="0.3">
      <c r="A150" s="2">
        <v>2</v>
      </c>
      <c r="C150" s="38" t="s">
        <v>49</v>
      </c>
      <c r="D150" s="42">
        <f>TRUNC(18136,-1)</f>
        <v>18130</v>
      </c>
      <c r="E150" s="63">
        <f>TRUNC(+D150*3.3058,-1)</f>
        <v>59930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TRUNC(36081+814+933,-1)</f>
        <v>37820</v>
      </c>
      <c r="E152" s="63">
        <f>TRUNC(+D152*3.3058,-1)</f>
        <v>125020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90540</v>
      </c>
      <c r="E154" s="39">
        <f>SUM(E149:E153)</f>
        <v>299290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TRUNC(39455,-1)</f>
        <v>39450</v>
      </c>
      <c r="E157" s="62">
        <f>TRUNC(+D157*3.3058,-1)</f>
        <v>130410</v>
      </c>
    </row>
    <row r="158" spans="1:7" x14ac:dyDescent="0.3">
      <c r="A158" s="2">
        <v>2</v>
      </c>
      <c r="C158" s="38" t="s">
        <v>52</v>
      </c>
      <c r="D158" s="42">
        <f>TRUNC(11538,-1)</f>
        <v>11530</v>
      </c>
      <c r="E158" s="63">
        <f>TRUNC(+D158*3.3058,-1)</f>
        <v>38110</v>
      </c>
    </row>
    <row r="159" spans="1:7" x14ac:dyDescent="0.3">
      <c r="A159" s="2">
        <v>3</v>
      </c>
      <c r="C159" s="38" t="s">
        <v>47</v>
      </c>
      <c r="D159" s="42">
        <v>10660</v>
      </c>
      <c r="E159" s="63">
        <f>TRUNC(+D159*3.3058,-1)</f>
        <v>35230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61640</v>
      </c>
      <c r="E161" s="39">
        <f>SUM(E157:E160)</f>
        <v>203750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2020-12-08T01:45:10Z</dcterms:modified>
</cp:coreProperties>
</file>