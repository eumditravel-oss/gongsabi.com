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79" i="4"/>
  <c r="D94" i="4"/>
  <c r="D64" i="4"/>
  <c r="D58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0" i="4"/>
  <c r="E129" i="4"/>
  <c r="E128" i="4"/>
  <c r="E127" i="4"/>
  <c r="E126" i="4"/>
  <c r="E124" i="4"/>
  <c r="E115" i="4"/>
  <c r="E114" i="4"/>
  <c r="E113" i="4"/>
  <c r="E112" i="4"/>
  <c r="E111" i="4"/>
  <c r="E110" i="4"/>
  <c r="E109" i="4"/>
  <c r="E107" i="4"/>
  <c r="E106" i="4"/>
  <c r="E103" i="4"/>
  <c r="E94" i="4"/>
  <c r="E91" i="4"/>
  <c r="E90" i="4"/>
  <c r="E88" i="4"/>
  <c r="E86" i="4"/>
  <c r="E82" i="4"/>
  <c r="E80" i="4"/>
  <c r="E79" i="4"/>
  <c r="E78" i="4"/>
  <c r="E77" i="4"/>
  <c r="E75" i="4"/>
  <c r="E74" i="4"/>
  <c r="E71" i="4"/>
  <c r="E70" i="4"/>
  <c r="E65" i="4"/>
  <c r="E64" i="4"/>
  <c r="E63" i="4"/>
  <c r="E66" i="4" s="1"/>
  <c r="E58" i="4"/>
  <c r="E57" i="4"/>
  <c r="E56" i="4"/>
  <c r="E54" i="4"/>
  <c r="E51" i="4"/>
  <c r="E146" i="4" l="1"/>
  <c r="D117" i="4"/>
  <c r="E117" i="4" s="1"/>
  <c r="D131" i="4"/>
  <c r="E131" i="4" s="1"/>
  <c r="D132" i="4"/>
  <c r="E132" i="4" s="1"/>
  <c r="D125" i="4"/>
  <c r="E125" i="4" s="1"/>
  <c r="D123" i="4"/>
  <c r="E123" i="4" s="1"/>
  <c r="D122" i="4"/>
  <c r="E122" i="4" s="1"/>
  <c r="E133" i="4" s="1"/>
  <c r="D108" i="4"/>
  <c r="E108" i="4" s="1"/>
  <c r="D104" i="4"/>
  <c r="E104" i="4" s="1"/>
  <c r="D105" i="4"/>
  <c r="E105" i="4" s="1"/>
  <c r="D102" i="4"/>
  <c r="E102" i="4" s="1"/>
  <c r="D118" i="4"/>
  <c r="E118" i="4" s="1"/>
  <c r="D100" i="4"/>
  <c r="E100" i="4" s="1"/>
  <c r="D101" i="4"/>
  <c r="E101" i="4" s="1"/>
  <c r="D99" i="4"/>
  <c r="E99" i="4" s="1"/>
  <c r="D98" i="4"/>
  <c r="E98" i="4" s="1"/>
  <c r="D116" i="4"/>
  <c r="E116" i="4" s="1"/>
  <c r="D76" i="4"/>
  <c r="E76" i="4" s="1"/>
  <c r="D81" i="4"/>
  <c r="E81" i="4" s="1"/>
  <c r="D89" i="4"/>
  <c r="E89" i="4" s="1"/>
  <c r="D73" i="4"/>
  <c r="E73" i="4" s="1"/>
  <c r="D92" i="4"/>
  <c r="E92" i="4" s="1"/>
  <c r="D72" i="4"/>
  <c r="E72" i="4" s="1"/>
  <c r="D85" i="4"/>
  <c r="E85" i="4" s="1"/>
  <c r="D84" i="4"/>
  <c r="E84" i="4" s="1"/>
  <c r="D83" i="4"/>
  <c r="E83" i="4" s="1"/>
  <c r="D87" i="4"/>
  <c r="E87" i="4" s="1"/>
  <c r="D69" i="4"/>
  <c r="E69" i="4" s="1"/>
  <c r="E95" i="4" s="1"/>
  <c r="D93" i="4"/>
  <c r="E93" i="4" s="1"/>
  <c r="D59" i="4"/>
  <c r="E59" i="4" s="1"/>
  <c r="D55" i="4"/>
  <c r="E55" i="4" s="1"/>
  <c r="D53" i="4"/>
  <c r="E53" i="4" s="1"/>
  <c r="D52" i="4"/>
  <c r="E52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E60" i="4" s="1"/>
  <c r="D40" i="4"/>
  <c r="E40" i="4" s="1"/>
  <c r="D37" i="4"/>
  <c r="E37" i="4" s="1"/>
  <c r="D159" i="4"/>
  <c r="E159" i="4" s="1"/>
  <c r="E161" i="4" s="1"/>
  <c r="D152" i="4"/>
  <c r="E152" i="4" s="1"/>
  <c r="E154" i="4" s="1"/>
  <c r="E119" i="4" l="1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<sst xmlns="http://schemas.openxmlformats.org/spreadsheetml/2006/main" count="401" uniqueCount="276">
  <si>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</si>
  <si>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</si>
  <si>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</si>
  <si>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</si>
  <si>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</si>
  <si>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</si>
  <si>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</si>
  <si>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</si>
  <si>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</si>
  <si>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</si>
  <si>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</si>
  <si>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</si>
  <si>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</si>
  <si>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</si>
  <si>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</si>
  <si>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</si>
  <si>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</si>
  <si>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</si>
  <si>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</si>
  <si>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</si>
  <si>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</si>
  <si>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</si>
  <si>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</si>
  <si>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</si>
  <si>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</si>
  <si>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</si>
  <si>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</si>
  <si>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</si>
  <si>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</si>
  <si>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</si>
  <si>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</si>
  <si>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</si>
  <si>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</si>
  <si>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</si>
  <si>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</si>
  <si>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</si>
  <si>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</si>
  <si>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</si>
  <si>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</si>
  <si>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</si>
  <si>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</si>
  <si>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</si>
  <si>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</si>
  <si>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</si>
  <si>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</si>
  <si>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</si>
  <si>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</si>
  <si>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</si>
  <si>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</si>
  <si>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</si>
  <si>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</si>
  <si>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</si>
  <si>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</si>
  <si>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</si>
  <si>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</si>
  <si>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</si>
  <si>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</si>
  <si>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</si>
  <si>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</si>
  <si>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</si>
  <si>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</si>
  <si>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</si>
  <si>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</si>
  <si>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</si>
  <si>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</si>
  <si>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</si>
  <si>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</si>
  <si>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</si>
  <si>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</si>
  <si>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</si>
  <si>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</si>
  <si>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</si>
  <si>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</si>
  <si>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</si>
  <si>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</si>
  <si>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</si>
  <si>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</si>
  <si>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</si>
  <si>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</si>
  <si>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</si>
  <si>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</si>
  <si>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</si>
  <si>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</si>
  <si>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</si>
  <si>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</si>
  <si>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</si>
  <si>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</si>
  <si>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</si>
  <si>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</si>
  <si>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</si>
  <si>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</si>
  <si>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</si>
  <si>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</si>
  <si>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</si>
  <si>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</si>
  <si>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</si>
  <si>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</si>
  <si>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</si>
  <si>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</si>
  <si>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</si>
  <si>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</si>
  <si>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</si>
  <si>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</si>
  <si>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</si>
  <si>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</si>
  <si>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</si>
  <si>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</si>
  <si>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</si>
  <si>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</si>
  <si>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</si>
  <si>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</si>
  <si>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</si>
  <si>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</si>
  <si>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</si>
  <si>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</si>
  <si>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</si>
  <si>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</si>
  <si>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</si>
  <si>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</si>
  <si>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</si>
  <si>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</si>
  <si>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</si>
  <si>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</si>
  <si>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</si>
  <si>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</si>
  <si>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</si>
  <si>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</si>
  <si>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</si>
  <si>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</si>
  <si>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</si>
  <si>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</si>
  <si>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</si>
  <si>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</si>
  <si>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</si>
  <si>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</si>
  <si>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</si>
  <si>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</si>
  <si>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</si>
  <si>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</si>
  <si>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</si>
  <si>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</si>
  <si>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</si>
  <si>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</si>
  <si>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</si>
  <si>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</si>
  <si>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</si>
  <si>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</si>
  <si>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</si>
  <si>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</si>
  <si>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</si>
  <si>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</si>
  <si>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</si>
  <si>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</si>
  <si>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</si>
  <si>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</si>
  <si>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</si>
  <si>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</si>
  <si>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</si>
  <si>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</si>
  <si>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</si>
  <si>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</si>
  <si>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</si>
  <si>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</si>
  <si>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</si>
  <si>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</si>
  <si>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</si>
  <si>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</si>
  <si>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</si>
  <si>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</si>
  <si>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</si>
  <si>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</si>
  <si>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</si>
  <si>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</si>
  <si>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</si>
  <si>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</si>
  <si>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</si>
  <si>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</si>
  <si>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</si>
  <si>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</si>
  <si>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</si>
  <si>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</si>
  <si>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</si>
  <si>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</si>
  <si>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</si>
  <si>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</si>
  <si>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</si>
  <si>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</si>
  <si>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</si>
  <si>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</si>
  <si>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</si>
  <si>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</si>
  <si>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</si>
  <si>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</si>
  <si>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</si>
  <si>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</si>
  <si>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</si>
  <si>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</si>
  <si>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</si>
  <si>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</si>
  <si>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</si>
  <si>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</si>
  <si>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</si>
  <si>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</si>
  <si>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</si>
  <si>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</si>
  <si>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</si>
  <si>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</si>
  <si>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</si>
  <si>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</si>
  <si>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</si>
  <si>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</si>
  <si>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</si>
  <si>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</si>
  <si>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</si>
  <si>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</si>
  <si>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</si>
  <si>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</si>
  <si>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</si>
  <si>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</si>
  <si>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</si>
  <si>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</si>
  <si>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</si>
  <si>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</si>
  <si>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</si>
  <si>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</si>
  <si>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</si>
  <si>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</si>
  <si>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</si>
  <si>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</si>
  <si>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</si>
  <si>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</si>
  <si>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</si>
  <si>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</si>
  <si>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</si>
  <si>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</si>
  <si>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</si>
  <si>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</si>
  <si>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</si>
  <si>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</si>
  <si>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</si>
  <si>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</si>
  <si>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</si>
  <si>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</si>
  <si>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</si>
  <si>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</si>
  <si>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</si>
  <si>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</si>
  <si>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</si>
  <si>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000유,초등학교 신축공사</t>
    <phoneticPr fontId="2" type="noConversion"/>
  </si>
  <si>
    <t>교육연구</t>
  </si>
  <si>
    <t>세종시</t>
  </si>
  <si>
    <t>부대공사,부대토목공사</t>
    <phoneticPr fontId="2" type="noConversion"/>
  </si>
  <si>
    <t>부대조경공사</t>
    <phoneticPr fontId="2" type="noConversion"/>
  </si>
  <si>
    <t>창호및유리공사</t>
    <phoneticPr fontId="2" type="noConversion"/>
  </si>
  <si>
    <t>급배기덕트.배기덕트공사</t>
    <phoneticPr fontId="2" type="noConversion"/>
  </si>
  <si>
    <t>냉난방기및공기순환기부대공사</t>
    <phoneticPr fontId="2" type="noConversion"/>
  </si>
  <si>
    <t>가스배관공사,옥외가스배관공사</t>
    <phoneticPr fontId="2" type="noConversion"/>
  </si>
  <si>
    <t>특고인입수배전설비공사</t>
    <phoneticPr fontId="2" type="noConversion"/>
  </si>
  <si>
    <t>전력간선및분전반설비공사</t>
    <phoneticPr fontId="2" type="noConversion"/>
  </si>
  <si>
    <t>동력설비공사,지하실및기계실동력설비공사,주방동력설비공사</t>
    <phoneticPr fontId="2" type="noConversion"/>
  </si>
  <si>
    <t>다목적강당조명설비공사,</t>
    <phoneticPr fontId="2" type="noConversion"/>
  </si>
  <si>
    <t>외등설비공사,전열교환기설비공사</t>
    <phoneticPr fontId="2" type="noConversion"/>
  </si>
  <si>
    <t>전열설비공사,상시전열설비공사,컴퓨터실및멀티미디어실전열공사</t>
    <phoneticPr fontId="2" type="noConversion"/>
  </si>
  <si>
    <t>냉난방설비공사,바닥난방설비공사</t>
    <phoneticPr fontId="2" type="noConversion"/>
  </si>
  <si>
    <t>전화설비공사,LAN설비공사,컴퓨터실LAN설비공사</t>
    <phoneticPr fontId="2" type="noConversion"/>
  </si>
  <si>
    <t>간선설비공사,CCTV설비공사,주차관제설비공사</t>
    <phoneticPr fontId="2" type="noConversion"/>
  </si>
  <si>
    <t>토및지정공사,기타공사,골재비,운반비,작업부산물</t>
    <phoneticPr fontId="2" type="noConversion"/>
  </si>
  <si>
    <t>가스메타기함설치공사,관정시설설치공사,무대막설치공사,쓰레기자동집하시설설치공사,옥외위생배관공사</t>
    <phoneticPr fontId="2" type="noConversion"/>
  </si>
  <si>
    <t>환기배관공사</t>
    <phoneticPr fontId="2" type="noConversion"/>
  </si>
  <si>
    <t>전기소방공사</t>
    <phoneticPr fontId="2" type="noConversion"/>
  </si>
  <si>
    <t>기계 소화설비공사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</si>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</sst>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3" t="s">
        <v>155</v>
      </c>
      <c r="B2" s="76" t="s">
        <v>0</v>
      </c>
      <c r="C2" s="77"/>
      <c r="D2" s="76" t="s">
        <v>1</v>
      </c>
      <c r="E2" s="77"/>
      <c r="F2" s="76" t="s">
        <v>156</v>
      </c>
      <c r="G2" s="77"/>
      <c r="H2" s="76" t="s">
        <v>2</v>
      </c>
      <c r="I2" s="77"/>
      <c r="J2" s="76" t="s">
        <v>3</v>
      </c>
      <c r="K2" s="77"/>
      <c r="L2" s="76" t="s">
        <v>157</v>
      </c>
      <c r="M2" s="77"/>
      <c r="N2" s="76" t="s">
        <v>158</v>
      </c>
      <c r="O2" s="77"/>
      <c r="P2" s="76" t="s">
        <v>5</v>
      </c>
      <c r="Q2" s="77"/>
      <c r="R2" s="70" t="s">
        <v>94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273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19503</v>
      </c>
      <c r="D7" s="36">
        <f>+C7/3.3058</f>
        <v>5899.6309516607171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274</v>
      </c>
    </row>
    <row r="19" spans="1:5" x14ac:dyDescent="0.3">
      <c r="A19" s="2">
        <v>9</v>
      </c>
      <c r="B19" s="2" t="s">
        <v>275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+D37</f>
        <v>910</v>
      </c>
      <c r="E24" s="59">
        <f t="shared" ref="E24:E33" si="0">TRUNC(+D24*3.3058,-1)</f>
        <v>3000</v>
      </c>
    </row>
    <row r="25" spans="1:5" x14ac:dyDescent="0.3">
      <c r="B25" s="2">
        <v>2</v>
      </c>
      <c r="C25" s="35" t="s">
        <v>111</v>
      </c>
      <c r="D25" s="45">
        <f>+D60</f>
        <v>628570</v>
      </c>
      <c r="E25" s="60">
        <f t="shared" si="0"/>
        <v>2077920</v>
      </c>
    </row>
    <row r="26" spans="1:5" x14ac:dyDescent="0.3">
      <c r="B26" s="2">
        <v>3</v>
      </c>
      <c r="C26" s="35" t="s">
        <v>95</v>
      </c>
      <c r="D26" s="45">
        <f>+D66</f>
        <v>12280</v>
      </c>
      <c r="E26" s="60">
        <f t="shared" si="0"/>
        <v>40590</v>
      </c>
    </row>
    <row r="27" spans="1:5" x14ac:dyDescent="0.3">
      <c r="B27" s="2">
        <v>4</v>
      </c>
      <c r="C27" s="35" t="s">
        <v>96</v>
      </c>
      <c r="D27" s="45">
        <f>+D95</f>
        <v>170720</v>
      </c>
      <c r="E27" s="60">
        <f t="shared" si="0"/>
        <v>564360</v>
      </c>
    </row>
    <row r="28" spans="1:5" x14ac:dyDescent="0.3">
      <c r="B28" s="2">
        <v>5</v>
      </c>
      <c r="C28" s="35" t="s">
        <v>97</v>
      </c>
      <c r="D28" s="45">
        <f>+D119</f>
        <v>91620</v>
      </c>
      <c r="E28" s="60">
        <f t="shared" si="0"/>
        <v>302870</v>
      </c>
    </row>
    <row r="29" spans="1:5" x14ac:dyDescent="0.3">
      <c r="B29" s="2">
        <v>6</v>
      </c>
      <c r="C29" s="35" t="s">
        <v>98</v>
      </c>
      <c r="D29" s="45">
        <f>+D133</f>
        <v>35710</v>
      </c>
      <c r="E29" s="60">
        <f t="shared" si="0"/>
        <v>118050</v>
      </c>
    </row>
    <row r="30" spans="1:5" x14ac:dyDescent="0.3">
      <c r="B30" s="2">
        <v>7</v>
      </c>
      <c r="C30" s="35" t="s">
        <v>99</v>
      </c>
      <c r="D30" s="45">
        <f>+D146</f>
        <v>40700</v>
      </c>
      <c r="E30" s="60">
        <f t="shared" si="0"/>
        <v>134540</v>
      </c>
    </row>
    <row r="31" spans="1:5" x14ac:dyDescent="0.3">
      <c r="B31" s="2">
        <v>8</v>
      </c>
      <c r="C31" s="35" t="s">
        <v>100</v>
      </c>
      <c r="D31" s="45">
        <f>+D154</f>
        <v>27270</v>
      </c>
      <c r="E31" s="60">
        <f t="shared" si="0"/>
        <v>90140</v>
      </c>
    </row>
    <row r="32" spans="1:5" x14ac:dyDescent="0.3">
      <c r="B32" s="2">
        <v>9</v>
      </c>
      <c r="C32" s="35" t="s">
        <v>101</v>
      </c>
      <c r="D32" s="45">
        <f>+D161</f>
        <v>18280</v>
      </c>
      <c r="E32" s="60">
        <f t="shared" si="0"/>
        <v>60430</v>
      </c>
    </row>
    <row r="33" spans="1:7" x14ac:dyDescent="0.3">
      <c r="B33" s="2">
        <v>10</v>
      </c>
      <c r="C33" s="35" t="s">
        <v>153</v>
      </c>
      <c r="D33" s="53">
        <f>TRUNC(SUM(D24:D32)*0.275,-1)</f>
        <v>282160</v>
      </c>
      <c r="E33" s="61">
        <f t="shared" si="0"/>
        <v>932760</v>
      </c>
    </row>
    <row r="34" spans="1:7" x14ac:dyDescent="0.3">
      <c r="C34" s="35" t="s">
        <v>112</v>
      </c>
      <c r="D34" s="44">
        <f>SUM(D24:D33)</f>
        <v>1308220</v>
      </c>
      <c r="E34" s="44">
        <f>SUM(E24:E33)</f>
        <v>4324660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234</v>
      </c>
      <c r="E36" s="57" t="s">
        <v>235</v>
      </c>
      <c r="G36" s="55"/>
    </row>
    <row r="37" spans="1:7" ht="17.25" thickBot="1" x14ac:dyDescent="0.35">
      <c r="C37" s="38" t="s">
        <v>143</v>
      </c>
      <c r="D37" s="52">
        <f>TRUNC(913,-1)</f>
        <v>910</v>
      </c>
      <c r="E37" s="62">
        <f>TRUNC(+D37*3.3058,-1)</f>
        <v>3000</v>
      </c>
    </row>
    <row r="38" spans="1:7" s="67" customFormat="1" x14ac:dyDescent="0.3">
      <c r="C38" s="68"/>
      <c r="D38" s="68"/>
      <c r="E38" s="68"/>
      <c r="G38" s="69"/>
    </row>
    <row r="39" spans="1:7" s="67" customFormat="1" ht="17.25" thickBot="1" x14ac:dyDescent="0.35">
      <c r="B39" s="67" t="s">
        <v>111</v>
      </c>
      <c r="C39" s="67" t="s">
        <v>242</v>
      </c>
      <c r="D39" s="68" t="s">
        <v>271</v>
      </c>
      <c r="E39" s="68" t="s">
        <v>272</v>
      </c>
      <c r="G39" s="69"/>
    </row>
    <row r="40" spans="1:7" x14ac:dyDescent="0.3">
      <c r="A40" s="2">
        <v>1</v>
      </c>
      <c r="C40" s="38" t="s">
        <v>15</v>
      </c>
      <c r="D40" s="40">
        <f>TRUNC(25425,-1)</f>
        <v>25420</v>
      </c>
      <c r="E40" s="63">
        <f t="shared" ref="E40:E59" si="1">TRUNC(+D40*3.3058,-1)</f>
        <v>84030</v>
      </c>
    </row>
    <row r="41" spans="1:7" x14ac:dyDescent="0.3">
      <c r="A41" s="2">
        <v>2</v>
      </c>
      <c r="C41" s="38" t="s">
        <v>13</v>
      </c>
      <c r="D41" s="42">
        <f>TRUNC(73524,-1)</f>
        <v>73520</v>
      </c>
      <c r="E41" s="64">
        <f t="shared" si="1"/>
        <v>243040</v>
      </c>
    </row>
    <row r="42" spans="1:7" x14ac:dyDescent="0.3">
      <c r="A42" s="2">
        <v>3</v>
      </c>
      <c r="C42" s="38" t="s">
        <v>14</v>
      </c>
      <c r="D42" s="42">
        <f>TRUNC(9832,-1)</f>
        <v>9830</v>
      </c>
      <c r="E42" s="64">
        <f t="shared" si="1"/>
        <v>32490</v>
      </c>
    </row>
    <row r="43" spans="1:7" x14ac:dyDescent="0.3">
      <c r="A43" s="2">
        <v>4</v>
      </c>
      <c r="C43" s="38" t="s">
        <v>16</v>
      </c>
      <c r="D43" s="42">
        <f>TRUNC(22630,-1)</f>
        <v>22630</v>
      </c>
      <c r="E43" s="64">
        <f t="shared" si="1"/>
        <v>74810</v>
      </c>
    </row>
    <row r="44" spans="1:7" x14ac:dyDescent="0.3">
      <c r="A44" s="2">
        <v>5</v>
      </c>
      <c r="C44" s="38" t="s">
        <v>17</v>
      </c>
      <c r="D44" s="42">
        <f>TRUNC(20564,-1)</f>
        <v>20560</v>
      </c>
      <c r="E44" s="64">
        <f t="shared" si="1"/>
        <v>67960</v>
      </c>
    </row>
    <row r="45" spans="1:7" x14ac:dyDescent="0.3">
      <c r="A45" s="2">
        <v>6</v>
      </c>
      <c r="C45" s="38" t="s">
        <v>18</v>
      </c>
      <c r="D45" s="42">
        <f>TRUNC(5002,-1)</f>
        <v>5000</v>
      </c>
      <c r="E45" s="64">
        <f t="shared" si="1"/>
        <v>16520</v>
      </c>
    </row>
    <row r="46" spans="1:7" x14ac:dyDescent="0.3">
      <c r="A46" s="2">
        <v>7</v>
      </c>
      <c r="C46" s="38" t="s">
        <v>19</v>
      </c>
      <c r="D46" s="42">
        <f>TRUNC(28091,-1)</f>
        <v>28090</v>
      </c>
      <c r="E46" s="64">
        <f t="shared" si="1"/>
        <v>92850</v>
      </c>
    </row>
    <row r="47" spans="1:7" x14ac:dyDescent="0.3">
      <c r="A47" s="2">
        <v>8</v>
      </c>
      <c r="C47" s="38" t="s">
        <v>20</v>
      </c>
      <c r="D47" s="42">
        <f>TRUNC(19197,-1)</f>
        <v>19190</v>
      </c>
      <c r="E47" s="64">
        <f t="shared" si="1"/>
        <v>63430</v>
      </c>
    </row>
    <row r="48" spans="1:7" x14ac:dyDescent="0.3">
      <c r="A48" s="2">
        <v>9</v>
      </c>
      <c r="C48" s="38" t="s">
        <v>21</v>
      </c>
      <c r="D48" s="42">
        <f>TRUNC(44040,-1)</f>
        <v>44040</v>
      </c>
      <c r="E48" s="64">
        <f t="shared" si="1"/>
        <v>145580</v>
      </c>
    </row>
    <row r="49" spans="1:7" x14ac:dyDescent="0.3">
      <c r="A49" s="2">
        <v>10</v>
      </c>
      <c r="C49" s="38" t="s">
        <v>22</v>
      </c>
      <c r="D49" s="42">
        <f>TRUNC(14683,-1)</f>
        <v>14680</v>
      </c>
      <c r="E49" s="64">
        <f t="shared" si="1"/>
        <v>48520</v>
      </c>
    </row>
    <row r="50" spans="1:7" x14ac:dyDescent="0.3">
      <c r="A50" s="2">
        <v>11</v>
      </c>
      <c r="C50" s="38" t="s">
        <v>154</v>
      </c>
      <c r="D50" s="42">
        <f>TRUNC(47938,-1)</f>
        <v>47930</v>
      </c>
      <c r="E50" s="64">
        <f t="shared" si="1"/>
        <v>158440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TRUNC(9293,-1)</f>
        <v>9290</v>
      </c>
      <c r="E52" s="64">
        <f t="shared" si="1"/>
        <v>30710</v>
      </c>
    </row>
    <row r="53" spans="1:7" x14ac:dyDescent="0.3">
      <c r="A53" s="2">
        <v>14</v>
      </c>
      <c r="C53" s="38" t="s">
        <v>25</v>
      </c>
      <c r="D53" s="42">
        <f>TRUNC(46976,-1)</f>
        <v>46970</v>
      </c>
      <c r="E53" s="64">
        <f t="shared" si="1"/>
        <v>155270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TRUNC(6425,-1)</f>
        <v>6420</v>
      </c>
      <c r="E55" s="64">
        <f t="shared" si="1"/>
        <v>21220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TRUNC(13709+3083+3779+1591-793,-1)</f>
        <v>21360</v>
      </c>
      <c r="E58" s="64">
        <f t="shared" si="1"/>
        <v>70610</v>
      </c>
      <c r="F58" s="2" t="s">
        <v>266</v>
      </c>
    </row>
    <row r="59" spans="1:7" ht="17.25" thickBot="1" x14ac:dyDescent="0.35">
      <c r="A59" s="2">
        <v>20</v>
      </c>
      <c r="C59" s="38" t="s">
        <v>148</v>
      </c>
      <c r="D59" s="43">
        <f>TRUNC(233641,-1)</f>
        <v>233640</v>
      </c>
      <c r="E59" s="65">
        <f t="shared" si="1"/>
        <v>772360</v>
      </c>
    </row>
    <row r="60" spans="1:7" x14ac:dyDescent="0.3">
      <c r="A60" s="2">
        <v>21</v>
      </c>
      <c r="C60" s="27" t="s">
        <v>112</v>
      </c>
      <c r="D60" s="39">
        <f>SUM(D40:D59)</f>
        <v>628570</v>
      </c>
      <c r="E60" s="39">
        <f>SUM(E40:E59)</f>
        <v>2077840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235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3">
        <f>TRUNC(+D63*3.3058,-1)</f>
        <v>0</v>
      </c>
    </row>
    <row r="64" spans="1:7" x14ac:dyDescent="0.3">
      <c r="A64" s="2">
        <v>2</v>
      </c>
      <c r="C64" s="38" t="s">
        <v>29</v>
      </c>
      <c r="D64" s="42">
        <f>TRUNC(12281,-1)</f>
        <v>12280</v>
      </c>
      <c r="E64" s="64">
        <f>TRUNC(+D64*3.3058,-1)</f>
        <v>40590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12280</v>
      </c>
      <c r="E66" s="66">
        <f>SUM(E63:E65)</f>
        <v>40590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235</v>
      </c>
      <c r="G68" s="55"/>
    </row>
    <row r="69" spans="1:7" x14ac:dyDescent="0.3">
      <c r="A69" s="2">
        <v>1</v>
      </c>
      <c r="C69" s="38" t="s">
        <v>30</v>
      </c>
      <c r="D69" s="40">
        <f>TRUNC(4202,-1)</f>
        <v>4200</v>
      </c>
      <c r="E69" s="63">
        <f t="shared" ref="E69:E94" si="2">TRUNC(+D69*3.3058,-1)</f>
        <v>13880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si="2"/>
        <v>0</v>
      </c>
    </row>
    <row r="72" spans="1:7" x14ac:dyDescent="0.3">
      <c r="A72" s="2">
        <v>4</v>
      </c>
      <c r="C72" s="38" t="s">
        <v>33</v>
      </c>
      <c r="D72" s="42">
        <f>TRUNC(543+561,-1)</f>
        <v>1100</v>
      </c>
      <c r="E72" s="64">
        <f t="shared" si="2"/>
        <v>3630</v>
      </c>
      <c r="F72" s="2" t="s">
        <v>256</v>
      </c>
    </row>
    <row r="73" spans="1:7" x14ac:dyDescent="0.3">
      <c r="A73" s="2">
        <v>5</v>
      </c>
      <c r="C73" s="38" t="s">
        <v>34</v>
      </c>
      <c r="D73" s="42">
        <f>TRUNC(12258+490,-1)</f>
        <v>12740</v>
      </c>
      <c r="E73" s="64">
        <f t="shared" si="2"/>
        <v>42110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f>TRUNC(62727,-1)</f>
        <v>62720</v>
      </c>
      <c r="E76" s="64">
        <f t="shared" si="2"/>
        <v>207330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TRUNC(1228,-1)</f>
        <v>1220</v>
      </c>
      <c r="E79" s="64">
        <f t="shared" si="2"/>
        <v>4030</v>
      </c>
      <c r="F79" s="2" t="s">
        <v>268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TRUNC(3186,-1)</f>
        <v>3180</v>
      </c>
      <c r="E81" s="64">
        <f t="shared" si="2"/>
        <v>10510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f>TRUNC(2307+421,-1)</f>
        <v>2720</v>
      </c>
      <c r="E83" s="64">
        <f t="shared" si="2"/>
        <v>8990</v>
      </c>
      <c r="F83" s="2" t="s">
        <v>254</v>
      </c>
    </row>
    <row r="84" spans="1:7" x14ac:dyDescent="0.3">
      <c r="A84" s="2">
        <v>16</v>
      </c>
      <c r="C84" s="38" t="s">
        <v>122</v>
      </c>
      <c r="D84" s="42">
        <f>TRUNC(1065,-1)</f>
        <v>1060</v>
      </c>
      <c r="E84" s="64">
        <f t="shared" si="2"/>
        <v>3500</v>
      </c>
      <c r="F84" s="2" t="s">
        <v>255</v>
      </c>
    </row>
    <row r="85" spans="1:7" x14ac:dyDescent="0.3">
      <c r="A85" s="2">
        <v>17</v>
      </c>
      <c r="C85" s="38" t="s">
        <v>123</v>
      </c>
      <c r="D85" s="42">
        <f>TRUNC(800,-1)</f>
        <v>800</v>
      </c>
      <c r="E85" s="64">
        <f t="shared" si="2"/>
        <v>2640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f>TRUNC(188,-1)</f>
        <v>180</v>
      </c>
      <c r="E87" s="64">
        <f t="shared" si="2"/>
        <v>590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TRUNC(1005+274,-1)</f>
        <v>1270</v>
      </c>
      <c r="E89" s="64">
        <f t="shared" si="2"/>
        <v>4190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 t="shared" si="2"/>
        <v>0</v>
      </c>
    </row>
    <row r="92" spans="1:7" x14ac:dyDescent="0.3">
      <c r="A92" s="2">
        <v>24</v>
      </c>
      <c r="C92" s="38" t="s">
        <v>38</v>
      </c>
      <c r="D92" s="42">
        <f>TRUNC(8032,-1)</f>
        <v>8030</v>
      </c>
      <c r="E92" s="64">
        <f t="shared" si="2"/>
        <v>26540</v>
      </c>
    </row>
    <row r="93" spans="1:7" x14ac:dyDescent="0.3">
      <c r="A93" s="2">
        <v>25</v>
      </c>
      <c r="C93" s="38" t="s">
        <v>148</v>
      </c>
      <c r="D93" s="42">
        <f>TRUNC(61866,-1)</f>
        <v>61860</v>
      </c>
      <c r="E93" s="64">
        <f t="shared" si="2"/>
        <v>204490</v>
      </c>
    </row>
    <row r="94" spans="1:7" ht="17.25" thickBot="1" x14ac:dyDescent="0.35">
      <c r="A94" s="2">
        <v>26</v>
      </c>
      <c r="C94" s="38" t="s">
        <v>47</v>
      </c>
      <c r="D94" s="43">
        <f>TRUNC(465+1341+323+6574+944,-1)</f>
        <v>9640</v>
      </c>
      <c r="E94" s="65">
        <f t="shared" si="2"/>
        <v>31860</v>
      </c>
      <c r="F94" s="2" t="s">
        <v>267</v>
      </c>
    </row>
    <row r="95" spans="1:7" x14ac:dyDescent="0.3">
      <c r="A95" s="2">
        <v>27</v>
      </c>
      <c r="C95" s="27" t="s">
        <v>112</v>
      </c>
      <c r="D95" s="39">
        <f>SUM(D69:D94)</f>
        <v>170720</v>
      </c>
      <c r="E95" s="39">
        <f>SUM(E69:E94)</f>
        <v>564290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235</v>
      </c>
      <c r="G97" s="55"/>
    </row>
    <row r="98" spans="1:7" x14ac:dyDescent="0.3">
      <c r="A98" s="2">
        <v>1</v>
      </c>
      <c r="C98" s="38" t="s">
        <v>39</v>
      </c>
      <c r="D98" s="40">
        <f>TRUNC(8149,-1)</f>
        <v>8140</v>
      </c>
      <c r="E98" s="63">
        <f t="shared" ref="E98:E118" si="3">TRUNC(+D98*3.3058,-1)</f>
        <v>26900</v>
      </c>
      <c r="F98" s="2" t="s">
        <v>258</v>
      </c>
    </row>
    <row r="99" spans="1:7" x14ac:dyDescent="0.3">
      <c r="A99" s="2">
        <v>2</v>
      </c>
      <c r="C99" s="38" t="s">
        <v>40</v>
      </c>
      <c r="D99" s="42">
        <f>TRUNC(755+1491+1285,-1)</f>
        <v>3530</v>
      </c>
      <c r="E99" s="64">
        <f t="shared" si="3"/>
        <v>11660</v>
      </c>
      <c r="F99" s="2" t="s">
        <v>259</v>
      </c>
    </row>
    <row r="100" spans="1:7" x14ac:dyDescent="0.3">
      <c r="A100" s="2">
        <v>3</v>
      </c>
      <c r="C100" s="38" t="s">
        <v>41</v>
      </c>
      <c r="D100" s="42">
        <f>TRUNC(16679,-1)</f>
        <v>16670</v>
      </c>
      <c r="E100" s="64">
        <f t="shared" si="3"/>
        <v>55100</v>
      </c>
    </row>
    <row r="101" spans="1:7" x14ac:dyDescent="0.3">
      <c r="A101" s="2">
        <v>4</v>
      </c>
      <c r="C101" s="38" t="s">
        <v>42</v>
      </c>
      <c r="D101" s="42">
        <f>TRUNC(2939,-1)</f>
        <v>2930</v>
      </c>
      <c r="E101" s="64">
        <f t="shared" si="3"/>
        <v>9680</v>
      </c>
      <c r="F101" s="2" t="s">
        <v>260</v>
      </c>
    </row>
    <row r="102" spans="1:7" x14ac:dyDescent="0.3">
      <c r="A102" s="2">
        <v>5</v>
      </c>
      <c r="C102" s="38" t="s">
        <v>43</v>
      </c>
      <c r="D102" s="42">
        <f>TRUNC(7282+1326+119,-1)</f>
        <v>8720</v>
      </c>
      <c r="E102" s="64">
        <f t="shared" si="3"/>
        <v>28820</v>
      </c>
      <c r="F102" s="58" t="s">
        <v>262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TRUNC(2723,-1)</f>
        <v>2720</v>
      </c>
      <c r="E104" s="64">
        <f t="shared" si="3"/>
        <v>8990</v>
      </c>
    </row>
    <row r="105" spans="1:7" x14ac:dyDescent="0.3">
      <c r="A105" s="2">
        <v>8</v>
      </c>
      <c r="C105" s="38" t="s">
        <v>46</v>
      </c>
      <c r="D105" s="42">
        <f>TRUNC(4876,-1)</f>
        <v>4870</v>
      </c>
      <c r="E105" s="64">
        <f t="shared" si="3"/>
        <v>16090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TRUNC(1953+2082,-1)</f>
        <v>4030</v>
      </c>
      <c r="E108" s="64">
        <f t="shared" si="3"/>
        <v>13320</v>
      </c>
      <c r="F108" s="2" t="s">
        <v>263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TRUNC(1231,-1)</f>
        <v>1230</v>
      </c>
      <c r="E116" s="64">
        <f t="shared" si="3"/>
        <v>4060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TRUNC(36765,-1)</f>
        <v>36760</v>
      </c>
      <c r="E117" s="64">
        <f t="shared" si="3"/>
        <v>121520</v>
      </c>
    </row>
    <row r="118" spans="1:7" ht="17.25" thickBot="1" x14ac:dyDescent="0.35">
      <c r="A118" s="2">
        <v>21</v>
      </c>
      <c r="C118" s="38" t="s">
        <v>47</v>
      </c>
      <c r="D118" s="43">
        <f>TRUNC(959+1069,-1)</f>
        <v>2020</v>
      </c>
      <c r="E118" s="65">
        <f t="shared" si="3"/>
        <v>6670</v>
      </c>
      <c r="F118" s="2" t="s">
        <v>261</v>
      </c>
    </row>
    <row r="119" spans="1:7" x14ac:dyDescent="0.3">
      <c r="A119" s="2">
        <v>22</v>
      </c>
      <c r="C119" s="27" t="s">
        <v>112</v>
      </c>
      <c r="D119" s="39">
        <f>SUM(D98:D118)</f>
        <v>91620</v>
      </c>
      <c r="E119" s="39">
        <f>SUM(E98:E118)</f>
        <v>302810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235</v>
      </c>
      <c r="G121" s="55"/>
    </row>
    <row r="122" spans="1:7" x14ac:dyDescent="0.3">
      <c r="A122" s="2">
        <v>1</v>
      </c>
      <c r="C122" s="38" t="s">
        <v>55</v>
      </c>
      <c r="D122" s="40">
        <f>TRUNC(1288,-1)</f>
        <v>1280</v>
      </c>
      <c r="E122" s="63">
        <f t="shared" ref="E122:E132" si="4">TRUNC(+D122*3.3058,-1)</f>
        <v>4230</v>
      </c>
    </row>
    <row r="123" spans="1:7" x14ac:dyDescent="0.3">
      <c r="A123" s="2">
        <v>2</v>
      </c>
      <c r="C123" s="38" t="s">
        <v>124</v>
      </c>
      <c r="D123" s="42">
        <f>TRUNC(2869+5184+95,-1)</f>
        <v>8140</v>
      </c>
      <c r="E123" s="64">
        <f t="shared" si="4"/>
        <v>26900</v>
      </c>
      <c r="F123" s="2" t="s">
        <v>264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TRUNC(4777,-1)</f>
        <v>4770</v>
      </c>
      <c r="E125" s="64">
        <f t="shared" si="4"/>
        <v>15760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TRUNC(12585,-1)</f>
        <v>12580</v>
      </c>
      <c r="E131" s="64">
        <f t="shared" si="4"/>
        <v>41580</v>
      </c>
    </row>
    <row r="132" spans="1:7" ht="18" thickBot="1" x14ac:dyDescent="0.35">
      <c r="A132" s="2">
        <v>11</v>
      </c>
      <c r="C132" s="38" t="s">
        <v>47</v>
      </c>
      <c r="D132" s="43">
        <f>TRUNC(6098+2567+281,-1)</f>
        <v>8940</v>
      </c>
      <c r="E132" s="65">
        <f t="shared" si="4"/>
        <v>29550</v>
      </c>
      <c r="F132" s="54" t="s">
        <v>265</v>
      </c>
    </row>
    <row r="133" spans="1:7" x14ac:dyDescent="0.3">
      <c r="A133" s="2">
        <v>12</v>
      </c>
      <c r="C133" s="27" t="s">
        <v>112</v>
      </c>
      <c r="D133" s="39">
        <f>SUM(D122:D132)</f>
        <v>35710</v>
      </c>
      <c r="E133" s="39">
        <f>SUM(E122:E132)</f>
        <v>118020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235</v>
      </c>
      <c r="G135" s="55"/>
    </row>
    <row r="136" spans="1:7" x14ac:dyDescent="0.3">
      <c r="A136" s="2">
        <v>1</v>
      </c>
      <c r="C136" s="38" t="s">
        <v>131</v>
      </c>
      <c r="D136" s="40">
        <f>TRUNC(26620,-1)</f>
        <v>26620</v>
      </c>
      <c r="E136" s="63">
        <f t="shared" ref="E136:E145" si="5">TRUNC(+D136*3.3058,-1)</f>
        <v>88000</v>
      </c>
      <c r="F136" s="2" t="s">
        <v>270</v>
      </c>
    </row>
    <row r="137" spans="1:7" x14ac:dyDescent="0.3">
      <c r="A137" s="2">
        <v>2</v>
      </c>
      <c r="C137" s="38" t="s">
        <v>47</v>
      </c>
      <c r="D137" s="42">
        <f>TRUNC(14087,-1)</f>
        <v>14080</v>
      </c>
      <c r="E137" s="64">
        <f t="shared" si="5"/>
        <v>46540</v>
      </c>
      <c r="F137" s="2" t="s">
        <v>269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40700</v>
      </c>
      <c r="E146" s="39">
        <f>SUM(E136:E145)</f>
        <v>134540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235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4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TRUNC(2875+24397,-1)</f>
        <v>27270</v>
      </c>
      <c r="E152" s="64">
        <f>TRUNC(+D152*3.3058,-1)</f>
        <v>90140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27270</v>
      </c>
      <c r="E154" s="39">
        <f>SUM(E149:E153)</f>
        <v>90140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235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TRUNC(18286,-1)</f>
        <v>18280</v>
      </c>
      <c r="E159" s="64">
        <f>TRUNC(+D159*3.3058,-1)</f>
        <v>60430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18280</v>
      </c>
      <c r="E161" s="39">
        <f>SUM(E157:E160)</f>
        <v>60430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2020-12-07T09:42:12Z</dcterms:modified>
</cp:coreProperties>
</file>