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123" i="4"/>
  <c r="D132" i="4"/>
  <c r="D79" i="4"/>
  <c r="D94" i="4"/>
  <c r="D58" i="4" l="1"/>
  <c r="D59" i="4"/>
  <c r="D53" i="4"/>
  <c r="D52" i="4"/>
  <c r="D51" i="4"/>
  <c r="D50" i="4"/>
  <c r="D49" i="4"/>
  <c r="D48" i="4"/>
  <c r="D55" i="4"/>
  <c r="D44" i="4"/>
  <c r="D47" i="4"/>
  <c r="D45" i="4"/>
  <c r="D46" i="4"/>
  <c r="D43" i="4"/>
  <c r="D42" i="4"/>
  <c r="D41" i="4"/>
  <c r="D40" i="4"/>
  <c r="D37" i="4"/>
  <c r="D152" i="4"/>
  <c r="D153" i="4"/>
  <c r="D150" i="4"/>
  <c r="D151" i="4"/>
  <c r="D149" i="4"/>
  <c r="D63" i="4"/>
  <c r="D81" i="4"/>
  <c r="D86" i="4"/>
  <c r="D89" i="4"/>
  <c r="D73" i="4"/>
  <c r="D92" i="4"/>
  <c r="D69" i="4"/>
  <c r="D118" i="4"/>
  <c r="D100" i="4"/>
  <c r="D102" i="4"/>
  <c r="D104" i="4"/>
  <c r="D106" i="4"/>
  <c r="D101" i="4"/>
  <c r="D117" i="4"/>
  <c r="D131" i="4"/>
  <c r="D125" i="4"/>
  <c r="D12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60" i="4"/>
  <c r="E154" i="4"/>
  <c r="E146" i="4"/>
  <c r="E95" i="4"/>
  <c r="E119" i="4"/>
  <c r="D161" i="4"/>
  <c r="D154" i="4"/>
  <c r="D31" i="4" s="1"/>
  <c r="E31" i="4" s="1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<sst xmlns="http://schemas.openxmlformats.org/spreadsheetml/2006/main" count="393" uniqueCount="268">
  <si>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</si>
  <si>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</si>
  <si>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</si>
  <si>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</si>
  <si>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</si>
  <si>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</si>
  <si>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</si>
  <si>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</si>
  <si>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</si>
  <si>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</si>
  <si>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</si>
  <si>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</si>
  <si>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</si>
  <si>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</si>
  <si>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</si>
  <si>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</si>
  <si>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</si>
  <si>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</si>
  <si>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</si>
  <si>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</si>
  <si>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</si>
  <si>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</si>
  <si>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</si>
  <si>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</si>
  <si>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</si>
  <si>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</si>
  <si>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</si>
  <si>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</si>
  <si>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</si>
  <si>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</si>
  <si>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</si>
  <si>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</si>
  <si>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</si>
  <si>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</si>
  <si>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</si>
  <si>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</si>
  <si>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</si>
  <si>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</si>
  <si>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</si>
  <si>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</si>
  <si>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</si>
  <si>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</si>
  <si>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</si>
  <si>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</si>
  <si>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</si>
  <si>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</si>
  <si>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</si>
  <si>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</si>
  <si>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</si>
  <si>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</si>
  <si>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</si>
  <si>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</si>
  <si>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</si>
  <si>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</si>
  <si>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</si>
  <si>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</si>
  <si>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</si>
  <si>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</si>
  <si>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</si>
  <si>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</si>
  <si>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</si>
  <si>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</si>
  <si>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</si>
  <si>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</si>
  <si>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</si>
  <si>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</si>
  <si>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</si>
  <si>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</si>
  <si>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</si>
  <si>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</si>
  <si>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</si>
  <si>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</si>
  <si>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</si>
  <si>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</si>
  <si>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</si>
  <si>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</si>
  <si>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</si>
  <si>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</si>
  <si>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</si>
  <si>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</si>
  <si>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</si>
  <si>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</si>
  <si>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</si>
  <si>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</si>
  <si>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</si>
  <si>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</si>
  <si>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</si>
  <si>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</si>
  <si>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</si>
  <si>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</si>
  <si>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</si>
  <si>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</si>
  <si>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</si>
  <si>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</si>
  <si>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</si>
  <si>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</si>
  <si>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</si>
  <si>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</si>
  <si>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</si>
  <si>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</si>
  <si>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</si>
  <si>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</si>
  <si>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</si>
  <si>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</si>
  <si>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</si>
  <si>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</si>
  <si>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</si>
  <si>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</si>
  <si>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</si>
  <si>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</si>
  <si>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</si>
  <si>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</si>
  <si>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</si>
  <si>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</si>
  <si>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</si>
  <si>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</si>
  <si>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</si>
  <si>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</si>
  <si>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</si>
  <si>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</si>
  <si>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</si>
  <si>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</si>
  <si>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</si>
  <si>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</si>
  <si>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</si>
  <si>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</si>
  <si>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</si>
  <si>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</si>
  <si>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</si>
  <si>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</si>
  <si>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</si>
  <si>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</si>
  <si>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</si>
  <si>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</si>
  <si>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</si>
  <si>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</si>
  <si>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</si>
  <si>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</si>
  <si>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</si>
  <si>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</si>
  <si>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</si>
  <si>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</si>
  <si>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</si>
  <si>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</si>
  <si>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</si>
  <si>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</si>
  <si>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</si>
  <si>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</si>
  <si>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</si>
  <si>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</si>
  <si>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</si>
  <si>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</si>
  <si>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</si>
  <si>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</si>
  <si>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</si>
  <si>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</si>
  <si>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</si>
  <si>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</si>
  <si>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</si>
  <si>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</si>
  <si>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</si>
  <si>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</si>
  <si>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</si>
  <si>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</si>
  <si>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</si>
  <si>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</si>
  <si>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</si>
  <si>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</si>
  <si>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</si>
  <si>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</si>
  <si>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</si>
  <si>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</si>
  <si>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</si>
  <si>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</si>
  <si>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</si>
  <si>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</si>
  <si>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</si>
  <si>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</si>
  <si>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</si>
  <si>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</si>
  <si>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</si>
  <si>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</si>
  <si>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</si>
  <si>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</si>
  <si>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</si>
  <si>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</si>
  <si>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</si>
  <si>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</si>
  <si>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</si>
  <si>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</si>
  <si>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</si>
  <si>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</si>
  <si>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</si>
  <si>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</si>
  <si>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</si>
  <si>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</si>
  <si>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</si>
  <si>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</si>
  <si>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</si>
  <si>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</si>
  <si>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</si>
  <si>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</si>
  <si>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</si>
  <si>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</si>
  <si>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</si>
  <si>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</si>
  <si>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</si>
  <si>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</si>
  <si>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</si>
  <si>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</si>
  <si>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</si>
  <si>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</si>
  <si>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</si>
  <si>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</si>
  <si>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</si>
  <si>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</si>
  <si>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</si>
  <si>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</si>
  <si>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</si>
  <si>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</si>
  <si>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</si>
  <si>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</si>
  <si>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</si>
  <si>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</si>
  <si>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</si>
  <si>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</si>
  <si>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</si>
  <si>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</si>
  <si>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</si>
  <si>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</si>
  <si>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</si>
  <si>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</si>
  <si>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</si>
  <si>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</si>
  <si>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</si>
  <si>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</si>
  <si>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</si>
  <si>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</si>
  <si>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</si>
  <si>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</si>
  <si>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</si>
  <si>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</si>
  <si>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</si>
  <si>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</si>
  <si>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</si>
  <si>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</si>
  <si>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</si>
  <si>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</si>
  <si>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00체육관 신축공사</t>
  </si>
  <si>
    <t>문화및집회</t>
  </si>
  <si>
    <t>충청도</t>
  </si>
  <si>
    <t>옥외방송공사</t>
  </si>
  <si>
    <t>특고압인입 및 외선공사,외등공사,경관조명배관공사,동력배관공사(소방용),동력배관공사(일반동력용),주방동력배관공사,전기간선공사,체육관내동력배관공사,B동전기공사</t>
    <phoneticPr fontId="2" type="noConversion"/>
  </si>
  <si>
    <t>전기실 변전공사</t>
  </si>
  <si>
    <t>전기실 접지공사,피뢰침공사</t>
    <phoneticPr fontId="2" type="noConversion"/>
  </si>
  <si>
    <t>전등공사,전등제어센서 및 음향자동제어</t>
    <phoneticPr fontId="2" type="noConversion"/>
  </si>
  <si>
    <t>우오수공</t>
  </si>
  <si>
    <t>상수도공,조경공,부대공,사급자재비,폐기물처리비</t>
    <phoneticPr fontId="2" type="noConversion"/>
  </si>
  <si>
    <t>토및지정공사,골재대,운반공사,부산물공제,사급자재,옥외시설</t>
    <phoneticPr fontId="2" type="noConversion"/>
  </si>
  <si>
    <t>통기관배관공사,체육관닥트배관공사,기타공사</t>
    <phoneticPr fontId="2" type="noConversion"/>
  </si>
  <si>
    <t>환기배관공사</t>
    <phoneticPr fontId="2" type="noConversion"/>
  </si>
  <si>
    <t>통신인입공사</t>
    <phoneticPr fontId="2" type="noConversion"/>
  </si>
  <si>
    <t>전화.TV 공사,LAN 배관공사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</si>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</sst>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5306</v>
      </c>
      <c r="D7" s="36">
        <f>+C7/3.3058</f>
        <v>1605.0577772400025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4160</v>
      </c>
      <c r="E24" s="58">
        <f t="shared" ref="E24:E33" si="0">TRUNC(+D24*3.3058,-1)</f>
        <v>13750</v>
      </c>
    </row>
    <row r="25" spans="1:5" x14ac:dyDescent="0.3">
      <c r="B25" s="2">
        <v>2</v>
      </c>
      <c r="C25" s="35" t="s">
        <v>111</v>
      </c>
      <c r="D25" s="45">
        <f>+D60</f>
        <v>1057270</v>
      </c>
      <c r="E25" s="59">
        <f t="shared" si="0"/>
        <v>3495120</v>
      </c>
    </row>
    <row r="26" spans="1:5" x14ac:dyDescent="0.3">
      <c r="B26" s="2">
        <v>3</v>
      </c>
      <c r="C26" s="35" t="s">
        <v>95</v>
      </c>
      <c r="D26" s="45">
        <f>+D66</f>
        <v>21330</v>
      </c>
      <c r="E26" s="59">
        <f t="shared" si="0"/>
        <v>70510</v>
      </c>
    </row>
    <row r="27" spans="1:5" x14ac:dyDescent="0.3">
      <c r="B27" s="2">
        <v>4</v>
      </c>
      <c r="C27" s="35" t="s">
        <v>96</v>
      </c>
      <c r="D27" s="45">
        <f>+D95</f>
        <v>185370</v>
      </c>
      <c r="E27" s="59">
        <f t="shared" si="0"/>
        <v>612790</v>
      </c>
    </row>
    <row r="28" spans="1:5" x14ac:dyDescent="0.3">
      <c r="B28" s="2">
        <v>5</v>
      </c>
      <c r="C28" s="35" t="s">
        <v>97</v>
      </c>
      <c r="D28" s="45">
        <f>+D119</f>
        <v>238440</v>
      </c>
      <c r="E28" s="59">
        <f t="shared" si="0"/>
        <v>788230</v>
      </c>
    </row>
    <row r="29" spans="1:5" x14ac:dyDescent="0.3">
      <c r="B29" s="2">
        <v>6</v>
      </c>
      <c r="C29" s="35" t="s">
        <v>98</v>
      </c>
      <c r="D29" s="45">
        <f>+D133</f>
        <v>67700</v>
      </c>
      <c r="E29" s="59">
        <f t="shared" si="0"/>
        <v>223800</v>
      </c>
    </row>
    <row r="30" spans="1:5" x14ac:dyDescent="0.3">
      <c r="B30" s="2">
        <v>7</v>
      </c>
      <c r="C30" s="35" t="s">
        <v>99</v>
      </c>
      <c r="D30" s="45">
        <f>+D146</f>
        <v>35490</v>
      </c>
      <c r="E30" s="59">
        <f t="shared" si="0"/>
        <v>117320</v>
      </c>
    </row>
    <row r="31" spans="1:5" x14ac:dyDescent="0.3">
      <c r="B31" s="2">
        <v>8</v>
      </c>
      <c r="C31" s="35" t="s">
        <v>100</v>
      </c>
      <c r="D31" s="45">
        <f>+D154</f>
        <v>206880</v>
      </c>
      <c r="E31" s="59">
        <f t="shared" si="0"/>
        <v>683900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499570</v>
      </c>
      <c r="E33" s="60">
        <f t="shared" si="0"/>
        <v>1651470</v>
      </c>
    </row>
    <row r="34" spans="1:7" x14ac:dyDescent="0.3">
      <c r="C34" s="35" t="s">
        <v>112</v>
      </c>
      <c r="D34" s="44">
        <f>SUM(D24:D33)</f>
        <v>2316210</v>
      </c>
      <c r="E34" s="44">
        <f>SUM(E24:E33)</f>
        <v>7656890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TRUNC(4160.41142103279,-1)</f>
        <v>4160</v>
      </c>
      <c r="E37" s="61">
        <f>TRUNC(+D37*3.3058,-1)</f>
        <v>13750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TRUNC(43371.2542404825,-1)</f>
        <v>43370</v>
      </c>
      <c r="E40" s="62">
        <f t="shared" ref="E40:E59" si="1">TRUNC(+D40*3.3058,-1)</f>
        <v>143370</v>
      </c>
    </row>
    <row r="41" spans="1:7" x14ac:dyDescent="0.3">
      <c r="A41" s="2">
        <v>2</v>
      </c>
      <c r="C41" s="38" t="s">
        <v>13</v>
      </c>
      <c r="D41" s="42">
        <f>TRUNC(140504.646437995,-1)</f>
        <v>140500</v>
      </c>
      <c r="E41" s="63">
        <f t="shared" si="1"/>
        <v>464460</v>
      </c>
    </row>
    <row r="42" spans="1:7" x14ac:dyDescent="0.3">
      <c r="A42" s="2">
        <v>3</v>
      </c>
      <c r="C42" s="38" t="s">
        <v>14</v>
      </c>
      <c r="D42" s="42">
        <f>TRUNC(67213.3560120618,-1)</f>
        <v>67210</v>
      </c>
      <c r="E42" s="63">
        <f t="shared" si="1"/>
        <v>222180</v>
      </c>
    </row>
    <row r="43" spans="1:7" x14ac:dyDescent="0.3">
      <c r="A43" s="2">
        <v>4</v>
      </c>
      <c r="C43" s="38" t="s">
        <v>16</v>
      </c>
      <c r="D43" s="42">
        <f>TRUNC(2043.80399547682,-1)</f>
        <v>2040</v>
      </c>
      <c r="E43" s="63">
        <f t="shared" si="1"/>
        <v>6740</v>
      </c>
    </row>
    <row r="44" spans="1:7" x14ac:dyDescent="0.3">
      <c r="A44" s="2">
        <v>5</v>
      </c>
      <c r="C44" s="38" t="s">
        <v>17</v>
      </c>
      <c r="D44" s="42">
        <f>TRUNC(26844.9934036939,-1)</f>
        <v>26840</v>
      </c>
      <c r="E44" s="63">
        <f t="shared" si="1"/>
        <v>88720</v>
      </c>
    </row>
    <row r="45" spans="1:7" x14ac:dyDescent="0.3">
      <c r="A45" s="2">
        <v>6</v>
      </c>
      <c r="C45" s="38" t="s">
        <v>18</v>
      </c>
      <c r="D45" s="42">
        <f>TRUNC(4807.43309460988,-1)</f>
        <v>4800</v>
      </c>
      <c r="E45" s="63">
        <f t="shared" si="1"/>
        <v>15860</v>
      </c>
    </row>
    <row r="46" spans="1:7" x14ac:dyDescent="0.3">
      <c r="A46" s="2">
        <v>7</v>
      </c>
      <c r="C46" s="38" t="s">
        <v>19</v>
      </c>
      <c r="D46" s="42">
        <f>TRUNC(134495.047116472,-1)</f>
        <v>134490</v>
      </c>
      <c r="E46" s="63">
        <f t="shared" si="1"/>
        <v>444590</v>
      </c>
    </row>
    <row r="47" spans="1:7" x14ac:dyDescent="0.3">
      <c r="A47" s="2">
        <v>8</v>
      </c>
      <c r="C47" s="38" t="s">
        <v>20</v>
      </c>
      <c r="D47" s="42">
        <f>TRUNC(25132.691292876,-1)</f>
        <v>25130</v>
      </c>
      <c r="E47" s="63">
        <f t="shared" si="1"/>
        <v>83070</v>
      </c>
    </row>
    <row r="48" spans="1:7" x14ac:dyDescent="0.3">
      <c r="A48" s="2">
        <v>9</v>
      </c>
      <c r="C48" s="38" t="s">
        <v>21</v>
      </c>
      <c r="D48" s="42">
        <f>TRUNC(20339.2742178666,-1)</f>
        <v>20330</v>
      </c>
      <c r="E48" s="63">
        <f t="shared" si="1"/>
        <v>67200</v>
      </c>
    </row>
    <row r="49" spans="1:7" x14ac:dyDescent="0.3">
      <c r="A49" s="2">
        <v>10</v>
      </c>
      <c r="C49" s="38" t="s">
        <v>22</v>
      </c>
      <c r="D49" s="42">
        <f>TRUNC(21726.7794949114,-1)</f>
        <v>21720</v>
      </c>
      <c r="E49" s="63">
        <f t="shared" si="1"/>
        <v>71800</v>
      </c>
    </row>
    <row r="50" spans="1:7" x14ac:dyDescent="0.3">
      <c r="A50" s="2">
        <v>11</v>
      </c>
      <c r="C50" s="38" t="s">
        <v>155</v>
      </c>
      <c r="D50" s="42">
        <f>TRUNC(46548.484922729,-1)</f>
        <v>46540</v>
      </c>
      <c r="E50" s="63">
        <f t="shared" si="1"/>
        <v>153850</v>
      </c>
    </row>
    <row r="51" spans="1:7" x14ac:dyDescent="0.3">
      <c r="A51" s="2">
        <v>12</v>
      </c>
      <c r="C51" s="38" t="s">
        <v>23</v>
      </c>
      <c r="D51" s="42">
        <f>TRUNC(31582.2303053147,-1)</f>
        <v>31580</v>
      </c>
      <c r="E51" s="63">
        <f t="shared" si="1"/>
        <v>104390</v>
      </c>
    </row>
    <row r="52" spans="1:7" x14ac:dyDescent="0.3">
      <c r="A52" s="2">
        <v>13</v>
      </c>
      <c r="C52" s="38" t="s">
        <v>24</v>
      </c>
      <c r="D52" s="42">
        <f>TRUNC(13797.597248398,-1)</f>
        <v>13790</v>
      </c>
      <c r="E52" s="63">
        <f t="shared" si="1"/>
        <v>45580</v>
      </c>
    </row>
    <row r="53" spans="1:7" x14ac:dyDescent="0.3">
      <c r="A53" s="2">
        <v>14</v>
      </c>
      <c r="C53" s="38" t="s">
        <v>25</v>
      </c>
      <c r="D53" s="42">
        <f>TRUNC(24220.3335846212,-1)</f>
        <v>24220</v>
      </c>
      <c r="E53" s="63">
        <f t="shared" si="1"/>
        <v>80060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TRUNC(15688.5567282322,-1)</f>
        <v>15680</v>
      </c>
      <c r="E55" s="63">
        <f t="shared" si="1"/>
        <v>51830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TRUNC(14380.2693177535+4074.25555974369+2531.85337353939-695.439125518281+104168.848850358+100233.463060686,-1)</f>
        <v>224690</v>
      </c>
      <c r="E58" s="63">
        <f t="shared" si="1"/>
        <v>742780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TRUNC(214340.746324915,-1)</f>
        <v>214340</v>
      </c>
      <c r="E59" s="64">
        <f t="shared" si="1"/>
        <v>708560</v>
      </c>
    </row>
    <row r="60" spans="1:7" x14ac:dyDescent="0.3">
      <c r="A60" s="2">
        <v>21</v>
      </c>
      <c r="C60" s="27" t="s">
        <v>112</v>
      </c>
      <c r="D60" s="39">
        <f>SUM(D40:D59)</f>
        <v>1057270</v>
      </c>
      <c r="E60" s="39">
        <f>SUM(E40:E59)</f>
        <v>3495040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TRUNC(21330.1503957784,-1)</f>
        <v>21330</v>
      </c>
      <c r="E63" s="62">
        <f>TRUNC(+D63*3.3058,-1)</f>
        <v>70510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21330</v>
      </c>
      <c r="E66" s="65">
        <f>SUM(E63:E65)</f>
        <v>70510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TRUNC(80771.5701093102,-1)</f>
        <v>80770</v>
      </c>
      <c r="E69" s="62">
        <f t="shared" ref="E69:E94" si="2">TRUNC(+D69*3.3058,-1)</f>
        <v>267000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TRUNC(28291.5058424425,-1)</f>
        <v>28290</v>
      </c>
      <c r="E73" s="63">
        <f t="shared" si="2"/>
        <v>93520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TRUNC(325.576328684508,-1)</f>
        <v>320</v>
      </c>
      <c r="E79" s="63">
        <f t="shared" si="2"/>
        <v>1050</v>
      </c>
      <c r="F79" s="2" t="s">
        <v>260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TRUNC(14720.8450810403,-1)</f>
        <v>14720</v>
      </c>
      <c r="E81" s="63">
        <f t="shared" si="2"/>
        <v>48660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f>TRUNC(13058.7448171881,-1)</f>
        <v>13050</v>
      </c>
      <c r="E86" s="63">
        <f t="shared" si="2"/>
        <v>43140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TRUNC(13179.8565774595,-1)</f>
        <v>13170</v>
      </c>
      <c r="E89" s="63">
        <f t="shared" si="2"/>
        <v>43530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TRUNC(5698.19185827365,-1)</f>
        <v>5690</v>
      </c>
      <c r="E92" s="63">
        <f t="shared" si="2"/>
        <v>18810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TRUNC(1422.87353938937+22380.9104787034+5558.33000376932,-1)</f>
        <v>29360</v>
      </c>
      <c r="E94" s="64">
        <f t="shared" si="2"/>
        <v>97050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185370</v>
      </c>
      <c r="E95" s="39">
        <f>SUM(E69:E94)</f>
        <v>612760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TRUNC(6940.91556728232+224.82171127026,-1)</f>
        <v>7160</v>
      </c>
      <c r="E100" s="63">
        <f t="shared" si="3"/>
        <v>23660</v>
      </c>
      <c r="F100" s="2" t="s">
        <v>255</v>
      </c>
    </row>
    <row r="101" spans="1:7" x14ac:dyDescent="0.3">
      <c r="A101" s="2">
        <v>4</v>
      </c>
      <c r="C101" s="38" t="s">
        <v>42</v>
      </c>
      <c r="D101" s="42">
        <f>TRUNC(486.879004900113,-1)</f>
        <v>480</v>
      </c>
      <c r="E101" s="63">
        <f t="shared" si="3"/>
        <v>1580</v>
      </c>
    </row>
    <row r="102" spans="1:7" x14ac:dyDescent="0.3">
      <c r="A102" s="2">
        <v>5</v>
      </c>
      <c r="C102" s="38" t="s">
        <v>43</v>
      </c>
      <c r="D102" s="42">
        <f>TRUNC(2868.62627214474,-1)</f>
        <v>2860</v>
      </c>
      <c r="E102" s="63">
        <f t="shared" si="3"/>
        <v>9450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TRUNC(1044.51507727101+695.617037316246,-1)</f>
        <v>1740</v>
      </c>
      <c r="E104" s="63">
        <f t="shared" si="3"/>
        <v>5750</v>
      </c>
      <c r="F104" s="2" t="s">
        <v>254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f>TRUNC(1013.5963060686,-1)</f>
        <v>1010</v>
      </c>
      <c r="E106" s="63">
        <f t="shared" si="3"/>
        <v>3330</v>
      </c>
      <c r="F106" s="2" t="s">
        <v>253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TRUNC(18595.3637391632+184769.129287599,-1)</f>
        <v>203360</v>
      </c>
      <c r="E117" s="63">
        <f t="shared" si="3"/>
        <v>672260</v>
      </c>
    </row>
    <row r="118" spans="1:7" ht="17.25" thickBot="1" x14ac:dyDescent="0.35">
      <c r="A118" s="2">
        <v>21</v>
      </c>
      <c r="C118" s="38" t="s">
        <v>47</v>
      </c>
      <c r="D118" s="43">
        <f>TRUNC(3626.47889182058+2591.32736524689+486.879004900113+162.781379570298+437.520919713532+76.6615152657369+9987.44421409725+4181.95910290237+288.238974745571,-1)</f>
        <v>21830</v>
      </c>
      <c r="E118" s="64">
        <f t="shared" si="3"/>
        <v>72160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238440</v>
      </c>
      <c r="E119" s="39">
        <f>SUM(E98:E118)</f>
        <v>788190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f>TRUNC(2855.89615529589+3319.56652845835,-1)</f>
        <v>6170</v>
      </c>
      <c r="E123" s="63">
        <f t="shared" si="4"/>
        <v>20390</v>
      </c>
      <c r="F123" s="2" t="s">
        <v>262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TRUNC(1875.60177157934,-1)</f>
        <v>1870</v>
      </c>
      <c r="E125" s="63">
        <f t="shared" si="4"/>
        <v>6180</v>
      </c>
    </row>
    <row r="126" spans="1:7" x14ac:dyDescent="0.3">
      <c r="A126" s="2">
        <v>5</v>
      </c>
      <c r="C126" s="38" t="s">
        <v>53</v>
      </c>
      <c r="D126" s="42">
        <f>TRUNC(1164.65699208443,-1)</f>
        <v>1160</v>
      </c>
      <c r="E126" s="63">
        <f t="shared" si="4"/>
        <v>3830</v>
      </c>
      <c r="F126" s="2" t="s">
        <v>251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TRUNC(57705.427817565,-1)</f>
        <v>57700</v>
      </c>
      <c r="E131" s="63">
        <f t="shared" si="4"/>
        <v>190740</v>
      </c>
    </row>
    <row r="132" spans="1:7" ht="18" thickBot="1" x14ac:dyDescent="0.35">
      <c r="A132" s="2">
        <v>11</v>
      </c>
      <c r="C132" s="38" t="s">
        <v>47</v>
      </c>
      <c r="D132" s="43">
        <f>TRUNC(805.563513004146,-1)</f>
        <v>800</v>
      </c>
      <c r="E132" s="64">
        <f t="shared" si="4"/>
        <v>2640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67700</v>
      </c>
      <c r="E133" s="39">
        <f>SUM(E122:E132)</f>
        <v>223780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TRUNC(28854.2619675839,-1)</f>
        <v>28850</v>
      </c>
      <c r="E136" s="62">
        <f t="shared" ref="E136:E145" si="5">TRUNC(+D136*3.3058,-1)</f>
        <v>95370</v>
      </c>
    </row>
    <row r="137" spans="1:7" x14ac:dyDescent="0.3">
      <c r="A137" s="2">
        <v>2</v>
      </c>
      <c r="C137" s="38" t="s">
        <v>47</v>
      </c>
      <c r="D137" s="42">
        <f>TRUNC(6646.12363362231,-1)</f>
        <v>6640</v>
      </c>
      <c r="E137" s="63">
        <f t="shared" si="5"/>
        <v>21950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35490</v>
      </c>
      <c r="E146" s="39">
        <f>SUM(E136:E145)</f>
        <v>117320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TRUNC(9445.5917828873,-1)</f>
        <v>9440</v>
      </c>
      <c r="E149" s="62">
        <f>TRUNC(+D149*3.3058,-1)</f>
        <v>31200</v>
      </c>
      <c r="F149" s="2" t="s">
        <v>256</v>
      </c>
    </row>
    <row r="150" spans="1:7" x14ac:dyDescent="0.3">
      <c r="A150" s="2">
        <v>2</v>
      </c>
      <c r="C150" s="38" t="s">
        <v>49</v>
      </c>
      <c r="D150" s="42">
        <f>TRUNC(34679.5938560121,-1)</f>
        <v>34670</v>
      </c>
      <c r="E150" s="63">
        <f>TRUNC(+D150*3.3058,-1)</f>
        <v>114610</v>
      </c>
    </row>
    <row r="151" spans="1:7" x14ac:dyDescent="0.3">
      <c r="A151" s="2">
        <v>3</v>
      </c>
      <c r="C151" s="38" t="s">
        <v>50</v>
      </c>
      <c r="D151" s="42">
        <f>TRUNC(57812.2389747456,-1)</f>
        <v>57810</v>
      </c>
      <c r="E151" s="63">
        <f>TRUNC(+D151*3.3058,-1)</f>
        <v>191100</v>
      </c>
    </row>
    <row r="152" spans="1:7" x14ac:dyDescent="0.3">
      <c r="A152" s="2">
        <v>4</v>
      </c>
      <c r="C152" s="38" t="s">
        <v>47</v>
      </c>
      <c r="D152" s="42">
        <f>TRUNC(707.340180927252+12626.6192989069+7850.78533735394+77765.7482095741+89.1639653222767,-1)</f>
        <v>99030</v>
      </c>
      <c r="E152" s="63">
        <f>TRUNC(+D152*3.3058,-1)</f>
        <v>327370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TRUNC(5930.45608744817,-1)</f>
        <v>5930</v>
      </c>
      <c r="E153" s="64">
        <f>TRUNC(+D153*3.3058,-1)</f>
        <v>19600</v>
      </c>
    </row>
    <row r="154" spans="1:7" x14ac:dyDescent="0.3">
      <c r="A154" s="2">
        <v>6</v>
      </c>
      <c r="C154" s="27" t="s">
        <v>112</v>
      </c>
      <c r="D154" s="39">
        <f>SUM(D149:D153)</f>
        <v>206880</v>
      </c>
      <c r="E154" s="39">
        <f>SUM(E149:E153)</f>
        <v>683880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2020-12-07T09:20:55Z</dcterms:modified>
</cp:coreProperties>
</file>