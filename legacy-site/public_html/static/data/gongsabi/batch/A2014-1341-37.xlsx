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31" i="4"/>
  <c r="E129" i="4"/>
  <c r="E127" i="4"/>
  <c r="E126" i="4"/>
  <c r="E123" i="4"/>
  <c r="E117" i="4"/>
  <c r="E116" i="4"/>
  <c r="E114" i="4"/>
  <c r="E113" i="4"/>
  <c r="E112" i="4"/>
  <c r="E111" i="4"/>
  <c r="E110" i="4"/>
  <c r="E109" i="4"/>
  <c r="E107" i="4"/>
  <c r="E106" i="4"/>
  <c r="E103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7" i="4"/>
  <c r="E76" i="4"/>
  <c r="E75" i="4"/>
  <c r="E74" i="4"/>
  <c r="E73" i="4"/>
  <c r="E65" i="4"/>
  <c r="E64" i="4"/>
  <c r="E63" i="4"/>
  <c r="E59" i="4"/>
  <c r="E57" i="4"/>
  <c r="E56" i="4"/>
  <c r="E54" i="4"/>
  <c r="E42" i="4"/>
  <c r="E66" i="4" l="1"/>
  <c r="D132" i="4"/>
  <c r="E132" i="4" s="1"/>
  <c r="D130" i="4"/>
  <c r="E130" i="4" s="1"/>
  <c r="D128" i="4"/>
  <c r="E128" i="4" s="1"/>
  <c r="D125" i="4"/>
  <c r="E125" i="4" s="1"/>
  <c r="E133" i="4" s="1"/>
  <c r="D124" i="4"/>
  <c r="E124" i="4" s="1"/>
  <c r="D122" i="4"/>
  <c r="E122" i="4" s="1"/>
  <c r="D118" i="4"/>
  <c r="E118" i="4" s="1"/>
  <c r="D102" i="4"/>
  <c r="E102" i="4" s="1"/>
  <c r="D115" i="4"/>
  <c r="E115" i="4" s="1"/>
  <c r="D105" i="4"/>
  <c r="E105" i="4" s="1"/>
  <c r="D101" i="4"/>
  <c r="E101" i="4" s="1"/>
  <c r="D104" i="4"/>
  <c r="E104" i="4" s="1"/>
  <c r="D100" i="4"/>
  <c r="E100" i="4" s="1"/>
  <c r="D108" i="4"/>
  <c r="E108" i="4" s="1"/>
  <c r="D99" i="4"/>
  <c r="E99" i="4" s="1"/>
  <c r="D98" i="4"/>
  <c r="E98" i="4" s="1"/>
  <c r="D94" i="4"/>
  <c r="E94" i="4" s="1"/>
  <c r="D78" i="4"/>
  <c r="E78" i="4" s="1"/>
  <c r="D72" i="4"/>
  <c r="E72" i="4" s="1"/>
  <c r="D71" i="4"/>
  <c r="E71" i="4" s="1"/>
  <c r="D70" i="4"/>
  <c r="E70" i="4" s="1"/>
  <c r="D69" i="4"/>
  <c r="E69" i="4" s="1"/>
  <c r="D137" i="4"/>
  <c r="E137" i="4" s="1"/>
  <c r="E146" i="4" s="1"/>
  <c r="D159" i="4"/>
  <c r="E159" i="4" s="1"/>
  <c r="E161" i="4" s="1"/>
  <c r="D152" i="4"/>
  <c r="E152" i="4" s="1"/>
  <c r="E154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E60" i="4" s="1"/>
  <c r="D37" i="4"/>
  <c r="E37" i="4" s="1"/>
  <c r="E119" i="4" l="1"/>
  <c r="E95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<sst xmlns="http://schemas.openxmlformats.org/spreadsheetml/2006/main" count="389" uniqueCount="264">
  <si>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</si>
  <si>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</si>
  <si>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</si>
  <si>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</si>
  <si>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</si>
  <si>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</si>
  <si>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</si>
  <si>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</si>
  <si>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</si>
  <si>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</si>
  <si>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</si>
  <si>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</si>
  <si>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</si>
  <si>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</si>
  <si>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</si>
  <si>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</si>
  <si>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</si>
  <si>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</si>
  <si>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</si>
  <si>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</si>
  <si>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</si>
  <si>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</si>
  <si>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</si>
  <si>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</si>
  <si>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</si>
  <si>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</si>
  <si>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</si>
  <si>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</si>
  <si>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</si>
  <si>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</si>
  <si>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</si>
  <si>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</si>
  <si>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</si>
  <si>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</si>
  <si>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</si>
  <si>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</si>
  <si>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</si>
  <si>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</si>
  <si>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</si>
  <si>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</si>
  <si>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</si>
  <si>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</si>
  <si>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</si>
  <si>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</si>
  <si>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</si>
  <si>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</si>
  <si>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</si>
  <si>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</si>
  <si>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</si>
  <si>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</si>
  <si>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</si>
  <si>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</si>
  <si>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</si>
  <si>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</si>
  <si>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</si>
  <si>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</si>
  <si>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</si>
  <si>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</si>
  <si>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</si>
  <si>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</si>
  <si>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</si>
  <si>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</si>
  <si>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</si>
  <si>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</si>
  <si>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</si>
  <si>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</si>
  <si>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</si>
  <si>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</si>
  <si>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</si>
  <si>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</si>
  <si>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</si>
  <si>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</si>
  <si>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</si>
  <si>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</si>
  <si>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</si>
  <si>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</si>
  <si>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</si>
  <si>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</si>
  <si>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</si>
  <si>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</si>
  <si>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</si>
  <si>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</si>
  <si>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</si>
  <si>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</si>
  <si>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</si>
  <si>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</si>
  <si>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</si>
  <si>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</si>
  <si>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</si>
  <si>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</si>
  <si>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</si>
  <si>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</si>
  <si>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</si>
  <si>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</si>
  <si>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</si>
  <si>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</si>
  <si>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</si>
  <si>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</si>
  <si>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</si>
  <si>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</si>
  <si>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</si>
  <si>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</si>
  <si>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</si>
  <si>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</si>
  <si>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</si>
  <si>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</si>
  <si>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</si>
  <si>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</si>
  <si>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</si>
  <si>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</si>
  <si>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</si>
  <si>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</si>
  <si>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</si>
  <si>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</si>
  <si>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</si>
  <si>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</si>
  <si>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</si>
  <si>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</si>
  <si>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</si>
  <si>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</si>
  <si>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</si>
  <si>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</si>
  <si>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</si>
  <si>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</si>
  <si>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</si>
  <si>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</si>
  <si>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</si>
  <si>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</si>
  <si>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</si>
  <si>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</si>
  <si>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</si>
  <si>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</si>
  <si>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</si>
  <si>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</si>
  <si>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</si>
  <si>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</si>
  <si>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</si>
  <si>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</si>
  <si>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</si>
  <si>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</si>
  <si>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</si>
  <si>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</si>
  <si>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</si>
  <si>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</si>
  <si>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</si>
  <si>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</si>
  <si>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</si>
  <si>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</si>
  <si>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</si>
  <si>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</si>
  <si>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</si>
  <si>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</si>
  <si>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</si>
  <si>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</si>
  <si>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</si>
  <si>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</si>
  <si>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</si>
  <si>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</si>
  <si>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</si>
  <si>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</si>
  <si>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</si>
  <si>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</si>
  <si>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</si>
  <si>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</si>
  <si>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</si>
  <si>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</si>
  <si>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</si>
  <si>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</si>
  <si>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</si>
  <si>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</si>
  <si>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</si>
  <si>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</si>
  <si>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</si>
  <si>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</si>
  <si>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</si>
  <si>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</si>
  <si>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</si>
  <si>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</si>
  <si>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</si>
  <si>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</si>
  <si>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</si>
  <si>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</si>
  <si>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</si>
  <si>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</si>
  <si>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</si>
  <si>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</si>
  <si>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</si>
  <si>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</si>
  <si>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</si>
  <si>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</si>
  <si>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</si>
  <si>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</si>
  <si>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</si>
  <si>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</si>
  <si>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</si>
  <si>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</si>
  <si>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</si>
  <si>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</si>
  <si>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</si>
  <si>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</si>
  <si>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</si>
  <si>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</si>
  <si>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</si>
  <si>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</si>
  <si>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</si>
  <si>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</si>
  <si>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</si>
  <si>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</si>
  <si>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</si>
  <si>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</si>
  <si>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</si>
  <si>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</si>
  <si>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</si>
  <si>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</si>
  <si>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</si>
  <si>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</si>
  <si>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</si>
  <si>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</si>
  <si>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</si>
  <si>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</si>
  <si>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</si>
  <si>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</si>
  <si>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</si>
  <si>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</si>
  <si>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</si>
  <si>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</si>
  <si>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</si>
  <si>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</si>
  <si>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</si>
  <si>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</si>
  <si>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</si>
  <si>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</si>
  <si>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</si>
  <si>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</si>
  <si>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</si>
  <si>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</si>
  <si>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</si>
  <si>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</si>
  <si>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</si>
  <si>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</si>
  <si>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</si>
  <si>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</si>
  <si>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</si>
  <si>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</si>
  <si>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</si>
  <si>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</si>
  <si>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</si>
  <si>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</si>
  <si>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0000우체국 건립공사</t>
    <phoneticPr fontId="2" type="noConversion"/>
  </si>
  <si>
    <t>업무</t>
  </si>
  <si>
    <t>서울</t>
  </si>
  <si>
    <t>토및지정공사,기타공사,싸인물공사,골재비,작업부산물,운반비,품질시험비</t>
    <phoneticPr fontId="2" type="noConversion"/>
  </si>
  <si>
    <t>부대조경공사</t>
    <phoneticPr fontId="2" type="noConversion"/>
  </si>
  <si>
    <t>부대공사,부대토목공사(토공사,흙막이공사)</t>
    <phoneticPr fontId="2" type="noConversion"/>
  </si>
  <si>
    <t>기계 소화배관공사, 전기 소방공사</t>
    <phoneticPr fontId="2" type="noConversion"/>
  </si>
  <si>
    <t>공조배관공사,위생배관공사</t>
    <phoneticPr fontId="2" type="noConversion"/>
  </si>
  <si>
    <t>전열설비공사,전열/조명제어설비공사</t>
    <phoneticPr fontId="2" type="noConversion"/>
  </si>
  <si>
    <t>태양광설비공사,주차관제설비공사,집배구분대설비공사,가로등및신호등이설공사,가설공사</t>
    <phoneticPr fontId="2" type="noConversion"/>
  </si>
  <si>
    <t>CCTV설비공사,가설공사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</si>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</sst>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11960</v>
      </c>
      <c r="D7" s="36">
        <f>+C7/3.3058</f>
        <v>3617.8837195232622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27520</v>
      </c>
      <c r="E24" s="58">
        <f t="shared" ref="E24:E33" si="0">TRUNC(+D24*3.3058,-1)</f>
        <v>90970</v>
      </c>
    </row>
    <row r="25" spans="1:5" x14ac:dyDescent="0.3">
      <c r="B25" s="2">
        <v>2</v>
      </c>
      <c r="C25" s="35" t="s">
        <v>111</v>
      </c>
      <c r="D25" s="45">
        <f>+D60</f>
        <v>418530</v>
      </c>
      <c r="E25" s="59">
        <f t="shared" si="0"/>
        <v>1383570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118950</v>
      </c>
      <c r="E27" s="59">
        <f t="shared" si="0"/>
        <v>393220</v>
      </c>
    </row>
    <row r="28" spans="1:5" x14ac:dyDescent="0.3">
      <c r="B28" s="2">
        <v>5</v>
      </c>
      <c r="C28" s="35" t="s">
        <v>97</v>
      </c>
      <c r="D28" s="45">
        <f>+D119</f>
        <v>79200</v>
      </c>
      <c r="E28" s="59">
        <f t="shared" si="0"/>
        <v>261810</v>
      </c>
    </row>
    <row r="29" spans="1:5" x14ac:dyDescent="0.3">
      <c r="B29" s="2">
        <v>6</v>
      </c>
      <c r="C29" s="35" t="s">
        <v>98</v>
      </c>
      <c r="D29" s="45">
        <f>+D133</f>
        <v>31180</v>
      </c>
      <c r="E29" s="59">
        <f t="shared" si="0"/>
        <v>103070</v>
      </c>
    </row>
    <row r="30" spans="1:5" x14ac:dyDescent="0.3">
      <c r="B30" s="2">
        <v>7</v>
      </c>
      <c r="C30" s="35" t="s">
        <v>99</v>
      </c>
      <c r="D30" s="45">
        <f>+D146</f>
        <v>30110</v>
      </c>
      <c r="E30" s="59">
        <f t="shared" si="0"/>
        <v>99530</v>
      </c>
    </row>
    <row r="31" spans="1:5" x14ac:dyDescent="0.3">
      <c r="B31" s="2">
        <v>8</v>
      </c>
      <c r="C31" s="35" t="s">
        <v>100</v>
      </c>
      <c r="D31" s="45">
        <f>+D154</f>
        <v>381310</v>
      </c>
      <c r="E31" s="59">
        <f t="shared" si="0"/>
        <v>1260530</v>
      </c>
    </row>
    <row r="32" spans="1:5" x14ac:dyDescent="0.3">
      <c r="B32" s="2">
        <v>9</v>
      </c>
      <c r="C32" s="35" t="s">
        <v>101</v>
      </c>
      <c r="D32" s="45">
        <f>+D161</f>
        <v>26620</v>
      </c>
      <c r="E32" s="59">
        <f t="shared" si="0"/>
        <v>88000</v>
      </c>
    </row>
    <row r="33" spans="1:7" x14ac:dyDescent="0.3">
      <c r="B33" s="2">
        <v>10</v>
      </c>
      <c r="C33" s="35" t="s">
        <v>154</v>
      </c>
      <c r="D33" s="53">
        <f>TRUNC(SUM(D24:D32)*0.275,-1)</f>
        <v>306190</v>
      </c>
      <c r="E33" s="60">
        <f t="shared" si="0"/>
        <v>1012200</v>
      </c>
    </row>
    <row r="34" spans="1:7" x14ac:dyDescent="0.3">
      <c r="C34" s="35" t="s">
        <v>112</v>
      </c>
      <c r="D34" s="44">
        <f>SUM(D24:D33)</f>
        <v>1419610</v>
      </c>
      <c r="E34" s="44">
        <f>SUM(E24:E33)</f>
        <v>4692900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TRUNC(27522,-1)</f>
        <v>27520</v>
      </c>
      <c r="E37" s="61">
        <f>TRUNC(+D37*3.3058,-1)</f>
        <v>90970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TRUNC(21850,-1)</f>
        <v>21850</v>
      </c>
      <c r="E40" s="62">
        <f t="shared" ref="E40:E59" si="1">TRUNC(+D40*3.3058,-1)</f>
        <v>72230</v>
      </c>
    </row>
    <row r="41" spans="1:7" x14ac:dyDescent="0.3">
      <c r="A41" s="2">
        <v>2</v>
      </c>
      <c r="C41" s="38" t="s">
        <v>13</v>
      </c>
      <c r="D41" s="42">
        <f>TRUNC(117293,-1)</f>
        <v>117290</v>
      </c>
      <c r="E41" s="63">
        <f t="shared" si="1"/>
        <v>387730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TRUNC(11342,-1)</f>
        <v>11340</v>
      </c>
      <c r="E43" s="63">
        <f t="shared" si="1"/>
        <v>37480</v>
      </c>
    </row>
    <row r="44" spans="1:7" x14ac:dyDescent="0.3">
      <c r="A44" s="2">
        <v>5</v>
      </c>
      <c r="C44" s="38" t="s">
        <v>17</v>
      </c>
      <c r="D44" s="42">
        <f>TRUNC(30119,-1)</f>
        <v>30110</v>
      </c>
      <c r="E44" s="63">
        <f t="shared" si="1"/>
        <v>99530</v>
      </c>
    </row>
    <row r="45" spans="1:7" x14ac:dyDescent="0.3">
      <c r="A45" s="2">
        <v>6</v>
      </c>
      <c r="C45" s="38" t="s">
        <v>18</v>
      </c>
      <c r="D45" s="42">
        <f>TRUNC(5105,-1)</f>
        <v>5100</v>
      </c>
      <c r="E45" s="63">
        <f t="shared" si="1"/>
        <v>16850</v>
      </c>
    </row>
    <row r="46" spans="1:7" x14ac:dyDescent="0.3">
      <c r="A46" s="2">
        <v>7</v>
      </c>
      <c r="C46" s="38" t="s">
        <v>19</v>
      </c>
      <c r="D46" s="42">
        <f>TRUNC(3435,-1)</f>
        <v>3430</v>
      </c>
      <c r="E46" s="63">
        <f t="shared" si="1"/>
        <v>11330</v>
      </c>
    </row>
    <row r="47" spans="1:7" x14ac:dyDescent="0.3">
      <c r="A47" s="2">
        <v>8</v>
      </c>
      <c r="C47" s="38" t="s">
        <v>20</v>
      </c>
      <c r="D47" s="42">
        <f>TRUNC(238,-1)</f>
        <v>230</v>
      </c>
      <c r="E47" s="63">
        <f t="shared" si="1"/>
        <v>760</v>
      </c>
    </row>
    <row r="48" spans="1:7" x14ac:dyDescent="0.3">
      <c r="A48" s="2">
        <v>9</v>
      </c>
      <c r="C48" s="38" t="s">
        <v>21</v>
      </c>
      <c r="D48" s="42">
        <f>TRUNC(69712,-1)</f>
        <v>69710</v>
      </c>
      <c r="E48" s="63">
        <f t="shared" si="1"/>
        <v>230440</v>
      </c>
    </row>
    <row r="49" spans="1:7" x14ac:dyDescent="0.3">
      <c r="A49" s="2">
        <v>10</v>
      </c>
      <c r="C49" s="38" t="s">
        <v>22</v>
      </c>
      <c r="D49" s="42">
        <f>TRUNC(28601,-1)</f>
        <v>28600</v>
      </c>
      <c r="E49" s="63">
        <f t="shared" si="1"/>
        <v>94540</v>
      </c>
    </row>
    <row r="50" spans="1:7" x14ac:dyDescent="0.3">
      <c r="A50" s="2">
        <v>11</v>
      </c>
      <c r="C50" s="38" t="s">
        <v>155</v>
      </c>
      <c r="D50" s="42">
        <f>TRUNC(27188,-1)</f>
        <v>27180</v>
      </c>
      <c r="E50" s="63">
        <f t="shared" si="1"/>
        <v>89850</v>
      </c>
    </row>
    <row r="51" spans="1:7" x14ac:dyDescent="0.3">
      <c r="A51" s="2">
        <v>12</v>
      </c>
      <c r="C51" s="38" t="s">
        <v>23</v>
      </c>
      <c r="D51" s="42">
        <f>TRUNC(6397,-1)</f>
        <v>6390</v>
      </c>
      <c r="E51" s="63">
        <f t="shared" si="1"/>
        <v>21120</v>
      </c>
    </row>
    <row r="52" spans="1:7" x14ac:dyDescent="0.3">
      <c r="A52" s="2">
        <v>13</v>
      </c>
      <c r="C52" s="38" t="s">
        <v>24</v>
      </c>
      <c r="D52" s="42">
        <f>TRUNC(7524,-1)</f>
        <v>7520</v>
      </c>
      <c r="E52" s="63">
        <f t="shared" si="1"/>
        <v>24850</v>
      </c>
    </row>
    <row r="53" spans="1:7" x14ac:dyDescent="0.3">
      <c r="A53" s="2">
        <v>14</v>
      </c>
      <c r="C53" s="38" t="s">
        <v>25</v>
      </c>
      <c r="D53" s="42">
        <f>TRUNC(76501,-1)</f>
        <v>76500</v>
      </c>
      <c r="E53" s="63">
        <f t="shared" si="1"/>
        <v>252890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TRUNC(622,-1)</f>
        <v>620</v>
      </c>
      <c r="E55" s="63">
        <f t="shared" si="1"/>
        <v>2040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TRUNC(209+8168+1159+1083-821+2040+827,-1)</f>
        <v>12660</v>
      </c>
      <c r="E58" s="63">
        <f t="shared" si="1"/>
        <v>41850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418530</v>
      </c>
      <c r="E60" s="39">
        <f>SUM(E40:E59)</f>
        <v>1383490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TRUNC(12007,-1)</f>
        <v>12000</v>
      </c>
      <c r="E69" s="62">
        <f t="shared" ref="E69:E94" si="2">TRUNC(+D69*3.3058,-1)</f>
        <v>39660</v>
      </c>
    </row>
    <row r="70" spans="1:7" ht="16.5" customHeight="1" x14ac:dyDescent="0.3">
      <c r="A70" s="2">
        <v>2</v>
      </c>
      <c r="C70" s="38" t="s">
        <v>31</v>
      </c>
      <c r="D70" s="42">
        <f>TRUNC(128,-1)</f>
        <v>120</v>
      </c>
      <c r="E70" s="63">
        <f t="shared" si="2"/>
        <v>390</v>
      </c>
    </row>
    <row r="71" spans="1:7" x14ac:dyDescent="0.3">
      <c r="A71" s="2">
        <v>3</v>
      </c>
      <c r="C71" s="38" t="s">
        <v>32</v>
      </c>
      <c r="D71" s="42">
        <f>TRUNC(19916,-1)</f>
        <v>19910</v>
      </c>
      <c r="E71" s="63">
        <f t="shared" si="2"/>
        <v>65810</v>
      </c>
    </row>
    <row r="72" spans="1:7" x14ac:dyDescent="0.3">
      <c r="A72" s="2">
        <v>4</v>
      </c>
      <c r="C72" s="38" t="s">
        <v>33</v>
      </c>
      <c r="D72" s="42">
        <f>TRUNC(5516,-1)</f>
        <v>5510</v>
      </c>
      <c r="E72" s="63">
        <f t="shared" si="2"/>
        <v>18210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TRUNC(22832,-1)</f>
        <v>22830</v>
      </c>
      <c r="E78" s="63">
        <f t="shared" si="2"/>
        <v>75470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TRUNC(31419+27165,-1)</f>
        <v>58580</v>
      </c>
      <c r="E94" s="64">
        <f t="shared" si="2"/>
        <v>193650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118950</v>
      </c>
      <c r="E95" s="39">
        <f>SUM(E69:E94)</f>
        <v>393190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TRUNC(14361,-1)</f>
        <v>14360</v>
      </c>
      <c r="E98" s="62">
        <f t="shared" ref="E98:E118" si="3">TRUNC(+D98*3.3058,-1)</f>
        <v>47470</v>
      </c>
    </row>
    <row r="99" spans="1:7" x14ac:dyDescent="0.3">
      <c r="A99" s="2">
        <v>2</v>
      </c>
      <c r="C99" s="38" t="s">
        <v>40</v>
      </c>
      <c r="D99" s="42">
        <f>TRUNC(7852,-1)</f>
        <v>7850</v>
      </c>
      <c r="E99" s="63">
        <f t="shared" si="3"/>
        <v>25950</v>
      </c>
    </row>
    <row r="100" spans="1:7" x14ac:dyDescent="0.3">
      <c r="A100" s="2">
        <v>3</v>
      </c>
      <c r="C100" s="38" t="s">
        <v>41</v>
      </c>
      <c r="D100" s="42">
        <f>TRUNC(23695,-1)</f>
        <v>23690</v>
      </c>
      <c r="E100" s="63">
        <f t="shared" si="3"/>
        <v>78310</v>
      </c>
    </row>
    <row r="101" spans="1:7" x14ac:dyDescent="0.3">
      <c r="A101" s="2">
        <v>4</v>
      </c>
      <c r="C101" s="38" t="s">
        <v>42</v>
      </c>
      <c r="D101" s="42">
        <f>TRUNC(248,-1)</f>
        <v>240</v>
      </c>
      <c r="E101" s="63">
        <f t="shared" si="3"/>
        <v>790</v>
      </c>
    </row>
    <row r="102" spans="1:7" x14ac:dyDescent="0.3">
      <c r="A102" s="2">
        <v>5</v>
      </c>
      <c r="C102" s="38" t="s">
        <v>43</v>
      </c>
      <c r="D102" s="42">
        <f>TRUNC(8882+1282,-1)</f>
        <v>10160</v>
      </c>
      <c r="E102" s="63">
        <f t="shared" si="3"/>
        <v>33580</v>
      </c>
      <c r="F102" s="2" t="s">
        <v>256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TRUNC(2891,-1)</f>
        <v>2890</v>
      </c>
      <c r="E104" s="63">
        <f t="shared" si="3"/>
        <v>9550</v>
      </c>
    </row>
    <row r="105" spans="1:7" x14ac:dyDescent="0.3">
      <c r="A105" s="2">
        <v>8</v>
      </c>
      <c r="C105" s="38" t="s">
        <v>46</v>
      </c>
      <c r="D105" s="42">
        <f>TRUNC(4331,-1)</f>
        <v>4330</v>
      </c>
      <c r="E105" s="63">
        <f t="shared" si="3"/>
        <v>14310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TRUNC(3787,-1)</f>
        <v>3780</v>
      </c>
      <c r="E108" s="63">
        <f t="shared" si="3"/>
        <v>12490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TRUNC(2938,-1)</f>
        <v>2930</v>
      </c>
      <c r="E115" s="63">
        <f t="shared" si="3"/>
        <v>9680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TRUNC(318+3601+3045+1501+506,-1)</f>
        <v>8970</v>
      </c>
      <c r="E118" s="64">
        <f t="shared" si="3"/>
        <v>29650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79200</v>
      </c>
      <c r="E119" s="39">
        <f>SUM(E98:E118)</f>
        <v>261780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TRUNC(2843,-1)</f>
        <v>2840</v>
      </c>
      <c r="E122" s="62">
        <f t="shared" ref="E122:E132" si="4">TRUNC(+D122*3.3058,-1)</f>
        <v>9380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TRUNC(3012,-1)</f>
        <v>3010</v>
      </c>
      <c r="E124" s="63">
        <f t="shared" si="4"/>
        <v>9950</v>
      </c>
    </row>
    <row r="125" spans="1:7" x14ac:dyDescent="0.3">
      <c r="A125" s="2">
        <v>4</v>
      </c>
      <c r="C125" s="38" t="s">
        <v>138</v>
      </c>
      <c r="D125" s="42">
        <f>TRUNC(7227,-1)</f>
        <v>7220</v>
      </c>
      <c r="E125" s="63">
        <f t="shared" si="4"/>
        <v>23860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TRUNC(1099,-1)</f>
        <v>1090</v>
      </c>
      <c r="E128" s="63">
        <f t="shared" si="4"/>
        <v>3600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TRUNC(13051,-1)</f>
        <v>13050</v>
      </c>
      <c r="E130" s="63">
        <f t="shared" si="4"/>
        <v>43140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TRUNC(3722+253,-1)</f>
        <v>3970</v>
      </c>
      <c r="E132" s="64">
        <f t="shared" si="4"/>
        <v>13120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31180</v>
      </c>
      <c r="E133" s="39">
        <f>SUM(E122:E132)</f>
        <v>103050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TRUNC(17554+12560,-1)</f>
        <v>30110</v>
      </c>
      <c r="E137" s="63">
        <f t="shared" si="5"/>
        <v>99530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30110</v>
      </c>
      <c r="E146" s="39">
        <f>SUM(E136:E145)</f>
        <v>99530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TRUNC(2957+378356,-1)</f>
        <v>381310</v>
      </c>
      <c r="E152" s="63">
        <f>TRUNC(+D152*3.3058,-1)</f>
        <v>1260530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381310</v>
      </c>
      <c r="E154" s="39">
        <f>SUM(E149:E153)</f>
        <v>1260530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TRUNC(26624,-1)</f>
        <v>26620</v>
      </c>
      <c r="E159" s="63">
        <f>TRUNC(+D159*3.3058,-1)</f>
        <v>88000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26620</v>
      </c>
      <c r="E161" s="39">
        <f>SUM(E157:E160)</f>
        <v>88000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2020-12-07T09:45:57Z</dcterms:modified>
</cp:coreProperties>
</file>