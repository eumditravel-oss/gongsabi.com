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8" i="4"/>
  <c r="D157" i="4"/>
  <c r="D152" i="4"/>
  <c r="D151" i="4"/>
  <c r="D150" i="4"/>
  <c r="D149" i="4"/>
  <c r="D143" i="4"/>
  <c r="D142" i="4"/>
  <c r="D141" i="4"/>
  <c r="D140" i="4"/>
  <c r="D137" i="4"/>
  <c r="D132" i="4"/>
  <c r="D131" i="4"/>
  <c r="D130" i="4"/>
  <c r="D128" i="4"/>
  <c r="D127" i="4"/>
  <c r="D126" i="4"/>
  <c r="D125" i="4"/>
  <c r="D124" i="4"/>
  <c r="D122" i="4"/>
  <c r="D118" i="4"/>
  <c r="D117" i="4"/>
  <c r="D116" i="4"/>
  <c r="D114" i="4"/>
  <c r="D105" i="4"/>
  <c r="D104" i="4"/>
  <c r="D103" i="4"/>
  <c r="D102" i="4"/>
  <c r="D100" i="4"/>
  <c r="D99" i="4"/>
  <c r="D98" i="4"/>
  <c r="D93" i="4"/>
  <c r="D92" i="4"/>
  <c r="D91" i="4"/>
  <c r="D89" i="4"/>
  <c r="D72" i="4"/>
  <c r="D70" i="4"/>
  <c r="D69" i="4"/>
  <c r="D58" i="4"/>
  <c r="D53" i="4"/>
  <c r="D50" i="4"/>
  <c r="D49" i="4"/>
  <c r="D48" i="4"/>
  <c r="D45" i="4"/>
  <c r="D43" i="4"/>
  <c r="D42" i="4"/>
  <c r="D41" i="4"/>
  <c r="D40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0" i="4"/>
  <c r="E30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l="1"/>
  <c r="D34" i="4"/>
</calcChain>
</file>

<file path=xl/sharedStrings.xml><?xml version="1.0" encoding="utf-8"?>
<sst xmlns="http://schemas.openxmlformats.org/spreadsheetml/2006/main" count="391" uniqueCount="267">
  <si>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</si>
  <si>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</si>
  <si>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</si>
  <si>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</si>
  <si>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</si>
  <si>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</si>
  <si>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</si>
  <si>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</si>
  <si>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</si>
  <si>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</si>
  <si>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</si>
  <si>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</si>
  <si>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</si>
  <si>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</si>
  <si>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</si>
  <si>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</si>
  <si>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</si>
  <si>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</si>
  <si>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</si>
  <si>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</si>
  <si>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</si>
  <si>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</si>
  <si>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</si>
  <si>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</si>
  <si>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</si>
  <si>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</si>
  <si>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</si>
  <si>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</si>
  <si>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</si>
  <si>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</si>
  <si>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</si>
  <si>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</si>
  <si>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</si>
  <si>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</si>
  <si>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</si>
  <si>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</si>
  <si>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</si>
  <si>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</si>
  <si>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</si>
  <si>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</si>
  <si>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</si>
  <si>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</si>
  <si>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</si>
  <si>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</si>
  <si>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</si>
  <si>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</si>
  <si>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</si>
  <si>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</si>
  <si>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</si>
  <si>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</si>
  <si>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</si>
  <si>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</si>
  <si>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</si>
  <si>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</si>
  <si>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</si>
  <si>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</si>
  <si>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</si>
  <si>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</si>
  <si>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</si>
  <si>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</si>
  <si>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</si>
  <si>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</si>
  <si>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</si>
  <si>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</si>
  <si>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</si>
  <si>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</si>
  <si>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</si>
  <si>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</si>
  <si>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</si>
  <si>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</si>
  <si>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</si>
  <si>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</si>
  <si>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</si>
  <si>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</si>
  <si>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</si>
  <si>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</si>
  <si>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</si>
  <si>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</si>
  <si>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</si>
  <si>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</si>
  <si>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</si>
  <si>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</si>
  <si>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</si>
  <si>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</si>
  <si>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</si>
  <si>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</si>
  <si>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</si>
  <si>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</si>
  <si>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</si>
  <si>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</si>
  <si>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</si>
  <si>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</si>
  <si>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</si>
  <si>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</si>
  <si>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</si>
  <si>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</si>
  <si>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</si>
  <si>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</si>
  <si>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</si>
  <si>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</si>
  <si>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</si>
  <si>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</si>
  <si>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</si>
  <si>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</si>
  <si>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</si>
  <si>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</si>
  <si>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</si>
  <si>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</si>
  <si>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</si>
  <si>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</si>
  <si>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</si>
  <si>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</si>
  <si>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</si>
  <si>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</si>
  <si>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</si>
  <si>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</si>
  <si>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</si>
  <si>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</si>
  <si>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</si>
  <si>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</si>
  <si>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</si>
  <si>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</si>
  <si>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</si>
  <si>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</si>
  <si>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</si>
  <si>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</si>
  <si>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</si>
  <si>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</si>
  <si>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</si>
  <si>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</si>
  <si>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</si>
  <si>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</si>
  <si>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</si>
  <si>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</si>
  <si>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</si>
  <si>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</si>
  <si>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</si>
  <si>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</si>
  <si>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</si>
  <si>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</si>
  <si>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</si>
  <si>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</si>
  <si>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</si>
  <si>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</si>
  <si>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</si>
  <si>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</si>
  <si>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</si>
  <si>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</si>
  <si>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</si>
  <si>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</si>
  <si>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</si>
  <si>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</si>
  <si>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</si>
  <si>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</si>
  <si>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</si>
  <si>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</si>
  <si>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</si>
  <si>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</si>
  <si>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</si>
  <si>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</si>
  <si>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</si>
  <si>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</si>
  <si>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</si>
  <si>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</si>
  <si>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</si>
  <si>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</si>
  <si>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</si>
  <si>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</si>
  <si>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</si>
  <si>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</si>
  <si>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</si>
  <si>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</si>
  <si>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</si>
  <si>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</si>
  <si>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</si>
  <si>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</si>
  <si>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</si>
  <si>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</si>
  <si>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</si>
  <si>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</si>
  <si>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</si>
  <si>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</si>
  <si>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</si>
  <si>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</si>
  <si>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</si>
  <si>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</si>
  <si>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</si>
  <si>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</si>
  <si>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</si>
  <si>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</si>
  <si>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</si>
  <si>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</si>
  <si>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</si>
  <si>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</si>
  <si>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</si>
  <si>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</si>
  <si>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</si>
  <si>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</si>
  <si>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</si>
  <si>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</si>
  <si>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</si>
  <si>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</si>
  <si>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</si>
  <si>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</si>
  <si>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</si>
  <si>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</si>
  <si>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</si>
  <si>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</si>
  <si>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</si>
  <si>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</si>
  <si>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</si>
  <si>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</si>
  <si>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</si>
  <si>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</si>
  <si>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</si>
  <si>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</si>
  <si>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</si>
  <si>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</si>
  <si>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</si>
  <si>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</si>
  <si>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</si>
  <si>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</si>
  <si>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</si>
  <si>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</si>
  <si>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</si>
  <si>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</si>
  <si>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</si>
  <si>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</si>
  <si>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</si>
  <si>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</si>
  <si>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</si>
  <si>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</si>
  <si>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</si>
  <si>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</si>
  <si>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</si>
  <si>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</si>
  <si>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</si>
  <si>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</si>
  <si>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</si>
  <si>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</si>
  <si>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</si>
  <si>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</si>
  <si>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</si>
  <si>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</si>
  <si>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</si>
  <si>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</si>
  <si>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</si>
  <si>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</si>
  <si>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교육연구</t>
  </si>
  <si>
    <t>항 목</t>
    <phoneticPr fontId="2" type="noConversion"/>
  </si>
  <si>
    <t>원/ m2</t>
    <phoneticPr fontId="2" type="noConversion"/>
  </si>
  <si>
    <t>원 /평</t>
    <phoneticPr fontId="2" type="noConversion"/>
  </si>
  <si>
    <t>지붕및홈통공사 포함</t>
    <phoneticPr fontId="2" type="noConversion"/>
  </si>
  <si>
    <t>기초공사, 골재비및운반비, 기타공사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</si>
  <si>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</si>
  <si>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</si>
  <si>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CCTV설비공사, 기타공사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</si>
  <si>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</si>
  <si>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</si>
  <si>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경북대학교 IT대학 융복합공학관 신축공사</t>
    <phoneticPr fontId="2" type="noConversion"/>
  </si>
  <si>
    <t>대구시</t>
  </si>
  <si>
    <t>옥외보안등설비공사</t>
    <phoneticPr fontId="2" type="noConversion"/>
  </si>
  <si>
    <t>펌프실배관공사</t>
    <phoneticPr fontId="2" type="noConversion"/>
  </si>
  <si>
    <t>사급자재비,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</si>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</sst>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259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248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7497.58</v>
      </c>
      <c r="D7" s="36">
        <f>+C7/3.3058</f>
        <v>2268.0077439651523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260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202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958930</v>
      </c>
      <c r="E25" s="59">
        <f t="shared" si="0"/>
        <v>3170030</v>
      </c>
    </row>
    <row r="26" spans="1:5" x14ac:dyDescent="0.3">
      <c r="B26" s="2">
        <v>3</v>
      </c>
      <c r="C26" s="35" t="s">
        <v>95</v>
      </c>
      <c r="D26" s="45">
        <f>+D66</f>
        <v>21170</v>
      </c>
      <c r="E26" s="59">
        <f t="shared" si="0"/>
        <v>69980</v>
      </c>
    </row>
    <row r="27" spans="1:5" x14ac:dyDescent="0.3">
      <c r="B27" s="2">
        <v>4</v>
      </c>
      <c r="C27" s="35" t="s">
        <v>96</v>
      </c>
      <c r="D27" s="45">
        <f>+D95</f>
        <v>180250</v>
      </c>
      <c r="E27" s="59">
        <f t="shared" si="0"/>
        <v>595870</v>
      </c>
    </row>
    <row r="28" spans="1:5" x14ac:dyDescent="0.3">
      <c r="B28" s="2">
        <v>5</v>
      </c>
      <c r="C28" s="35" t="s">
        <v>97</v>
      </c>
      <c r="D28" s="45">
        <f>+D119</f>
        <v>216870</v>
      </c>
      <c r="E28" s="59">
        <f t="shared" si="0"/>
        <v>716920</v>
      </c>
    </row>
    <row r="29" spans="1:5" x14ac:dyDescent="0.3">
      <c r="B29" s="2">
        <v>6</v>
      </c>
      <c r="C29" s="35" t="s">
        <v>98</v>
      </c>
      <c r="D29" s="45">
        <f>+D133</f>
        <v>61720</v>
      </c>
      <c r="E29" s="59">
        <f t="shared" si="0"/>
        <v>204030</v>
      </c>
    </row>
    <row r="30" spans="1:5" x14ac:dyDescent="0.3">
      <c r="B30" s="2">
        <v>7</v>
      </c>
      <c r="C30" s="35" t="s">
        <v>99</v>
      </c>
      <c r="D30" s="45">
        <f>+D146</f>
        <v>32410</v>
      </c>
      <c r="E30" s="59">
        <f t="shared" si="0"/>
        <v>107140</v>
      </c>
    </row>
    <row r="31" spans="1:5" x14ac:dyDescent="0.3">
      <c r="B31" s="2">
        <v>8</v>
      </c>
      <c r="C31" s="35" t="s">
        <v>100</v>
      </c>
      <c r="D31" s="45">
        <f>+D154</f>
        <v>29730</v>
      </c>
      <c r="E31" s="59">
        <f t="shared" si="0"/>
        <v>98280</v>
      </c>
    </row>
    <row r="32" spans="1:5" x14ac:dyDescent="0.3">
      <c r="B32" s="2">
        <v>9</v>
      </c>
      <c r="C32" s="35" t="s">
        <v>101</v>
      </c>
      <c r="D32" s="45">
        <f>+D161</f>
        <v>12260</v>
      </c>
      <c r="E32" s="59">
        <f t="shared" si="0"/>
        <v>40520</v>
      </c>
    </row>
    <row r="33" spans="1:7" x14ac:dyDescent="0.3">
      <c r="B33" s="2">
        <v>10</v>
      </c>
      <c r="C33" s="35" t="s">
        <v>154</v>
      </c>
      <c r="D33" s="53">
        <f>TRUNC(SUM(D24:D32)*0.275,-1)</f>
        <v>416160</v>
      </c>
      <c r="E33" s="60">
        <f t="shared" si="0"/>
        <v>1375740</v>
      </c>
    </row>
    <row r="34" spans="1:7" x14ac:dyDescent="0.3">
      <c r="C34" s="35" t="s">
        <v>112</v>
      </c>
      <c r="D34" s="44">
        <f>SUM(D24:D33)</f>
        <v>1929500</v>
      </c>
      <c r="E34" s="44">
        <f>SUM(E24:E33)</f>
        <v>6378510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249</v>
      </c>
      <c r="D39" s="57" t="s">
        <v>250</v>
      </c>
      <c r="E39" s="57" t="s">
        <v>251</v>
      </c>
      <c r="G39" s="55"/>
    </row>
    <row r="40" spans="1:7" x14ac:dyDescent="0.3">
      <c r="A40" s="2">
        <v>1</v>
      </c>
      <c r="C40" s="38" t="s">
        <v>15</v>
      </c>
      <c r="D40" s="40">
        <f>TRUNC(32371,-1)</f>
        <v>32370</v>
      </c>
      <c r="E40" s="62">
        <f t="shared" ref="E40:E59" si="1">TRUNC(+D40*3.3058,-1)</f>
        <v>107000</v>
      </c>
    </row>
    <row r="41" spans="1:7" x14ac:dyDescent="0.3">
      <c r="A41" s="2">
        <v>2</v>
      </c>
      <c r="C41" s="38" t="s">
        <v>13</v>
      </c>
      <c r="D41" s="42">
        <f>TRUNC(114739,-1)</f>
        <v>114730</v>
      </c>
      <c r="E41" s="63">
        <f t="shared" si="1"/>
        <v>379270</v>
      </c>
    </row>
    <row r="42" spans="1:7" x14ac:dyDescent="0.3">
      <c r="A42" s="2">
        <v>3</v>
      </c>
      <c r="C42" s="38" t="s">
        <v>14</v>
      </c>
      <c r="D42" s="42">
        <f>TRUNC(445,-1)</f>
        <v>440</v>
      </c>
      <c r="E42" s="63">
        <f t="shared" si="1"/>
        <v>1450</v>
      </c>
    </row>
    <row r="43" spans="1:7" x14ac:dyDescent="0.3">
      <c r="A43" s="2">
        <v>4</v>
      </c>
      <c r="C43" s="38" t="s">
        <v>16</v>
      </c>
      <c r="D43" s="42">
        <f>TRUNC(30282,-1)</f>
        <v>30280</v>
      </c>
      <c r="E43" s="63">
        <f t="shared" si="1"/>
        <v>100090</v>
      </c>
    </row>
    <row r="44" spans="1:7" x14ac:dyDescent="0.3">
      <c r="A44" s="2">
        <v>5</v>
      </c>
      <c r="C44" s="38" t="s">
        <v>17</v>
      </c>
      <c r="D44" s="42">
        <v>29510</v>
      </c>
      <c r="E44" s="63">
        <f t="shared" si="1"/>
        <v>97550</v>
      </c>
    </row>
    <row r="45" spans="1:7" x14ac:dyDescent="0.3">
      <c r="A45" s="2">
        <v>6</v>
      </c>
      <c r="C45" s="38" t="s">
        <v>18</v>
      </c>
      <c r="D45" s="42">
        <f>TRUNC(1829,-1)</f>
        <v>1820</v>
      </c>
      <c r="E45" s="63">
        <f t="shared" si="1"/>
        <v>6010</v>
      </c>
    </row>
    <row r="46" spans="1:7" x14ac:dyDescent="0.3">
      <c r="A46" s="2">
        <v>7</v>
      </c>
      <c r="C46" s="38" t="s">
        <v>19</v>
      </c>
      <c r="D46" s="42">
        <v>43500</v>
      </c>
      <c r="E46" s="63">
        <f t="shared" si="1"/>
        <v>143800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TRUNC(101639,-1)</f>
        <v>101630</v>
      </c>
      <c r="E48" s="63">
        <f t="shared" si="1"/>
        <v>335960</v>
      </c>
      <c r="F48" s="2" t="s">
        <v>252</v>
      </c>
    </row>
    <row r="49" spans="1:7" x14ac:dyDescent="0.3">
      <c r="A49" s="2">
        <v>10</v>
      </c>
      <c r="C49" s="38" t="s">
        <v>22</v>
      </c>
      <c r="D49" s="42">
        <f>TRUNC(21699,-1)</f>
        <v>21690</v>
      </c>
      <c r="E49" s="63">
        <f t="shared" si="1"/>
        <v>71700</v>
      </c>
    </row>
    <row r="50" spans="1:7" x14ac:dyDescent="0.3">
      <c r="A50" s="2">
        <v>11</v>
      </c>
      <c r="C50" s="38" t="s">
        <v>155</v>
      </c>
      <c r="D50" s="42">
        <f>TRUNC(120289,-1)</f>
        <v>120280</v>
      </c>
      <c r="E50" s="63">
        <f t="shared" si="1"/>
        <v>397620</v>
      </c>
      <c r="F50" s="2" t="s">
        <v>257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v>18650</v>
      </c>
      <c r="E52" s="63">
        <f t="shared" si="1"/>
        <v>61650</v>
      </c>
    </row>
    <row r="53" spans="1:7" x14ac:dyDescent="0.3">
      <c r="A53" s="2">
        <v>14</v>
      </c>
      <c r="C53" s="38" t="s">
        <v>25</v>
      </c>
      <c r="D53" s="42">
        <f>TRUNC(131674,-1)</f>
        <v>131670</v>
      </c>
      <c r="E53" s="63">
        <f t="shared" si="1"/>
        <v>435270</v>
      </c>
      <c r="F53" s="2" t="s">
        <v>258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TRUNC(16761+6951+50571,-1)</f>
        <v>74280</v>
      </c>
      <c r="E58" s="63">
        <f t="shared" si="1"/>
        <v>245550</v>
      </c>
      <c r="F58" s="2" t="s">
        <v>253</v>
      </c>
    </row>
    <row r="59" spans="1:7" ht="17.25" thickBot="1" x14ac:dyDescent="0.35">
      <c r="A59" s="2">
        <v>20</v>
      </c>
      <c r="C59" s="38" t="s">
        <v>148</v>
      </c>
      <c r="D59" s="43">
        <v>238080</v>
      </c>
      <c r="E59" s="64">
        <f t="shared" si="1"/>
        <v>787040</v>
      </c>
    </row>
    <row r="60" spans="1:7" x14ac:dyDescent="0.3">
      <c r="A60" s="2">
        <v>21</v>
      </c>
      <c r="C60" s="27" t="s">
        <v>112</v>
      </c>
      <c r="D60" s="39">
        <f>SUM(D40:D59)</f>
        <v>958930</v>
      </c>
      <c r="E60" s="39">
        <f>SUM(E40:E59)</f>
        <v>3169960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21170</v>
      </c>
      <c r="E63" s="62">
        <f>TRUNC(+D63*3.3058,-1)</f>
        <v>69980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21170</v>
      </c>
      <c r="E66" s="65">
        <f>SUM(E63:E65)</f>
        <v>69980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TRUNC(1812,-1)</f>
        <v>1810</v>
      </c>
      <c r="E69" s="62">
        <f t="shared" ref="E69:E94" si="2">TRUNC(+D69*3.3058,-1)</f>
        <v>5980</v>
      </c>
    </row>
    <row r="70" spans="1:7" ht="16.5" customHeight="1" x14ac:dyDescent="0.3">
      <c r="A70" s="2">
        <v>2</v>
      </c>
      <c r="C70" s="38" t="s">
        <v>31</v>
      </c>
      <c r="D70" s="42">
        <f>TRUNC(2323,-1)</f>
        <v>2320</v>
      </c>
      <c r="E70" s="63">
        <f t="shared" si="2"/>
        <v>7660</v>
      </c>
    </row>
    <row r="71" spans="1:7" x14ac:dyDescent="0.3">
      <c r="A71" s="2">
        <v>3</v>
      </c>
      <c r="C71" s="38" t="s">
        <v>32</v>
      </c>
      <c r="D71" s="42">
        <v>0</v>
      </c>
      <c r="E71" s="63">
        <f t="shared" si="2"/>
        <v>0</v>
      </c>
    </row>
    <row r="72" spans="1:7" x14ac:dyDescent="0.3">
      <c r="A72" s="2">
        <v>4</v>
      </c>
      <c r="C72" s="38" t="s">
        <v>33</v>
      </c>
      <c r="D72" s="42">
        <f>TRUNC(4651,-1)</f>
        <v>4650</v>
      </c>
      <c r="E72" s="63">
        <f t="shared" si="2"/>
        <v>15370</v>
      </c>
    </row>
    <row r="73" spans="1:7" x14ac:dyDescent="0.3">
      <c r="A73" s="2">
        <v>5</v>
      </c>
      <c r="C73" s="38" t="s">
        <v>34</v>
      </c>
      <c r="D73" s="42">
        <v>9130</v>
      </c>
      <c r="E73" s="63">
        <f t="shared" si="2"/>
        <v>30180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TRUNC(4975,-1)</f>
        <v>4970</v>
      </c>
      <c r="E89" s="63">
        <f t="shared" si="2"/>
        <v>16420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TRUNC(2791,-1)</f>
        <v>2790</v>
      </c>
      <c r="E91" s="63">
        <f t="shared" si="2"/>
        <v>9220</v>
      </c>
    </row>
    <row r="92" spans="1:7" x14ac:dyDescent="0.3">
      <c r="A92" s="2">
        <v>24</v>
      </c>
      <c r="C92" s="38" t="s">
        <v>38</v>
      </c>
      <c r="D92" s="42">
        <f>TRUNC(7408,-1)</f>
        <v>7400</v>
      </c>
      <c r="E92" s="63">
        <f t="shared" si="2"/>
        <v>24460</v>
      </c>
    </row>
    <row r="93" spans="1:7" x14ac:dyDescent="0.3">
      <c r="A93" s="2">
        <v>25</v>
      </c>
      <c r="C93" s="38" t="s">
        <v>148</v>
      </c>
      <c r="D93" s="42">
        <f>TRUNC(142747,-1)</f>
        <v>142740</v>
      </c>
      <c r="E93" s="63">
        <f t="shared" si="2"/>
        <v>471860</v>
      </c>
    </row>
    <row r="94" spans="1:7" ht="17.25" thickBot="1" x14ac:dyDescent="0.35">
      <c r="A94" s="2">
        <v>26</v>
      </c>
      <c r="C94" s="38" t="s">
        <v>47</v>
      </c>
      <c r="D94" s="43">
        <v>4440</v>
      </c>
      <c r="E94" s="64">
        <f t="shared" si="2"/>
        <v>14670</v>
      </c>
    </row>
    <row r="95" spans="1:7" x14ac:dyDescent="0.3">
      <c r="A95" s="2">
        <v>27</v>
      </c>
      <c r="C95" s="27" t="s">
        <v>112</v>
      </c>
      <c r="D95" s="39">
        <f>SUM(D69:D94)</f>
        <v>180250</v>
      </c>
      <c r="E95" s="39">
        <f>SUM(E69:E94)</f>
        <v>595820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TRUNC(12851,-1)</f>
        <v>12850</v>
      </c>
      <c r="E98" s="62">
        <f t="shared" ref="E98:E118" si="3">TRUNC(+D98*3.3058,-1)</f>
        <v>42470</v>
      </c>
    </row>
    <row r="99" spans="1:7" x14ac:dyDescent="0.3">
      <c r="A99" s="2">
        <v>2</v>
      </c>
      <c r="C99" s="38" t="s">
        <v>40</v>
      </c>
      <c r="D99" s="42">
        <f>TRUNC(988,-1)</f>
        <v>980</v>
      </c>
      <c r="E99" s="63">
        <f t="shared" si="3"/>
        <v>3230</v>
      </c>
    </row>
    <row r="100" spans="1:7" x14ac:dyDescent="0.3">
      <c r="A100" s="2">
        <v>3</v>
      </c>
      <c r="C100" s="38" t="s">
        <v>41</v>
      </c>
      <c r="D100" s="42">
        <f>TRUNC(29908,-1)</f>
        <v>29900</v>
      </c>
      <c r="E100" s="63">
        <f t="shared" si="3"/>
        <v>98840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TRUNC(16259,-1)</f>
        <v>16250</v>
      </c>
      <c r="E102" s="63">
        <f t="shared" si="3"/>
        <v>53710</v>
      </c>
    </row>
    <row r="103" spans="1:7" x14ac:dyDescent="0.3">
      <c r="A103" s="2">
        <v>6</v>
      </c>
      <c r="C103" s="38" t="s">
        <v>44</v>
      </c>
      <c r="D103" s="42">
        <f>TRUNC(4884,-1)</f>
        <v>4880</v>
      </c>
      <c r="E103" s="63">
        <f t="shared" si="3"/>
        <v>16130</v>
      </c>
    </row>
    <row r="104" spans="1:7" x14ac:dyDescent="0.3">
      <c r="A104" s="2">
        <v>7</v>
      </c>
      <c r="C104" s="38" t="s">
        <v>45</v>
      </c>
      <c r="D104" s="42">
        <f>TRUNC(4652,-1)</f>
        <v>4650</v>
      </c>
      <c r="E104" s="63">
        <f t="shared" si="3"/>
        <v>15370</v>
      </c>
    </row>
    <row r="105" spans="1:7" x14ac:dyDescent="0.3">
      <c r="A105" s="2">
        <v>8</v>
      </c>
      <c r="C105" s="38" t="s">
        <v>46</v>
      </c>
      <c r="D105" s="42">
        <f>TRUNC(9527,-1)</f>
        <v>9520</v>
      </c>
      <c r="E105" s="63">
        <f t="shared" si="3"/>
        <v>31470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TRUNC(1958,-1)</f>
        <v>1950</v>
      </c>
      <c r="E114" s="63">
        <f t="shared" si="3"/>
        <v>6440</v>
      </c>
      <c r="F114" s="2" t="s">
        <v>261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TRUNC(3622,-1)</f>
        <v>3620</v>
      </c>
      <c r="E116" s="63">
        <f t="shared" si="3"/>
        <v>11960</v>
      </c>
      <c r="F116" s="2" t="s">
        <v>254</v>
      </c>
    </row>
    <row r="117" spans="1:7" x14ac:dyDescent="0.3">
      <c r="A117" s="2">
        <v>20</v>
      </c>
      <c r="C117" s="38" t="s">
        <v>148</v>
      </c>
      <c r="D117" s="42">
        <f>TRUNC(128334,-1)</f>
        <v>128330</v>
      </c>
      <c r="E117" s="63">
        <f t="shared" si="3"/>
        <v>424230</v>
      </c>
    </row>
    <row r="118" spans="1:7" ht="17.25" thickBot="1" x14ac:dyDescent="0.35">
      <c r="A118" s="2">
        <v>21</v>
      </c>
      <c r="C118" s="38" t="s">
        <v>47</v>
      </c>
      <c r="D118" s="43">
        <f>TRUNC(3943,-1)</f>
        <v>3940</v>
      </c>
      <c r="E118" s="64">
        <f t="shared" si="3"/>
        <v>13020</v>
      </c>
    </row>
    <row r="119" spans="1:7" x14ac:dyDescent="0.3">
      <c r="A119" s="2">
        <v>22</v>
      </c>
      <c r="C119" s="27" t="s">
        <v>112</v>
      </c>
      <c r="D119" s="39">
        <f>SUM(D98:D118)</f>
        <v>216870</v>
      </c>
      <c r="E119" s="39">
        <f>SUM(E98:E118)</f>
        <v>716870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TRUNC(2023,-1)</f>
        <v>2020</v>
      </c>
      <c r="E122" s="62">
        <f t="shared" ref="E122:E132" si="4">TRUNC(+D122*3.3058,-1)</f>
        <v>6670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TRUNC(737,-1)</f>
        <v>730</v>
      </c>
      <c r="E124" s="63">
        <f t="shared" si="4"/>
        <v>2410</v>
      </c>
    </row>
    <row r="125" spans="1:7" x14ac:dyDescent="0.3">
      <c r="A125" s="2">
        <v>4</v>
      </c>
      <c r="C125" s="38" t="s">
        <v>138</v>
      </c>
      <c r="D125" s="42">
        <f>TRUNC(4602,-1)</f>
        <v>4600</v>
      </c>
      <c r="E125" s="63">
        <f t="shared" si="4"/>
        <v>15200</v>
      </c>
    </row>
    <row r="126" spans="1:7" x14ac:dyDescent="0.3">
      <c r="A126" s="2">
        <v>5</v>
      </c>
      <c r="C126" s="38" t="s">
        <v>53</v>
      </c>
      <c r="D126" s="42">
        <f>TRUNC(1023,-1)</f>
        <v>1020</v>
      </c>
      <c r="E126" s="63">
        <f t="shared" si="4"/>
        <v>3370</v>
      </c>
    </row>
    <row r="127" spans="1:7" x14ac:dyDescent="0.3">
      <c r="A127" s="2">
        <v>6</v>
      </c>
      <c r="C127" s="38" t="s">
        <v>56</v>
      </c>
      <c r="D127" s="42">
        <f>TRUNC(11329,-1)</f>
        <v>11320</v>
      </c>
      <c r="E127" s="63">
        <f t="shared" si="4"/>
        <v>37420</v>
      </c>
    </row>
    <row r="128" spans="1:7" x14ac:dyDescent="0.3">
      <c r="A128" s="2">
        <v>7</v>
      </c>
      <c r="C128" s="38" t="s">
        <v>46</v>
      </c>
      <c r="D128" s="42">
        <f>TRUNC(10348,-1)</f>
        <v>10340</v>
      </c>
      <c r="E128" s="63">
        <f t="shared" si="4"/>
        <v>34180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TRUNC(24217,-1)</f>
        <v>24210</v>
      </c>
      <c r="E130" s="63">
        <f t="shared" si="4"/>
        <v>80030</v>
      </c>
    </row>
    <row r="131" spans="1:7" x14ac:dyDescent="0.3">
      <c r="A131" s="2">
        <v>10</v>
      </c>
      <c r="C131" s="38" t="s">
        <v>148</v>
      </c>
      <c r="D131" s="42">
        <f>TRUNC(6878,-1)</f>
        <v>6870</v>
      </c>
      <c r="E131" s="63">
        <f t="shared" si="4"/>
        <v>22710</v>
      </c>
    </row>
    <row r="132" spans="1:7" ht="18" thickBot="1" x14ac:dyDescent="0.35">
      <c r="A132" s="2">
        <v>11</v>
      </c>
      <c r="C132" s="38" t="s">
        <v>47</v>
      </c>
      <c r="D132" s="43">
        <f>TRUNC(615,-1)</f>
        <v>610</v>
      </c>
      <c r="E132" s="64">
        <f t="shared" si="4"/>
        <v>2010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61720</v>
      </c>
      <c r="E133" s="39">
        <f>SUM(E122:E132)</f>
        <v>204000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TRUNC(2376,-1)</f>
        <v>2370</v>
      </c>
      <c r="E137" s="63">
        <f t="shared" si="5"/>
        <v>7830</v>
      </c>
      <c r="F137" s="2" t="s">
        <v>262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TRUNC(1775,-1)</f>
        <v>1770</v>
      </c>
      <c r="E140" s="63">
        <f t="shared" si="5"/>
        <v>5850</v>
      </c>
    </row>
    <row r="141" spans="1:7" x14ac:dyDescent="0.3">
      <c r="A141" s="2">
        <v>6</v>
      </c>
      <c r="C141" s="38" t="s">
        <v>59</v>
      </c>
      <c r="D141" s="42">
        <f>TRUNC(10557,-1)</f>
        <v>10550</v>
      </c>
      <c r="E141" s="63">
        <f t="shared" si="5"/>
        <v>34870</v>
      </c>
    </row>
    <row r="142" spans="1:7" x14ac:dyDescent="0.3">
      <c r="A142" s="2">
        <v>7</v>
      </c>
      <c r="C142" s="38" t="s">
        <v>58</v>
      </c>
      <c r="D142" s="42">
        <f>TRUNC(4975,-1)</f>
        <v>4970</v>
      </c>
      <c r="E142" s="63">
        <f t="shared" si="5"/>
        <v>16420</v>
      </c>
    </row>
    <row r="143" spans="1:7" x14ac:dyDescent="0.3">
      <c r="A143" s="2">
        <v>8</v>
      </c>
      <c r="C143" s="38" t="s">
        <v>62</v>
      </c>
      <c r="D143" s="42">
        <f>TRUNC(2869,-1)</f>
        <v>2860</v>
      </c>
      <c r="E143" s="63">
        <f t="shared" si="5"/>
        <v>9450</v>
      </c>
    </row>
    <row r="144" spans="1:7" x14ac:dyDescent="0.3">
      <c r="A144" s="2">
        <v>9</v>
      </c>
      <c r="C144" s="38" t="s">
        <v>63</v>
      </c>
      <c r="D144" s="42">
        <v>9890</v>
      </c>
      <c r="E144" s="63">
        <f t="shared" si="5"/>
        <v>32690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32410</v>
      </c>
      <c r="E146" s="39">
        <f>SUM(E136:E145)</f>
        <v>107110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TRUNC(3863,-1)</f>
        <v>3860</v>
      </c>
      <c r="E149" s="62">
        <f>TRUNC(+D149*3.3058,-1)</f>
        <v>12760</v>
      </c>
    </row>
    <row r="150" spans="1:7" x14ac:dyDescent="0.3">
      <c r="A150" s="2">
        <v>2</v>
      </c>
      <c r="C150" s="38" t="s">
        <v>49</v>
      </c>
      <c r="D150" s="42">
        <f>TRUNC(6225,-1)</f>
        <v>6220</v>
      </c>
      <c r="E150" s="63">
        <f>TRUNC(+D150*3.3058,-1)</f>
        <v>20560</v>
      </c>
    </row>
    <row r="151" spans="1:7" x14ac:dyDescent="0.3">
      <c r="A151" s="2">
        <v>3</v>
      </c>
      <c r="C151" s="38" t="s">
        <v>50</v>
      </c>
      <c r="D151" s="42">
        <f>TRUNC(191,-1)</f>
        <v>190</v>
      </c>
      <c r="E151" s="63">
        <f>TRUNC(+D151*3.3058,-1)</f>
        <v>620</v>
      </c>
    </row>
    <row r="152" spans="1:7" x14ac:dyDescent="0.3">
      <c r="A152" s="2">
        <v>4</v>
      </c>
      <c r="C152" s="38" t="s">
        <v>47</v>
      </c>
      <c r="D152" s="42">
        <f>TRUNC(7008+12454,-1)</f>
        <v>19460</v>
      </c>
      <c r="E152" s="63">
        <f>TRUNC(+D152*3.3058,-1)</f>
        <v>64330</v>
      </c>
      <c r="F152" s="2" t="s">
        <v>263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29730</v>
      </c>
      <c r="E154" s="39">
        <f>SUM(E149:E153)</f>
        <v>98270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TRUNC(8442,-1)</f>
        <v>8440</v>
      </c>
      <c r="E157" s="62">
        <f>TRUNC(+D157*3.3058,-1)</f>
        <v>27900</v>
      </c>
    </row>
    <row r="158" spans="1:7" x14ac:dyDescent="0.3">
      <c r="A158" s="2">
        <v>2</v>
      </c>
      <c r="C158" s="38" t="s">
        <v>52</v>
      </c>
      <c r="D158" s="42">
        <f>TRUNC(3826,-1)</f>
        <v>3820</v>
      </c>
      <c r="E158" s="63">
        <f>TRUNC(+D158*3.3058,-1)</f>
        <v>12620</v>
      </c>
    </row>
    <row r="159" spans="1:7" x14ac:dyDescent="0.3">
      <c r="A159" s="2">
        <v>3</v>
      </c>
      <c r="C159" s="38" t="s">
        <v>47</v>
      </c>
      <c r="D159" s="42">
        <f>TRUNC(1,-1)</f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12260</v>
      </c>
      <c r="E161" s="39">
        <f>SUM(E157:E160)</f>
        <v>40520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2020-12-07T09:56:31Z</dcterms:modified>
</cp:coreProperties>
</file>