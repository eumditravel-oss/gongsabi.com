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7" i="4" l="1"/>
  <c r="D136" i="4"/>
  <c r="D58" i="4" l="1"/>
  <c r="D59" i="4"/>
  <c r="D54" i="4"/>
  <c r="D56" i="4"/>
  <c r="D55" i="4"/>
  <c r="D52" i="4"/>
  <c r="D53" i="4"/>
  <c r="D48" i="4"/>
  <c r="D51" i="4"/>
  <c r="D50" i="4"/>
  <c r="D49" i="4"/>
  <c r="D47" i="4"/>
  <c r="D46" i="4"/>
  <c r="D45" i="4"/>
  <c r="D44" i="4"/>
  <c r="D43" i="4"/>
  <c r="D42" i="4"/>
  <c r="D41" i="4"/>
  <c r="D40" i="4"/>
  <c r="D37" i="4"/>
  <c r="D159" i="4"/>
  <c r="D158" i="4"/>
  <c r="D157" i="4"/>
  <c r="D152" i="4"/>
  <c r="D150" i="4"/>
  <c r="D149" i="4"/>
  <c r="D153" i="4"/>
  <c r="D65" i="4"/>
  <c r="D63" i="4"/>
  <c r="D94" i="4"/>
  <c r="D93" i="4"/>
  <c r="D75" i="4"/>
  <c r="D90" i="4"/>
  <c r="D84" i="4"/>
  <c r="D74" i="4"/>
  <c r="D92" i="4"/>
  <c r="D78" i="4"/>
  <c r="D71" i="4"/>
  <c r="D70" i="4"/>
  <c r="D69" i="4"/>
  <c r="D117" i="4"/>
  <c r="D118" i="4"/>
  <c r="D105" i="4"/>
  <c r="D104" i="4"/>
  <c r="D100" i="4"/>
  <c r="D102" i="4"/>
  <c r="D99" i="4"/>
  <c r="D98" i="4"/>
  <c r="D115" i="4"/>
  <c r="D114" i="4"/>
  <c r="D131" i="4"/>
  <c r="D128" i="4"/>
  <c r="D124" i="4"/>
  <c r="D125" i="4"/>
  <c r="D132" i="4"/>
  <c r="D122" i="4"/>
  <c r="D13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46" i="4"/>
  <c r="E60" i="4"/>
  <c r="E154" i="4"/>
  <c r="E66" i="4"/>
  <c r="E95" i="4"/>
  <c r="E119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29" i="4"/>
  <c r="E29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<sst xmlns="http://schemas.openxmlformats.org/spreadsheetml/2006/main" count="395" uniqueCount="270">
  <si>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</si>
  <si>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</si>
  <si>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</si>
  <si>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</si>
  <si>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</si>
  <si>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</si>
  <si>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</si>
  <si>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</si>
  <si>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</si>
  <si>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</si>
  <si>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</si>
  <si>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</si>
  <si>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</si>
  <si>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</si>
  <si>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</si>
  <si>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</si>
  <si>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</si>
  <si>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</si>
  <si>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</si>
  <si>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</si>
  <si>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</si>
  <si>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</si>
  <si>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</si>
  <si>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</si>
  <si>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</si>
  <si>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</si>
  <si>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</si>
  <si>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</si>
  <si>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</si>
  <si>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</si>
  <si>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</si>
  <si>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</si>
  <si>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</si>
  <si>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</si>
  <si>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</si>
  <si>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</si>
  <si>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</si>
  <si>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</si>
  <si>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</si>
  <si>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</si>
  <si>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</si>
  <si>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</si>
  <si>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</si>
  <si>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</si>
  <si>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</si>
  <si>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</si>
  <si>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</si>
  <si>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</si>
  <si>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</si>
  <si>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</si>
  <si>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</si>
  <si>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</si>
  <si>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</si>
  <si>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</si>
  <si>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</si>
  <si>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</si>
  <si>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</si>
  <si>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</si>
  <si>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</si>
  <si>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</si>
  <si>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</si>
  <si>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</si>
  <si>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</si>
  <si>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</si>
  <si>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</si>
  <si>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</si>
  <si>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</si>
  <si>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</si>
  <si>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</si>
  <si>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</si>
  <si>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</si>
  <si>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</si>
  <si>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</si>
  <si>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</si>
  <si>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</si>
  <si>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</si>
  <si>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</si>
  <si>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</si>
  <si>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</si>
  <si>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</si>
  <si>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</si>
  <si>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</si>
  <si>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</si>
  <si>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</si>
  <si>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</si>
  <si>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</si>
  <si>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</si>
  <si>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</si>
  <si>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</si>
  <si>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</si>
  <si>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</si>
  <si>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</si>
  <si>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</si>
  <si>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</si>
  <si>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</si>
  <si>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</si>
  <si>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</si>
  <si>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</si>
  <si>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</si>
  <si>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</si>
  <si>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</si>
  <si>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</si>
  <si>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</si>
  <si>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</si>
  <si>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</si>
  <si>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</si>
  <si>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</si>
  <si>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</si>
  <si>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</si>
  <si>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</si>
  <si>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</si>
  <si>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</si>
  <si>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</si>
  <si>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</si>
  <si>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</si>
  <si>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</si>
  <si>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</si>
  <si>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</si>
  <si>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</si>
  <si>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</si>
  <si>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</si>
  <si>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</si>
  <si>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</si>
  <si>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</si>
  <si>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</si>
  <si>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</si>
  <si>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</si>
  <si>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</si>
  <si>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</si>
  <si>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</si>
  <si>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</si>
  <si>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</si>
  <si>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</si>
  <si>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</si>
  <si>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</si>
  <si>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</si>
  <si>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</si>
  <si>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</si>
  <si>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</si>
  <si>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</si>
  <si>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</si>
  <si>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</si>
  <si>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</si>
  <si>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</si>
  <si>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</si>
  <si>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</si>
  <si>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</si>
  <si>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</si>
  <si>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</si>
  <si>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</si>
  <si>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</si>
  <si>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</si>
  <si>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</si>
  <si>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</si>
  <si>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</si>
  <si>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</si>
  <si>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</si>
  <si>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</si>
  <si>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</si>
  <si>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</si>
  <si>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</si>
  <si>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</si>
  <si>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</si>
  <si>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</si>
  <si>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</si>
  <si>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</si>
  <si>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</si>
  <si>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</si>
  <si>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</si>
  <si>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</si>
  <si>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</si>
  <si>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</si>
  <si>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</si>
  <si>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</si>
  <si>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</si>
  <si>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</si>
  <si>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</si>
  <si>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</si>
  <si>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</si>
  <si>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</si>
  <si>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</si>
  <si>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</si>
  <si>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</si>
  <si>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</si>
  <si>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</si>
  <si>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</si>
  <si>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</si>
  <si>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</si>
  <si>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</si>
  <si>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</si>
  <si>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</si>
  <si>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</si>
  <si>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</si>
  <si>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</si>
  <si>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</si>
  <si>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</si>
  <si>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</si>
  <si>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</si>
  <si>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</si>
  <si>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</si>
  <si>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</si>
  <si>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</si>
  <si>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</si>
  <si>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</si>
  <si>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</si>
  <si>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</si>
  <si>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</si>
  <si>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</si>
  <si>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</si>
  <si>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</si>
  <si>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</si>
  <si>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</si>
  <si>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</si>
  <si>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</si>
  <si>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</si>
  <si>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</si>
  <si>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</si>
  <si>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</si>
  <si>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</si>
  <si>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</si>
  <si>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</si>
  <si>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</si>
  <si>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</si>
  <si>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</si>
  <si>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</si>
  <si>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</si>
  <si>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</si>
  <si>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</si>
  <si>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</si>
  <si>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</si>
  <si>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</si>
  <si>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</si>
  <si>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</si>
  <si>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</si>
  <si>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</si>
  <si>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</si>
  <si>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</si>
  <si>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</si>
  <si>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</si>
  <si>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</si>
  <si>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</si>
  <si>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</si>
  <si>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</si>
  <si>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</si>
  <si>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</si>
  <si>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</si>
  <si>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</si>
  <si>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</si>
  <si>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00지방국세청 청사 신축공사</t>
  </si>
  <si>
    <t>업무</t>
  </si>
  <si>
    <t>부산시</t>
  </si>
  <si>
    <t>CATV 설비공사</t>
  </si>
  <si>
    <t>통신인입설비공사,CCTV 설비공사,주차관제설비공사,인터폰설비공사,재부재설비공사,통신기존장비이설공사</t>
    <phoneticPr fontId="2" type="noConversion"/>
  </si>
  <si>
    <t>접지설비공사</t>
    <phoneticPr fontId="2" type="noConversion"/>
  </si>
  <si>
    <t>자동제어설비공사,실별객실관리설비공사,무대장치설비공사,경비실설비공사</t>
    <phoneticPr fontId="2" type="noConversion"/>
  </si>
  <si>
    <t>위생설비공사</t>
    <phoneticPr fontId="2" type="noConversion"/>
  </si>
  <si>
    <t>방진설치공사</t>
    <phoneticPr fontId="2" type="noConversion"/>
  </si>
  <si>
    <t>공조배관공사,초절전온수방열관공사,주방기구설치공사,제요율적용제외공종</t>
    <phoneticPr fontId="2" type="noConversion"/>
  </si>
  <si>
    <t>우수공사,오수공사</t>
  </si>
  <si>
    <t>수목식재공사</t>
  </si>
  <si>
    <t>수목이식공사,포장공사,분수공사,객토공사,마감공사</t>
    <phoneticPr fontId="2" type="noConversion"/>
  </si>
  <si>
    <t>품질시험비,토및지정공사,부대시설구조물공사,잡공사,골재비,운반비,정문경비실(7M2),정문경비실(7M3)</t>
    <phoneticPr fontId="2" type="noConversion"/>
  </si>
  <si>
    <t>기계 소방공사</t>
    <phoneticPr fontId="2" type="noConversion"/>
  </si>
  <si>
    <t>전기 소방설비공사,전기 무선통신 보조설비공사</t>
    <phoneticPr fontId="2" type="noConversion"/>
  </si>
  <si>
    <t>부대공,사급자재비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</si>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</sst>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17501</v>
      </c>
      <c r="D7" s="36">
        <f>+C7/3.3058</f>
        <v>5294.0286768709539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4020</v>
      </c>
      <c r="E24" s="58">
        <f t="shared" ref="E24:E33" si="0">TRUNC(+D24*3.3058,-1)</f>
        <v>13280</v>
      </c>
    </row>
    <row r="25" spans="1:5" x14ac:dyDescent="0.3">
      <c r="B25" s="2">
        <v>2</v>
      </c>
      <c r="C25" s="35" t="s">
        <v>111</v>
      </c>
      <c r="D25" s="45">
        <f>+D60</f>
        <v>717960</v>
      </c>
      <c r="E25" s="59">
        <f t="shared" si="0"/>
        <v>2373430</v>
      </c>
    </row>
    <row r="26" spans="1:5" x14ac:dyDescent="0.3">
      <c r="B26" s="2">
        <v>3</v>
      </c>
      <c r="C26" s="35" t="s">
        <v>95</v>
      </c>
      <c r="D26" s="45">
        <f>+D66</f>
        <v>58790</v>
      </c>
      <c r="E26" s="59">
        <f t="shared" si="0"/>
        <v>194340</v>
      </c>
    </row>
    <row r="27" spans="1:5" x14ac:dyDescent="0.3">
      <c r="B27" s="2">
        <v>4</v>
      </c>
      <c r="C27" s="35" t="s">
        <v>96</v>
      </c>
      <c r="D27" s="45">
        <f>+D95</f>
        <v>248020</v>
      </c>
      <c r="E27" s="59">
        <f t="shared" si="0"/>
        <v>819900</v>
      </c>
    </row>
    <row r="28" spans="1:5" x14ac:dyDescent="0.3">
      <c r="B28" s="2">
        <v>5</v>
      </c>
      <c r="C28" s="35" t="s">
        <v>97</v>
      </c>
      <c r="D28" s="45">
        <f>+D119</f>
        <v>114900</v>
      </c>
      <c r="E28" s="59">
        <f t="shared" si="0"/>
        <v>379830</v>
      </c>
    </row>
    <row r="29" spans="1:5" x14ac:dyDescent="0.3">
      <c r="B29" s="2">
        <v>6</v>
      </c>
      <c r="C29" s="35" t="s">
        <v>98</v>
      </c>
      <c r="D29" s="45">
        <f>+D133</f>
        <v>65770</v>
      </c>
      <c r="E29" s="59">
        <f t="shared" si="0"/>
        <v>217420</v>
      </c>
    </row>
    <row r="30" spans="1:5" x14ac:dyDescent="0.3">
      <c r="B30" s="2">
        <v>7</v>
      </c>
      <c r="C30" s="35" t="s">
        <v>99</v>
      </c>
      <c r="D30" s="45">
        <f>+D146</f>
        <v>47890</v>
      </c>
      <c r="E30" s="59">
        <f t="shared" si="0"/>
        <v>158310</v>
      </c>
    </row>
    <row r="31" spans="1:5" x14ac:dyDescent="0.3">
      <c r="B31" s="2">
        <v>8</v>
      </c>
      <c r="C31" s="35" t="s">
        <v>100</v>
      </c>
      <c r="D31" s="45">
        <f>+D154</f>
        <v>20840</v>
      </c>
      <c r="E31" s="59">
        <f t="shared" si="0"/>
        <v>68890</v>
      </c>
    </row>
    <row r="32" spans="1:5" x14ac:dyDescent="0.3">
      <c r="B32" s="2">
        <v>9</v>
      </c>
      <c r="C32" s="35" t="s">
        <v>101</v>
      </c>
      <c r="D32" s="45">
        <f>+D161</f>
        <v>60130</v>
      </c>
      <c r="E32" s="59">
        <f t="shared" si="0"/>
        <v>198770</v>
      </c>
    </row>
    <row r="33" spans="1:7" x14ac:dyDescent="0.3">
      <c r="B33" s="2">
        <v>10</v>
      </c>
      <c r="C33" s="35" t="s">
        <v>154</v>
      </c>
      <c r="D33" s="53">
        <f>TRUNC(SUM(D24:D32)*0.275,-1)</f>
        <v>368030</v>
      </c>
      <c r="E33" s="60">
        <f t="shared" si="0"/>
        <v>1216630</v>
      </c>
    </row>
    <row r="34" spans="1:7" x14ac:dyDescent="0.3">
      <c r="C34" s="35" t="s">
        <v>112</v>
      </c>
      <c r="D34" s="44">
        <f>SUM(D24:D33)</f>
        <v>1706350</v>
      </c>
      <c r="E34" s="44">
        <f>SUM(E24:E33)</f>
        <v>5640800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TRUNC(4024.55242557568,-1)</f>
        <v>4020</v>
      </c>
      <c r="E37" s="61">
        <f>TRUNC(+D37*3.3058,-1)</f>
        <v>13280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TRUNC(32520.1791897606,-1)</f>
        <v>32520</v>
      </c>
      <c r="E40" s="62">
        <f t="shared" ref="E40:E59" si="1">TRUNC(+D40*3.3058,-1)</f>
        <v>107500</v>
      </c>
    </row>
    <row r="41" spans="1:7" x14ac:dyDescent="0.3">
      <c r="A41" s="2">
        <v>2</v>
      </c>
      <c r="C41" s="38" t="s">
        <v>13</v>
      </c>
      <c r="D41" s="42">
        <f>TRUNC(92301.015541969,-1)</f>
        <v>92300</v>
      </c>
      <c r="E41" s="63">
        <f t="shared" si="1"/>
        <v>305120</v>
      </c>
    </row>
    <row r="42" spans="1:7" x14ac:dyDescent="0.3">
      <c r="A42" s="2">
        <v>3</v>
      </c>
      <c r="C42" s="38" t="s">
        <v>14</v>
      </c>
      <c r="D42" s="42">
        <f>TRUNC(9331.59390891949,-1)</f>
        <v>9330</v>
      </c>
      <c r="E42" s="63">
        <f t="shared" si="1"/>
        <v>30840</v>
      </c>
    </row>
    <row r="43" spans="1:7" x14ac:dyDescent="0.3">
      <c r="A43" s="2">
        <v>4</v>
      </c>
      <c r="C43" s="38" t="s">
        <v>16</v>
      </c>
      <c r="D43" s="42">
        <f>TRUNC(12873.5080281127,-1)</f>
        <v>12870</v>
      </c>
      <c r="E43" s="63">
        <f t="shared" si="1"/>
        <v>42540</v>
      </c>
    </row>
    <row r="44" spans="1:7" x14ac:dyDescent="0.3">
      <c r="A44" s="2">
        <v>5</v>
      </c>
      <c r="C44" s="38" t="s">
        <v>17</v>
      </c>
      <c r="D44" s="42">
        <f>TRUNC(15301.8560653677,-1)</f>
        <v>15300</v>
      </c>
      <c r="E44" s="63">
        <f t="shared" si="1"/>
        <v>50570</v>
      </c>
    </row>
    <row r="45" spans="1:7" x14ac:dyDescent="0.3">
      <c r="A45" s="2">
        <v>6</v>
      </c>
      <c r="C45" s="38" t="s">
        <v>18</v>
      </c>
      <c r="D45" s="42">
        <f>TRUNC(2524.45003142678,-1)</f>
        <v>2520</v>
      </c>
      <c r="E45" s="63">
        <f t="shared" si="1"/>
        <v>8330</v>
      </c>
    </row>
    <row r="46" spans="1:7" x14ac:dyDescent="0.3">
      <c r="A46" s="2">
        <v>7</v>
      </c>
      <c r="C46" s="38" t="s">
        <v>19</v>
      </c>
      <c r="D46" s="42">
        <f>TRUNC(99631.1808468088,-1)</f>
        <v>99630</v>
      </c>
      <c r="E46" s="63">
        <f t="shared" si="1"/>
        <v>329350</v>
      </c>
    </row>
    <row r="47" spans="1:7" x14ac:dyDescent="0.3">
      <c r="A47" s="2">
        <v>8</v>
      </c>
      <c r="C47" s="38" t="s">
        <v>20</v>
      </c>
      <c r="D47" s="42">
        <f>TRUNC(1740.29078338381,-1)</f>
        <v>1740</v>
      </c>
      <c r="E47" s="63">
        <f t="shared" si="1"/>
        <v>5750</v>
      </c>
    </row>
    <row r="48" spans="1:7" x14ac:dyDescent="0.3">
      <c r="A48" s="2">
        <v>9</v>
      </c>
      <c r="C48" s="38" t="s">
        <v>21</v>
      </c>
      <c r="D48" s="42">
        <f>TRUNC(53112.4167190446,-1)</f>
        <v>53110</v>
      </c>
      <c r="E48" s="63">
        <f t="shared" si="1"/>
        <v>175570</v>
      </c>
    </row>
    <row r="49" spans="1:7" x14ac:dyDescent="0.3">
      <c r="A49" s="2">
        <v>10</v>
      </c>
      <c r="C49" s="38" t="s">
        <v>22</v>
      </c>
      <c r="D49" s="42">
        <f>TRUNC(10176.2444431747,-1)</f>
        <v>10170</v>
      </c>
      <c r="E49" s="63">
        <f t="shared" si="1"/>
        <v>33610</v>
      </c>
    </row>
    <row r="50" spans="1:7" x14ac:dyDescent="0.3">
      <c r="A50" s="2">
        <v>11</v>
      </c>
      <c r="C50" s="38" t="s">
        <v>155</v>
      </c>
      <c r="D50" s="42">
        <f>TRUNC(47326.8734929433,-1)</f>
        <v>47320</v>
      </c>
      <c r="E50" s="63">
        <f t="shared" si="1"/>
        <v>156430</v>
      </c>
    </row>
    <row r="51" spans="1:7" x14ac:dyDescent="0.3">
      <c r="A51" s="2">
        <v>12</v>
      </c>
      <c r="C51" s="38" t="s">
        <v>23</v>
      </c>
      <c r="D51" s="42">
        <f>TRUNC(10492.7238443518,-1)</f>
        <v>10490</v>
      </c>
      <c r="E51" s="63">
        <f t="shared" si="1"/>
        <v>34670</v>
      </c>
    </row>
    <row r="52" spans="1:7" x14ac:dyDescent="0.3">
      <c r="A52" s="2">
        <v>13</v>
      </c>
      <c r="C52" s="38" t="s">
        <v>24</v>
      </c>
      <c r="D52" s="42">
        <f>TRUNC(5923.30461116507,-1)</f>
        <v>5920</v>
      </c>
      <c r="E52" s="63">
        <f t="shared" si="1"/>
        <v>19570</v>
      </c>
    </row>
    <row r="53" spans="1:7" x14ac:dyDescent="0.3">
      <c r="A53" s="2">
        <v>14</v>
      </c>
      <c r="C53" s="38" t="s">
        <v>25</v>
      </c>
      <c r="D53" s="42">
        <f>TRUNC(49468.9572595852,-1)</f>
        <v>49460</v>
      </c>
      <c r="E53" s="63">
        <f t="shared" si="1"/>
        <v>163500</v>
      </c>
    </row>
    <row r="54" spans="1:7" x14ac:dyDescent="0.3">
      <c r="A54" s="2">
        <v>15</v>
      </c>
      <c r="C54" s="38" t="s">
        <v>147</v>
      </c>
      <c r="D54" s="42">
        <f>TRUNC(70779.5435689389,-1)</f>
        <v>70770</v>
      </c>
      <c r="E54" s="63">
        <f t="shared" si="1"/>
        <v>233950</v>
      </c>
    </row>
    <row r="55" spans="1:7" x14ac:dyDescent="0.3">
      <c r="A55" s="2">
        <v>16</v>
      </c>
      <c r="C55" s="38" t="s">
        <v>144</v>
      </c>
      <c r="D55" s="42">
        <f>TRUNC(194.609222330152,-1)</f>
        <v>190</v>
      </c>
      <c r="E55" s="63">
        <f t="shared" si="1"/>
        <v>620</v>
      </c>
    </row>
    <row r="56" spans="1:7" x14ac:dyDescent="0.3">
      <c r="A56" s="2">
        <v>17</v>
      </c>
      <c r="C56" s="38" t="s">
        <v>145</v>
      </c>
      <c r="D56" s="42">
        <f>TRUNC(5166.50477115593,-1)</f>
        <v>5160</v>
      </c>
      <c r="E56" s="63">
        <f t="shared" si="1"/>
        <v>17050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TRUNC(1001.27992686132+15002.2702702703+4073.68213244957+51313.3207816696+785.040854808297+2106.36135077996+956.158276669905+956.158276669905,-1)</f>
        <v>76190</v>
      </c>
      <c r="E58" s="63">
        <f t="shared" si="1"/>
        <v>251860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TRUNC(120953.888349237+2018.6275069996,-1)</f>
        <v>122970</v>
      </c>
      <c r="E59" s="64">
        <f t="shared" si="1"/>
        <v>406510</v>
      </c>
    </row>
    <row r="60" spans="1:7" x14ac:dyDescent="0.3">
      <c r="A60" s="2">
        <v>21</v>
      </c>
      <c r="C60" s="27" t="s">
        <v>112</v>
      </c>
      <c r="D60" s="39">
        <f>SUM(D40:D59)</f>
        <v>717960</v>
      </c>
      <c r="E60" s="39">
        <f>SUM(E40:E59)</f>
        <v>2373340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TRUNC(13346.160790812,-1)</f>
        <v>13340</v>
      </c>
      <c r="E63" s="62">
        <f>TRUNC(+D63*3.3058,-1)</f>
        <v>44090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TRUNC(45454.6438489229,-1)</f>
        <v>45450</v>
      </c>
      <c r="E65" s="64">
        <f>TRUNC(+D65*3.3058,-1)</f>
        <v>150240</v>
      </c>
    </row>
    <row r="66" spans="1:7" x14ac:dyDescent="0.3">
      <c r="A66" s="2">
        <v>4</v>
      </c>
      <c r="C66" s="27" t="s">
        <v>112</v>
      </c>
      <c r="D66" s="39">
        <f>SUM(D63:D65)</f>
        <v>58790</v>
      </c>
      <c r="E66" s="65">
        <f>SUM(E63:E65)</f>
        <v>194330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TRUNC(19669.2803268385,-1)</f>
        <v>19660</v>
      </c>
      <c r="E69" s="62">
        <f t="shared" ref="E69:E94" si="2">TRUNC(+D69*3.3058,-1)</f>
        <v>64990</v>
      </c>
    </row>
    <row r="70" spans="1:7" ht="16.5" customHeight="1" x14ac:dyDescent="0.3">
      <c r="A70" s="2">
        <v>2</v>
      </c>
      <c r="C70" s="38" t="s">
        <v>31</v>
      </c>
      <c r="D70" s="42">
        <f>TRUNC(1189.27107022456,-1)</f>
        <v>1180</v>
      </c>
      <c r="E70" s="63">
        <f t="shared" si="2"/>
        <v>3900</v>
      </c>
    </row>
    <row r="71" spans="1:7" x14ac:dyDescent="0.3">
      <c r="A71" s="2">
        <v>3</v>
      </c>
      <c r="C71" s="38" t="s">
        <v>32</v>
      </c>
      <c r="D71" s="42">
        <f>TRUNC(22146.4647734415,-1)</f>
        <v>22140</v>
      </c>
      <c r="E71" s="63">
        <f t="shared" si="2"/>
        <v>73190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f>TRUNC(2506.49488600651,-1)</f>
        <v>2500</v>
      </c>
      <c r="E74" s="63">
        <f t="shared" si="2"/>
        <v>8260</v>
      </c>
    </row>
    <row r="75" spans="1:7" x14ac:dyDescent="0.3">
      <c r="A75" s="2">
        <v>7</v>
      </c>
      <c r="C75" s="38" t="s">
        <v>140</v>
      </c>
      <c r="D75" s="42">
        <f>TRUNC(1139.36346494486,-1)</f>
        <v>1130</v>
      </c>
      <c r="E75" s="63">
        <f t="shared" si="2"/>
        <v>3730</v>
      </c>
      <c r="F75" s="2" t="s">
        <v>256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TRUNC(57709.9549168619,-1)</f>
        <v>57700</v>
      </c>
      <c r="E78" s="63">
        <f t="shared" si="2"/>
        <v>190740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TRUNC(9338.09210902234,-1)</f>
        <v>9330</v>
      </c>
      <c r="E84" s="63">
        <f t="shared" si="2"/>
        <v>30840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TRUNC(5064.52431289641,-1)</f>
        <v>5060</v>
      </c>
      <c r="E90" s="63">
        <f t="shared" si="2"/>
        <v>16720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TRUNC(15458.279126907,-1)</f>
        <v>15450</v>
      </c>
      <c r="E92" s="63">
        <f t="shared" si="2"/>
        <v>51070</v>
      </c>
      <c r="F92" s="2" t="s">
        <v>255</v>
      </c>
    </row>
    <row r="93" spans="1:7" x14ac:dyDescent="0.3">
      <c r="A93" s="2">
        <v>25</v>
      </c>
      <c r="C93" s="38" t="s">
        <v>148</v>
      </c>
      <c r="D93" s="42">
        <f>TRUNC(72349.3514656305,-1)</f>
        <v>72340</v>
      </c>
      <c r="E93" s="63">
        <f t="shared" si="2"/>
        <v>239140</v>
      </c>
    </row>
    <row r="94" spans="1:7" ht="17.25" thickBot="1" x14ac:dyDescent="0.35">
      <c r="A94" s="2">
        <v>26</v>
      </c>
      <c r="C94" s="38" t="s">
        <v>47</v>
      </c>
      <c r="D94" s="43">
        <f>TRUNC(32561.6453345523+1488.26655619679+5181.6181932461+2308.18804639735,-1)</f>
        <v>41530</v>
      </c>
      <c r="E94" s="64">
        <f t="shared" si="2"/>
        <v>137280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248020</v>
      </c>
      <c r="E95" s="39">
        <f>SUM(E69:E94)</f>
        <v>819860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TRUNC(16254.1439917719,-1)</f>
        <v>16250</v>
      </c>
      <c r="E98" s="62">
        <f t="shared" ref="E98:E118" si="3">TRUNC(+D98*3.3058,-1)</f>
        <v>53710</v>
      </c>
    </row>
    <row r="99" spans="1:7" x14ac:dyDescent="0.3">
      <c r="A99" s="2">
        <v>2</v>
      </c>
      <c r="C99" s="38" t="s">
        <v>40</v>
      </c>
      <c r="D99" s="42">
        <f>TRUNC(7585.91480486829,-1)</f>
        <v>7580</v>
      </c>
      <c r="E99" s="63">
        <f t="shared" si="3"/>
        <v>25050</v>
      </c>
    </row>
    <row r="100" spans="1:7" x14ac:dyDescent="0.3">
      <c r="A100" s="2">
        <v>3</v>
      </c>
      <c r="C100" s="38" t="s">
        <v>41</v>
      </c>
      <c r="D100" s="42">
        <f>TRUNC(14426.7232158162,-1)</f>
        <v>14420</v>
      </c>
      <c r="E100" s="63">
        <f t="shared" si="3"/>
        <v>47660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TRUNC(6891.17987543569,-1)</f>
        <v>6890</v>
      </c>
      <c r="E102" s="63">
        <f t="shared" si="3"/>
        <v>22770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TRUNC(2989.468487515,-1)</f>
        <v>2980</v>
      </c>
      <c r="E104" s="63">
        <f t="shared" si="3"/>
        <v>9850</v>
      </c>
      <c r="F104" s="2" t="s">
        <v>253</v>
      </c>
    </row>
    <row r="105" spans="1:7" x14ac:dyDescent="0.3">
      <c r="A105" s="2">
        <v>8</v>
      </c>
      <c r="C105" s="38" t="s">
        <v>46</v>
      </c>
      <c r="D105" s="42">
        <f>TRUNC(2582.00508542369,-1)</f>
        <v>2580</v>
      </c>
      <c r="E105" s="63">
        <f t="shared" si="3"/>
        <v>8520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TRUNC(949.786583623793,-1)</f>
        <v>940</v>
      </c>
      <c r="E114" s="63">
        <f t="shared" si="3"/>
        <v>3100</v>
      </c>
    </row>
    <row r="115" spans="1:7" x14ac:dyDescent="0.3">
      <c r="A115" s="2">
        <v>18</v>
      </c>
      <c r="C115" s="38" t="s">
        <v>116</v>
      </c>
      <c r="D115" s="42">
        <f>TRUNC(3505.80189703446,-1)</f>
        <v>3500</v>
      </c>
      <c r="E115" s="63">
        <f t="shared" si="3"/>
        <v>11570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TRUNC(10250.4148334381+35851.4604879721,-1)</f>
        <v>46100</v>
      </c>
      <c r="E117" s="63">
        <f t="shared" si="3"/>
        <v>152390</v>
      </c>
    </row>
    <row r="118" spans="1:7" ht="17.25" thickBot="1" x14ac:dyDescent="0.35">
      <c r="A118" s="2">
        <v>21</v>
      </c>
      <c r="C118" s="38" t="s">
        <v>47</v>
      </c>
      <c r="D118" s="43">
        <f>TRUNC(5815.58556653905+2049.12376435632+5725.37157876693+71.9865721958745,-1)</f>
        <v>13660</v>
      </c>
      <c r="E118" s="64">
        <f t="shared" si="3"/>
        <v>45150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114900</v>
      </c>
      <c r="E119" s="39">
        <f>SUM(E98:E118)</f>
        <v>379770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TRUNC(3455.11667904691,-1)</f>
        <v>3450</v>
      </c>
      <c r="E122" s="62">
        <f t="shared" ref="E122:E132" si="4">TRUNC(+D122*3.3058,-1)</f>
        <v>11400</v>
      </c>
      <c r="F122" s="2" t="s">
        <v>251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TRUNC(2282.23130106851,-1)</f>
        <v>2280</v>
      </c>
      <c r="E124" s="63">
        <f t="shared" si="4"/>
        <v>7530</v>
      </c>
    </row>
    <row r="125" spans="1:7" x14ac:dyDescent="0.3">
      <c r="A125" s="2">
        <v>4</v>
      </c>
      <c r="C125" s="38" t="s">
        <v>138</v>
      </c>
      <c r="D125" s="42">
        <f>TRUNC(4149.74001485629,-1)</f>
        <v>4140</v>
      </c>
      <c r="E125" s="63">
        <f t="shared" si="4"/>
        <v>13680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TRUNC(2906.99691446203,-1)</f>
        <v>2900</v>
      </c>
      <c r="E128" s="63">
        <f t="shared" si="4"/>
        <v>9580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TRUNC(18839.2560425119,-1)</f>
        <v>18830</v>
      </c>
      <c r="E130" s="63">
        <f t="shared" si="4"/>
        <v>62240</v>
      </c>
    </row>
    <row r="131" spans="1:7" x14ac:dyDescent="0.3">
      <c r="A131" s="2">
        <v>10</v>
      </c>
      <c r="C131" s="38" t="s">
        <v>148</v>
      </c>
      <c r="D131" s="42">
        <f>TRUNC(22605.2488429233,-1)</f>
        <v>22600</v>
      </c>
      <c r="E131" s="63">
        <f t="shared" si="4"/>
        <v>74710</v>
      </c>
    </row>
    <row r="132" spans="1:7" ht="18" thickBot="1" x14ac:dyDescent="0.35">
      <c r="A132" s="2">
        <v>11</v>
      </c>
      <c r="C132" s="38" t="s">
        <v>47</v>
      </c>
      <c r="D132" s="43">
        <f>TRUNC(656.56848180104+5723.79601165648+379.055653962631+149.305296840181+1252.65527684132+3410.73658648077,-1)</f>
        <v>11570</v>
      </c>
      <c r="E132" s="64">
        <f t="shared" si="4"/>
        <v>38240</v>
      </c>
      <c r="F132" s="54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65770</v>
      </c>
      <c r="E133" s="39">
        <f>SUM(E122:E132)</f>
        <v>217380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TRUNC(34213.2779841152,-1)</f>
        <v>34210</v>
      </c>
      <c r="E136" s="62">
        <f t="shared" ref="E136:E145" si="5">TRUNC(+D136*3.3058,-1)</f>
        <v>113090</v>
      </c>
      <c r="F136" s="2" t="s">
        <v>262</v>
      </c>
    </row>
    <row r="137" spans="1:7" x14ac:dyDescent="0.3">
      <c r="A137" s="2">
        <v>2</v>
      </c>
      <c r="C137" s="38" t="s">
        <v>47</v>
      </c>
      <c r="D137" s="42">
        <f>TRUNC(12893.0403976916+790.424090051997,-1)</f>
        <v>13680</v>
      </c>
      <c r="E137" s="63">
        <f t="shared" si="5"/>
        <v>45220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47890</v>
      </c>
      <c r="E146" s="39">
        <f>SUM(E136:E145)</f>
        <v>158310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TRUNC(3493.4978572653+1543.91223358665,-1)</f>
        <v>5030</v>
      </c>
      <c r="E149" s="62">
        <f>TRUNC(+D149*3.3058,-1)</f>
        <v>16620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TRUNC(2482.21153076967,-1)</f>
        <v>2480</v>
      </c>
      <c r="E150" s="63">
        <f>TRUNC(+D150*3.3058,-1)</f>
        <v>8190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TRUNC(1021.46117364722+8979.18976058511,-1)</f>
        <v>10000</v>
      </c>
      <c r="E152" s="63">
        <f>TRUNC(+D152*3.3058,-1)</f>
        <v>33050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f>TRUNC(3330.73892920405,-1)</f>
        <v>3330</v>
      </c>
      <c r="E153" s="64">
        <f>TRUNC(+D153*3.3058,-1)</f>
        <v>11000</v>
      </c>
    </row>
    <row r="154" spans="1:7" x14ac:dyDescent="0.3">
      <c r="A154" s="2">
        <v>6</v>
      </c>
      <c r="C154" s="27" t="s">
        <v>112</v>
      </c>
      <c r="D154" s="39">
        <f>SUM(D149:D153)</f>
        <v>20840</v>
      </c>
      <c r="E154" s="39">
        <f>SUM(E149:E153)</f>
        <v>68860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TRUNC(16702.8704645449,-1)</f>
        <v>16700</v>
      </c>
      <c r="E157" s="62">
        <f>TRUNC(+D157*3.3058,-1)</f>
        <v>55200</v>
      </c>
      <c r="F157" s="2" t="s">
        <v>259</v>
      </c>
    </row>
    <row r="158" spans="1:7" x14ac:dyDescent="0.3">
      <c r="A158" s="2">
        <v>2</v>
      </c>
      <c r="C158" s="38" t="s">
        <v>52</v>
      </c>
      <c r="D158" s="42">
        <f>TRUNC(14883.6277926976,-1)</f>
        <v>14880</v>
      </c>
      <c r="E158" s="63">
        <f>TRUNC(+D158*3.3058,-1)</f>
        <v>49190</v>
      </c>
    </row>
    <row r="159" spans="1:7" x14ac:dyDescent="0.3">
      <c r="A159" s="2">
        <v>3</v>
      </c>
      <c r="C159" s="38" t="s">
        <v>47</v>
      </c>
      <c r="D159" s="42">
        <f>TRUNC(778.533398091538+11957.5049425747+4456.53694074624+2546.71161647906+8817.98468658934,-1)</f>
        <v>28550</v>
      </c>
      <c r="E159" s="63">
        <f>TRUNC(+D159*3.3058,-1)</f>
        <v>94380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60130</v>
      </c>
      <c r="E161" s="39">
        <f>SUM(E157:E160)</f>
        <v>198770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2020-12-07T09:20:28Z</dcterms:modified>
</cp:coreProperties>
</file>