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2" i="4" l="1"/>
  <c r="D128" i="4"/>
  <c r="D127" i="4"/>
  <c r="D124" i="4"/>
  <c r="D125" i="4"/>
  <c r="D122" i="4"/>
  <c r="D130" i="4"/>
  <c r="D118" i="4"/>
  <c r="D104" i="4"/>
  <c r="D105" i="4"/>
  <c r="D101" i="4"/>
  <c r="D103" i="4"/>
  <c r="D108" i="4"/>
  <c r="D102" i="4"/>
  <c r="D100" i="4"/>
  <c r="D99" i="4"/>
  <c r="D98" i="4"/>
  <c r="D115" i="4"/>
  <c r="D114" i="4"/>
  <c r="D94" i="4"/>
  <c r="D84" i="4"/>
  <c r="D90" i="4"/>
  <c r="D75" i="4"/>
  <c r="D85" i="4"/>
  <c r="D72" i="4"/>
  <c r="D78" i="4"/>
  <c r="D71" i="4"/>
  <c r="D70" i="4"/>
  <c r="D69" i="4"/>
  <c r="D58" i="4"/>
  <c r="D55" i="4"/>
  <c r="D52" i="4"/>
  <c r="D53" i="4"/>
  <c r="D51" i="4"/>
  <c r="D50" i="4"/>
  <c r="D49" i="4"/>
  <c r="D48" i="4"/>
  <c r="D47" i="4"/>
  <c r="D46" i="4"/>
  <c r="D45" i="4"/>
  <c r="D44" i="4"/>
  <c r="D43" i="4"/>
  <c r="D41" i="4"/>
  <c r="D40" i="4"/>
  <c r="D37" i="4"/>
  <c r="D159" i="4"/>
  <c r="D152" i="4"/>
  <c r="D137" i="4"/>
  <c r="D136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19" i="4"/>
  <c r="E95" i="4"/>
  <c r="E60" i="4"/>
  <c r="E154" i="4"/>
  <c r="E146" i="4"/>
  <c r="D161" i="4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0" i="4"/>
  <c r="E30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<sst xmlns="http://schemas.openxmlformats.org/spreadsheetml/2006/main" count="391" uniqueCount="266">
  <si>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</si>
  <si>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</si>
  <si>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</si>
  <si>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</si>
  <si>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</si>
  <si>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</si>
  <si>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</si>
  <si>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</si>
  <si>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</si>
  <si>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</si>
  <si>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</si>
  <si>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</si>
  <si>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</si>
  <si>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</si>
  <si>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</si>
  <si>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</si>
  <si>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</si>
  <si>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</si>
  <si>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</si>
  <si>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</si>
  <si>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</si>
  <si>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</si>
  <si>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</si>
  <si>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</si>
  <si>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</si>
  <si>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</si>
  <si>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</si>
  <si>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</si>
  <si>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</si>
  <si>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</si>
  <si>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</si>
  <si>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</si>
  <si>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</si>
  <si>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</si>
  <si>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</si>
  <si>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</si>
  <si>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</si>
  <si>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</si>
  <si>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</si>
  <si>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</si>
  <si>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</si>
  <si>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</si>
  <si>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</si>
  <si>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</si>
  <si>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</si>
  <si>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</si>
  <si>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</si>
  <si>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</si>
  <si>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</si>
  <si>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</si>
  <si>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</si>
  <si>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</si>
  <si>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</si>
  <si>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</si>
  <si>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</si>
  <si>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</si>
  <si>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</si>
  <si>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</si>
  <si>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</si>
  <si>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</si>
  <si>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</si>
  <si>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</si>
  <si>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</si>
  <si>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</si>
  <si>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</si>
  <si>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</si>
  <si>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</si>
  <si>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</si>
  <si>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</si>
  <si>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</si>
  <si>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</si>
  <si>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</si>
  <si>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</si>
  <si>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</si>
  <si>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</si>
  <si>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</si>
  <si>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</si>
  <si>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</si>
  <si>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</si>
  <si>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</si>
  <si>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</si>
  <si>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</si>
  <si>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</si>
  <si>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</si>
  <si>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</si>
  <si>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</si>
  <si>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</si>
  <si>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</si>
  <si>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</si>
  <si>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</si>
  <si>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</si>
  <si>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</si>
  <si>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</si>
  <si>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</si>
  <si>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</si>
  <si>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</si>
  <si>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</si>
  <si>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</si>
  <si>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</si>
  <si>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</si>
  <si>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</si>
  <si>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</si>
  <si>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</si>
  <si>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</si>
  <si>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</si>
  <si>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</si>
  <si>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</si>
  <si>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</si>
  <si>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</si>
  <si>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</si>
  <si>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</si>
  <si>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</si>
  <si>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</si>
  <si>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</si>
  <si>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</si>
  <si>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</si>
  <si>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</si>
  <si>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</si>
  <si>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</si>
  <si>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</si>
  <si>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</si>
  <si>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</si>
  <si>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</si>
  <si>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</si>
  <si>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</si>
  <si>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</si>
  <si>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</si>
  <si>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</si>
  <si>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</si>
  <si>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</si>
  <si>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</si>
  <si>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</si>
  <si>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</si>
  <si>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</si>
  <si>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</si>
  <si>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</si>
  <si>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</si>
  <si>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</si>
  <si>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</si>
  <si>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</si>
  <si>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</si>
  <si>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</si>
  <si>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</si>
  <si>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</si>
  <si>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</si>
  <si>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</si>
  <si>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</si>
  <si>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</si>
  <si>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</si>
  <si>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</si>
  <si>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</si>
  <si>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</si>
  <si>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</si>
  <si>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</si>
  <si>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</si>
  <si>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</si>
  <si>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</si>
  <si>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</si>
  <si>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</si>
  <si>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</si>
  <si>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</si>
  <si>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</si>
  <si>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</si>
  <si>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</si>
  <si>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</si>
  <si>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</si>
  <si>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</si>
  <si>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</si>
  <si>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</si>
  <si>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</si>
  <si>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</si>
  <si>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</si>
  <si>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</si>
  <si>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</si>
  <si>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</si>
  <si>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</si>
  <si>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</si>
  <si>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</si>
  <si>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</si>
  <si>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</si>
  <si>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</si>
  <si>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</si>
  <si>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</si>
  <si>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</si>
  <si>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</si>
  <si>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</si>
  <si>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</si>
  <si>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</si>
  <si>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</si>
  <si>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</si>
  <si>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</si>
  <si>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</si>
  <si>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</si>
  <si>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</si>
  <si>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</si>
  <si>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</si>
  <si>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</si>
  <si>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</si>
  <si>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</si>
  <si>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</si>
  <si>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</si>
  <si>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</si>
  <si>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</si>
  <si>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</si>
  <si>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</si>
  <si>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</si>
  <si>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</si>
  <si>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</si>
  <si>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</si>
  <si>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</si>
  <si>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</si>
  <si>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</si>
  <si>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</si>
  <si>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</si>
  <si>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</si>
  <si>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</si>
  <si>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</si>
  <si>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</si>
  <si>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</si>
  <si>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</si>
  <si>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</si>
  <si>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</si>
  <si>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</si>
  <si>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</si>
  <si>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</si>
  <si>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</si>
  <si>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</si>
  <si>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</si>
  <si>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</si>
  <si>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</si>
  <si>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</si>
  <si>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</si>
  <si>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</si>
  <si>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</si>
  <si>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</si>
  <si>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</si>
  <si>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</si>
  <si>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</si>
  <si>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</si>
  <si>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</si>
  <si>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</si>
  <si>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</si>
  <si>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</si>
  <si>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</si>
  <si>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</si>
  <si>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</si>
  <si>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</si>
  <si>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</si>
  <si>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00세무서 청사 신축공사</t>
    <phoneticPr fontId="2" type="noConversion"/>
  </si>
  <si>
    <t>업무</t>
  </si>
  <si>
    <t>서울</t>
  </si>
  <si>
    <t>전기 소방공사</t>
    <phoneticPr fontId="2" type="noConversion"/>
  </si>
  <si>
    <t>기계 소화설비공사</t>
    <phoneticPr fontId="2" type="noConversion"/>
  </si>
  <si>
    <t>부대토목공사(흙막이공사 포함)</t>
    <phoneticPr fontId="2" type="noConversion"/>
  </si>
  <si>
    <t>부대조경공사</t>
    <phoneticPr fontId="2" type="noConversion"/>
  </si>
  <si>
    <t>기타공사,철거공사,품질시험비,골재및운반비,작업부산물</t>
    <phoneticPr fontId="2" type="noConversion"/>
  </si>
  <si>
    <t>공조배관공사,위생배관공사,정화조시설공사,우수처리시설공사,무대장치설치공사,주방급기공사,주방기구설치공사,항온항습기설치공사</t>
    <phoneticPr fontId="2" type="noConversion"/>
  </si>
  <si>
    <t>환기유니트공사</t>
    <phoneticPr fontId="2" type="noConversion"/>
  </si>
  <si>
    <t>조명제어설비공사,전력제어공사</t>
    <phoneticPr fontId="2" type="noConversion"/>
  </si>
  <si>
    <t>스노우멜팅공사</t>
    <phoneticPr fontId="2" type="noConversion"/>
  </si>
  <si>
    <t>CCTV설비공사,인터폰설비공사,주차관제공사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</si>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</sst>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11080</v>
      </c>
      <c r="D7" s="36">
        <f>+C7/3.3058</f>
        <v>3351.6849174178715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8090</v>
      </c>
      <c r="E24" s="58">
        <f t="shared" ref="E24:E33" si="0">TRUNC(+D24*3.3058,-1)</f>
        <v>26740</v>
      </c>
    </row>
    <row r="25" spans="1:5" x14ac:dyDescent="0.3">
      <c r="B25" s="2">
        <v>2</v>
      </c>
      <c r="C25" s="35" t="s">
        <v>111</v>
      </c>
      <c r="D25" s="45">
        <f>+D60</f>
        <v>510930</v>
      </c>
      <c r="E25" s="59">
        <f t="shared" si="0"/>
        <v>1689030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92400</v>
      </c>
      <c r="E27" s="59">
        <f t="shared" si="0"/>
        <v>305450</v>
      </c>
    </row>
    <row r="28" spans="1:5" x14ac:dyDescent="0.3">
      <c r="B28" s="2">
        <v>5</v>
      </c>
      <c r="C28" s="35" t="s">
        <v>97</v>
      </c>
      <c r="D28" s="45">
        <f>+D119</f>
        <v>64640</v>
      </c>
      <c r="E28" s="59">
        <f t="shared" si="0"/>
        <v>213680</v>
      </c>
    </row>
    <row r="29" spans="1:5" x14ac:dyDescent="0.3">
      <c r="B29" s="2">
        <v>6</v>
      </c>
      <c r="C29" s="35" t="s">
        <v>98</v>
      </c>
      <c r="D29" s="45">
        <f>+D133</f>
        <v>51560</v>
      </c>
      <c r="E29" s="59">
        <f t="shared" si="0"/>
        <v>170440</v>
      </c>
    </row>
    <row r="30" spans="1:5" x14ac:dyDescent="0.3">
      <c r="B30" s="2">
        <v>7</v>
      </c>
      <c r="C30" s="35" t="s">
        <v>99</v>
      </c>
      <c r="D30" s="45">
        <f>+D146</f>
        <v>35950</v>
      </c>
      <c r="E30" s="59">
        <f t="shared" si="0"/>
        <v>118840</v>
      </c>
    </row>
    <row r="31" spans="1:5" x14ac:dyDescent="0.3">
      <c r="B31" s="2">
        <v>8</v>
      </c>
      <c r="C31" s="35" t="s">
        <v>100</v>
      </c>
      <c r="D31" s="45">
        <f>+D154</f>
        <v>214970</v>
      </c>
      <c r="E31" s="59">
        <f t="shared" si="0"/>
        <v>710640</v>
      </c>
    </row>
    <row r="32" spans="1:5" x14ac:dyDescent="0.3">
      <c r="B32" s="2">
        <v>9</v>
      </c>
      <c r="C32" s="35" t="s">
        <v>101</v>
      </c>
      <c r="D32" s="45">
        <f>+D161</f>
        <v>23170</v>
      </c>
      <c r="E32" s="59">
        <f t="shared" si="0"/>
        <v>76590</v>
      </c>
    </row>
    <row r="33" spans="1:7" x14ac:dyDescent="0.3">
      <c r="B33" s="2">
        <v>10</v>
      </c>
      <c r="C33" s="35" t="s">
        <v>154</v>
      </c>
      <c r="D33" s="53">
        <f>TRUNC(SUM(D24:D32)*0.275,-1)</f>
        <v>275470</v>
      </c>
      <c r="E33" s="60">
        <f t="shared" si="0"/>
        <v>910640</v>
      </c>
    </row>
    <row r="34" spans="1:7" x14ac:dyDescent="0.3">
      <c r="C34" s="35" t="s">
        <v>112</v>
      </c>
      <c r="D34" s="44">
        <f>SUM(D24:D33)</f>
        <v>1277180</v>
      </c>
      <c r="E34" s="44">
        <f>SUM(E24:E33)</f>
        <v>4222050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TRUNC(8096,-1)</f>
        <v>8090</v>
      </c>
      <c r="E37" s="61">
        <f>TRUNC(+D37*3.3058,-1)</f>
        <v>26740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TRUNC(51064,-1)</f>
        <v>51060</v>
      </c>
      <c r="E40" s="62">
        <f t="shared" ref="E40:E59" si="1">TRUNC(+D40*3.3058,-1)</f>
        <v>168790</v>
      </c>
    </row>
    <row r="41" spans="1:7" x14ac:dyDescent="0.3">
      <c r="A41" s="2">
        <v>2</v>
      </c>
      <c r="C41" s="38" t="s">
        <v>13</v>
      </c>
      <c r="D41" s="42">
        <f>TRUNC(106612,-1)</f>
        <v>106610</v>
      </c>
      <c r="E41" s="63">
        <f t="shared" si="1"/>
        <v>352430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TRUNC(21168,-1)</f>
        <v>21160</v>
      </c>
      <c r="E43" s="63">
        <f t="shared" si="1"/>
        <v>69950</v>
      </c>
    </row>
    <row r="44" spans="1:7" x14ac:dyDescent="0.3">
      <c r="A44" s="2">
        <v>5</v>
      </c>
      <c r="C44" s="38" t="s">
        <v>17</v>
      </c>
      <c r="D44" s="42">
        <f>TRUNC(24206,-1)</f>
        <v>24200</v>
      </c>
      <c r="E44" s="63">
        <f t="shared" si="1"/>
        <v>80000</v>
      </c>
    </row>
    <row r="45" spans="1:7" x14ac:dyDescent="0.3">
      <c r="A45" s="2">
        <v>6</v>
      </c>
      <c r="C45" s="38" t="s">
        <v>18</v>
      </c>
      <c r="D45" s="42">
        <f>TRUNC(5292,-1)</f>
        <v>5290</v>
      </c>
      <c r="E45" s="63">
        <f t="shared" si="1"/>
        <v>17480</v>
      </c>
    </row>
    <row r="46" spans="1:7" x14ac:dyDescent="0.3">
      <c r="A46" s="2">
        <v>7</v>
      </c>
      <c r="C46" s="38" t="s">
        <v>19</v>
      </c>
      <c r="D46" s="42">
        <f>TRUNC(37103,-1)</f>
        <v>37100</v>
      </c>
      <c r="E46" s="63">
        <f t="shared" si="1"/>
        <v>122640</v>
      </c>
    </row>
    <row r="47" spans="1:7" x14ac:dyDescent="0.3">
      <c r="A47" s="2">
        <v>8</v>
      </c>
      <c r="C47" s="38" t="s">
        <v>20</v>
      </c>
      <c r="D47" s="42">
        <f>TRUNC(1064,-1)</f>
        <v>1060</v>
      </c>
      <c r="E47" s="63">
        <f t="shared" si="1"/>
        <v>3500</v>
      </c>
    </row>
    <row r="48" spans="1:7" x14ac:dyDescent="0.3">
      <c r="A48" s="2">
        <v>9</v>
      </c>
      <c r="C48" s="38" t="s">
        <v>21</v>
      </c>
      <c r="D48" s="42">
        <f>TRUNC(33465,-1)</f>
        <v>33460</v>
      </c>
      <c r="E48" s="63">
        <f t="shared" si="1"/>
        <v>110610</v>
      </c>
    </row>
    <row r="49" spans="1:7" x14ac:dyDescent="0.3">
      <c r="A49" s="2">
        <v>10</v>
      </c>
      <c r="C49" s="38" t="s">
        <v>22</v>
      </c>
      <c r="D49" s="42">
        <f>TRUNC(26886,-1)</f>
        <v>26880</v>
      </c>
      <c r="E49" s="63">
        <f t="shared" si="1"/>
        <v>88850</v>
      </c>
    </row>
    <row r="50" spans="1:7" x14ac:dyDescent="0.3">
      <c r="A50" s="2">
        <v>11</v>
      </c>
      <c r="C50" s="38" t="s">
        <v>155</v>
      </c>
      <c r="D50" s="42">
        <f>TRUNC(24326,-1)</f>
        <v>24320</v>
      </c>
      <c r="E50" s="63">
        <f t="shared" si="1"/>
        <v>80390</v>
      </c>
    </row>
    <row r="51" spans="1:7" x14ac:dyDescent="0.3">
      <c r="A51" s="2">
        <v>12</v>
      </c>
      <c r="C51" s="38" t="s">
        <v>23</v>
      </c>
      <c r="D51" s="42">
        <f>TRUNC(27854,-1)</f>
        <v>27850</v>
      </c>
      <c r="E51" s="63">
        <f t="shared" si="1"/>
        <v>92060</v>
      </c>
    </row>
    <row r="52" spans="1:7" x14ac:dyDescent="0.3">
      <c r="A52" s="2">
        <v>13</v>
      </c>
      <c r="C52" s="38" t="s">
        <v>24</v>
      </c>
      <c r="D52" s="42">
        <f>TRUNC(9833,-1)</f>
        <v>9830</v>
      </c>
      <c r="E52" s="63">
        <f t="shared" si="1"/>
        <v>32490</v>
      </c>
    </row>
    <row r="53" spans="1:7" x14ac:dyDescent="0.3">
      <c r="A53" s="2">
        <v>14</v>
      </c>
      <c r="C53" s="38" t="s">
        <v>25</v>
      </c>
      <c r="D53" s="42">
        <f>TRUNC(130567,-1)</f>
        <v>130560</v>
      </c>
      <c r="E53" s="63">
        <f t="shared" si="1"/>
        <v>431600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TRUNC(278,-1)</f>
        <v>270</v>
      </c>
      <c r="E55" s="63">
        <f t="shared" si="1"/>
        <v>890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TRUNC(2340+6733+1036+1914-741,-1)</f>
        <v>11280</v>
      </c>
      <c r="E58" s="63">
        <f t="shared" si="1"/>
        <v>37280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510930</v>
      </c>
      <c r="E60" s="39">
        <f>SUM(E40:E59)</f>
        <v>1688960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TRUNC(13490,-1)</f>
        <v>13490</v>
      </c>
      <c r="E69" s="62">
        <f t="shared" ref="E69:E94" si="2">TRUNC(+D69*3.3058,-1)</f>
        <v>44590</v>
      </c>
    </row>
    <row r="70" spans="1:7" ht="16.5" customHeight="1" x14ac:dyDescent="0.3">
      <c r="A70" s="2">
        <v>2</v>
      </c>
      <c r="C70" s="38" t="s">
        <v>31</v>
      </c>
      <c r="D70" s="42">
        <f>TRUNC(265,-1)</f>
        <v>260</v>
      </c>
      <c r="E70" s="63">
        <f t="shared" si="2"/>
        <v>850</v>
      </c>
    </row>
    <row r="71" spans="1:7" x14ac:dyDescent="0.3">
      <c r="A71" s="2">
        <v>3</v>
      </c>
      <c r="C71" s="38" t="s">
        <v>32</v>
      </c>
      <c r="D71" s="42">
        <f>TRUNC(8431,-1)</f>
        <v>8430</v>
      </c>
      <c r="E71" s="63">
        <f t="shared" si="2"/>
        <v>27860</v>
      </c>
    </row>
    <row r="72" spans="1:7" x14ac:dyDescent="0.3">
      <c r="A72" s="2">
        <v>4</v>
      </c>
      <c r="C72" s="38" t="s">
        <v>33</v>
      </c>
      <c r="D72" s="42">
        <f>TRUNC(2408,-1)</f>
        <v>2400</v>
      </c>
      <c r="E72" s="63">
        <f t="shared" si="2"/>
        <v>7930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TRUNC(741,-1)</f>
        <v>740</v>
      </c>
      <c r="E75" s="63">
        <f t="shared" si="2"/>
        <v>2440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TRUNC(11347,-1)</f>
        <v>11340</v>
      </c>
      <c r="E78" s="63">
        <f t="shared" si="2"/>
        <v>37480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TRUNC(1011,-1)</f>
        <v>1010</v>
      </c>
      <c r="E84" s="63">
        <f t="shared" si="2"/>
        <v>3330</v>
      </c>
    </row>
    <row r="85" spans="1:7" x14ac:dyDescent="0.3">
      <c r="A85" s="2">
        <v>17</v>
      </c>
      <c r="C85" s="38" t="s">
        <v>123</v>
      </c>
      <c r="D85" s="42">
        <f>TRUNC(365,-1)</f>
        <v>360</v>
      </c>
      <c r="E85" s="63">
        <f t="shared" si="2"/>
        <v>1190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TRUNC(2415,-1)</f>
        <v>2410</v>
      </c>
      <c r="E90" s="63">
        <f t="shared" si="2"/>
        <v>7960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TRUNC(6857+19766+5729+6212+2284+4024+5195+1897,-1)</f>
        <v>51960</v>
      </c>
      <c r="E94" s="64">
        <f t="shared" si="2"/>
        <v>171760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92400</v>
      </c>
      <c r="E95" s="39">
        <f>SUM(E69:E94)</f>
        <v>305390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TRUNC(7226,-1)</f>
        <v>7220</v>
      </c>
      <c r="E98" s="62">
        <f t="shared" ref="E98:E118" si="3">TRUNC(+D98*3.3058,-1)</f>
        <v>23860</v>
      </c>
    </row>
    <row r="99" spans="1:7" x14ac:dyDescent="0.3">
      <c r="A99" s="2">
        <v>2</v>
      </c>
      <c r="C99" s="38" t="s">
        <v>40</v>
      </c>
      <c r="D99" s="42">
        <f>TRUNC(6731,-1)</f>
        <v>6730</v>
      </c>
      <c r="E99" s="63">
        <f t="shared" si="3"/>
        <v>22240</v>
      </c>
    </row>
    <row r="100" spans="1:7" x14ac:dyDescent="0.3">
      <c r="A100" s="2">
        <v>3</v>
      </c>
      <c r="C100" s="38" t="s">
        <v>41</v>
      </c>
      <c r="D100" s="42">
        <f>TRUNC(20331,-1)</f>
        <v>20330</v>
      </c>
      <c r="E100" s="63">
        <f t="shared" si="3"/>
        <v>67200</v>
      </c>
    </row>
    <row r="101" spans="1:7" x14ac:dyDescent="0.3">
      <c r="A101" s="2">
        <v>4</v>
      </c>
      <c r="C101" s="38" t="s">
        <v>42</v>
      </c>
      <c r="D101" s="42">
        <f>TRUNC(414+821,-1)</f>
        <v>1230</v>
      </c>
      <c r="E101" s="63">
        <f t="shared" si="3"/>
        <v>4060</v>
      </c>
      <c r="F101" s="2" t="s">
        <v>258</v>
      </c>
    </row>
    <row r="102" spans="1:7" x14ac:dyDescent="0.3">
      <c r="A102" s="2">
        <v>5</v>
      </c>
      <c r="C102" s="38" t="s">
        <v>43</v>
      </c>
      <c r="D102" s="42">
        <f>TRUNC(11803,-1)</f>
        <v>11800</v>
      </c>
      <c r="E102" s="63">
        <f t="shared" si="3"/>
        <v>39000</v>
      </c>
    </row>
    <row r="103" spans="1:7" x14ac:dyDescent="0.3">
      <c r="A103" s="2">
        <v>6</v>
      </c>
      <c r="C103" s="38" t="s">
        <v>44</v>
      </c>
      <c r="D103" s="42">
        <f>TRUNC(923,-1)</f>
        <v>920</v>
      </c>
      <c r="E103" s="63">
        <f t="shared" si="3"/>
        <v>3040</v>
      </c>
      <c r="F103" s="2" t="s">
        <v>257</v>
      </c>
    </row>
    <row r="104" spans="1:7" x14ac:dyDescent="0.3">
      <c r="A104" s="2">
        <v>7</v>
      </c>
      <c r="C104" s="38" t="s">
        <v>45</v>
      </c>
      <c r="D104" s="42">
        <f>TRUNC(4257,-1)</f>
        <v>4250</v>
      </c>
      <c r="E104" s="63">
        <f t="shared" si="3"/>
        <v>14040</v>
      </c>
    </row>
    <row r="105" spans="1:7" x14ac:dyDescent="0.3">
      <c r="A105" s="2">
        <v>8</v>
      </c>
      <c r="C105" s="38" t="s">
        <v>46</v>
      </c>
      <c r="D105" s="42">
        <f>TRUNC(2311,-1)</f>
        <v>2310</v>
      </c>
      <c r="E105" s="63">
        <f t="shared" si="3"/>
        <v>7630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TRUNC(2686,-1)</f>
        <v>2680</v>
      </c>
      <c r="E108" s="63">
        <f t="shared" si="3"/>
        <v>8850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TRUNC(1302,-1)</f>
        <v>1300</v>
      </c>
      <c r="E114" s="63">
        <f t="shared" si="3"/>
        <v>4290</v>
      </c>
    </row>
    <row r="115" spans="1:7" x14ac:dyDescent="0.3">
      <c r="A115" s="2">
        <v>18</v>
      </c>
      <c r="C115" s="38" t="s">
        <v>116</v>
      </c>
      <c r="D115" s="42">
        <f>TRUNC(3598,-1)</f>
        <v>3590</v>
      </c>
      <c r="E115" s="63">
        <f t="shared" si="3"/>
        <v>11860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TRUNC(2288,-1)</f>
        <v>2280</v>
      </c>
      <c r="E118" s="64">
        <f t="shared" si="3"/>
        <v>7530</v>
      </c>
      <c r="F118" s="2" t="s">
        <v>259</v>
      </c>
    </row>
    <row r="119" spans="1:7" x14ac:dyDescent="0.3">
      <c r="A119" s="2">
        <v>22</v>
      </c>
      <c r="C119" s="27" t="s">
        <v>112</v>
      </c>
      <c r="D119" s="39">
        <f>SUM(D98:D118)</f>
        <v>64640</v>
      </c>
      <c r="E119" s="39">
        <f>SUM(E98:E118)</f>
        <v>213600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TRUNC(5757,-1)</f>
        <v>5750</v>
      </c>
      <c r="E122" s="62">
        <f t="shared" ref="E122:E132" si="4">TRUNC(+D122*3.3058,-1)</f>
        <v>19000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TRUNC(592,-1)</f>
        <v>590</v>
      </c>
      <c r="E124" s="63">
        <f t="shared" si="4"/>
        <v>1950</v>
      </c>
    </row>
    <row r="125" spans="1:7" x14ac:dyDescent="0.3">
      <c r="A125" s="2">
        <v>4</v>
      </c>
      <c r="C125" s="38" t="s">
        <v>138</v>
      </c>
      <c r="D125" s="42">
        <f>TRUNC(3645,-1)</f>
        <v>3640</v>
      </c>
      <c r="E125" s="63">
        <f t="shared" si="4"/>
        <v>12030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TRUNC(2107,-1)</f>
        <v>2100</v>
      </c>
      <c r="E127" s="63">
        <f t="shared" si="4"/>
        <v>6940</v>
      </c>
    </row>
    <row r="128" spans="1:7" x14ac:dyDescent="0.3">
      <c r="A128" s="2">
        <v>7</v>
      </c>
      <c r="C128" s="38" t="s">
        <v>46</v>
      </c>
      <c r="D128" s="42">
        <f>TRUNC(3474,-1)</f>
        <v>3470</v>
      </c>
      <c r="E128" s="63">
        <f t="shared" si="4"/>
        <v>11470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TRUNC(32316,-1)</f>
        <v>32310</v>
      </c>
      <c r="E130" s="63">
        <f t="shared" si="4"/>
        <v>106810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TRUNC(1370+129+2204,-1)</f>
        <v>3700</v>
      </c>
      <c r="E132" s="64">
        <f t="shared" si="4"/>
        <v>12230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51560</v>
      </c>
      <c r="E133" s="39">
        <f>SUM(E122:E132)</f>
        <v>170430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TRUNC(18471,-1)</f>
        <v>18470</v>
      </c>
      <c r="E136" s="62">
        <f t="shared" ref="E136:E145" si="5">TRUNC(+D136*3.3058,-1)</f>
        <v>61050</v>
      </c>
      <c r="F136" s="2" t="s">
        <v>252</v>
      </c>
    </row>
    <row r="137" spans="1:7" x14ac:dyDescent="0.3">
      <c r="A137" s="2">
        <v>2</v>
      </c>
      <c r="C137" s="38" t="s">
        <v>47</v>
      </c>
      <c r="D137" s="42">
        <f>TRUNC(17481,-1)</f>
        <v>17480</v>
      </c>
      <c r="E137" s="63">
        <f t="shared" si="5"/>
        <v>57780</v>
      </c>
      <c r="F137" s="2" t="s">
        <v>251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35950</v>
      </c>
      <c r="E146" s="39">
        <f>SUM(E136:E145)</f>
        <v>118830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TRUNC(214973,-1)</f>
        <v>214970</v>
      </c>
      <c r="E152" s="63">
        <f>TRUNC(+D152*3.3058,-1)</f>
        <v>710640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214970</v>
      </c>
      <c r="E154" s="39">
        <f>SUM(E149:E153)</f>
        <v>710640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TRUNC(23176,-1)</f>
        <v>23170</v>
      </c>
      <c r="E159" s="63">
        <f>TRUNC(+D159*3.3058,-1)</f>
        <v>76590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23170</v>
      </c>
      <c r="E161" s="39">
        <f>SUM(E157:E160)</f>
        <v>76590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2020-12-07T09:46:09Z</dcterms:modified>
</cp:coreProperties>
</file>