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6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3" i="4"/>
  <c r="E145" i="4"/>
  <c r="E138" i="4"/>
  <c r="E136" i="4"/>
  <c r="E131" i="4"/>
  <c r="E129" i="4"/>
  <c r="E127" i="4"/>
  <c r="E123" i="4"/>
  <c r="E122" i="4"/>
  <c r="E116" i="4"/>
  <c r="E113" i="4"/>
  <c r="E112" i="4"/>
  <c r="E111" i="4"/>
  <c r="E110" i="4"/>
  <c r="E109" i="4"/>
  <c r="E108" i="4"/>
  <c r="E107" i="4"/>
  <c r="E106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95" i="4" s="1"/>
  <c r="E65" i="4"/>
  <c r="E64" i="4"/>
  <c r="E57" i="4"/>
  <c r="E56" i="4"/>
  <c r="E55" i="4"/>
  <c r="E54" i="4"/>
  <c r="E51" i="4"/>
  <c r="E47" i="4"/>
  <c r="E46" i="4"/>
  <c r="E37" i="4"/>
  <c r="D158" i="4" l="1"/>
  <c r="E158" i="4" s="1"/>
  <c r="D157" i="4"/>
  <c r="E157" i="4" s="1"/>
  <c r="E161" i="4" s="1"/>
  <c r="D151" i="4"/>
  <c r="E151" i="4" s="1"/>
  <c r="D150" i="4"/>
  <c r="E150" i="4" s="1"/>
  <c r="D144" i="4"/>
  <c r="E144" i="4" s="1"/>
  <c r="D143" i="4"/>
  <c r="E143" i="4" s="1"/>
  <c r="D142" i="4"/>
  <c r="E142" i="4" s="1"/>
  <c r="D141" i="4"/>
  <c r="E141" i="4" s="1"/>
  <c r="D140" i="4"/>
  <c r="E140" i="4" s="1"/>
  <c r="D139" i="4"/>
  <c r="E139" i="4" s="1"/>
  <c r="D130" i="4"/>
  <c r="E130" i="4" s="1"/>
  <c r="D128" i="4"/>
  <c r="E128" i="4" s="1"/>
  <c r="D126" i="4"/>
  <c r="E126" i="4" s="1"/>
  <c r="D125" i="4"/>
  <c r="E125" i="4" s="1"/>
  <c r="D124" i="4"/>
  <c r="E124" i="4" s="1"/>
  <c r="D118" i="4"/>
  <c r="E118" i="4" s="1"/>
  <c r="D117" i="4"/>
  <c r="E117" i="4" s="1"/>
  <c r="D115" i="4"/>
  <c r="E115" i="4" s="1"/>
  <c r="D114" i="4"/>
  <c r="E114" i="4" s="1"/>
  <c r="D105" i="4"/>
  <c r="E105" i="4" s="1"/>
  <c r="D104" i="4"/>
  <c r="E104" i="4" s="1"/>
  <c r="D103" i="4"/>
  <c r="E103" i="4" s="1"/>
  <c r="D102" i="4"/>
  <c r="E102" i="4" s="1"/>
  <c r="D101" i="4"/>
  <c r="E101" i="4" s="1"/>
  <c r="D100" i="4"/>
  <c r="E100" i="4" s="1"/>
  <c r="D99" i="4"/>
  <c r="E99" i="4" s="1"/>
  <c r="E119" i="4" s="1"/>
  <c r="D98" i="4"/>
  <c r="E98" i="4" s="1"/>
  <c r="D63" i="4"/>
  <c r="E63" i="4" s="1"/>
  <c r="E66" i="4" s="1"/>
  <c r="D59" i="4"/>
  <c r="E59" i="4" s="1"/>
  <c r="D53" i="4"/>
  <c r="E53" i="4" s="1"/>
  <c r="D52" i="4"/>
  <c r="E52" i="4" s="1"/>
  <c r="D50" i="4"/>
  <c r="E50" i="4" s="1"/>
  <c r="D49" i="4"/>
  <c r="E49" i="4" s="1"/>
  <c r="D48" i="4"/>
  <c r="E48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152" i="4"/>
  <c r="E152" i="4" s="1"/>
  <c r="D149" i="4"/>
  <c r="E149" i="4" s="1"/>
  <c r="E154" i="4" s="1"/>
  <c r="D137" i="4"/>
  <c r="E137" i="4" s="1"/>
  <c r="E146" i="4" s="1"/>
  <c r="D132" i="4"/>
  <c r="E132" i="4" s="1"/>
  <c r="D58" i="4"/>
  <c r="E58" i="4" s="1"/>
  <c r="E133" i="4" l="1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66" i="4"/>
  <c r="D26" i="4" s="1"/>
  <c r="E26" i="4" s="1"/>
  <c r="D60" i="4"/>
  <c r="D25" i="4" s="1"/>
  <c r="E25" i="4" s="1"/>
  <c r="D24" i="4"/>
  <c r="E24" i="4" s="1"/>
  <c r="D27" i="4"/>
  <c r="E27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<sst xmlns="http://schemas.openxmlformats.org/spreadsheetml/2006/main" count="389" uniqueCount="264">
  <si>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</si>
  <si>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</si>
  <si>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</si>
  <si>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</si>
  <si>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</si>
  <si>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</si>
  <si>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</si>
  <si>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</si>
  <si>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</si>
  <si>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</si>
  <si>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</si>
  <si>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</si>
  <si>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</si>
  <si>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</si>
  <si>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</si>
  <si>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</si>
  <si>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</si>
  <si>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</si>
  <si>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</si>
  <si>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</si>
  <si>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</si>
  <si>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</si>
  <si>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</si>
  <si>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</si>
  <si>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</si>
  <si>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</si>
  <si>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</si>
  <si>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</si>
  <si>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</si>
  <si>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</si>
  <si>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</si>
  <si>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</si>
  <si>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</si>
  <si>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</si>
  <si>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</si>
  <si>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</si>
  <si>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</si>
  <si>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</si>
  <si>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</si>
  <si>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</si>
  <si>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</si>
  <si>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</si>
  <si>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</si>
  <si>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</si>
  <si>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</si>
  <si>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</si>
  <si>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</si>
  <si>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</si>
  <si>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</si>
  <si>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</si>
  <si>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</si>
  <si>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</si>
  <si>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</si>
  <si>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</si>
  <si>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</si>
  <si>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</si>
  <si>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</si>
  <si>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</si>
  <si>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</si>
  <si>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</si>
  <si>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</si>
  <si>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</si>
  <si>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</si>
  <si>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</si>
  <si>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</si>
  <si>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</si>
  <si>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</si>
  <si>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</si>
  <si>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</si>
  <si>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</si>
  <si>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</si>
  <si>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</si>
  <si>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</si>
  <si>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</si>
  <si>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</si>
  <si>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</si>
  <si>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</si>
  <si>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</si>
  <si>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</si>
  <si>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</si>
  <si>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</si>
  <si>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</si>
  <si>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</si>
  <si>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</si>
  <si>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</si>
  <si>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</si>
  <si>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</si>
  <si>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</si>
  <si>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</si>
  <si>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</si>
  <si>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</si>
  <si>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</si>
  <si>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</si>
  <si>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</si>
  <si>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</si>
  <si>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</si>
  <si>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</si>
  <si>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</si>
  <si>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</si>
  <si>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</si>
  <si>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</si>
  <si>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</si>
  <si>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</si>
  <si>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</si>
  <si>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</si>
  <si>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</si>
  <si>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</si>
  <si>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</si>
  <si>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</si>
  <si>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</si>
  <si>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</si>
  <si>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</si>
  <si>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</si>
  <si>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</si>
  <si>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</si>
  <si>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</si>
  <si>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</si>
  <si>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</si>
  <si>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</si>
  <si>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</si>
  <si>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</si>
  <si>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</si>
  <si>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</si>
  <si>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</si>
  <si>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</si>
  <si>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</si>
  <si>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</si>
  <si>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</si>
  <si>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</si>
  <si>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</si>
  <si>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</si>
  <si>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</si>
  <si>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</si>
  <si>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</si>
  <si>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</si>
  <si>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</si>
  <si>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</si>
  <si>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</si>
  <si>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</si>
  <si>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</si>
  <si>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</si>
  <si>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</si>
  <si>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</si>
  <si>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</si>
  <si>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</si>
  <si>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</si>
  <si>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</si>
  <si>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</si>
  <si>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</si>
  <si>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</si>
  <si>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</si>
  <si>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</si>
  <si>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</si>
  <si>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</si>
  <si>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</si>
  <si>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</si>
  <si>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</si>
  <si>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</si>
  <si>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</si>
  <si>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</si>
  <si>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</si>
  <si>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</si>
  <si>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</si>
  <si>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</si>
  <si>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</si>
  <si>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</si>
  <si>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</si>
  <si>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</si>
  <si>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</si>
  <si>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</si>
  <si>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</si>
  <si>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</si>
  <si>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</si>
  <si>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</si>
  <si>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</si>
  <si>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</si>
  <si>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</si>
  <si>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</si>
  <si>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</si>
  <si>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</si>
  <si>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</si>
  <si>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</si>
  <si>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</si>
  <si>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</si>
  <si>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</si>
  <si>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</si>
  <si>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</si>
  <si>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</si>
  <si>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</si>
  <si>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</si>
  <si>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</si>
  <si>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</si>
  <si>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</si>
  <si>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</si>
  <si>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</si>
  <si>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</si>
  <si>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</si>
  <si>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</si>
  <si>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</si>
  <si>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</si>
  <si>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</si>
  <si>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</si>
  <si>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</si>
  <si>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</si>
  <si>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</si>
  <si>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</si>
  <si>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</si>
  <si>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</si>
  <si>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</si>
  <si>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</si>
  <si>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</si>
  <si>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</si>
  <si>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</si>
  <si>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</si>
  <si>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</si>
  <si>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</si>
  <si>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</si>
  <si>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</si>
  <si>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</si>
  <si>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</si>
  <si>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</si>
  <si>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</si>
  <si>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</si>
  <si>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</si>
  <si>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</si>
  <si>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</si>
  <si>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</si>
  <si>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</si>
  <si>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</si>
  <si>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</si>
  <si>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</si>
  <si>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</si>
  <si>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</si>
  <si>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</si>
  <si>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</si>
  <si>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</si>
  <si>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</si>
  <si>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</si>
  <si>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</si>
  <si>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</si>
  <si>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</si>
  <si>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</si>
  <si>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</si>
  <si>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</si>
  <si>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</si>
  <si>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</si>
  <si>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</si>
  <si>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</si>
  <si>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</si>
  <si>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목공사및수장공사(인테리어공사 포함)</t>
    <phoneticPr fontId="2" type="noConversion"/>
  </si>
  <si>
    <t>(가칭) 양덕중학교 교사 신축공사</t>
    <phoneticPr fontId="2" type="noConversion"/>
  </si>
  <si>
    <t>교육연구</t>
  </si>
  <si>
    <t>경상도</t>
  </si>
  <si>
    <t>창호및유리공사</t>
    <phoneticPr fontId="2" type="noConversion"/>
  </si>
  <si>
    <t>기초공사,골재비및운반비,기타공사</t>
    <phoneticPr fontId="2" type="noConversion"/>
  </si>
  <si>
    <t>전기인입 및 수변전 설비공사</t>
    <phoneticPr fontId="2" type="noConversion"/>
  </si>
  <si>
    <t>CCTV설비공사,기타공사</t>
    <phoneticPr fontId="2" type="noConversion"/>
  </si>
  <si>
    <t>사급자재비,기타공사</t>
    <phoneticPr fontId="2" type="noConversion"/>
  </si>
  <si>
    <t>조경시설물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</si>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</sst>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261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251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10211.58</v>
      </c>
      <c r="D7" s="36">
        <f>+C7/3.3058</f>
        <v>3088.9890495492768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252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205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262</v>
      </c>
    </row>
    <row r="19" spans="1:5" x14ac:dyDescent="0.3">
      <c r="A19" s="2">
        <v>9</v>
      </c>
      <c r="B19" s="2" t="s">
        <v>263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898220</v>
      </c>
      <c r="E25" s="59">
        <f t="shared" si="0"/>
        <v>2969330</v>
      </c>
    </row>
    <row r="26" spans="1:5" x14ac:dyDescent="0.3">
      <c r="B26" s="2">
        <v>3</v>
      </c>
      <c r="C26" s="35" t="s">
        <v>95</v>
      </c>
      <c r="D26" s="45">
        <f>+D66</f>
        <v>7880</v>
      </c>
      <c r="E26" s="59">
        <f t="shared" si="0"/>
        <v>26040</v>
      </c>
    </row>
    <row r="27" spans="1:5" x14ac:dyDescent="0.3">
      <c r="B27" s="2">
        <v>4</v>
      </c>
      <c r="C27" s="35" t="s">
        <v>96</v>
      </c>
      <c r="D27" s="45">
        <f>+D95</f>
        <v>0</v>
      </c>
      <c r="E27" s="59">
        <f t="shared" si="0"/>
        <v>0</v>
      </c>
    </row>
    <row r="28" spans="1:5" x14ac:dyDescent="0.3">
      <c r="B28" s="2">
        <v>5</v>
      </c>
      <c r="C28" s="35" t="s">
        <v>97</v>
      </c>
      <c r="D28" s="45">
        <f>+D119</f>
        <v>163480</v>
      </c>
      <c r="E28" s="59">
        <f t="shared" si="0"/>
        <v>540430</v>
      </c>
    </row>
    <row r="29" spans="1:5" x14ac:dyDescent="0.3">
      <c r="B29" s="2">
        <v>6</v>
      </c>
      <c r="C29" s="35" t="s">
        <v>98</v>
      </c>
      <c r="D29" s="45">
        <f>+D133</f>
        <v>33350</v>
      </c>
      <c r="E29" s="59">
        <f t="shared" si="0"/>
        <v>110240</v>
      </c>
    </row>
    <row r="30" spans="1:5" x14ac:dyDescent="0.3">
      <c r="B30" s="2">
        <v>7</v>
      </c>
      <c r="C30" s="35" t="s">
        <v>99</v>
      </c>
      <c r="D30" s="45">
        <f>+D146</f>
        <v>39380</v>
      </c>
      <c r="E30" s="59">
        <f t="shared" si="0"/>
        <v>130180</v>
      </c>
    </row>
    <row r="31" spans="1:5" x14ac:dyDescent="0.3">
      <c r="B31" s="2">
        <v>8</v>
      </c>
      <c r="C31" s="35" t="s">
        <v>100</v>
      </c>
      <c r="D31" s="45">
        <f>+D154</f>
        <v>26620</v>
      </c>
      <c r="E31" s="59">
        <f t="shared" si="0"/>
        <v>88000</v>
      </c>
    </row>
    <row r="32" spans="1:5" x14ac:dyDescent="0.3">
      <c r="B32" s="2">
        <v>9</v>
      </c>
      <c r="C32" s="35" t="s">
        <v>101</v>
      </c>
      <c r="D32" s="45">
        <f>+D161</f>
        <v>15710</v>
      </c>
      <c r="E32" s="59">
        <f t="shared" si="0"/>
        <v>51930</v>
      </c>
    </row>
    <row r="33" spans="1:7" x14ac:dyDescent="0.3">
      <c r="B33" s="2">
        <v>10</v>
      </c>
      <c r="C33" s="35" t="s">
        <v>154</v>
      </c>
      <c r="D33" s="53">
        <f>TRUNC(SUM(D24:D32)*0.275,-1)</f>
        <v>325770</v>
      </c>
      <c r="E33" s="60">
        <f t="shared" si="0"/>
        <v>1076930</v>
      </c>
    </row>
    <row r="34" spans="1:7" x14ac:dyDescent="0.3">
      <c r="C34" s="35" t="s">
        <v>112</v>
      </c>
      <c r="D34" s="44">
        <f>SUM(D24:D33)</f>
        <v>1510410</v>
      </c>
      <c r="E34" s="44">
        <f>SUM(E24:E33)</f>
        <v>4993080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259</v>
      </c>
      <c r="E39" s="67" t="s">
        <v>260</v>
      </c>
      <c r="G39" s="68"/>
    </row>
    <row r="40" spans="1:7" x14ac:dyDescent="0.3">
      <c r="A40" s="2">
        <v>1</v>
      </c>
      <c r="C40" s="38" t="s">
        <v>15</v>
      </c>
      <c r="D40" s="40">
        <f>TRUNC(37072,-1)</f>
        <v>37070</v>
      </c>
      <c r="E40" s="62">
        <f t="shared" ref="E40:E59" si="1">TRUNC(+D40*3.3058,-1)</f>
        <v>122540</v>
      </c>
    </row>
    <row r="41" spans="1:7" x14ac:dyDescent="0.3">
      <c r="A41" s="2">
        <v>2</v>
      </c>
      <c r="C41" s="38" t="s">
        <v>13</v>
      </c>
      <c r="D41" s="42">
        <f>TRUNC(192513,-1)</f>
        <v>192510</v>
      </c>
      <c r="E41" s="63">
        <f t="shared" si="1"/>
        <v>636390</v>
      </c>
    </row>
    <row r="42" spans="1:7" x14ac:dyDescent="0.3">
      <c r="A42" s="2">
        <v>3</v>
      </c>
      <c r="C42" s="38" t="s">
        <v>14</v>
      </c>
      <c r="D42" s="42">
        <f>TRUNC(9449,-1)</f>
        <v>9440</v>
      </c>
      <c r="E42" s="63">
        <f t="shared" si="1"/>
        <v>31200</v>
      </c>
    </row>
    <row r="43" spans="1:7" x14ac:dyDescent="0.3">
      <c r="A43" s="2">
        <v>4</v>
      </c>
      <c r="C43" s="38" t="s">
        <v>16</v>
      </c>
      <c r="D43" s="42">
        <f>TRUNC(32818,-1)</f>
        <v>32810</v>
      </c>
      <c r="E43" s="63">
        <f t="shared" si="1"/>
        <v>108460</v>
      </c>
    </row>
    <row r="44" spans="1:7" x14ac:dyDescent="0.3">
      <c r="A44" s="2">
        <v>5</v>
      </c>
      <c r="C44" s="38" t="s">
        <v>17</v>
      </c>
      <c r="D44" s="42">
        <f>TRUNC(13447,-1)</f>
        <v>13440</v>
      </c>
      <c r="E44" s="63">
        <f t="shared" si="1"/>
        <v>44420</v>
      </c>
    </row>
    <row r="45" spans="1:7" x14ac:dyDescent="0.3">
      <c r="A45" s="2">
        <v>6</v>
      </c>
      <c r="C45" s="38" t="s">
        <v>18</v>
      </c>
      <c r="D45" s="42">
        <f>TRUNC(53206,-1)</f>
        <v>53200</v>
      </c>
      <c r="E45" s="63">
        <f t="shared" si="1"/>
        <v>175860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TRUNC(34411,-1)</f>
        <v>34410</v>
      </c>
      <c r="E48" s="63">
        <f t="shared" si="1"/>
        <v>113750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TRUNC(18913,-1)</f>
        <v>18910</v>
      </c>
      <c r="E49" s="63">
        <f t="shared" si="1"/>
        <v>62510</v>
      </c>
    </row>
    <row r="50" spans="1:7" x14ac:dyDescent="0.3">
      <c r="A50" s="2">
        <v>11</v>
      </c>
      <c r="C50" s="38" t="s">
        <v>155</v>
      </c>
      <c r="D50" s="42">
        <f>TRUNC(39799,-1)</f>
        <v>39790</v>
      </c>
      <c r="E50" s="63">
        <f t="shared" si="1"/>
        <v>131530</v>
      </c>
      <c r="F50" s="2" t="s">
        <v>253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TRUNC(14860,-1)</f>
        <v>14860</v>
      </c>
      <c r="E52" s="63">
        <f t="shared" si="1"/>
        <v>49120</v>
      </c>
    </row>
    <row r="53" spans="1:7" x14ac:dyDescent="0.3">
      <c r="A53" s="2">
        <v>14</v>
      </c>
      <c r="C53" s="38" t="s">
        <v>25</v>
      </c>
      <c r="D53" s="42">
        <f>TRUNC(60666,-1)</f>
        <v>60660</v>
      </c>
      <c r="E53" s="63">
        <f t="shared" si="1"/>
        <v>200520</v>
      </c>
      <c r="F53" s="2" t="s">
        <v>249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TRUNC(52524+6125+34651,-1)</f>
        <v>93300</v>
      </c>
      <c r="E58" s="63">
        <f t="shared" si="1"/>
        <v>308430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TRUNC(297826,-1)</f>
        <v>297820</v>
      </c>
      <c r="E59" s="64">
        <f t="shared" si="1"/>
        <v>984530</v>
      </c>
    </row>
    <row r="60" spans="1:7" x14ac:dyDescent="0.3">
      <c r="A60" s="2">
        <v>21</v>
      </c>
      <c r="C60" s="27" t="s">
        <v>112</v>
      </c>
      <c r="D60" s="39">
        <f>SUM(D40:D59)</f>
        <v>898220</v>
      </c>
      <c r="E60" s="39">
        <f>SUM(E40:E59)</f>
        <v>2969260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TRUNC(7885,-1)</f>
        <v>7880</v>
      </c>
      <c r="E63" s="62">
        <f>TRUNC(+D63*3.3058,-1)</f>
        <v>26040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7880</v>
      </c>
      <c r="E66" s="65">
        <f>SUM(E63:E65)</f>
        <v>26040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v>0</v>
      </c>
      <c r="E69" s="62">
        <f t="shared" ref="E69:E94" si="2">TRUNC(+D69*3.3058,-1)</f>
        <v>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4">
        <f t="shared" si="2"/>
        <v>0</v>
      </c>
    </row>
    <row r="95" spans="1:7" x14ac:dyDescent="0.3">
      <c r="A95" s="2">
        <v>27</v>
      </c>
      <c r="C95" s="27" t="s">
        <v>112</v>
      </c>
      <c r="D95" s="39">
        <f>SUM(D69:D94)</f>
        <v>0</v>
      </c>
      <c r="E95" s="39">
        <f>SUM(E69:E94)</f>
        <v>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TRUNC(8409,-1)</f>
        <v>8400</v>
      </c>
      <c r="E98" s="62">
        <f t="shared" ref="E98:E118" si="3">TRUNC(+D98*3.3058,-1)</f>
        <v>27760</v>
      </c>
    </row>
    <row r="99" spans="1:7" x14ac:dyDescent="0.3">
      <c r="A99" s="2">
        <v>2</v>
      </c>
      <c r="C99" s="38" t="s">
        <v>40</v>
      </c>
      <c r="D99" s="42">
        <f>TRUNC(2315,-1)</f>
        <v>2310</v>
      </c>
      <c r="E99" s="63">
        <f t="shared" si="3"/>
        <v>7630</v>
      </c>
    </row>
    <row r="100" spans="1:7" x14ac:dyDescent="0.3">
      <c r="A100" s="2">
        <v>3</v>
      </c>
      <c r="C100" s="38" t="s">
        <v>41</v>
      </c>
      <c r="D100" s="42">
        <f>TRUNC(26884,-1)</f>
        <v>26880</v>
      </c>
      <c r="E100" s="63">
        <f t="shared" si="3"/>
        <v>88850</v>
      </c>
    </row>
    <row r="101" spans="1:7" x14ac:dyDescent="0.3">
      <c r="A101" s="2">
        <v>4</v>
      </c>
      <c r="C101" s="38" t="s">
        <v>42</v>
      </c>
      <c r="D101" s="42">
        <f>TRUNC(8615,-1)</f>
        <v>8610</v>
      </c>
      <c r="E101" s="63">
        <f t="shared" si="3"/>
        <v>28460</v>
      </c>
    </row>
    <row r="102" spans="1:7" x14ac:dyDescent="0.3">
      <c r="A102" s="2">
        <v>5</v>
      </c>
      <c r="C102" s="38" t="s">
        <v>43</v>
      </c>
      <c r="D102" s="42">
        <f>TRUNC(11944,-1)</f>
        <v>11940</v>
      </c>
      <c r="E102" s="63">
        <f t="shared" si="3"/>
        <v>39470</v>
      </c>
    </row>
    <row r="103" spans="1:7" x14ac:dyDescent="0.3">
      <c r="A103" s="2">
        <v>6</v>
      </c>
      <c r="C103" s="38" t="s">
        <v>44</v>
      </c>
      <c r="D103" s="42">
        <f>TRUNC(5645,-1)</f>
        <v>5640</v>
      </c>
      <c r="E103" s="63">
        <f t="shared" si="3"/>
        <v>18640</v>
      </c>
    </row>
    <row r="104" spans="1:7" x14ac:dyDescent="0.3">
      <c r="A104" s="2">
        <v>7</v>
      </c>
      <c r="C104" s="38" t="s">
        <v>45</v>
      </c>
      <c r="D104" s="42">
        <f>TRUNC(3718,-1)</f>
        <v>3710</v>
      </c>
      <c r="E104" s="63">
        <f t="shared" si="3"/>
        <v>12260</v>
      </c>
    </row>
    <row r="105" spans="1:7" x14ac:dyDescent="0.3">
      <c r="A105" s="2">
        <v>8</v>
      </c>
      <c r="C105" s="38" t="s">
        <v>46</v>
      </c>
      <c r="D105" s="42">
        <f>TRUNC(2194,-1)</f>
        <v>2190</v>
      </c>
      <c r="E105" s="63">
        <f t="shared" si="3"/>
        <v>7230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TRUNC(5285,-1)</f>
        <v>5280</v>
      </c>
      <c r="E114" s="63">
        <f t="shared" si="3"/>
        <v>17450</v>
      </c>
    </row>
    <row r="115" spans="1:7" x14ac:dyDescent="0.3">
      <c r="A115" s="2">
        <v>18</v>
      </c>
      <c r="C115" s="38" t="s">
        <v>116</v>
      </c>
      <c r="D115" s="42">
        <f>TRUNC(3874,-1)</f>
        <v>3870</v>
      </c>
      <c r="E115" s="63">
        <f t="shared" si="3"/>
        <v>12790</v>
      </c>
      <c r="F115" s="2" t="s">
        <v>255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TRUNC(80168,-1)</f>
        <v>80160</v>
      </c>
      <c r="E117" s="63">
        <f t="shared" si="3"/>
        <v>264990</v>
      </c>
    </row>
    <row r="118" spans="1:7" ht="17.25" thickBot="1" x14ac:dyDescent="0.35">
      <c r="A118" s="2">
        <v>21</v>
      </c>
      <c r="C118" s="38" t="s">
        <v>47</v>
      </c>
      <c r="D118" s="43">
        <f>TRUNC(4497,-1)</f>
        <v>4490</v>
      </c>
      <c r="E118" s="64">
        <f t="shared" si="3"/>
        <v>14840</v>
      </c>
    </row>
    <row r="119" spans="1:7" x14ac:dyDescent="0.3">
      <c r="A119" s="2">
        <v>22</v>
      </c>
      <c r="C119" s="27" t="s">
        <v>112</v>
      </c>
      <c r="D119" s="39">
        <f>SUM(D98:D118)</f>
        <v>163480</v>
      </c>
      <c r="E119" s="39">
        <f>SUM(E98:E118)</f>
        <v>540370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TRUNC(2235,-1)</f>
        <v>2230</v>
      </c>
      <c r="E124" s="63">
        <f t="shared" si="4"/>
        <v>7370</v>
      </c>
    </row>
    <row r="125" spans="1:7" x14ac:dyDescent="0.3">
      <c r="A125" s="2">
        <v>4</v>
      </c>
      <c r="C125" s="38" t="s">
        <v>138</v>
      </c>
      <c r="D125" s="42">
        <f>TRUNC(10797,-1)</f>
        <v>10790</v>
      </c>
      <c r="E125" s="63">
        <f t="shared" si="4"/>
        <v>35660</v>
      </c>
    </row>
    <row r="126" spans="1:7" x14ac:dyDescent="0.3">
      <c r="A126" s="2">
        <v>5</v>
      </c>
      <c r="C126" s="38" t="s">
        <v>53</v>
      </c>
      <c r="D126" s="42">
        <f>TRUNC(727,-1)</f>
        <v>720</v>
      </c>
      <c r="E126" s="63">
        <f t="shared" si="4"/>
        <v>2380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TRUNC(3715,-1)</f>
        <v>3710</v>
      </c>
      <c r="E128" s="63">
        <f t="shared" si="4"/>
        <v>12260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TRUNC(12873,-1)</f>
        <v>12870</v>
      </c>
      <c r="E130" s="63">
        <f t="shared" si="4"/>
        <v>42540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TRUNC(1705+1330,-1)</f>
        <v>3030</v>
      </c>
      <c r="E132" s="64">
        <f t="shared" si="4"/>
        <v>10010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33350</v>
      </c>
      <c r="E133" s="39">
        <f>SUM(E122:E132)</f>
        <v>110220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TRUNC(3123+5450,-1)</f>
        <v>8570</v>
      </c>
      <c r="E137" s="63">
        <f t="shared" si="5"/>
        <v>28330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TRUNC(4784,-1)</f>
        <v>4780</v>
      </c>
      <c r="E139" s="63">
        <f t="shared" si="5"/>
        <v>15800</v>
      </c>
    </row>
    <row r="140" spans="1:7" x14ac:dyDescent="0.3">
      <c r="A140" s="2">
        <v>5</v>
      </c>
      <c r="C140" s="38" t="s">
        <v>57</v>
      </c>
      <c r="D140" s="42">
        <f>TRUNC(2719,-1)</f>
        <v>2710</v>
      </c>
      <c r="E140" s="63">
        <f t="shared" si="5"/>
        <v>8950</v>
      </c>
    </row>
    <row r="141" spans="1:7" x14ac:dyDescent="0.3">
      <c r="A141" s="2">
        <v>6</v>
      </c>
      <c r="C141" s="38" t="s">
        <v>59</v>
      </c>
      <c r="D141" s="42">
        <f>TRUNC(6411,-1)</f>
        <v>6410</v>
      </c>
      <c r="E141" s="63">
        <f t="shared" si="5"/>
        <v>21190</v>
      </c>
    </row>
    <row r="142" spans="1:7" x14ac:dyDescent="0.3">
      <c r="A142" s="2">
        <v>7</v>
      </c>
      <c r="C142" s="38" t="s">
        <v>58</v>
      </c>
      <c r="D142" s="42">
        <f>TRUNC(6338,-1)</f>
        <v>6330</v>
      </c>
      <c r="E142" s="63">
        <f t="shared" si="5"/>
        <v>20920</v>
      </c>
    </row>
    <row r="143" spans="1:7" x14ac:dyDescent="0.3">
      <c r="A143" s="2">
        <v>8</v>
      </c>
      <c r="C143" s="38" t="s">
        <v>62</v>
      </c>
      <c r="D143" s="42">
        <f>TRUNC(4138,-1)</f>
        <v>4130</v>
      </c>
      <c r="E143" s="63">
        <f t="shared" si="5"/>
        <v>13650</v>
      </c>
    </row>
    <row r="144" spans="1:7" x14ac:dyDescent="0.3">
      <c r="A144" s="2">
        <v>9</v>
      </c>
      <c r="C144" s="38" t="s">
        <v>63</v>
      </c>
      <c r="D144" s="42">
        <f>TRUNC(6457,-1)</f>
        <v>6450</v>
      </c>
      <c r="E144" s="63">
        <f t="shared" si="5"/>
        <v>21320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39380</v>
      </c>
      <c r="E146" s="39">
        <f>SUM(E136:E145)</f>
        <v>130160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TRUNC(9275+1752,-1)</f>
        <v>11020</v>
      </c>
      <c r="E149" s="62">
        <f>TRUNC(+D149*3.3058,-1)</f>
        <v>36420</v>
      </c>
    </row>
    <row r="150" spans="1:7" x14ac:dyDescent="0.3">
      <c r="A150" s="2">
        <v>2</v>
      </c>
      <c r="C150" s="38" t="s">
        <v>49</v>
      </c>
      <c r="D150" s="42">
        <f>TRUNC(4321,-1)</f>
        <v>4320</v>
      </c>
      <c r="E150" s="63">
        <f>TRUNC(+D150*3.3058,-1)</f>
        <v>14280</v>
      </c>
    </row>
    <row r="151" spans="1:7" x14ac:dyDescent="0.3">
      <c r="A151" s="2">
        <v>3</v>
      </c>
      <c r="C151" s="38" t="s">
        <v>50</v>
      </c>
      <c r="D151" s="42">
        <f>TRUNC(6493,-1)</f>
        <v>6490</v>
      </c>
      <c r="E151" s="63">
        <f>TRUNC(+D151*3.3058,-1)</f>
        <v>21450</v>
      </c>
    </row>
    <row r="152" spans="1:7" x14ac:dyDescent="0.3">
      <c r="A152" s="2">
        <v>4</v>
      </c>
      <c r="C152" s="38" t="s">
        <v>47</v>
      </c>
      <c r="D152" s="42">
        <f>TRUNC(4624+175,-1)</f>
        <v>4790</v>
      </c>
      <c r="E152" s="63">
        <f>TRUNC(+D152*3.3058,-1)</f>
        <v>15830</v>
      </c>
      <c r="F152" s="2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26620</v>
      </c>
      <c r="E154" s="39">
        <f>SUM(E149:E153)</f>
        <v>87980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TRUNC(10889,-1)</f>
        <v>10880</v>
      </c>
      <c r="E157" s="62">
        <f>TRUNC(+D157*3.3058,-1)</f>
        <v>35960</v>
      </c>
    </row>
    <row r="158" spans="1:7" x14ac:dyDescent="0.3">
      <c r="A158" s="2">
        <v>2</v>
      </c>
      <c r="C158" s="38" t="s">
        <v>52</v>
      </c>
      <c r="D158" s="42">
        <f>TRUNC(4833,-1)</f>
        <v>4830</v>
      </c>
      <c r="E158" s="63">
        <f>TRUNC(+D158*3.3058,-1)</f>
        <v>15960</v>
      </c>
      <c r="F158" s="2" t="s">
        <v>258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15710</v>
      </c>
      <c r="E161" s="39">
        <f>SUM(E157:E160)</f>
        <v>51920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2020-12-08T01:31:44Z</dcterms:modified>
</cp:coreProperties>
</file>