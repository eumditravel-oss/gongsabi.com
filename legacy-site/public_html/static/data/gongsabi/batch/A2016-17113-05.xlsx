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2" i="4"/>
  <c r="D150" i="4"/>
  <c r="D149" i="4"/>
  <c r="D137" i="4"/>
  <c r="D132" i="4"/>
  <c r="D127" i="4"/>
  <c r="D126" i="4"/>
  <c r="D122" i="4"/>
  <c r="D117" i="4"/>
  <c r="D102" i="4"/>
  <c r="D100" i="4"/>
  <c r="D99" i="4"/>
  <c r="D98" i="4"/>
  <c r="D94" i="4"/>
  <c r="D92" i="4"/>
  <c r="D91" i="4"/>
  <c r="D89" i="4"/>
  <c r="D73" i="4"/>
  <c r="D72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<sst xmlns="http://schemas.openxmlformats.org/spreadsheetml/2006/main" count="390" uniqueCount="265">
  <si>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</si>
  <si>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</si>
  <si>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</si>
  <si>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</si>
  <si>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</si>
  <si>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</si>
  <si>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</si>
  <si>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</si>
  <si>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</si>
  <si>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</si>
  <si>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</si>
  <si>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</si>
  <si>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</si>
  <si>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</si>
  <si>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</si>
  <si>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</si>
  <si>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</si>
  <si>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</si>
  <si>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</si>
  <si>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</si>
  <si>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</si>
  <si>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</si>
  <si>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</si>
  <si>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</si>
  <si>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</si>
  <si>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</si>
  <si>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</si>
  <si>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</si>
  <si>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</si>
  <si>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</si>
  <si>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</si>
  <si>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</si>
  <si>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</si>
  <si>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</si>
  <si>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</si>
  <si>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</si>
  <si>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</si>
  <si>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</si>
  <si>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</si>
  <si>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</si>
  <si>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</si>
  <si>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</si>
  <si>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</si>
  <si>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</si>
  <si>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</si>
  <si>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</si>
  <si>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</si>
  <si>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</si>
  <si>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</si>
  <si>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</si>
  <si>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</si>
  <si>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</si>
  <si>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</si>
  <si>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</si>
  <si>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</si>
  <si>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</si>
  <si>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</si>
  <si>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</si>
  <si>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</si>
  <si>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</si>
  <si>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</si>
  <si>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</si>
  <si>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</si>
  <si>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</si>
  <si>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</si>
  <si>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</si>
  <si>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</si>
  <si>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</si>
  <si>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</si>
  <si>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</si>
  <si>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</si>
  <si>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</si>
  <si>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</si>
  <si>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</si>
  <si>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</si>
  <si>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</si>
  <si>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</si>
  <si>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</si>
  <si>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</si>
  <si>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</si>
  <si>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</si>
  <si>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</si>
  <si>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</si>
  <si>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</si>
  <si>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</si>
  <si>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</si>
  <si>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</si>
  <si>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</si>
  <si>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</si>
  <si>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</si>
  <si>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</si>
  <si>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</si>
  <si>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</si>
  <si>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</si>
  <si>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</si>
  <si>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</si>
  <si>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</si>
  <si>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</si>
  <si>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</si>
  <si>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</si>
  <si>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</si>
  <si>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</si>
  <si>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</si>
  <si>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</si>
  <si>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</si>
  <si>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</si>
  <si>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</si>
  <si>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</si>
  <si>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</si>
  <si>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</si>
  <si>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</si>
  <si>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</si>
  <si>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</si>
  <si>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</si>
  <si>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</si>
  <si>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</si>
  <si>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</si>
  <si>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</si>
  <si>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</si>
  <si>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</si>
  <si>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</si>
  <si>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</si>
  <si>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</si>
  <si>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</si>
  <si>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</si>
  <si>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</si>
  <si>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</si>
  <si>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</si>
  <si>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</si>
  <si>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</si>
  <si>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</si>
  <si>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</si>
  <si>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</si>
  <si>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</si>
  <si>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</si>
  <si>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</si>
  <si>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</si>
  <si>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</si>
  <si>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</si>
  <si>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</si>
  <si>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</si>
  <si>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</si>
  <si>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</si>
  <si>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</si>
  <si>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</si>
  <si>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</si>
  <si>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</si>
  <si>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</si>
  <si>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</si>
  <si>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</si>
  <si>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</si>
  <si>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</si>
  <si>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</si>
  <si>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</si>
  <si>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</si>
  <si>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</si>
  <si>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</si>
  <si>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</si>
  <si>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</si>
  <si>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</si>
  <si>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</si>
  <si>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</si>
  <si>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</si>
  <si>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</si>
  <si>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</si>
  <si>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</si>
  <si>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</si>
  <si>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</si>
  <si>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</si>
  <si>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</si>
  <si>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</si>
  <si>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</si>
  <si>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</si>
  <si>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</si>
  <si>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</si>
  <si>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</si>
  <si>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</si>
  <si>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</si>
  <si>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</si>
  <si>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</si>
  <si>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</si>
  <si>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</si>
  <si>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</si>
  <si>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</si>
  <si>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</si>
  <si>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</si>
  <si>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</si>
  <si>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</si>
  <si>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</si>
  <si>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</si>
  <si>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</si>
  <si>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</si>
  <si>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</si>
  <si>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</si>
  <si>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</si>
  <si>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</si>
  <si>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</si>
  <si>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</si>
  <si>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</si>
  <si>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</si>
  <si>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</si>
  <si>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</si>
  <si>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</si>
  <si>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</si>
  <si>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</si>
  <si>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</si>
  <si>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</si>
  <si>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</si>
  <si>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</si>
  <si>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</si>
  <si>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</si>
  <si>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</si>
  <si>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</si>
  <si>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</si>
  <si>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</si>
  <si>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</si>
  <si>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</si>
  <si>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</si>
  <si>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</si>
  <si>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</si>
  <si>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</si>
  <si>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</si>
  <si>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</si>
  <si>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</si>
  <si>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</si>
  <si>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</si>
  <si>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</si>
  <si>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</si>
  <si>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</si>
  <si>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</si>
  <si>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</si>
  <si>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</si>
  <si>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</si>
  <si>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</si>
  <si>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</si>
  <si>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</si>
  <si>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</si>
  <si>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</si>
  <si>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</si>
  <si>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</si>
  <si>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</si>
  <si>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</si>
  <si>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</si>
  <si>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</si>
  <si>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</si>
  <si>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</si>
  <si>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</si>
  <si>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</si>
  <si>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</si>
  <si>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</si>
  <si>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</si>
  <si>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</si>
  <si>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</si>
  <si>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기타</t>
  </si>
  <si>
    <t>군산교도소 비상대기소 증축공사</t>
    <phoneticPr fontId="2" type="noConversion"/>
  </si>
  <si>
    <t>전라도</t>
  </si>
  <si>
    <t xml:space="preserve">기초공사, 골재비및운반비, 기타공사 </t>
    <phoneticPr fontId="2" type="noConversion"/>
  </si>
  <si>
    <t>난방배관공사, 기타공사</t>
    <phoneticPr fontId="2" type="noConversion"/>
  </si>
  <si>
    <t>CATV 및 TV 설비공사</t>
    <phoneticPr fontId="2" type="noConversion"/>
  </si>
  <si>
    <t>사급자재비, 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</si>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</sst>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998.8</v>
      </c>
      <c r="D7" s="36">
        <f>+C7/3.3058</f>
        <v>302.13564038961823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1081180</v>
      </c>
      <c r="E25" s="59">
        <f t="shared" si="0"/>
        <v>3574160</v>
      </c>
    </row>
    <row r="26" spans="1:5" x14ac:dyDescent="0.3">
      <c r="B26" s="2">
        <v>3</v>
      </c>
      <c r="C26" s="35" t="s">
        <v>95</v>
      </c>
      <c r="D26" s="45">
        <f>+D66</f>
        <v>9880</v>
      </c>
      <c r="E26" s="59">
        <f t="shared" si="0"/>
        <v>32660</v>
      </c>
    </row>
    <row r="27" spans="1:5" x14ac:dyDescent="0.3">
      <c r="B27" s="2">
        <v>4</v>
      </c>
      <c r="C27" s="35" t="s">
        <v>96</v>
      </c>
      <c r="D27" s="45">
        <f>+D95</f>
        <v>196690</v>
      </c>
      <c r="E27" s="59">
        <f t="shared" si="0"/>
        <v>650210</v>
      </c>
    </row>
    <row r="28" spans="1:5" x14ac:dyDescent="0.3">
      <c r="B28" s="2">
        <v>5</v>
      </c>
      <c r="C28" s="35" t="s">
        <v>97</v>
      </c>
      <c r="D28" s="45">
        <f>+D119</f>
        <v>150030</v>
      </c>
      <c r="E28" s="59">
        <f t="shared" si="0"/>
        <v>495960</v>
      </c>
    </row>
    <row r="29" spans="1:5" x14ac:dyDescent="0.3">
      <c r="B29" s="2">
        <v>6</v>
      </c>
      <c r="C29" s="35" t="s">
        <v>98</v>
      </c>
      <c r="D29" s="45">
        <f>+D133</f>
        <v>68740</v>
      </c>
      <c r="E29" s="59">
        <f t="shared" si="0"/>
        <v>227240</v>
      </c>
    </row>
    <row r="30" spans="1:5" x14ac:dyDescent="0.3">
      <c r="B30" s="2">
        <v>7</v>
      </c>
      <c r="C30" s="35" t="s">
        <v>99</v>
      </c>
      <c r="D30" s="45">
        <f>+D146</f>
        <v>11800</v>
      </c>
      <c r="E30" s="59">
        <f t="shared" si="0"/>
        <v>39000</v>
      </c>
    </row>
    <row r="31" spans="1:5" x14ac:dyDescent="0.3">
      <c r="B31" s="2">
        <v>8</v>
      </c>
      <c r="C31" s="35" t="s">
        <v>100</v>
      </c>
      <c r="D31" s="45">
        <f>+D154</f>
        <v>89540</v>
      </c>
      <c r="E31" s="59">
        <f t="shared" si="0"/>
        <v>296000</v>
      </c>
    </row>
    <row r="32" spans="1:5" x14ac:dyDescent="0.3">
      <c r="B32" s="2">
        <v>9</v>
      </c>
      <c r="C32" s="35" t="s">
        <v>101</v>
      </c>
      <c r="D32" s="45">
        <f>+D161</f>
        <v>11210</v>
      </c>
      <c r="E32" s="59">
        <f t="shared" si="0"/>
        <v>37050</v>
      </c>
    </row>
    <row r="33" spans="1:7" x14ac:dyDescent="0.3">
      <c r="B33" s="2">
        <v>10</v>
      </c>
      <c r="C33" s="35" t="s">
        <v>154</v>
      </c>
      <c r="D33" s="53">
        <f>TRUNC(SUM(D24:D32)*0.275,-1)</f>
        <v>445240</v>
      </c>
      <c r="E33" s="60">
        <f t="shared" si="0"/>
        <v>1471870</v>
      </c>
    </row>
    <row r="34" spans="1:7" x14ac:dyDescent="0.3">
      <c r="C34" s="35" t="s">
        <v>112</v>
      </c>
      <c r="D34" s="44">
        <f>SUM(D24:D33)</f>
        <v>2064310</v>
      </c>
      <c r="E34" s="44">
        <f>SUM(E24:E33)</f>
        <v>6824150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TRUNC(57862,-1)</f>
        <v>57860</v>
      </c>
      <c r="E40" s="62">
        <f t="shared" ref="E40:E59" si="1">TRUNC(+D40*3.3058,-1)</f>
        <v>191270</v>
      </c>
    </row>
    <row r="41" spans="1:7" x14ac:dyDescent="0.3">
      <c r="A41" s="2">
        <v>2</v>
      </c>
      <c r="C41" s="38" t="s">
        <v>13</v>
      </c>
      <c r="D41" s="42">
        <f>TRUNC(262052,-1)</f>
        <v>262050</v>
      </c>
      <c r="E41" s="63">
        <f t="shared" si="1"/>
        <v>866280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TRUNC(61954,-1)</f>
        <v>61950</v>
      </c>
      <c r="E43" s="63">
        <f t="shared" si="1"/>
        <v>204790</v>
      </c>
    </row>
    <row r="44" spans="1:7" x14ac:dyDescent="0.3">
      <c r="A44" s="2">
        <v>5</v>
      </c>
      <c r="C44" s="38" t="s">
        <v>17</v>
      </c>
      <c r="D44" s="42">
        <f>TRUNC(42718,-1)</f>
        <v>42710</v>
      </c>
      <c r="E44" s="63">
        <f t="shared" si="1"/>
        <v>141190</v>
      </c>
    </row>
    <row r="45" spans="1:7" x14ac:dyDescent="0.3">
      <c r="A45" s="2">
        <v>6</v>
      </c>
      <c r="C45" s="38" t="s">
        <v>18</v>
      </c>
      <c r="D45" s="42">
        <f>TRUNC(42851,-1)</f>
        <v>42850</v>
      </c>
      <c r="E45" s="63">
        <f t="shared" si="1"/>
        <v>141650</v>
      </c>
    </row>
    <row r="46" spans="1:7" x14ac:dyDescent="0.3">
      <c r="A46" s="2">
        <v>7</v>
      </c>
      <c r="C46" s="38" t="s">
        <v>19</v>
      </c>
      <c r="D46" s="42">
        <f>TRUNC(16543,-1)</f>
        <v>16540</v>
      </c>
      <c r="E46" s="63">
        <f t="shared" si="1"/>
        <v>54670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TRUNC(48035,-1)</f>
        <v>48030</v>
      </c>
      <c r="E48" s="63">
        <f t="shared" si="1"/>
        <v>158770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TRUNC(32176,-1)</f>
        <v>32170</v>
      </c>
      <c r="E49" s="63">
        <f t="shared" si="1"/>
        <v>106340</v>
      </c>
    </row>
    <row r="50" spans="1:7" x14ac:dyDescent="0.3">
      <c r="A50" s="2">
        <v>11</v>
      </c>
      <c r="C50" s="38" t="s">
        <v>155</v>
      </c>
      <c r="D50" s="42">
        <f>TRUNC(85902,-1)</f>
        <v>85900</v>
      </c>
      <c r="E50" s="63">
        <f t="shared" si="1"/>
        <v>283960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TRUNC(12622,-1)</f>
        <v>12620</v>
      </c>
      <c r="E52" s="63">
        <f t="shared" si="1"/>
        <v>41710</v>
      </c>
    </row>
    <row r="53" spans="1:7" x14ac:dyDescent="0.3">
      <c r="A53" s="2">
        <v>14</v>
      </c>
      <c r="C53" s="38" t="s">
        <v>25</v>
      </c>
      <c r="D53" s="42">
        <f>TRUNC(89309,-1)</f>
        <v>89300</v>
      </c>
      <c r="E53" s="63">
        <f t="shared" si="1"/>
        <v>295200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TRUNC(69664+5483,-1)</f>
        <v>75140</v>
      </c>
      <c r="E58" s="63">
        <f t="shared" si="1"/>
        <v>248390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TRUNC(254061,-1)</f>
        <v>254060</v>
      </c>
      <c r="E59" s="64">
        <f t="shared" si="1"/>
        <v>839870</v>
      </c>
    </row>
    <row r="60" spans="1:7" x14ac:dyDescent="0.3">
      <c r="A60" s="2">
        <v>21</v>
      </c>
      <c r="C60" s="27" t="s">
        <v>112</v>
      </c>
      <c r="D60" s="39">
        <f>SUM(D40:D59)</f>
        <v>1081180</v>
      </c>
      <c r="E60" s="39">
        <f>SUM(E40:E59)</f>
        <v>3574090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TRUNC(9887,-1)</f>
        <v>9880</v>
      </c>
      <c r="E63" s="62">
        <f>TRUNC(+D63*3.3058,-1)</f>
        <v>32660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9880</v>
      </c>
      <c r="E66" s="65">
        <f>SUM(E63:E65)</f>
        <v>32660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TRUNC(16009,-1)</f>
        <v>16000</v>
      </c>
      <c r="E69" s="62">
        <f t="shared" ref="E69:E94" si="2">TRUNC(+D69*3.3058,-1)</f>
        <v>52890</v>
      </c>
    </row>
    <row r="70" spans="1:7" ht="16.5" customHeight="1" x14ac:dyDescent="0.3">
      <c r="A70" s="2">
        <v>2</v>
      </c>
      <c r="C70" s="38" t="s">
        <v>31</v>
      </c>
      <c r="D70" s="42">
        <f>TRUNC(2401,-1)</f>
        <v>2400</v>
      </c>
      <c r="E70" s="63">
        <f t="shared" si="2"/>
        <v>7930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TRUNC(57917,-1)</f>
        <v>57910</v>
      </c>
      <c r="E72" s="63">
        <f t="shared" si="2"/>
        <v>191430</v>
      </c>
    </row>
    <row r="73" spans="1:7" x14ac:dyDescent="0.3">
      <c r="A73" s="2">
        <v>5</v>
      </c>
      <c r="C73" s="38" t="s">
        <v>34</v>
      </c>
      <c r="D73" s="42">
        <f>TRUNC(39481,-1)</f>
        <v>39480</v>
      </c>
      <c r="E73" s="63">
        <f t="shared" si="2"/>
        <v>130510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TRUNC(19883,-1)</f>
        <v>19880</v>
      </c>
      <c r="E89" s="63">
        <f t="shared" si="2"/>
        <v>65710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TRUNC(9314,-1)</f>
        <v>9310</v>
      </c>
      <c r="E91" s="63">
        <f t="shared" si="2"/>
        <v>30770</v>
      </c>
    </row>
    <row r="92" spans="1:7" x14ac:dyDescent="0.3">
      <c r="A92" s="2">
        <v>24</v>
      </c>
      <c r="C92" s="38" t="s">
        <v>38</v>
      </c>
      <c r="D92" s="42">
        <f>TRUNC(17826,-1)</f>
        <v>17820</v>
      </c>
      <c r="E92" s="63">
        <f t="shared" si="2"/>
        <v>58900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TRUNC(28153+5746,-1)</f>
        <v>33890</v>
      </c>
      <c r="E94" s="64">
        <f t="shared" si="2"/>
        <v>112030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196690</v>
      </c>
      <c r="E95" s="39">
        <f>SUM(E69:E94)</f>
        <v>650170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TRUNC(30281,-1)</f>
        <v>30280</v>
      </c>
      <c r="E98" s="62">
        <f t="shared" ref="E98:E118" si="3">TRUNC(+D98*3.3058,-1)</f>
        <v>100090</v>
      </c>
    </row>
    <row r="99" spans="1:7" x14ac:dyDescent="0.3">
      <c r="A99" s="2">
        <v>2</v>
      </c>
      <c r="C99" s="38" t="s">
        <v>40</v>
      </c>
      <c r="D99" s="42">
        <f>TRUNC(2587,-1)</f>
        <v>2580</v>
      </c>
      <c r="E99" s="63">
        <f t="shared" si="3"/>
        <v>8520</v>
      </c>
    </row>
    <row r="100" spans="1:7" x14ac:dyDescent="0.3">
      <c r="A100" s="2">
        <v>3</v>
      </c>
      <c r="C100" s="38" t="s">
        <v>41</v>
      </c>
      <c r="D100" s="42">
        <f>TRUNC(43225,-1)</f>
        <v>43220</v>
      </c>
      <c r="E100" s="63">
        <f t="shared" si="3"/>
        <v>142870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TRUNC(50107,-1)</f>
        <v>50100</v>
      </c>
      <c r="E102" s="63">
        <f t="shared" si="3"/>
        <v>165620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f>TRUNC(23856,-1)</f>
        <v>23850</v>
      </c>
      <c r="E117" s="63">
        <f t="shared" si="3"/>
        <v>78840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150030</v>
      </c>
      <c r="E119" s="39">
        <f>SUM(E98:E118)</f>
        <v>495940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TRUNC(14474,-1)</f>
        <v>14470</v>
      </c>
      <c r="E122" s="62">
        <f t="shared" ref="E122:E132" si="4">TRUNC(+D122*3.3058,-1)</f>
        <v>47830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TRUNC(3514,-1)</f>
        <v>3510</v>
      </c>
      <c r="E126" s="63">
        <f t="shared" si="4"/>
        <v>11600</v>
      </c>
    </row>
    <row r="127" spans="1:7" x14ac:dyDescent="0.3">
      <c r="A127" s="2">
        <v>6</v>
      </c>
      <c r="C127" s="38" t="s">
        <v>56</v>
      </c>
      <c r="D127" s="42">
        <f>TRUNC(10347,-1)</f>
        <v>10340</v>
      </c>
      <c r="E127" s="63">
        <f t="shared" si="4"/>
        <v>34180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15550</v>
      </c>
      <c r="E130" s="63">
        <f t="shared" si="4"/>
        <v>51400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TRUNC(24878,-1)</f>
        <v>24870</v>
      </c>
      <c r="E132" s="64">
        <f t="shared" si="4"/>
        <v>82210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68740</v>
      </c>
      <c r="E133" s="39">
        <f>SUM(E122:E132)</f>
        <v>227220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TRUNC(11806,-1)</f>
        <v>11800</v>
      </c>
      <c r="E137" s="63">
        <f t="shared" si="5"/>
        <v>39000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11800</v>
      </c>
      <c r="E146" s="39">
        <f>SUM(E136:E145)</f>
        <v>39000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TRUNC(13038+4319,-1)</f>
        <v>17350</v>
      </c>
      <c r="E149" s="62">
        <f>TRUNC(+D149*3.3058,-1)</f>
        <v>57350</v>
      </c>
    </row>
    <row r="150" spans="1:7" x14ac:dyDescent="0.3">
      <c r="A150" s="2">
        <v>2</v>
      </c>
      <c r="C150" s="38" t="s">
        <v>49</v>
      </c>
      <c r="D150" s="42">
        <f>TRUNC(27586,-1)</f>
        <v>27580</v>
      </c>
      <c r="E150" s="63">
        <f>TRUNC(+D150*3.3058,-1)</f>
        <v>91170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TRUNC(36371+17+8223,-1)</f>
        <v>44610</v>
      </c>
      <c r="E152" s="63">
        <f>TRUNC(+D152*3.3058,-1)</f>
        <v>147470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89540</v>
      </c>
      <c r="E154" s="39">
        <f>SUM(E149:E153)</f>
        <v>295990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TRUNC(11211,-1)</f>
        <v>11210</v>
      </c>
      <c r="E157" s="62">
        <f>TRUNC(+D157*3.3058,-1)</f>
        <v>37050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11210</v>
      </c>
      <c r="E161" s="39">
        <f>SUM(E157:E160)</f>
        <v>37050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2020-12-08T01:34:08Z</dcterms:modified>
</cp:coreProperties>
</file>