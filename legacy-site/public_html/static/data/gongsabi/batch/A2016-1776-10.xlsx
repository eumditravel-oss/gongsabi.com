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3" i="4"/>
  <c r="D152" i="4"/>
  <c r="D151" i="4"/>
  <c r="D150" i="4"/>
  <c r="D149" i="4"/>
  <c r="D143" i="4"/>
  <c r="D142" i="4"/>
  <c r="D141" i="4"/>
  <c r="D140" i="4"/>
  <c r="D138" i="4"/>
  <c r="D132" i="4"/>
  <c r="D131" i="4"/>
  <c r="D130" i="4"/>
  <c r="D128" i="4"/>
  <c r="D125" i="4"/>
  <c r="D124" i="4"/>
  <c r="D122" i="4"/>
  <c r="D118" i="4"/>
  <c r="D117" i="4"/>
  <c r="D116" i="4"/>
  <c r="D114" i="4"/>
  <c r="D104" i="4"/>
  <c r="D102" i="4"/>
  <c r="D101" i="4"/>
  <c r="D99" i="4"/>
  <c r="D98" i="4"/>
  <c r="D94" i="4"/>
  <c r="D92" i="4"/>
  <c r="D91" i="4"/>
  <c r="D90" i="4"/>
  <c r="D89" i="4"/>
  <c r="D75" i="4"/>
  <c r="D72" i="4"/>
  <c r="D71" i="4"/>
  <c r="D69" i="4"/>
  <c r="D63" i="4"/>
  <c r="D59" i="4"/>
  <c r="D58" i="4"/>
  <c r="D53" i="4"/>
  <c r="D52" i="4"/>
  <c r="D50" i="4"/>
  <c r="D49" i="4"/>
  <c r="D48" i="4"/>
  <c r="D45" i="4"/>
  <c r="D44" i="4"/>
  <c r="D43" i="4"/>
  <c r="D42" i="4"/>
  <c r="D41" i="4"/>
  <c r="D40" i="4"/>
  <c r="D13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<sst xmlns="http://schemas.openxmlformats.org/spreadsheetml/2006/main" count="393" uniqueCount="267">
  <si>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</si>
  <si>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</si>
  <si>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</si>
  <si>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</si>
  <si>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</si>
  <si>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</si>
  <si>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</si>
  <si>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</si>
  <si>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</si>
  <si>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</si>
  <si>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</si>
  <si>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</si>
  <si>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</si>
  <si>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</si>
  <si>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</si>
  <si>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</si>
  <si>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</si>
  <si>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</si>
  <si>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</si>
  <si>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</si>
  <si>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</si>
  <si>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</si>
  <si>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</si>
  <si>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</si>
  <si>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</si>
  <si>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</si>
  <si>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</si>
  <si>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</si>
  <si>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</si>
  <si>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</si>
  <si>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</si>
  <si>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</si>
  <si>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</si>
  <si>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</si>
  <si>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</si>
  <si>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</si>
  <si>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</si>
  <si>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</si>
  <si>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</si>
  <si>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</si>
  <si>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</si>
  <si>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</si>
  <si>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</si>
  <si>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</si>
  <si>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</si>
  <si>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</si>
  <si>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</si>
  <si>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</si>
  <si>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</si>
  <si>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</si>
  <si>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</si>
  <si>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</si>
  <si>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</si>
  <si>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</si>
  <si>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</si>
  <si>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</si>
  <si>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</si>
  <si>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</si>
  <si>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</si>
  <si>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</si>
  <si>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</si>
  <si>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</si>
  <si>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</si>
  <si>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</si>
  <si>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</si>
  <si>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</si>
  <si>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</si>
  <si>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</si>
  <si>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</si>
  <si>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</si>
  <si>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</si>
  <si>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</si>
  <si>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</si>
  <si>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</si>
  <si>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</si>
  <si>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</si>
  <si>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</si>
  <si>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</si>
  <si>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</si>
  <si>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</si>
  <si>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</si>
  <si>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</si>
  <si>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</si>
  <si>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</si>
  <si>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</si>
  <si>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</si>
  <si>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</si>
  <si>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</si>
  <si>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</si>
  <si>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</si>
  <si>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</si>
  <si>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</si>
  <si>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</si>
  <si>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</si>
  <si>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</si>
  <si>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</si>
  <si>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</si>
  <si>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</si>
  <si>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</si>
  <si>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</si>
  <si>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</si>
  <si>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</si>
  <si>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</si>
  <si>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</si>
  <si>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</si>
  <si>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</si>
  <si>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</si>
  <si>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</si>
  <si>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</si>
  <si>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</si>
  <si>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</si>
  <si>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</si>
  <si>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</si>
  <si>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</si>
  <si>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</si>
  <si>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</si>
  <si>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</si>
  <si>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</si>
  <si>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</si>
  <si>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</si>
  <si>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</si>
  <si>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</si>
  <si>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</si>
  <si>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</si>
  <si>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</si>
  <si>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</si>
  <si>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</si>
  <si>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</si>
  <si>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</si>
  <si>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</si>
  <si>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</si>
  <si>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</si>
  <si>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</si>
  <si>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</si>
  <si>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</si>
  <si>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</si>
  <si>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</si>
  <si>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</si>
  <si>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</si>
  <si>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</si>
  <si>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</si>
  <si>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</si>
  <si>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</si>
  <si>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</si>
  <si>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</si>
  <si>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</si>
  <si>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</si>
  <si>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</si>
  <si>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</si>
  <si>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</si>
  <si>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</si>
  <si>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</si>
  <si>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</si>
  <si>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</si>
  <si>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</si>
  <si>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</si>
  <si>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</si>
  <si>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</si>
  <si>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</si>
  <si>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</si>
  <si>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</si>
  <si>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</si>
  <si>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</si>
  <si>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</si>
  <si>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</si>
  <si>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</si>
  <si>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</si>
  <si>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</si>
  <si>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</si>
  <si>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</si>
  <si>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</si>
  <si>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</si>
  <si>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</si>
  <si>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</si>
  <si>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</si>
  <si>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</si>
  <si>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</si>
  <si>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</si>
  <si>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</si>
  <si>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</si>
  <si>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</si>
  <si>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</si>
  <si>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</si>
  <si>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</si>
  <si>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</si>
  <si>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</si>
  <si>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</si>
  <si>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</si>
  <si>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</si>
  <si>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</si>
  <si>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</si>
  <si>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</si>
  <si>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</si>
  <si>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</si>
  <si>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</si>
  <si>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</si>
  <si>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</si>
  <si>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</si>
  <si>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</si>
  <si>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</si>
  <si>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</si>
  <si>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</si>
  <si>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</si>
  <si>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</si>
  <si>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</si>
  <si>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</si>
  <si>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</si>
  <si>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</si>
  <si>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</si>
  <si>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</si>
  <si>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</si>
  <si>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</si>
  <si>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</si>
  <si>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</si>
  <si>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</si>
  <si>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</si>
  <si>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</si>
  <si>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</si>
  <si>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</si>
  <si>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</si>
  <si>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</si>
  <si>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</si>
  <si>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</si>
  <si>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</si>
  <si>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</si>
  <si>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</si>
  <si>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</si>
  <si>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</si>
  <si>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</si>
  <si>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</si>
  <si>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</si>
  <si>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</si>
  <si>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</si>
  <si>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</si>
  <si>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</si>
  <si>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</si>
  <si>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</si>
  <si>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</si>
  <si>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</si>
  <si>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</si>
  <si>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</si>
  <si>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</si>
  <si>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</si>
  <si>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</si>
  <si>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</si>
  <si>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</si>
  <si>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</si>
  <si>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</si>
  <si>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</si>
  <si>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</si>
  <si>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</si>
  <si>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</si>
  <si>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</si>
  <si>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</si>
  <si>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</si>
  <si>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</si>
  <si>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기타</t>
  </si>
  <si>
    <t xml:space="preserve"> 대구교정시설 건립공사</t>
    <phoneticPr fontId="2" type="noConversion"/>
  </si>
  <si>
    <t>대구시</t>
  </si>
  <si>
    <t>기초공사, 해체및철거공사, 폐기물처리비, 골재비및운반비, 작업부산물, 품질시험비, 기타공사</t>
    <phoneticPr fontId="2" type="noConversion"/>
  </si>
  <si>
    <t>공조배관공사, 난방배관공사, 우수처리시설공사, 바닥난방공사, 기타공사</t>
    <phoneticPr fontId="2" type="noConversion"/>
  </si>
  <si>
    <t>옥외소화배관공사, 펌프실배관공사, 기타공사</t>
    <phoneticPr fontId="2" type="noConversion"/>
  </si>
  <si>
    <t>상수도공사, 사급자재비, 운반비, 기타공사</t>
    <phoneticPr fontId="2" type="noConversion"/>
  </si>
  <si>
    <t>포장공사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</si>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</sst>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60760.41</v>
      </c>
      <c r="D7" s="36">
        <f>+C7/3.3058</f>
        <v>18379.941315264081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825640</v>
      </c>
      <c r="E25" s="59">
        <f t="shared" si="0"/>
        <v>2729400</v>
      </c>
    </row>
    <row r="26" spans="1:5" x14ac:dyDescent="0.3">
      <c r="B26" s="2">
        <v>3</v>
      </c>
      <c r="C26" s="35" t="s">
        <v>95</v>
      </c>
      <c r="D26" s="45">
        <f>+D66</f>
        <v>112850</v>
      </c>
      <c r="E26" s="59">
        <f t="shared" si="0"/>
        <v>373050</v>
      </c>
    </row>
    <row r="27" spans="1:5" x14ac:dyDescent="0.3">
      <c r="B27" s="2">
        <v>4</v>
      </c>
      <c r="C27" s="35" t="s">
        <v>96</v>
      </c>
      <c r="D27" s="45">
        <f>+D95</f>
        <v>278240</v>
      </c>
      <c r="E27" s="59">
        <f t="shared" si="0"/>
        <v>919800</v>
      </c>
    </row>
    <row r="28" spans="1:5" x14ac:dyDescent="0.3">
      <c r="B28" s="2">
        <v>5</v>
      </c>
      <c r="C28" s="35" t="s">
        <v>97</v>
      </c>
      <c r="D28" s="45">
        <f>+D119</f>
        <v>185450</v>
      </c>
      <c r="E28" s="59">
        <f t="shared" si="0"/>
        <v>613060</v>
      </c>
    </row>
    <row r="29" spans="1:5" x14ac:dyDescent="0.3">
      <c r="B29" s="2">
        <v>6</v>
      </c>
      <c r="C29" s="35" t="s">
        <v>98</v>
      </c>
      <c r="D29" s="45">
        <f>+D133</f>
        <v>203840</v>
      </c>
      <c r="E29" s="59">
        <f t="shared" si="0"/>
        <v>673850</v>
      </c>
    </row>
    <row r="30" spans="1:5" x14ac:dyDescent="0.3">
      <c r="B30" s="2">
        <v>7</v>
      </c>
      <c r="C30" s="35" t="s">
        <v>99</v>
      </c>
      <c r="D30" s="45">
        <f>+D146</f>
        <v>42050</v>
      </c>
      <c r="E30" s="59">
        <f t="shared" si="0"/>
        <v>139000</v>
      </c>
    </row>
    <row r="31" spans="1:5" x14ac:dyDescent="0.3">
      <c r="B31" s="2">
        <v>8</v>
      </c>
      <c r="C31" s="35" t="s">
        <v>100</v>
      </c>
      <c r="D31" s="45">
        <f>+D154</f>
        <v>126030</v>
      </c>
      <c r="E31" s="59">
        <f t="shared" si="0"/>
        <v>416620</v>
      </c>
    </row>
    <row r="32" spans="1:5" x14ac:dyDescent="0.3">
      <c r="B32" s="2">
        <v>9</v>
      </c>
      <c r="C32" s="35" t="s">
        <v>101</v>
      </c>
      <c r="D32" s="45">
        <f>+D161</f>
        <v>27410</v>
      </c>
      <c r="E32" s="59">
        <f t="shared" si="0"/>
        <v>90610</v>
      </c>
    </row>
    <row r="33" spans="1:7" x14ac:dyDescent="0.3">
      <c r="B33" s="2">
        <v>10</v>
      </c>
      <c r="C33" s="35" t="s">
        <v>155</v>
      </c>
      <c r="D33" s="53">
        <f>TRUNC(SUM(D24:D32)*0.275,-1)</f>
        <v>495410</v>
      </c>
      <c r="E33" s="60">
        <f t="shared" si="0"/>
        <v>1637720</v>
      </c>
    </row>
    <row r="34" spans="1:7" x14ac:dyDescent="0.3">
      <c r="C34" s="35" t="s">
        <v>112</v>
      </c>
      <c r="D34" s="44">
        <f>SUM(D24:D33)</f>
        <v>2296920</v>
      </c>
      <c r="E34" s="44">
        <f>SUM(E24:E33)</f>
        <v>7593110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TRUNC(35362,-1)</f>
        <v>35360</v>
      </c>
      <c r="E40" s="62">
        <f t="shared" ref="E40:E59" si="1">TRUNC(+D40*3.3058,-1)</f>
        <v>116890</v>
      </c>
    </row>
    <row r="41" spans="1:7" x14ac:dyDescent="0.3">
      <c r="A41" s="2">
        <v>2</v>
      </c>
      <c r="C41" s="38" t="s">
        <v>13</v>
      </c>
      <c r="D41" s="42">
        <f>TRUNC(162853,-1)</f>
        <v>162850</v>
      </c>
      <c r="E41" s="63">
        <f t="shared" si="1"/>
        <v>538340</v>
      </c>
    </row>
    <row r="42" spans="1:7" x14ac:dyDescent="0.3">
      <c r="A42" s="2">
        <v>3</v>
      </c>
      <c r="C42" s="38" t="s">
        <v>14</v>
      </c>
      <c r="D42" s="42">
        <f>TRUNC(7913,-1)</f>
        <v>7910</v>
      </c>
      <c r="E42" s="63">
        <f t="shared" si="1"/>
        <v>26140</v>
      </c>
    </row>
    <row r="43" spans="1:7" x14ac:dyDescent="0.3">
      <c r="A43" s="2">
        <v>4</v>
      </c>
      <c r="C43" s="38" t="s">
        <v>16</v>
      </c>
      <c r="D43" s="42">
        <f>TRUNC(44974,-1)</f>
        <v>44970</v>
      </c>
      <c r="E43" s="63">
        <f t="shared" si="1"/>
        <v>148660</v>
      </c>
    </row>
    <row r="44" spans="1:7" x14ac:dyDescent="0.3">
      <c r="A44" s="2">
        <v>5</v>
      </c>
      <c r="C44" s="38" t="s">
        <v>17</v>
      </c>
      <c r="D44" s="42">
        <f>TRUNC(29437,-1)</f>
        <v>29430</v>
      </c>
      <c r="E44" s="63">
        <f t="shared" si="1"/>
        <v>97280</v>
      </c>
    </row>
    <row r="45" spans="1:7" x14ac:dyDescent="0.3">
      <c r="A45" s="2">
        <v>6</v>
      </c>
      <c r="C45" s="38" t="s">
        <v>18</v>
      </c>
      <c r="D45" s="42">
        <f>TRUNC(6168,-1)</f>
        <v>6160</v>
      </c>
      <c r="E45" s="63">
        <f t="shared" si="1"/>
        <v>20360</v>
      </c>
    </row>
    <row r="46" spans="1:7" x14ac:dyDescent="0.3">
      <c r="A46" s="2">
        <v>7</v>
      </c>
      <c r="C46" s="38" t="s">
        <v>19</v>
      </c>
      <c r="D46" s="42">
        <v>24370</v>
      </c>
      <c r="E46" s="63">
        <f t="shared" si="1"/>
        <v>80560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TRUNC(37671,-1)</f>
        <v>37670</v>
      </c>
      <c r="E48" s="63">
        <f t="shared" si="1"/>
        <v>124520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TRUNC(27578,-1)</f>
        <v>27570</v>
      </c>
      <c r="E49" s="63">
        <f t="shared" si="1"/>
        <v>91140</v>
      </c>
    </row>
    <row r="50" spans="1:7" x14ac:dyDescent="0.3">
      <c r="A50" s="2">
        <v>11</v>
      </c>
      <c r="C50" s="38" t="s">
        <v>156</v>
      </c>
      <c r="D50" s="42">
        <f>TRUNC(90212,-1)</f>
        <v>90210</v>
      </c>
      <c r="E50" s="63">
        <f t="shared" si="1"/>
        <v>298210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TRUNC(11996,-1)</f>
        <v>11990</v>
      </c>
      <c r="E52" s="63">
        <f t="shared" si="1"/>
        <v>39630</v>
      </c>
    </row>
    <row r="53" spans="1:7" x14ac:dyDescent="0.3">
      <c r="A53" s="2">
        <v>14</v>
      </c>
      <c r="C53" s="38" t="s">
        <v>25</v>
      </c>
      <c r="D53" s="42">
        <f>TRUNC(50761,-1)</f>
        <v>50760</v>
      </c>
      <c r="E53" s="63">
        <f t="shared" si="1"/>
        <v>167800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TRUNC(30459+316+2923+4655-399+652+3227,-1)</f>
        <v>41830</v>
      </c>
      <c r="E58" s="63">
        <f t="shared" si="1"/>
        <v>138280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TRUNC(254566,-1)</f>
        <v>254560</v>
      </c>
      <c r="E59" s="64">
        <f t="shared" si="1"/>
        <v>841520</v>
      </c>
    </row>
    <row r="60" spans="1:7" x14ac:dyDescent="0.3">
      <c r="A60" s="2">
        <v>21</v>
      </c>
      <c r="C60" s="27" t="s">
        <v>112</v>
      </c>
      <c r="D60" s="39">
        <f>SUM(D40:D59)</f>
        <v>825640</v>
      </c>
      <c r="E60" s="39">
        <f>SUM(E40:E59)</f>
        <v>2729330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TRUNC(112857,-1)</f>
        <v>112850</v>
      </c>
      <c r="E63" s="62">
        <f>TRUNC(+D63*3.3058,-1)</f>
        <v>373050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112850</v>
      </c>
      <c r="E66" s="65">
        <f>SUM(E63:E65)</f>
        <v>373050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TRUNC(8517,-1)</f>
        <v>8510</v>
      </c>
      <c r="E69" s="62">
        <f t="shared" ref="E69:E94" si="2">TRUNC(+D69*3.3058,-1)</f>
        <v>28130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f>TRUNC(6904,-1)</f>
        <v>6900</v>
      </c>
      <c r="E71" s="63">
        <f t="shared" si="2"/>
        <v>22810</v>
      </c>
    </row>
    <row r="72" spans="1:7" x14ac:dyDescent="0.3">
      <c r="A72" s="2">
        <v>4</v>
      </c>
      <c r="C72" s="38" t="s">
        <v>33</v>
      </c>
      <c r="D72" s="42">
        <f>TRUNC(2149,-1)</f>
        <v>2140</v>
      </c>
      <c r="E72" s="63">
        <f t="shared" si="2"/>
        <v>7070</v>
      </c>
    </row>
    <row r="73" spans="1:7" x14ac:dyDescent="0.3">
      <c r="A73" s="2">
        <v>5</v>
      </c>
      <c r="C73" s="38" t="s">
        <v>34</v>
      </c>
      <c r="D73" s="42">
        <v>27950</v>
      </c>
      <c r="E73" s="63">
        <f t="shared" si="2"/>
        <v>92390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TRUNC(451,-1)</f>
        <v>450</v>
      </c>
      <c r="E75" s="63">
        <f t="shared" si="2"/>
        <v>1480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TRUNC(21828,-1)</f>
        <v>21820</v>
      </c>
      <c r="E89" s="63">
        <f t="shared" si="2"/>
        <v>72130</v>
      </c>
    </row>
    <row r="90" spans="1:7" x14ac:dyDescent="0.3">
      <c r="A90" s="2">
        <v>22</v>
      </c>
      <c r="C90" s="38" t="s">
        <v>36</v>
      </c>
      <c r="D90" s="42">
        <f>TRUNC(353,-1)</f>
        <v>350</v>
      </c>
      <c r="E90" s="63">
        <f t="shared" si="2"/>
        <v>1150</v>
      </c>
    </row>
    <row r="91" spans="1:7" x14ac:dyDescent="0.3">
      <c r="A91" s="2">
        <v>23</v>
      </c>
      <c r="C91" s="38" t="s">
        <v>37</v>
      </c>
      <c r="D91" s="42">
        <f>TRUNC(22008,-1)</f>
        <v>22000</v>
      </c>
      <c r="E91" s="63">
        <f t="shared" si="2"/>
        <v>72720</v>
      </c>
    </row>
    <row r="92" spans="1:7" x14ac:dyDescent="0.3">
      <c r="A92" s="2">
        <v>24</v>
      </c>
      <c r="C92" s="38" t="s">
        <v>38</v>
      </c>
      <c r="D92" s="42">
        <f>TRUNC(10977,-1)</f>
        <v>10970</v>
      </c>
      <c r="E92" s="63">
        <f t="shared" si="2"/>
        <v>36260</v>
      </c>
    </row>
    <row r="93" spans="1:7" x14ac:dyDescent="0.3">
      <c r="A93" s="2">
        <v>25</v>
      </c>
      <c r="C93" s="38" t="s">
        <v>149</v>
      </c>
      <c r="D93" s="42">
        <v>123890</v>
      </c>
      <c r="E93" s="63">
        <f t="shared" si="2"/>
        <v>409550</v>
      </c>
    </row>
    <row r="94" spans="1:7" ht="17.25" thickBot="1" x14ac:dyDescent="0.35">
      <c r="A94" s="2">
        <v>26</v>
      </c>
      <c r="C94" s="38" t="s">
        <v>47</v>
      </c>
      <c r="D94" s="43">
        <f>TRUNC(33608+2838+6037+299+10486,-1)</f>
        <v>53260</v>
      </c>
      <c r="E94" s="64">
        <f t="shared" si="2"/>
        <v>176060</v>
      </c>
      <c r="F94" s="2" t="s">
        <v>260</v>
      </c>
    </row>
    <row r="95" spans="1:7" x14ac:dyDescent="0.3">
      <c r="A95" s="2">
        <v>27</v>
      </c>
      <c r="C95" s="27" t="s">
        <v>112</v>
      </c>
      <c r="D95" s="39">
        <f>SUM(D69:D94)</f>
        <v>278240</v>
      </c>
      <c r="E95" s="39">
        <f>SUM(E69:E94)</f>
        <v>919750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TRUNC(25553,-1)</f>
        <v>25550</v>
      </c>
      <c r="E98" s="62">
        <f t="shared" ref="E98:E118" si="3">TRUNC(+D98*3.3058,-1)</f>
        <v>84460</v>
      </c>
    </row>
    <row r="99" spans="1:7" x14ac:dyDescent="0.3">
      <c r="A99" s="2">
        <v>2</v>
      </c>
      <c r="C99" s="38" t="s">
        <v>40</v>
      </c>
      <c r="D99" s="42">
        <f>TRUNC(12223,-1)</f>
        <v>12220</v>
      </c>
      <c r="E99" s="63">
        <f t="shared" si="3"/>
        <v>40390</v>
      </c>
    </row>
    <row r="100" spans="1:7" x14ac:dyDescent="0.3">
      <c r="A100" s="2">
        <v>3</v>
      </c>
      <c r="C100" s="38" t="s">
        <v>41</v>
      </c>
      <c r="D100" s="42">
        <v>32270</v>
      </c>
      <c r="E100" s="63">
        <f t="shared" si="3"/>
        <v>106670</v>
      </c>
    </row>
    <row r="101" spans="1:7" x14ac:dyDescent="0.3">
      <c r="A101" s="2">
        <v>4</v>
      </c>
      <c r="C101" s="38" t="s">
        <v>42</v>
      </c>
      <c r="D101" s="42">
        <f>TRUNC(1983,-1)</f>
        <v>1980</v>
      </c>
      <c r="E101" s="63">
        <f t="shared" si="3"/>
        <v>6540</v>
      </c>
    </row>
    <row r="102" spans="1:7" x14ac:dyDescent="0.3">
      <c r="A102" s="2">
        <v>5</v>
      </c>
      <c r="C102" s="38" t="s">
        <v>43</v>
      </c>
      <c r="D102" s="42">
        <f>TRUNC(14649,-1)</f>
        <v>14640</v>
      </c>
      <c r="E102" s="63">
        <f t="shared" si="3"/>
        <v>48390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TRUNC(591,-1)</f>
        <v>590</v>
      </c>
      <c r="E104" s="63">
        <f t="shared" si="3"/>
        <v>1950</v>
      </c>
    </row>
    <row r="105" spans="1:7" x14ac:dyDescent="0.3">
      <c r="A105" s="2">
        <v>8</v>
      </c>
      <c r="C105" s="38" t="s">
        <v>46</v>
      </c>
      <c r="D105" s="42">
        <v>4120</v>
      </c>
      <c r="E105" s="63">
        <f t="shared" si="3"/>
        <v>13610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TRUNC(2939,-1)</f>
        <v>2930</v>
      </c>
      <c r="E114" s="63">
        <f t="shared" si="3"/>
        <v>9680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TRUNC(6942,-1)</f>
        <v>6940</v>
      </c>
      <c r="E116" s="63">
        <f t="shared" si="3"/>
        <v>22940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TRUNC(83179,-1)</f>
        <v>83170</v>
      </c>
      <c r="E117" s="63">
        <f t="shared" si="3"/>
        <v>274940</v>
      </c>
    </row>
    <row r="118" spans="1:7" ht="17.25" thickBot="1" x14ac:dyDescent="0.35">
      <c r="A118" s="2">
        <v>21</v>
      </c>
      <c r="C118" s="38" t="s">
        <v>47</v>
      </c>
      <c r="D118" s="43">
        <f>TRUNC(1041,-1)</f>
        <v>1040</v>
      </c>
      <c r="E118" s="64">
        <f t="shared" si="3"/>
        <v>3430</v>
      </c>
    </row>
    <row r="119" spans="1:7" x14ac:dyDescent="0.3">
      <c r="A119" s="2">
        <v>22</v>
      </c>
      <c r="C119" s="27" t="s">
        <v>112</v>
      </c>
      <c r="D119" s="39">
        <f>SUM(D98:D118)</f>
        <v>185450</v>
      </c>
      <c r="E119" s="39">
        <f>SUM(E98:E118)</f>
        <v>613000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TRUNC(9204,-1)</f>
        <v>9200</v>
      </c>
      <c r="E122" s="62">
        <f t="shared" ref="E122:E132" si="4">TRUNC(+D122*3.3058,-1)</f>
        <v>30410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f>TRUNC(568,-1)</f>
        <v>560</v>
      </c>
      <c r="E124" s="63">
        <f t="shared" si="4"/>
        <v>1850</v>
      </c>
    </row>
    <row r="125" spans="1:7" x14ac:dyDescent="0.3">
      <c r="A125" s="2">
        <v>4</v>
      </c>
      <c r="C125" s="38" t="s">
        <v>138</v>
      </c>
      <c r="D125" s="42">
        <f>TRUNC(11488,-1)</f>
        <v>11480</v>
      </c>
      <c r="E125" s="63">
        <f t="shared" si="4"/>
        <v>37950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3620</v>
      </c>
      <c r="E127" s="63">
        <f t="shared" si="4"/>
        <v>11960</v>
      </c>
    </row>
    <row r="128" spans="1:7" x14ac:dyDescent="0.3">
      <c r="A128" s="2">
        <v>7</v>
      </c>
      <c r="C128" s="38" t="s">
        <v>46</v>
      </c>
      <c r="D128" s="42">
        <f>TRUNC(5687,-1)</f>
        <v>5680</v>
      </c>
      <c r="E128" s="63">
        <f t="shared" si="4"/>
        <v>18770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TRUNC(12317,-1)</f>
        <v>12310</v>
      </c>
      <c r="E130" s="63">
        <f t="shared" si="4"/>
        <v>40690</v>
      </c>
    </row>
    <row r="131" spans="1:7" x14ac:dyDescent="0.3">
      <c r="A131" s="2">
        <v>10</v>
      </c>
      <c r="C131" s="38" t="s">
        <v>149</v>
      </c>
      <c r="D131" s="42">
        <f>TRUNC(106781,-1)</f>
        <v>106780</v>
      </c>
      <c r="E131" s="63">
        <f t="shared" si="4"/>
        <v>352990</v>
      </c>
    </row>
    <row r="132" spans="1:7" ht="18" thickBot="1" x14ac:dyDescent="0.35">
      <c r="A132" s="2">
        <v>11</v>
      </c>
      <c r="C132" s="38" t="s">
        <v>47</v>
      </c>
      <c r="D132" s="43">
        <f>TRUNC(8613+45604,-1)</f>
        <v>54210</v>
      </c>
      <c r="E132" s="64">
        <f t="shared" si="4"/>
        <v>179200</v>
      </c>
      <c r="F132" s="54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203840</v>
      </c>
      <c r="E133" s="39">
        <f>SUM(E122:E132)</f>
        <v>673820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1330+619+1951</f>
        <v>3900</v>
      </c>
      <c r="E137" s="63">
        <f t="shared" si="5"/>
        <v>12890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f>TRUNC(1911,-1)</f>
        <v>1910</v>
      </c>
      <c r="E138" s="63">
        <f t="shared" si="5"/>
        <v>6310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TRUNC(674,-1)</f>
        <v>670</v>
      </c>
      <c r="E140" s="63">
        <f t="shared" si="5"/>
        <v>2210</v>
      </c>
    </row>
    <row r="141" spans="1:7" x14ac:dyDescent="0.3">
      <c r="A141" s="2">
        <v>6</v>
      </c>
      <c r="C141" s="38" t="s">
        <v>59</v>
      </c>
      <c r="D141" s="42">
        <f>TRUNC(11415,-1)</f>
        <v>11410</v>
      </c>
      <c r="E141" s="63">
        <f t="shared" si="5"/>
        <v>37710</v>
      </c>
    </row>
    <row r="142" spans="1:7" x14ac:dyDescent="0.3">
      <c r="A142" s="2">
        <v>7</v>
      </c>
      <c r="C142" s="38" t="s">
        <v>58</v>
      </c>
      <c r="D142" s="42">
        <f>TRUNC(7537,-1)</f>
        <v>7530</v>
      </c>
      <c r="E142" s="63">
        <f t="shared" si="5"/>
        <v>24890</v>
      </c>
    </row>
    <row r="143" spans="1:7" x14ac:dyDescent="0.3">
      <c r="A143" s="2">
        <v>8</v>
      </c>
      <c r="C143" s="38" t="s">
        <v>62</v>
      </c>
      <c r="D143" s="42">
        <f>TRUNC(3459,-1)</f>
        <v>3450</v>
      </c>
      <c r="E143" s="63">
        <f t="shared" si="5"/>
        <v>11400</v>
      </c>
    </row>
    <row r="144" spans="1:7" x14ac:dyDescent="0.3">
      <c r="A144" s="2">
        <v>9</v>
      </c>
      <c r="C144" s="38" t="s">
        <v>63</v>
      </c>
      <c r="D144" s="42">
        <v>13180</v>
      </c>
      <c r="E144" s="63">
        <f t="shared" si="5"/>
        <v>43570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42050</v>
      </c>
      <c r="E146" s="39">
        <f>SUM(E136:E145)</f>
        <v>138980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TRUNC(20741+4272,-1)</f>
        <v>25010</v>
      </c>
      <c r="E149" s="62">
        <f>TRUNC(+D149*3.3058,-1)</f>
        <v>82670</v>
      </c>
    </row>
    <row r="150" spans="1:7" x14ac:dyDescent="0.3">
      <c r="A150" s="2">
        <v>2</v>
      </c>
      <c r="C150" s="38" t="s">
        <v>49</v>
      </c>
      <c r="D150" s="42">
        <f>TRUNC(7428,-1)</f>
        <v>7420</v>
      </c>
      <c r="E150" s="63">
        <f>TRUNC(+D150*3.3058,-1)</f>
        <v>24520</v>
      </c>
    </row>
    <row r="151" spans="1:7" x14ac:dyDescent="0.3">
      <c r="A151" s="2">
        <v>3</v>
      </c>
      <c r="C151" s="38" t="s">
        <v>50</v>
      </c>
      <c r="D151" s="42">
        <f>TRUNC(39089,-1)</f>
        <v>39080</v>
      </c>
      <c r="E151" s="63">
        <f>TRUNC(+D151*3.3058,-1)</f>
        <v>129190</v>
      </c>
    </row>
    <row r="152" spans="1:7" x14ac:dyDescent="0.3">
      <c r="A152" s="2">
        <v>4</v>
      </c>
      <c r="C152" s="38" t="s">
        <v>47</v>
      </c>
      <c r="D152" s="42">
        <f>TRUNC(23+11942+117+9236,-1)</f>
        <v>21310</v>
      </c>
      <c r="E152" s="63">
        <f>TRUNC(+D152*3.3058,-1)</f>
        <v>70440</v>
      </c>
      <c r="F152" s="2" t="s">
        <v>262</v>
      </c>
    </row>
    <row r="153" spans="1:7" ht="17.25" thickBot="1" x14ac:dyDescent="0.35">
      <c r="A153" s="2">
        <v>5</v>
      </c>
      <c r="C153" s="38" t="s">
        <v>149</v>
      </c>
      <c r="D153" s="43">
        <f>TRUNC(33219,-1)</f>
        <v>33210</v>
      </c>
      <c r="E153" s="64">
        <f>TRUNC(+D153*3.3058,-1)</f>
        <v>109780</v>
      </c>
    </row>
    <row r="154" spans="1:7" x14ac:dyDescent="0.3">
      <c r="A154" s="2">
        <v>6</v>
      </c>
      <c r="C154" s="27" t="s">
        <v>112</v>
      </c>
      <c r="D154" s="39">
        <f>SUM(D149:D153)</f>
        <v>126030</v>
      </c>
      <c r="E154" s="39">
        <f>SUM(E149:E153)</f>
        <v>416600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f>TRUNC(15688,-1)</f>
        <v>15680</v>
      </c>
      <c r="E157" s="62">
        <f>TRUNC(+D157*3.3058,-1)</f>
        <v>51830</v>
      </c>
    </row>
    <row r="158" spans="1:7" x14ac:dyDescent="0.3">
      <c r="A158" s="2">
        <v>2</v>
      </c>
      <c r="C158" s="38" t="s">
        <v>52</v>
      </c>
      <c r="D158" s="42">
        <f>TRUNC(5914,-1)</f>
        <v>5910</v>
      </c>
      <c r="E158" s="63">
        <f>TRUNC(+D158*3.3058,-1)</f>
        <v>19530</v>
      </c>
    </row>
    <row r="159" spans="1:7" x14ac:dyDescent="0.3">
      <c r="A159" s="2">
        <v>3</v>
      </c>
      <c r="C159" s="38" t="s">
        <v>47</v>
      </c>
      <c r="D159" s="42">
        <f>TRUNC(5829,-1)</f>
        <v>5820</v>
      </c>
      <c r="E159" s="63">
        <f>TRUNC(+D159*3.3058,-1)</f>
        <v>19230</v>
      </c>
      <c r="F159" s="2" t="s">
        <v>263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27410</v>
      </c>
      <c r="E161" s="39">
        <f>SUM(E157:E160)</f>
        <v>90590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2020-12-08T01:25:46Z</dcterms:modified>
</cp:coreProperties>
</file>