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2" i="4"/>
  <c r="E131" i="4"/>
  <c r="E130" i="4"/>
  <c r="E129" i="4"/>
  <c r="E128" i="4"/>
  <c r="E127" i="4"/>
  <c r="E126" i="4"/>
  <c r="E125" i="4"/>
  <c r="E133" i="4" s="1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19" i="4"/>
  <c r="E154" i="4"/>
  <c r="D161" i="4"/>
  <c r="D154" i="4"/>
  <c r="D146" i="4"/>
  <c r="D133" i="4"/>
  <c r="D29" i="4" s="1"/>
  <c r="E29" i="4" s="1"/>
  <c r="D119" i="4"/>
  <c r="D28" i="4" s="1"/>
  <c r="E28" i="4" s="1"/>
  <c r="D74" i="4"/>
  <c r="D66" i="4"/>
  <c r="D26" i="4" s="1"/>
  <c r="E26" i="4" s="1"/>
  <c r="D60" i="4"/>
  <c r="D25" i="4" s="1"/>
  <c r="E25" i="4" s="1"/>
  <c r="D32" i="4"/>
  <c r="E32" i="4" s="1"/>
  <c r="D31" i="4"/>
  <c r="E31" i="4" s="1"/>
  <c r="D30" i="4"/>
  <c r="E30" i="4" s="1"/>
  <c r="D24" i="4"/>
  <c r="E24" i="4" s="1"/>
  <c r="D7" i="4"/>
  <c r="D95" i="4" l="1"/>
  <c r="D27" i="4" s="1"/>
  <c r="E27" i="4" s="1"/>
  <c r="E34" i="4" s="1"/>
  <c r="E74" i="4"/>
  <c r="E95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<sst xmlns="http://schemas.openxmlformats.org/spreadsheetml/2006/main" count="386" uniqueCount="263">
  <si>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</si>
  <si>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</si>
  <si>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</si>
  <si>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</si>
  <si>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</si>
  <si>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</si>
  <si>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</si>
  <si>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</si>
  <si>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</si>
  <si>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</si>
  <si>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</si>
  <si>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</si>
  <si>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</si>
  <si>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</si>
  <si>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</si>
  <si>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</si>
  <si>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</si>
  <si>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</si>
  <si>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</si>
  <si>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</si>
  <si>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</si>
  <si>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</si>
  <si>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</si>
  <si>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</si>
  <si>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</si>
  <si>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</si>
  <si>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</si>
  <si>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</si>
  <si>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</si>
  <si>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</si>
  <si>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</si>
  <si>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</si>
  <si>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</si>
  <si>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</si>
  <si>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</si>
  <si>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</si>
  <si>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</si>
  <si>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</si>
  <si>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</si>
  <si>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</si>
  <si>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</si>
  <si>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</si>
  <si>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</si>
  <si>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</si>
  <si>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</si>
  <si>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</si>
  <si>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</si>
  <si>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</si>
  <si>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</si>
  <si>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</si>
  <si>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</si>
  <si>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</si>
  <si>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</si>
  <si>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</si>
  <si>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</si>
  <si>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</si>
  <si>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</si>
  <si>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</si>
  <si>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</si>
  <si>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</si>
  <si>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</si>
  <si>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</si>
  <si>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</si>
  <si>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</si>
  <si>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</si>
  <si>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</si>
  <si>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</si>
  <si>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</si>
  <si>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</si>
  <si>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</si>
  <si>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</si>
  <si>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</si>
  <si>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</si>
  <si>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</si>
  <si>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</si>
  <si>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</si>
  <si>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</si>
  <si>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</si>
  <si>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</si>
  <si>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</si>
  <si>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</si>
  <si>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</si>
  <si>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</si>
  <si>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</si>
  <si>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</si>
  <si>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</si>
  <si>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</si>
  <si>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</si>
  <si>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</si>
  <si>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</si>
  <si>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</si>
  <si>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</si>
  <si>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</si>
  <si>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</si>
  <si>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</si>
  <si>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</si>
  <si>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</si>
  <si>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</si>
  <si>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</si>
  <si>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</si>
  <si>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</si>
  <si>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</si>
  <si>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</si>
  <si>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</si>
  <si>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</si>
  <si>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</si>
  <si>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</si>
  <si>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</si>
  <si>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</si>
  <si>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</si>
  <si>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</si>
  <si>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</si>
  <si>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</si>
  <si>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</si>
  <si>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</si>
  <si>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</si>
  <si>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</si>
  <si>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</si>
  <si>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</si>
  <si>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</si>
  <si>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</si>
  <si>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</si>
  <si>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</si>
  <si>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</si>
  <si>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</si>
  <si>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</si>
  <si>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</si>
  <si>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</si>
  <si>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</si>
  <si>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</si>
  <si>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</si>
  <si>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</si>
  <si>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</si>
  <si>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</si>
  <si>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</si>
  <si>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</si>
  <si>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</si>
  <si>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</si>
  <si>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</si>
  <si>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</si>
  <si>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</si>
  <si>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</si>
  <si>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</si>
  <si>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</si>
  <si>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</si>
  <si>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</si>
  <si>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</si>
  <si>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</si>
  <si>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</si>
  <si>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</si>
  <si>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</si>
  <si>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</si>
  <si>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</si>
  <si>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</si>
  <si>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</si>
  <si>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</si>
  <si>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</si>
  <si>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</si>
  <si>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</si>
  <si>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</si>
  <si>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</si>
  <si>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</si>
  <si>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</si>
  <si>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</si>
  <si>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</si>
  <si>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</si>
  <si>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</si>
  <si>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</si>
  <si>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</si>
  <si>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</si>
  <si>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</si>
  <si>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</si>
  <si>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</si>
  <si>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</si>
  <si>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</si>
  <si>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</si>
  <si>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</si>
  <si>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</si>
  <si>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</si>
  <si>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</si>
  <si>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</si>
  <si>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</si>
  <si>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</si>
  <si>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</si>
  <si>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</si>
  <si>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</si>
  <si>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</si>
  <si>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</si>
  <si>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</si>
  <si>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</si>
  <si>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</si>
  <si>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</si>
  <si>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</si>
  <si>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</si>
  <si>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</si>
  <si>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</si>
  <si>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</si>
  <si>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</si>
  <si>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</si>
  <si>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</si>
  <si>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</si>
  <si>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</si>
  <si>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</si>
  <si>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</si>
  <si>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</si>
  <si>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</si>
  <si>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</si>
  <si>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</si>
  <si>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</si>
  <si>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</si>
  <si>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</si>
  <si>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</si>
  <si>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</si>
  <si>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</si>
  <si>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</si>
  <si>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</si>
  <si>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</si>
  <si>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</si>
  <si>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</si>
  <si>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</si>
  <si>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</si>
  <si>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</si>
  <si>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</si>
  <si>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</si>
  <si>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</si>
  <si>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</si>
  <si>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</si>
  <si>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</si>
  <si>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</si>
  <si>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</si>
  <si>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</si>
  <si>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</si>
  <si>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</si>
  <si>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</si>
  <si>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</si>
  <si>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</si>
  <si>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</si>
  <si>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</si>
  <si>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</si>
  <si>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</si>
  <si>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</si>
  <si>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</si>
  <si>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</si>
  <si>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</si>
  <si>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</si>
  <si>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</si>
  <si>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</si>
  <si>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</si>
  <si>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</si>
  <si>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</si>
  <si>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</si>
  <si>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</si>
  <si>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</si>
  <si>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케이블트레이공사</t>
    <phoneticPr fontId="2" type="noConversion"/>
  </si>
  <si>
    <t>옥외인입공사</t>
    <phoneticPr fontId="2" type="noConversion"/>
  </si>
  <si>
    <t>원/ m2</t>
    <phoneticPr fontId="2" type="noConversion"/>
  </si>
  <si>
    <t>경기도 파주시 00 초등학교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</si>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</sst>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E18" sqref="E18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9350</v>
      </c>
      <c r="D7" s="36">
        <f>+C7/3.3058</f>
        <v>2828.3622723697745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426730</v>
      </c>
      <c r="E25" s="59">
        <f t="shared" si="0"/>
        <v>1410680</v>
      </c>
    </row>
    <row r="26" spans="1:5" x14ac:dyDescent="0.3">
      <c r="B26" s="2">
        <v>3</v>
      </c>
      <c r="C26" s="35" t="s">
        <v>95</v>
      </c>
      <c r="D26" s="45">
        <f>+D66</f>
        <v>11440</v>
      </c>
      <c r="E26" s="59">
        <f t="shared" si="0"/>
        <v>37810</v>
      </c>
    </row>
    <row r="27" spans="1:5" x14ac:dyDescent="0.3">
      <c r="B27" s="2">
        <v>4</v>
      </c>
      <c r="C27" s="35" t="s">
        <v>96</v>
      </c>
      <c r="D27" s="45">
        <f>+D95</f>
        <v>98100</v>
      </c>
      <c r="E27" s="59">
        <f t="shared" si="0"/>
        <v>324290</v>
      </c>
    </row>
    <row r="28" spans="1:5" x14ac:dyDescent="0.3">
      <c r="B28" s="2">
        <v>5</v>
      </c>
      <c r="C28" s="35" t="s">
        <v>97</v>
      </c>
      <c r="D28" s="45">
        <f>+D119</f>
        <v>78830</v>
      </c>
      <c r="E28" s="59">
        <f t="shared" si="0"/>
        <v>260590</v>
      </c>
    </row>
    <row r="29" spans="1:5" x14ac:dyDescent="0.3">
      <c r="B29" s="2">
        <v>6</v>
      </c>
      <c r="C29" s="35" t="s">
        <v>98</v>
      </c>
      <c r="D29" s="45">
        <f>+D133</f>
        <v>25140</v>
      </c>
      <c r="E29" s="59">
        <f t="shared" si="0"/>
        <v>83100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172650</v>
      </c>
      <c r="E33" s="60">
        <f t="shared" si="0"/>
        <v>570740</v>
      </c>
    </row>
    <row r="34" spans="1:7" x14ac:dyDescent="0.3">
      <c r="C34" s="35" t="s">
        <v>112</v>
      </c>
      <c r="D34" s="44">
        <f>SUM(D24:D33)</f>
        <v>812890</v>
      </c>
      <c r="E34" s="44">
        <f>SUM(E24:E33)</f>
        <v>2687210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255</v>
      </c>
      <c r="E36" s="56" t="s">
        <v>240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258</v>
      </c>
      <c r="E39" s="66" t="s">
        <v>259</v>
      </c>
      <c r="G39" s="67"/>
    </row>
    <row r="40" spans="1:7" x14ac:dyDescent="0.3">
      <c r="A40" s="2">
        <v>1</v>
      </c>
      <c r="C40" s="38" t="s">
        <v>15</v>
      </c>
      <c r="D40" s="40">
        <v>29940</v>
      </c>
      <c r="E40" s="62">
        <f t="shared" ref="E40:E59" si="1">TRUNC(+D40*3.3058,-1)</f>
        <v>98970</v>
      </c>
    </row>
    <row r="41" spans="1:7" x14ac:dyDescent="0.3">
      <c r="A41" s="2">
        <v>2</v>
      </c>
      <c r="C41" s="38" t="s">
        <v>13</v>
      </c>
      <c r="D41" s="42">
        <v>211430</v>
      </c>
      <c r="E41" s="63">
        <f t="shared" si="1"/>
        <v>698940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185360</v>
      </c>
      <c r="E58" s="63">
        <f t="shared" si="1"/>
        <v>612760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426730</v>
      </c>
      <c r="E60" s="39">
        <f>SUM(E40:E59)</f>
        <v>1410670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257</v>
      </c>
      <c r="F62" s="54"/>
      <c r="G62" s="54"/>
    </row>
    <row r="63" spans="1:7" x14ac:dyDescent="0.3">
      <c r="A63" s="2">
        <v>1</v>
      </c>
      <c r="C63" s="38" t="s">
        <v>27</v>
      </c>
      <c r="D63" s="40">
        <v>11440</v>
      </c>
      <c r="E63" s="62">
        <f>TRUNC(+D63*3.3058,-1)</f>
        <v>37810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11440</v>
      </c>
      <c r="E66" s="57">
        <f>SUM(E63:E65)</f>
        <v>37810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236</v>
      </c>
      <c r="E68" s="56" t="s">
        <v>257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f>3230</f>
        <v>3230</v>
      </c>
      <c r="E74" s="63">
        <f>TRUNC(+D74*3.3058,-1)</f>
        <v>10670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8630</v>
      </c>
      <c r="E84" s="63">
        <f>TRUNC(+D84*3.3058,-1)</f>
        <v>28520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280</v>
      </c>
      <c r="E90" s="63">
        <f>TRUNC(+D90*3.3058,-1)</f>
        <v>920</v>
      </c>
    </row>
    <row r="91" spans="1:7" x14ac:dyDescent="0.3">
      <c r="A91" s="2">
        <v>23</v>
      </c>
      <c r="C91" s="38" t="s">
        <v>37</v>
      </c>
      <c r="D91" s="42">
        <v>730</v>
      </c>
      <c r="E91" s="63">
        <f>TRUNC(+D91*3.3058,-1)</f>
        <v>2410</v>
      </c>
    </row>
    <row r="92" spans="1:7" x14ac:dyDescent="0.3">
      <c r="A92" s="2">
        <v>24</v>
      </c>
      <c r="C92" s="38" t="s">
        <v>38</v>
      </c>
      <c r="D92" s="42">
        <v>22120</v>
      </c>
      <c r="E92" s="63">
        <f>TRUNC(+D92*3.3058,-1)</f>
        <v>73120</v>
      </c>
    </row>
    <row r="93" spans="1:7" x14ac:dyDescent="0.3">
      <c r="A93" s="2">
        <v>25</v>
      </c>
      <c r="C93" s="38" t="s">
        <v>148</v>
      </c>
      <c r="D93" s="42">
        <v>56170</v>
      </c>
      <c r="E93" s="63">
        <f>TRUNC(+D93*3.3058,-1)</f>
        <v>185680</v>
      </c>
    </row>
    <row r="94" spans="1:7" ht="17.25" thickBot="1" x14ac:dyDescent="0.35">
      <c r="A94" s="2">
        <v>26</v>
      </c>
      <c r="C94" s="38" t="s">
        <v>47</v>
      </c>
      <c r="D94" s="43">
        <v>6940</v>
      </c>
      <c r="E94" s="64">
        <f>TRUNC(+D94*3.3058,-1)</f>
        <v>22940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98100</v>
      </c>
      <c r="E95" s="39">
        <f>SUM(E69:E94)</f>
        <v>324260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236</v>
      </c>
      <c r="E97" s="56" t="s">
        <v>257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41270</v>
      </c>
      <c r="E100" s="63">
        <f t="shared" si="4"/>
        <v>136430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3480</v>
      </c>
      <c r="E105" s="63">
        <f t="shared" si="4"/>
        <v>11500</v>
      </c>
      <c r="F105" s="2" t="s">
        <v>253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19400</v>
      </c>
      <c r="E116" s="63">
        <f t="shared" si="4"/>
        <v>64130</v>
      </c>
    </row>
    <row r="117" spans="1:7" x14ac:dyDescent="0.3">
      <c r="A117" s="2">
        <v>20</v>
      </c>
      <c r="C117" s="38" t="s">
        <v>148</v>
      </c>
      <c r="D117" s="42">
        <v>14680</v>
      </c>
      <c r="E117" s="63">
        <f t="shared" si="4"/>
        <v>48520</v>
      </c>
    </row>
    <row r="118" spans="1:7" ht="17.25" thickBot="1" x14ac:dyDescent="0.35">
      <c r="A118" s="2">
        <v>21</v>
      </c>
      <c r="C118" s="38" t="s">
        <v>47</v>
      </c>
      <c r="D118" s="43"/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78830</v>
      </c>
      <c r="E119" s="39">
        <f>SUM(E98:E118)</f>
        <v>260580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255</v>
      </c>
      <c r="E121" s="56" t="s">
        <v>257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3890</v>
      </c>
      <c r="E125" s="63">
        <f t="shared" si="5"/>
        <v>12850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5320</v>
      </c>
      <c r="E130" s="63">
        <f t="shared" si="5"/>
        <v>17580</v>
      </c>
    </row>
    <row r="131" spans="1:7" x14ac:dyDescent="0.3">
      <c r="A131" s="2">
        <v>10</v>
      </c>
      <c r="C131" s="38" t="s">
        <v>148</v>
      </c>
      <c r="D131" s="42">
        <v>14590</v>
      </c>
      <c r="E131" s="63">
        <f t="shared" si="5"/>
        <v>48230</v>
      </c>
    </row>
    <row r="132" spans="1:7" ht="17.25" thickBot="1" x14ac:dyDescent="0.35">
      <c r="A132" s="2">
        <v>11</v>
      </c>
      <c r="C132" s="38" t="s">
        <v>47</v>
      </c>
      <c r="D132" s="43">
        <v>1340</v>
      </c>
      <c r="E132" s="64">
        <f t="shared" si="5"/>
        <v>4420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25140</v>
      </c>
      <c r="E133" s="39">
        <f>SUM(E122:E132)</f>
        <v>83080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255</v>
      </c>
      <c r="E135" s="56" t="s">
        <v>257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255</v>
      </c>
      <c r="E148" s="56" t="s">
        <v>257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255</v>
      </c>
      <c r="E156" s="56" t="s">
        <v>257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2020-12-07T08:44:39Z</dcterms:modified>
</cp:coreProperties>
</file>