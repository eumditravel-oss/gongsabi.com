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3" i="4"/>
  <c r="D149" i="4"/>
  <c r="D144" i="4"/>
  <c r="D143" i="4"/>
  <c r="D140" i="4"/>
  <c r="D139" i="4"/>
  <c r="D137" i="4"/>
  <c r="D132" i="4"/>
  <c r="D131" i="4"/>
  <c r="D130" i="4"/>
  <c r="D127" i="4"/>
  <c r="D125" i="4"/>
  <c r="D122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94" i="4"/>
  <c r="D93" i="4"/>
  <c r="D92" i="4"/>
  <c r="D91" i="4"/>
  <c r="D90" i="4"/>
  <c r="D89" i="4"/>
  <c r="D73" i="4"/>
  <c r="D72" i="4"/>
  <c r="D71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D15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<sst xmlns="http://schemas.openxmlformats.org/spreadsheetml/2006/main" count="393" uniqueCount="269">
  <si>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</si>
  <si>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</si>
  <si>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</si>
  <si>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</si>
  <si>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</si>
  <si>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</si>
  <si>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</si>
  <si>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</si>
  <si>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</si>
  <si>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</si>
  <si>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</si>
  <si>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</si>
  <si>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</si>
  <si>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</si>
  <si>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</si>
  <si>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</si>
  <si>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</si>
  <si>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</si>
  <si>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</si>
  <si>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</si>
  <si>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</si>
  <si>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</si>
  <si>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</si>
  <si>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</si>
  <si>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</si>
  <si>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</si>
  <si>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</si>
  <si>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</si>
  <si>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</si>
  <si>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</si>
  <si>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</si>
  <si>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</si>
  <si>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</si>
  <si>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</si>
  <si>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</si>
  <si>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</si>
  <si>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</si>
  <si>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</si>
  <si>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</si>
  <si>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</si>
  <si>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</si>
  <si>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</si>
  <si>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</si>
  <si>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</si>
  <si>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</si>
  <si>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</si>
  <si>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</si>
  <si>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</si>
  <si>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</si>
  <si>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</si>
  <si>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</si>
  <si>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</si>
  <si>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</si>
  <si>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</si>
  <si>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</si>
  <si>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</si>
  <si>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</si>
  <si>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</si>
  <si>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</si>
  <si>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</si>
  <si>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</si>
  <si>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</si>
  <si>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</si>
  <si>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</si>
  <si>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</si>
  <si>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</si>
  <si>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</si>
  <si>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</si>
  <si>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</si>
  <si>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</si>
  <si>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</si>
  <si>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</si>
  <si>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</si>
  <si>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</si>
  <si>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</si>
  <si>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</si>
  <si>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</si>
  <si>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</si>
  <si>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</si>
  <si>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</si>
  <si>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</si>
  <si>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</si>
  <si>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</si>
  <si>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</si>
  <si>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</si>
  <si>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</si>
  <si>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</si>
  <si>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</si>
  <si>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</si>
  <si>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</si>
  <si>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</si>
  <si>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</si>
  <si>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</si>
  <si>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</si>
  <si>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</si>
  <si>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</si>
  <si>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</si>
  <si>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</si>
  <si>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</si>
  <si>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</si>
  <si>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</si>
  <si>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</si>
  <si>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</si>
  <si>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</si>
  <si>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</si>
  <si>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</si>
  <si>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</si>
  <si>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</si>
  <si>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</si>
  <si>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</si>
  <si>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</si>
  <si>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</si>
  <si>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</si>
  <si>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</si>
  <si>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</si>
  <si>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</si>
  <si>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</si>
  <si>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</si>
  <si>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</si>
  <si>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</si>
  <si>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</si>
  <si>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</si>
  <si>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</si>
  <si>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</si>
  <si>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</si>
  <si>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</si>
  <si>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</si>
  <si>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</si>
  <si>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</si>
  <si>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</si>
  <si>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</si>
  <si>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</si>
  <si>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</si>
  <si>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</si>
  <si>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</si>
  <si>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</si>
  <si>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</si>
  <si>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</si>
  <si>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</si>
  <si>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</si>
  <si>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</si>
  <si>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</si>
  <si>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</si>
  <si>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</si>
  <si>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</si>
  <si>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</si>
  <si>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</si>
  <si>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</si>
  <si>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</si>
  <si>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</si>
  <si>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</si>
  <si>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</si>
  <si>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</si>
  <si>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</si>
  <si>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</si>
  <si>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</si>
  <si>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</si>
  <si>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</si>
  <si>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</si>
  <si>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</si>
  <si>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</si>
  <si>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</si>
  <si>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</si>
  <si>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</si>
  <si>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</si>
  <si>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</si>
  <si>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</si>
  <si>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</si>
  <si>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</si>
  <si>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</si>
  <si>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</si>
  <si>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</si>
  <si>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</si>
  <si>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</si>
  <si>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</si>
  <si>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</si>
  <si>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</si>
  <si>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</si>
  <si>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</si>
  <si>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</si>
  <si>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</si>
  <si>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</si>
  <si>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</si>
  <si>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</si>
  <si>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</si>
  <si>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</si>
  <si>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</si>
  <si>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</si>
  <si>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</si>
  <si>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</si>
  <si>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</si>
  <si>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</si>
  <si>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</si>
  <si>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</si>
  <si>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</si>
  <si>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</si>
  <si>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</si>
  <si>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</si>
  <si>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</si>
  <si>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</si>
  <si>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</si>
  <si>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</si>
  <si>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</si>
  <si>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</si>
  <si>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</si>
  <si>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</si>
  <si>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</si>
  <si>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</si>
  <si>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</si>
  <si>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</si>
  <si>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</si>
  <si>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</si>
  <si>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</si>
  <si>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</si>
  <si>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</si>
  <si>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</si>
  <si>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</si>
  <si>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</si>
  <si>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</si>
  <si>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</si>
  <si>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</si>
  <si>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</si>
  <si>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</si>
  <si>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</si>
  <si>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</si>
  <si>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</si>
  <si>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</si>
  <si>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</si>
  <si>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</si>
  <si>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</si>
  <si>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</si>
  <si>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</si>
  <si>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</si>
  <si>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</si>
  <si>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</si>
  <si>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</si>
  <si>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</si>
  <si>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</si>
  <si>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</si>
  <si>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</si>
  <si>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</si>
  <si>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</si>
  <si>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</si>
  <si>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</si>
  <si>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</si>
  <si>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</si>
  <si>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</si>
  <si>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</si>
  <si>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</si>
  <si>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</si>
  <si>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</si>
  <si>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</si>
  <si>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</si>
  <si>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</si>
  <si>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</si>
  <si>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>안산세무서 청사신축 공사</t>
    <phoneticPr fontId="2" type="noConversion"/>
  </si>
  <si>
    <t>경기도</t>
  </si>
  <si>
    <t>기초공사, 해체및철거공사, 골재비및운반비, 품질시험비, 기타공사</t>
    <phoneticPr fontId="2" type="noConversion"/>
  </si>
  <si>
    <t>우수처리시설공사, 기타공사</t>
    <phoneticPr fontId="2" type="noConversion"/>
  </si>
  <si>
    <t>CCTV설비공사, 주차관제설비공사, 기타공사</t>
    <phoneticPr fontId="2" type="noConversion"/>
  </si>
  <si>
    <t>옥외소화배관공사, 펌프실배관공사, 제연덕트설치공사, 무선통신보조설비공사, 기타공사</t>
    <phoneticPr fontId="2" type="noConversion"/>
  </si>
  <si>
    <t>상수도공사, 사급자재비, 운반비, 기타공사</t>
    <phoneticPr fontId="2" type="noConversion"/>
  </si>
  <si>
    <t>포장공사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</si>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</sst>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10742.92</v>
      </c>
      <c r="D7" s="36">
        <f>+C7/3.3058</f>
        <v>3249.7186762659567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867420</v>
      </c>
      <c r="E25" s="59">
        <f t="shared" si="0"/>
        <v>2867510</v>
      </c>
    </row>
    <row r="26" spans="1:5" x14ac:dyDescent="0.3">
      <c r="B26" s="2">
        <v>3</v>
      </c>
      <c r="C26" s="35" t="s">
        <v>95</v>
      </c>
      <c r="D26" s="45">
        <f>+D66</f>
        <v>56330</v>
      </c>
      <c r="E26" s="59">
        <f t="shared" si="0"/>
        <v>186210</v>
      </c>
    </row>
    <row r="27" spans="1:5" x14ac:dyDescent="0.3">
      <c r="B27" s="2">
        <v>4</v>
      </c>
      <c r="C27" s="35" t="s">
        <v>96</v>
      </c>
      <c r="D27" s="45">
        <f>+D95</f>
        <v>239440</v>
      </c>
      <c r="E27" s="59">
        <f t="shared" si="0"/>
        <v>791540</v>
      </c>
    </row>
    <row r="28" spans="1:5" x14ac:dyDescent="0.3">
      <c r="B28" s="2">
        <v>5</v>
      </c>
      <c r="C28" s="35" t="s">
        <v>97</v>
      </c>
      <c r="D28" s="45">
        <f>+D119</f>
        <v>210020</v>
      </c>
      <c r="E28" s="59">
        <f t="shared" si="0"/>
        <v>694280</v>
      </c>
    </row>
    <row r="29" spans="1:5" x14ac:dyDescent="0.3">
      <c r="B29" s="2">
        <v>6</v>
      </c>
      <c r="C29" s="35" t="s">
        <v>98</v>
      </c>
      <c r="D29" s="45">
        <f>+D133</f>
        <v>179580</v>
      </c>
      <c r="E29" s="59">
        <f t="shared" si="0"/>
        <v>593650</v>
      </c>
    </row>
    <row r="30" spans="1:5" x14ac:dyDescent="0.3">
      <c r="B30" s="2">
        <v>7</v>
      </c>
      <c r="C30" s="35" t="s">
        <v>99</v>
      </c>
      <c r="D30" s="45">
        <f>+D146</f>
        <v>44680</v>
      </c>
      <c r="E30" s="59">
        <f t="shared" si="0"/>
        <v>147700</v>
      </c>
    </row>
    <row r="31" spans="1:5" x14ac:dyDescent="0.3">
      <c r="B31" s="2">
        <v>8</v>
      </c>
      <c r="C31" s="35" t="s">
        <v>100</v>
      </c>
      <c r="D31" s="45">
        <f>+D154</f>
        <v>24090</v>
      </c>
      <c r="E31" s="59">
        <f t="shared" si="0"/>
        <v>79630</v>
      </c>
    </row>
    <row r="32" spans="1:5" x14ac:dyDescent="0.3">
      <c r="B32" s="2">
        <v>9</v>
      </c>
      <c r="C32" s="35" t="s">
        <v>101</v>
      </c>
      <c r="D32" s="45">
        <f>+D161</f>
        <v>19370</v>
      </c>
      <c r="E32" s="59">
        <f t="shared" si="0"/>
        <v>64030</v>
      </c>
    </row>
    <row r="33" spans="1:7" x14ac:dyDescent="0.3">
      <c r="B33" s="2">
        <v>10</v>
      </c>
      <c r="C33" s="35" t="s">
        <v>154</v>
      </c>
      <c r="D33" s="53">
        <f>TRUNC(SUM(D24:D32)*0.275,-1)</f>
        <v>451250</v>
      </c>
      <c r="E33" s="60">
        <f t="shared" si="0"/>
        <v>1491740</v>
      </c>
    </row>
    <row r="34" spans="1:7" x14ac:dyDescent="0.3">
      <c r="C34" s="35" t="s">
        <v>112</v>
      </c>
      <c r="D34" s="44">
        <f>SUM(D24:D33)</f>
        <v>2092180</v>
      </c>
      <c r="E34" s="44">
        <f>SUM(E24:E33)</f>
        <v>6916290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TRUNC(69538,-1)</f>
        <v>69530</v>
      </c>
      <c r="E40" s="62">
        <f t="shared" ref="E40:E59" si="1">TRUNC(+D40*3.3058,-1)</f>
        <v>229850</v>
      </c>
    </row>
    <row r="41" spans="1:7" x14ac:dyDescent="0.3">
      <c r="A41" s="2">
        <v>2</v>
      </c>
      <c r="C41" s="38" t="s">
        <v>13</v>
      </c>
      <c r="D41" s="42">
        <f>TRUNC(117218,-1)</f>
        <v>117210</v>
      </c>
      <c r="E41" s="63">
        <f t="shared" si="1"/>
        <v>387470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TRUNC(10669,-1)</f>
        <v>10660</v>
      </c>
      <c r="E43" s="63">
        <f t="shared" si="1"/>
        <v>35230</v>
      </c>
    </row>
    <row r="44" spans="1:7" x14ac:dyDescent="0.3">
      <c r="A44" s="2">
        <v>5</v>
      </c>
      <c r="C44" s="38" t="s">
        <v>17</v>
      </c>
      <c r="D44" s="42">
        <f>TRUNC(19259,-1)</f>
        <v>19250</v>
      </c>
      <c r="E44" s="63">
        <f t="shared" si="1"/>
        <v>63630</v>
      </c>
    </row>
    <row r="45" spans="1:7" x14ac:dyDescent="0.3">
      <c r="A45" s="2">
        <v>6</v>
      </c>
      <c r="C45" s="38" t="s">
        <v>18</v>
      </c>
      <c r="D45" s="42">
        <f>TRUNC(6356,-1)</f>
        <v>6350</v>
      </c>
      <c r="E45" s="63">
        <f t="shared" si="1"/>
        <v>20990</v>
      </c>
    </row>
    <row r="46" spans="1:7" x14ac:dyDescent="0.3">
      <c r="A46" s="2">
        <v>7</v>
      </c>
      <c r="C46" s="38" t="s">
        <v>19</v>
      </c>
      <c r="D46" s="42">
        <f>TRUNC(32824,-1)</f>
        <v>32820</v>
      </c>
      <c r="E46" s="63">
        <f t="shared" si="1"/>
        <v>108490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TRUNC(93987,-1)</f>
        <v>93980</v>
      </c>
      <c r="E48" s="63">
        <f t="shared" si="1"/>
        <v>310670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TRUNC(15514,-1)</f>
        <v>15510</v>
      </c>
      <c r="E49" s="63">
        <f t="shared" si="1"/>
        <v>51270</v>
      </c>
    </row>
    <row r="50" spans="1:7" x14ac:dyDescent="0.3">
      <c r="A50" s="2">
        <v>11</v>
      </c>
      <c r="C50" s="38" t="s">
        <v>155</v>
      </c>
      <c r="D50" s="42">
        <f>TRUNC(43111,-1)</f>
        <v>43110</v>
      </c>
      <c r="E50" s="63">
        <f t="shared" si="1"/>
        <v>142510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TRUNC(11915,-1)</f>
        <v>11910</v>
      </c>
      <c r="E52" s="63">
        <f t="shared" si="1"/>
        <v>39370</v>
      </c>
    </row>
    <row r="53" spans="1:7" x14ac:dyDescent="0.3">
      <c r="A53" s="2">
        <v>14</v>
      </c>
      <c r="C53" s="38" t="s">
        <v>25</v>
      </c>
      <c r="D53" s="42">
        <f>TRUNC(102937,-1)</f>
        <v>102930</v>
      </c>
      <c r="E53" s="63">
        <f t="shared" si="1"/>
        <v>340260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TRUNC(21502+7732+2990+1345+9950,-1)</f>
        <v>43510</v>
      </c>
      <c r="E58" s="63">
        <f t="shared" si="1"/>
        <v>143830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TRUNC(300657,-1)</f>
        <v>300650</v>
      </c>
      <c r="E59" s="64">
        <f t="shared" si="1"/>
        <v>993880</v>
      </c>
    </row>
    <row r="60" spans="1:7" x14ac:dyDescent="0.3">
      <c r="A60" s="2">
        <v>21</v>
      </c>
      <c r="C60" s="27" t="s">
        <v>112</v>
      </c>
      <c r="D60" s="39">
        <f>SUM(D40:D59)</f>
        <v>867420</v>
      </c>
      <c r="E60" s="39">
        <f>SUM(E40:E59)</f>
        <v>2867450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TRUNC(1441,-1)</f>
        <v>1440</v>
      </c>
      <c r="E63" s="62">
        <f>TRUNC(+D63*3.3058,-1)</f>
        <v>4760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TRUNC(54897,-1)</f>
        <v>54890</v>
      </c>
      <c r="E65" s="64">
        <f>TRUNC(+D65*3.3058,-1)</f>
        <v>181450</v>
      </c>
    </row>
    <row r="66" spans="1:7" x14ac:dyDescent="0.3">
      <c r="A66" s="2">
        <v>4</v>
      </c>
      <c r="C66" s="27" t="s">
        <v>112</v>
      </c>
      <c r="D66" s="39">
        <f>SUM(D63:D65)</f>
        <v>56330</v>
      </c>
      <c r="E66" s="65">
        <f>SUM(E63:E65)</f>
        <v>186210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TRUNC(5627,-1)</f>
        <v>5620</v>
      </c>
      <c r="E69" s="62">
        <f t="shared" ref="E69:E94" si="2">TRUNC(+D69*3.3058,-1)</f>
        <v>18570</v>
      </c>
    </row>
    <row r="70" spans="1:7" ht="16.5" customHeight="1" x14ac:dyDescent="0.3">
      <c r="A70" s="2">
        <v>2</v>
      </c>
      <c r="C70" s="38" t="s">
        <v>31</v>
      </c>
      <c r="D70" s="42">
        <v>40</v>
      </c>
      <c r="E70" s="63">
        <f t="shared" si="2"/>
        <v>130</v>
      </c>
    </row>
    <row r="71" spans="1:7" x14ac:dyDescent="0.3">
      <c r="A71" s="2">
        <v>3</v>
      </c>
      <c r="C71" s="38" t="s">
        <v>32</v>
      </c>
      <c r="D71" s="42">
        <f>TRUNC(5016,-1)</f>
        <v>5010</v>
      </c>
      <c r="E71" s="63">
        <f t="shared" si="2"/>
        <v>16560</v>
      </c>
    </row>
    <row r="72" spans="1:7" x14ac:dyDescent="0.3">
      <c r="A72" s="2">
        <v>4</v>
      </c>
      <c r="C72" s="38" t="s">
        <v>33</v>
      </c>
      <c r="D72" s="42">
        <f>TRUNC(5018,-1)</f>
        <v>5010</v>
      </c>
      <c r="E72" s="63">
        <f t="shared" si="2"/>
        <v>16560</v>
      </c>
    </row>
    <row r="73" spans="1:7" x14ac:dyDescent="0.3">
      <c r="A73" s="2">
        <v>5</v>
      </c>
      <c r="C73" s="38" t="s">
        <v>34</v>
      </c>
      <c r="D73" s="42">
        <f>TRUNC(11054,-1)</f>
        <v>11050</v>
      </c>
      <c r="E73" s="63">
        <f t="shared" si="2"/>
        <v>36520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6630</v>
      </c>
      <c r="E76" s="63">
        <f t="shared" si="2"/>
        <v>21910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TRUNC(4968,-1)</f>
        <v>4960</v>
      </c>
      <c r="E89" s="63">
        <f t="shared" si="2"/>
        <v>16390</v>
      </c>
    </row>
    <row r="90" spans="1:7" x14ac:dyDescent="0.3">
      <c r="A90" s="2">
        <v>22</v>
      </c>
      <c r="C90" s="38" t="s">
        <v>36</v>
      </c>
      <c r="D90" s="42">
        <f>TRUNC(2822,-1)</f>
        <v>2820</v>
      </c>
      <c r="E90" s="63">
        <f t="shared" si="2"/>
        <v>9320</v>
      </c>
    </row>
    <row r="91" spans="1:7" x14ac:dyDescent="0.3">
      <c r="A91" s="2">
        <v>23</v>
      </c>
      <c r="C91" s="38" t="s">
        <v>37</v>
      </c>
      <c r="D91" s="42">
        <f>TRUNC(13559,-1)</f>
        <v>13550</v>
      </c>
      <c r="E91" s="63">
        <f t="shared" si="2"/>
        <v>44790</v>
      </c>
    </row>
    <row r="92" spans="1:7" x14ac:dyDescent="0.3">
      <c r="A92" s="2">
        <v>24</v>
      </c>
      <c r="C92" s="38" t="s">
        <v>38</v>
      </c>
      <c r="D92" s="42">
        <f>TRUNC(4794,-1)</f>
        <v>4790</v>
      </c>
      <c r="E92" s="63">
        <f t="shared" si="2"/>
        <v>15830</v>
      </c>
    </row>
    <row r="93" spans="1:7" x14ac:dyDescent="0.3">
      <c r="A93" s="2">
        <v>25</v>
      </c>
      <c r="C93" s="38" t="s">
        <v>148</v>
      </c>
      <c r="D93" s="42">
        <f>TRUNC(139961,-1)</f>
        <v>139960</v>
      </c>
      <c r="E93" s="63">
        <f t="shared" si="2"/>
        <v>462670</v>
      </c>
    </row>
    <row r="94" spans="1:7" ht="17.25" thickBot="1" x14ac:dyDescent="0.35">
      <c r="A94" s="2">
        <v>26</v>
      </c>
      <c r="C94" s="38" t="s">
        <v>47</v>
      </c>
      <c r="D94" s="43">
        <f>TRUNC(8956+31047,-1)</f>
        <v>40000</v>
      </c>
      <c r="E94" s="64">
        <f t="shared" si="2"/>
        <v>132230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239440</v>
      </c>
      <c r="E95" s="39">
        <f>SUM(E69:E94)</f>
        <v>791480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TRUNC(11151,-1)</f>
        <v>11150</v>
      </c>
      <c r="E98" s="62">
        <f t="shared" ref="E98:E118" si="3">TRUNC(+D98*3.3058,-1)</f>
        <v>36850</v>
      </c>
    </row>
    <row r="99" spans="1:7" x14ac:dyDescent="0.3">
      <c r="A99" s="2">
        <v>2</v>
      </c>
      <c r="C99" s="38" t="s">
        <v>40</v>
      </c>
      <c r="D99" s="42">
        <f>TRUNC(8963,-1)</f>
        <v>8960</v>
      </c>
      <c r="E99" s="63">
        <f t="shared" si="3"/>
        <v>29610</v>
      </c>
    </row>
    <row r="100" spans="1:7" x14ac:dyDescent="0.3">
      <c r="A100" s="2">
        <v>3</v>
      </c>
      <c r="C100" s="38" t="s">
        <v>41</v>
      </c>
      <c r="D100" s="42">
        <f>TRUNC(31906,-1)</f>
        <v>31900</v>
      </c>
      <c r="E100" s="63">
        <f t="shared" si="3"/>
        <v>105450</v>
      </c>
    </row>
    <row r="101" spans="1:7" x14ac:dyDescent="0.3">
      <c r="A101" s="2">
        <v>4</v>
      </c>
      <c r="C101" s="38" t="s">
        <v>42</v>
      </c>
      <c r="D101" s="42">
        <f>TRUNC(1865,-1)</f>
        <v>1860</v>
      </c>
      <c r="E101" s="63">
        <f t="shared" si="3"/>
        <v>6140</v>
      </c>
    </row>
    <row r="102" spans="1:7" x14ac:dyDescent="0.3">
      <c r="A102" s="2">
        <v>5</v>
      </c>
      <c r="C102" s="38" t="s">
        <v>43</v>
      </c>
      <c r="D102" s="42">
        <f>TRUNC(22627,-1)</f>
        <v>22620</v>
      </c>
      <c r="E102" s="63">
        <f t="shared" si="3"/>
        <v>74770</v>
      </c>
    </row>
    <row r="103" spans="1:7" x14ac:dyDescent="0.3">
      <c r="A103" s="2">
        <v>6</v>
      </c>
      <c r="C103" s="38" t="s">
        <v>44</v>
      </c>
      <c r="D103" s="42">
        <f>TRUNC(4847,-1)</f>
        <v>4840</v>
      </c>
      <c r="E103" s="63">
        <f t="shared" si="3"/>
        <v>16000</v>
      </c>
    </row>
    <row r="104" spans="1:7" x14ac:dyDescent="0.3">
      <c r="A104" s="2">
        <v>7</v>
      </c>
      <c r="C104" s="38" t="s">
        <v>45</v>
      </c>
      <c r="D104" s="42">
        <f>TRUNC(5118,-1)</f>
        <v>5110</v>
      </c>
      <c r="E104" s="63">
        <f t="shared" si="3"/>
        <v>16890</v>
      </c>
    </row>
    <row r="105" spans="1:7" x14ac:dyDescent="0.3">
      <c r="A105" s="2">
        <v>8</v>
      </c>
      <c r="C105" s="38" t="s">
        <v>46</v>
      </c>
      <c r="D105" s="42">
        <f>TRUNC(4242,-1)</f>
        <v>4240</v>
      </c>
      <c r="E105" s="63">
        <f t="shared" si="3"/>
        <v>14010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TRUNC(5227,-1)</f>
        <v>5220</v>
      </c>
      <c r="E114" s="63">
        <f t="shared" si="3"/>
        <v>17250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TRUNC(3062,-1)</f>
        <v>3060</v>
      </c>
      <c r="E116" s="63">
        <f t="shared" si="3"/>
        <v>10110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TRUNC(110417,-1)</f>
        <v>110410</v>
      </c>
      <c r="E117" s="63">
        <f t="shared" si="3"/>
        <v>364990</v>
      </c>
    </row>
    <row r="118" spans="1:7" ht="17.25" thickBot="1" x14ac:dyDescent="0.35">
      <c r="A118" s="2">
        <v>21</v>
      </c>
      <c r="C118" s="38" t="s">
        <v>47</v>
      </c>
      <c r="D118" s="43">
        <f>TRUNC(655,-1)</f>
        <v>650</v>
      </c>
      <c r="E118" s="64">
        <f t="shared" si="3"/>
        <v>2140</v>
      </c>
    </row>
    <row r="119" spans="1:7" x14ac:dyDescent="0.3">
      <c r="A119" s="2">
        <v>22</v>
      </c>
      <c r="C119" s="27" t="s">
        <v>112</v>
      </c>
      <c r="D119" s="39">
        <f>SUM(D98:D118)</f>
        <v>210020</v>
      </c>
      <c r="E119" s="39">
        <f>SUM(E98:E118)</f>
        <v>694210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TRUNC(7349,-1)</f>
        <v>7340</v>
      </c>
      <c r="E122" s="62">
        <f t="shared" ref="E122:E132" si="4">TRUNC(+D122*3.3058,-1)</f>
        <v>24260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670</v>
      </c>
      <c r="E124" s="63">
        <f t="shared" si="4"/>
        <v>2210</v>
      </c>
    </row>
    <row r="125" spans="1:7" x14ac:dyDescent="0.3">
      <c r="A125" s="2">
        <v>4</v>
      </c>
      <c r="C125" s="38" t="s">
        <v>138</v>
      </c>
      <c r="D125" s="42">
        <f>TRUNC(5891,-1)</f>
        <v>5890</v>
      </c>
      <c r="E125" s="63">
        <f t="shared" si="4"/>
        <v>19470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TRUNC(7389,-1)</f>
        <v>7380</v>
      </c>
      <c r="E127" s="63">
        <f t="shared" si="4"/>
        <v>24390</v>
      </c>
    </row>
    <row r="128" spans="1:7" x14ac:dyDescent="0.3">
      <c r="A128" s="2">
        <v>7</v>
      </c>
      <c r="C128" s="38" t="s">
        <v>46</v>
      </c>
      <c r="D128" s="42">
        <v>5640</v>
      </c>
      <c r="E128" s="63">
        <f t="shared" si="4"/>
        <v>18640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TRUNC(32757,-1)</f>
        <v>32750</v>
      </c>
      <c r="E130" s="63">
        <f t="shared" si="4"/>
        <v>108260</v>
      </c>
    </row>
    <row r="131" spans="1:7" x14ac:dyDescent="0.3">
      <c r="A131" s="2">
        <v>10</v>
      </c>
      <c r="C131" s="38" t="s">
        <v>148</v>
      </c>
      <c r="D131" s="42">
        <f>TRUNC(116441,-1)</f>
        <v>116440</v>
      </c>
      <c r="E131" s="63">
        <f t="shared" si="4"/>
        <v>384920</v>
      </c>
    </row>
    <row r="132" spans="1:7" ht="18" thickBot="1" x14ac:dyDescent="0.35">
      <c r="A132" s="2">
        <v>11</v>
      </c>
      <c r="C132" s="38" t="s">
        <v>47</v>
      </c>
      <c r="D132" s="43">
        <f>TRUNC(2562+698+212,-1)</f>
        <v>3470</v>
      </c>
      <c r="E132" s="64">
        <f t="shared" si="4"/>
        <v>11470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179580</v>
      </c>
      <c r="E133" s="39">
        <f>SUM(E122:E132)</f>
        <v>593620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TRUNC(95+2361+3838+1223+695,-1)</f>
        <v>8210</v>
      </c>
      <c r="E137" s="63">
        <f t="shared" si="5"/>
        <v>27140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TRUNC(2523,-1)</f>
        <v>2520</v>
      </c>
      <c r="E139" s="63">
        <f t="shared" si="5"/>
        <v>8330</v>
      </c>
    </row>
    <row r="140" spans="1:7" x14ac:dyDescent="0.3">
      <c r="A140" s="2">
        <v>5</v>
      </c>
      <c r="C140" s="38" t="s">
        <v>57</v>
      </c>
      <c r="D140" s="42">
        <f>TRUNC(4943,-1)</f>
        <v>4940</v>
      </c>
      <c r="E140" s="63">
        <f t="shared" si="5"/>
        <v>16330</v>
      </c>
    </row>
    <row r="141" spans="1:7" x14ac:dyDescent="0.3">
      <c r="A141" s="2">
        <v>6</v>
      </c>
      <c r="C141" s="38" t="s">
        <v>59</v>
      </c>
      <c r="D141" s="42">
        <v>7110</v>
      </c>
      <c r="E141" s="63">
        <f t="shared" si="5"/>
        <v>23500</v>
      </c>
    </row>
    <row r="142" spans="1:7" x14ac:dyDescent="0.3">
      <c r="A142" s="2">
        <v>7</v>
      </c>
      <c r="C142" s="38" t="s">
        <v>58</v>
      </c>
      <c r="D142" s="42">
        <v>2990</v>
      </c>
      <c r="E142" s="63">
        <f t="shared" si="5"/>
        <v>9880</v>
      </c>
    </row>
    <row r="143" spans="1:7" x14ac:dyDescent="0.3">
      <c r="A143" s="2">
        <v>8</v>
      </c>
      <c r="C143" s="38" t="s">
        <v>62</v>
      </c>
      <c r="D143" s="42">
        <f>TRUNC(3824,-1)</f>
        <v>3820</v>
      </c>
      <c r="E143" s="63">
        <f t="shared" si="5"/>
        <v>12620</v>
      </c>
    </row>
    <row r="144" spans="1:7" x14ac:dyDescent="0.3">
      <c r="A144" s="2">
        <v>9</v>
      </c>
      <c r="C144" s="38" t="s">
        <v>63</v>
      </c>
      <c r="D144" s="42">
        <f>TRUNC(15095,-1)</f>
        <v>15090</v>
      </c>
      <c r="E144" s="63">
        <f t="shared" si="5"/>
        <v>49880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44680</v>
      </c>
      <c r="E146" s="39">
        <f>SUM(E136:E145)</f>
        <v>147680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TRUNC(2323+864,-1)</f>
        <v>3180</v>
      </c>
      <c r="E149" s="62">
        <f>TRUNC(+D149*3.3058,-1)</f>
        <v>10510</v>
      </c>
    </row>
    <row r="150" spans="1:7" x14ac:dyDescent="0.3">
      <c r="A150" s="2">
        <v>2</v>
      </c>
      <c r="C150" s="38" t="s">
        <v>49</v>
      </c>
      <c r="D150" s="42">
        <v>2750</v>
      </c>
      <c r="E150" s="63">
        <f>TRUNC(+D150*3.3058,-1)</f>
        <v>9090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20+3486+4+4190</f>
        <v>7700</v>
      </c>
      <c r="E152" s="63">
        <f>TRUNC(+D152*3.3058,-1)</f>
        <v>25450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TRUNC(10461,-1)</f>
        <v>10460</v>
      </c>
      <c r="E153" s="64">
        <f>TRUNC(+D153*3.3058,-1)</f>
        <v>34570</v>
      </c>
    </row>
    <row r="154" spans="1:7" x14ac:dyDescent="0.3">
      <c r="A154" s="2">
        <v>6</v>
      </c>
      <c r="C154" s="27" t="s">
        <v>112</v>
      </c>
      <c r="D154" s="39">
        <f>SUM(D149:D153)</f>
        <v>24090</v>
      </c>
      <c r="E154" s="39">
        <f>SUM(E149:E153)</f>
        <v>79620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11110</v>
      </c>
      <c r="E157" s="62">
        <f>TRUNC(+D157*3.3058,-1)</f>
        <v>36720</v>
      </c>
    </row>
    <row r="158" spans="1:7" x14ac:dyDescent="0.3">
      <c r="A158" s="2">
        <v>2</v>
      </c>
      <c r="C158" s="38" t="s">
        <v>52</v>
      </c>
      <c r="D158" s="42">
        <f>TRUNC(5538,-1)</f>
        <v>5530</v>
      </c>
      <c r="E158" s="63">
        <f>TRUNC(+D158*3.3058,-1)</f>
        <v>18280</v>
      </c>
    </row>
    <row r="159" spans="1:7" x14ac:dyDescent="0.3">
      <c r="A159" s="2">
        <v>3</v>
      </c>
      <c r="C159" s="38" t="s">
        <v>47</v>
      </c>
      <c r="D159" s="42">
        <f>TRUNC(2738,-1)</f>
        <v>2730</v>
      </c>
      <c r="E159" s="63">
        <f>TRUNC(+D159*3.3058,-1)</f>
        <v>9020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19370</v>
      </c>
      <c r="E161" s="39">
        <f>SUM(E156:E160)</f>
        <v>64020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2020-12-08T01:42:51Z</dcterms:modified>
</cp:coreProperties>
</file>