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3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89" i="4"/>
  <c r="D73" i="4"/>
  <c r="D72" i="4"/>
  <c r="D71" i="4"/>
  <c r="D70" i="4"/>
  <c r="D69" i="4"/>
  <c r="D100" i="4"/>
  <c r="D99" i="4"/>
  <c r="D114" i="4"/>
  <c r="D98" i="4"/>
  <c r="D102" i="4"/>
  <c r="D105" i="4"/>
  <c r="D128" i="4"/>
  <c r="D125" i="4"/>
  <c r="D122" i="4"/>
  <c r="D130" i="4"/>
  <c r="D126" i="4"/>
  <c r="D139" i="4"/>
  <c r="D141" i="4"/>
  <c r="D142" i="4"/>
  <c r="D137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95" i="4"/>
  <c r="E119" i="4"/>
  <c r="E133" i="4"/>
  <c r="E14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<sst xmlns="http://schemas.openxmlformats.org/spreadsheetml/2006/main" count="392" uniqueCount="267">
  <si>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</si>
  <si>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</si>
  <si>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</si>
  <si>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</si>
  <si>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</si>
  <si>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</si>
  <si>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</si>
  <si>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</si>
  <si>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</si>
  <si>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</si>
  <si>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</si>
  <si>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</si>
  <si>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</si>
  <si>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</si>
  <si>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</si>
  <si>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</si>
  <si>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</si>
  <si>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</si>
  <si>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</si>
  <si>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</si>
  <si>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</si>
  <si>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</si>
  <si>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</si>
  <si>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</si>
  <si>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</si>
  <si>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</si>
  <si>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</si>
  <si>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</si>
  <si>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</si>
  <si>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</si>
  <si>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</si>
  <si>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</si>
  <si>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</si>
  <si>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</si>
  <si>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</si>
  <si>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</si>
  <si>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</si>
  <si>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</si>
  <si>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</si>
  <si>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</si>
  <si>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</si>
  <si>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</si>
  <si>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</si>
  <si>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</si>
  <si>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</si>
  <si>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</si>
  <si>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</si>
  <si>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</si>
  <si>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</si>
  <si>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</si>
  <si>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</si>
  <si>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</si>
  <si>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</si>
  <si>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</si>
  <si>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</si>
  <si>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</si>
  <si>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</si>
  <si>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</si>
  <si>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</si>
  <si>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</si>
  <si>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</si>
  <si>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</si>
  <si>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</si>
  <si>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</si>
  <si>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</si>
  <si>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</si>
  <si>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</si>
  <si>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</si>
  <si>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</si>
  <si>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</si>
  <si>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</si>
  <si>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</si>
  <si>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</si>
  <si>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</si>
  <si>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</si>
  <si>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</si>
  <si>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</si>
  <si>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</si>
  <si>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</si>
  <si>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</si>
  <si>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</si>
  <si>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</si>
  <si>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</si>
  <si>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</si>
  <si>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</si>
  <si>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</si>
  <si>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</si>
  <si>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</si>
  <si>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</si>
  <si>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</si>
  <si>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</si>
  <si>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</si>
  <si>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</si>
  <si>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</si>
  <si>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</si>
  <si>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</si>
  <si>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</si>
  <si>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</si>
  <si>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</si>
  <si>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</si>
  <si>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</si>
  <si>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</si>
  <si>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</si>
  <si>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</si>
  <si>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</si>
  <si>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</si>
  <si>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</si>
  <si>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</si>
  <si>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</si>
  <si>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</si>
  <si>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</si>
  <si>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</si>
  <si>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</si>
  <si>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</si>
  <si>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</si>
  <si>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</si>
  <si>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</si>
  <si>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</si>
  <si>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</si>
  <si>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</si>
  <si>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</si>
  <si>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</si>
  <si>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</si>
  <si>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</si>
  <si>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</si>
  <si>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</si>
  <si>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</si>
  <si>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</si>
  <si>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</si>
  <si>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</si>
  <si>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</si>
  <si>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</si>
  <si>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</si>
  <si>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</si>
  <si>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</si>
  <si>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</si>
  <si>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</si>
  <si>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</si>
  <si>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</si>
  <si>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</si>
  <si>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</si>
  <si>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</si>
  <si>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</si>
  <si>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</si>
  <si>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</si>
  <si>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</si>
  <si>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</si>
  <si>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</si>
  <si>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</si>
  <si>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</si>
  <si>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</si>
  <si>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</si>
  <si>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</si>
  <si>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</si>
  <si>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</si>
  <si>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</si>
  <si>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</si>
  <si>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</si>
  <si>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</si>
  <si>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</si>
  <si>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</si>
  <si>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</si>
  <si>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</si>
  <si>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</si>
  <si>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</si>
  <si>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</si>
  <si>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</si>
  <si>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</si>
  <si>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</si>
  <si>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</si>
  <si>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</si>
  <si>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</si>
  <si>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</si>
  <si>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</si>
  <si>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</si>
  <si>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</si>
  <si>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</si>
  <si>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</si>
  <si>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</si>
  <si>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</si>
  <si>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</si>
  <si>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</si>
  <si>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</si>
  <si>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</si>
  <si>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</si>
  <si>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</si>
  <si>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</si>
  <si>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</si>
  <si>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</si>
  <si>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</si>
  <si>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</si>
  <si>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</si>
  <si>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</si>
  <si>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</si>
  <si>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</si>
  <si>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</si>
  <si>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</si>
  <si>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</si>
  <si>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</si>
  <si>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</si>
  <si>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</si>
  <si>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</si>
  <si>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</si>
  <si>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</si>
  <si>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</si>
  <si>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</si>
  <si>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</si>
  <si>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</si>
  <si>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</si>
  <si>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</si>
  <si>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</si>
  <si>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</si>
  <si>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</si>
  <si>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</si>
  <si>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</si>
  <si>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</si>
  <si>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</si>
  <si>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</si>
  <si>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</si>
  <si>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</si>
  <si>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</si>
  <si>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</si>
  <si>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</si>
  <si>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</si>
  <si>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</si>
  <si>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</si>
  <si>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</si>
  <si>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</si>
  <si>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</si>
  <si>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</si>
  <si>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</si>
  <si>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</si>
  <si>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</si>
  <si>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</si>
  <si>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</si>
  <si>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</si>
  <si>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</si>
  <si>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</si>
  <si>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</si>
  <si>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</si>
  <si>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</si>
  <si>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</si>
  <si>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</si>
  <si>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</si>
  <si>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</si>
  <si>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</si>
  <si>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</si>
  <si>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</si>
  <si>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치의학전문대학원 임상교육관 증축공사(건축,토목,조경,기계)</t>
    <phoneticPr fontId="2" type="noConversion"/>
  </si>
  <si>
    <t>교육연구</t>
  </si>
  <si>
    <t>광주시</t>
  </si>
  <si>
    <t>기초공사,골재비및운반비,기타공사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</si>
  <si>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</si>
  <si>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</si>
  <si>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</si>
  <si>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공조배관공사</t>
    <phoneticPr fontId="2" type="noConversion"/>
  </si>
  <si>
    <t>CATV 및 TV 설비공사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</si>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</sst>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5990.38</v>
      </c>
      <c r="D7" s="36">
        <f>+C7/3.3058</f>
        <v>1812.0817956319197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956510</v>
      </c>
      <c r="E25" s="59">
        <f t="shared" si="0"/>
        <v>3162030</v>
      </c>
    </row>
    <row r="26" spans="1:5" x14ac:dyDescent="0.3">
      <c r="B26" s="2">
        <v>3</v>
      </c>
      <c r="C26" s="35" t="s">
        <v>95</v>
      </c>
      <c r="D26" s="45">
        <f>+D66</f>
        <v>7060</v>
      </c>
      <c r="E26" s="59">
        <f t="shared" si="0"/>
        <v>23330</v>
      </c>
    </row>
    <row r="27" spans="1:5" x14ac:dyDescent="0.3">
      <c r="B27" s="2">
        <v>4</v>
      </c>
      <c r="C27" s="35" t="s">
        <v>96</v>
      </c>
      <c r="D27" s="45">
        <f>+D95</f>
        <v>248690</v>
      </c>
      <c r="E27" s="59">
        <f t="shared" si="0"/>
        <v>822110</v>
      </c>
    </row>
    <row r="28" spans="1:5" x14ac:dyDescent="0.3">
      <c r="B28" s="2">
        <v>5</v>
      </c>
      <c r="C28" s="35" t="s">
        <v>97</v>
      </c>
      <c r="D28" s="45">
        <f>+D119</f>
        <v>165030</v>
      </c>
      <c r="E28" s="59">
        <f t="shared" si="0"/>
        <v>545550</v>
      </c>
    </row>
    <row r="29" spans="1:5" x14ac:dyDescent="0.3">
      <c r="B29" s="2">
        <v>6</v>
      </c>
      <c r="C29" s="35" t="s">
        <v>98</v>
      </c>
      <c r="D29" s="45">
        <f>+D133</f>
        <v>94600</v>
      </c>
      <c r="E29" s="59">
        <f t="shared" si="0"/>
        <v>312720</v>
      </c>
    </row>
    <row r="30" spans="1:5" x14ac:dyDescent="0.3">
      <c r="B30" s="2">
        <v>7</v>
      </c>
      <c r="C30" s="35" t="s">
        <v>99</v>
      </c>
      <c r="D30" s="45">
        <f>+D146</f>
        <v>75940</v>
      </c>
      <c r="E30" s="59">
        <f t="shared" si="0"/>
        <v>251040</v>
      </c>
    </row>
    <row r="31" spans="1:5" x14ac:dyDescent="0.3">
      <c r="B31" s="2">
        <v>8</v>
      </c>
      <c r="C31" s="35" t="s">
        <v>100</v>
      </c>
      <c r="D31" s="45">
        <f>+D154</f>
        <v>35960</v>
      </c>
      <c r="E31" s="59">
        <f t="shared" si="0"/>
        <v>118870</v>
      </c>
    </row>
    <row r="32" spans="1:5" x14ac:dyDescent="0.3">
      <c r="B32" s="2">
        <v>9</v>
      </c>
      <c r="C32" s="35" t="s">
        <v>101</v>
      </c>
      <c r="D32" s="45">
        <f>+D161</f>
        <v>26960</v>
      </c>
      <c r="E32" s="59">
        <f t="shared" si="0"/>
        <v>89120</v>
      </c>
    </row>
    <row r="33" spans="1:7" x14ac:dyDescent="0.3">
      <c r="B33" s="2">
        <v>10</v>
      </c>
      <c r="C33" s="35" t="s">
        <v>154</v>
      </c>
      <c r="D33" s="53">
        <f>TRUNC(SUM(D24:D32)*0.275,-1)</f>
        <v>442950</v>
      </c>
      <c r="E33" s="60">
        <f t="shared" si="0"/>
        <v>1464300</v>
      </c>
    </row>
    <row r="34" spans="1:7" x14ac:dyDescent="0.3">
      <c r="C34" s="35" t="s">
        <v>112</v>
      </c>
      <c r="D34" s="44">
        <f>SUM(D24:D33)</f>
        <v>2053700</v>
      </c>
      <c r="E34" s="44">
        <f>SUM(E24:E33)</f>
        <v>6789070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TRUNC(66393,-1)</f>
        <v>66390</v>
      </c>
      <c r="E40" s="62">
        <f t="shared" ref="E40:E59" si="1">TRUNC(+D40*3.3058,-1)</f>
        <v>219470</v>
      </c>
    </row>
    <row r="41" spans="1:7" x14ac:dyDescent="0.3">
      <c r="A41" s="2">
        <v>2</v>
      </c>
      <c r="C41" s="38" t="s">
        <v>13</v>
      </c>
      <c r="D41" s="42">
        <f>TRUNC(219428,-1)</f>
        <v>219420</v>
      </c>
      <c r="E41" s="63">
        <f t="shared" si="1"/>
        <v>725350</v>
      </c>
    </row>
    <row r="42" spans="1:7" x14ac:dyDescent="0.3">
      <c r="A42" s="2">
        <v>3</v>
      </c>
      <c r="C42" s="38" t="s">
        <v>14</v>
      </c>
      <c r="D42" s="42">
        <f>TRUNC(1140,-1)</f>
        <v>1140</v>
      </c>
      <c r="E42" s="63">
        <f t="shared" si="1"/>
        <v>3760</v>
      </c>
    </row>
    <row r="43" spans="1:7" x14ac:dyDescent="0.3">
      <c r="A43" s="2">
        <v>4</v>
      </c>
      <c r="C43" s="38" t="s">
        <v>16</v>
      </c>
      <c r="D43" s="42">
        <f>TRUNC(35645,-1)</f>
        <v>35640</v>
      </c>
      <c r="E43" s="63">
        <f t="shared" si="1"/>
        <v>117810</v>
      </c>
    </row>
    <row r="44" spans="1:7" x14ac:dyDescent="0.3">
      <c r="A44" s="2">
        <v>5</v>
      </c>
      <c r="C44" s="38" t="s">
        <v>17</v>
      </c>
      <c r="D44" s="42">
        <f>TRUNC(11281,-1)</f>
        <v>11280</v>
      </c>
      <c r="E44" s="63">
        <f t="shared" si="1"/>
        <v>37280</v>
      </c>
    </row>
    <row r="45" spans="1:7" x14ac:dyDescent="0.3">
      <c r="A45" s="2">
        <v>6</v>
      </c>
      <c r="C45" s="38" t="s">
        <v>18</v>
      </c>
      <c r="D45" s="42">
        <f>TRUNC(12305,-1)</f>
        <v>12300</v>
      </c>
      <c r="E45" s="63">
        <f t="shared" si="1"/>
        <v>40660</v>
      </c>
    </row>
    <row r="46" spans="1:7" x14ac:dyDescent="0.3">
      <c r="A46" s="2">
        <v>7</v>
      </c>
      <c r="C46" s="38" t="s">
        <v>19</v>
      </c>
      <c r="D46" s="42">
        <f>TRUNC(3835,-1)</f>
        <v>3830</v>
      </c>
      <c r="E46" s="63">
        <f t="shared" si="1"/>
        <v>12660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TRUNC(23729,-1)</f>
        <v>23720</v>
      </c>
      <c r="E48" s="63">
        <f t="shared" si="1"/>
        <v>78410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TRUNC(35992,-1)</f>
        <v>35990</v>
      </c>
      <c r="E49" s="63">
        <f t="shared" si="1"/>
        <v>118970</v>
      </c>
    </row>
    <row r="50" spans="1:7" x14ac:dyDescent="0.3">
      <c r="A50" s="2">
        <v>11</v>
      </c>
      <c r="C50" s="38" t="s">
        <v>155</v>
      </c>
      <c r="D50" s="42">
        <f>TRUNC(44494,-1)</f>
        <v>44490</v>
      </c>
      <c r="E50" s="63">
        <f t="shared" si="1"/>
        <v>147070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TRUNC(17031,-1)</f>
        <v>17030</v>
      </c>
      <c r="E52" s="63">
        <f t="shared" si="1"/>
        <v>56290</v>
      </c>
    </row>
    <row r="53" spans="1:7" x14ac:dyDescent="0.3">
      <c r="A53" s="2">
        <v>14</v>
      </c>
      <c r="C53" s="38" t="s">
        <v>25</v>
      </c>
      <c r="D53" s="42">
        <f>TRUNC(51052,-1)</f>
        <v>51050</v>
      </c>
      <c r="E53" s="63">
        <f t="shared" si="1"/>
        <v>168760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TRUNC(22913+5754+1920,-1)</f>
        <v>30580</v>
      </c>
      <c r="E58" s="63">
        <f t="shared" si="1"/>
        <v>101090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TRUNC(403654,-1)</f>
        <v>403650</v>
      </c>
      <c r="E59" s="64">
        <f t="shared" si="1"/>
        <v>1334380</v>
      </c>
    </row>
    <row r="60" spans="1:7" x14ac:dyDescent="0.3">
      <c r="A60" s="2">
        <v>21</v>
      </c>
      <c r="C60" s="27" t="s">
        <v>112</v>
      </c>
      <c r="D60" s="39">
        <f>SUM(D40:D59)</f>
        <v>956510</v>
      </c>
      <c r="E60" s="39">
        <f>SUM(E40:E59)</f>
        <v>3161960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TRUNC(7061,-1)</f>
        <v>7060</v>
      </c>
      <c r="E63" s="62">
        <f>TRUNC(+D63*3.3058,-1)</f>
        <v>23330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7060</v>
      </c>
      <c r="E66" s="65">
        <f>SUM(E63:E65)</f>
        <v>23330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TRUNC(14487,-1)</f>
        <v>14480</v>
      </c>
      <c r="E69" s="62">
        <f t="shared" ref="E69:E94" si="2">TRUNC(+D69*3.3058,-1)</f>
        <v>47860</v>
      </c>
    </row>
    <row r="70" spans="1:7" ht="16.5" customHeight="1" x14ac:dyDescent="0.3">
      <c r="A70" s="2">
        <v>2</v>
      </c>
      <c r="C70" s="38" t="s">
        <v>31</v>
      </c>
      <c r="D70" s="42">
        <f>TRUNC(505,-1)</f>
        <v>500</v>
      </c>
      <c r="E70" s="63">
        <f t="shared" si="2"/>
        <v>1650</v>
      </c>
    </row>
    <row r="71" spans="1:7" x14ac:dyDescent="0.3">
      <c r="A71" s="2">
        <v>3</v>
      </c>
      <c r="C71" s="38" t="s">
        <v>32</v>
      </c>
      <c r="D71" s="42">
        <f>TRUNC(4308,-1)</f>
        <v>4300</v>
      </c>
      <c r="E71" s="63">
        <f t="shared" si="2"/>
        <v>14210</v>
      </c>
    </row>
    <row r="72" spans="1:7" x14ac:dyDescent="0.3">
      <c r="A72" s="2">
        <v>4</v>
      </c>
      <c r="C72" s="38" t="s">
        <v>33</v>
      </c>
      <c r="D72" s="42">
        <f>TRUNC(5356,-1)</f>
        <v>5350</v>
      </c>
      <c r="E72" s="63">
        <f t="shared" si="2"/>
        <v>17680</v>
      </c>
    </row>
    <row r="73" spans="1:7" x14ac:dyDescent="0.3">
      <c r="A73" s="2">
        <v>5</v>
      </c>
      <c r="C73" s="38" t="s">
        <v>34</v>
      </c>
      <c r="D73" s="42">
        <f>TRUNC(18757,-1)</f>
        <v>18750</v>
      </c>
      <c r="E73" s="63">
        <f t="shared" si="2"/>
        <v>61980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TRUNC(7728,-1)</f>
        <v>7720</v>
      </c>
      <c r="E89" s="63">
        <f t="shared" si="2"/>
        <v>25520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TRUNC(25278,-1)</f>
        <v>25270</v>
      </c>
      <c r="E91" s="63">
        <f t="shared" si="2"/>
        <v>83530</v>
      </c>
    </row>
    <row r="92" spans="1:7" x14ac:dyDescent="0.3">
      <c r="A92" s="2">
        <v>24</v>
      </c>
      <c r="C92" s="38" t="s">
        <v>38</v>
      </c>
      <c r="D92" s="42">
        <f>TRUNC(9047,-1)</f>
        <v>9040</v>
      </c>
      <c r="E92" s="63">
        <f t="shared" si="2"/>
        <v>29880</v>
      </c>
    </row>
    <row r="93" spans="1:7" x14ac:dyDescent="0.3">
      <c r="A93" s="2">
        <v>25</v>
      </c>
      <c r="C93" s="38" t="s">
        <v>148</v>
      </c>
      <c r="D93" s="42">
        <f>TRUNC(162836,-1)</f>
        <v>162830</v>
      </c>
      <c r="E93" s="63">
        <f t="shared" si="2"/>
        <v>538280</v>
      </c>
    </row>
    <row r="94" spans="1:7" ht="17.25" thickBot="1" x14ac:dyDescent="0.35">
      <c r="A94" s="2">
        <v>26</v>
      </c>
      <c r="C94" s="38" t="s">
        <v>47</v>
      </c>
      <c r="D94" s="43">
        <f>TRUNC(456,-1)</f>
        <v>450</v>
      </c>
      <c r="E94" s="64">
        <f t="shared" si="2"/>
        <v>1480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248690</v>
      </c>
      <c r="E95" s="39">
        <f>SUM(E69:E94)</f>
        <v>822070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TRUNC(19666,-1)</f>
        <v>19660</v>
      </c>
      <c r="E98" s="62">
        <f t="shared" ref="E98:E118" si="3">TRUNC(+D98*3.3058,-1)</f>
        <v>64990</v>
      </c>
    </row>
    <row r="99" spans="1:7" x14ac:dyDescent="0.3">
      <c r="A99" s="2">
        <v>2</v>
      </c>
      <c r="C99" s="38" t="s">
        <v>40</v>
      </c>
      <c r="D99" s="42">
        <f>TRUNC(9131,-1)</f>
        <v>9130</v>
      </c>
      <c r="E99" s="63">
        <f t="shared" si="3"/>
        <v>30180</v>
      </c>
    </row>
    <row r="100" spans="1:7" x14ac:dyDescent="0.3">
      <c r="A100" s="2">
        <v>3</v>
      </c>
      <c r="C100" s="38" t="s">
        <v>41</v>
      </c>
      <c r="D100" s="42">
        <f>TRUNC(34540,-1)</f>
        <v>34540</v>
      </c>
      <c r="E100" s="63">
        <f t="shared" si="3"/>
        <v>114180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TRUNC(21585,-1)</f>
        <v>21580</v>
      </c>
      <c r="E102" s="63">
        <f t="shared" si="3"/>
        <v>71330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TRUNC(7765,-1)</f>
        <v>7760</v>
      </c>
      <c r="E105" s="63">
        <f t="shared" si="3"/>
        <v>25650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TRUNC(7745,-1)</f>
        <v>7740</v>
      </c>
      <c r="E114" s="63">
        <f t="shared" si="3"/>
        <v>25580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TRUNC(64627,-1)</f>
        <v>64620</v>
      </c>
      <c r="E117" s="63">
        <f t="shared" si="3"/>
        <v>213620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165030</v>
      </c>
      <c r="E119" s="39">
        <f>SUM(E98:E118)</f>
        <v>545530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TRUNC(3056,-1)</f>
        <v>3050</v>
      </c>
      <c r="E122" s="62">
        <f t="shared" ref="E122:E132" si="4">TRUNC(+D122*3.3058,-1)</f>
        <v>10080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TRUNC(12284,-1)</f>
        <v>12280</v>
      </c>
      <c r="E125" s="63">
        <f t="shared" si="4"/>
        <v>40590</v>
      </c>
    </row>
    <row r="126" spans="1:7" x14ac:dyDescent="0.3">
      <c r="A126" s="2">
        <v>5</v>
      </c>
      <c r="C126" s="38" t="s">
        <v>53</v>
      </c>
      <c r="D126" s="42">
        <f>TRUNC(1540,-1)</f>
        <v>1540</v>
      </c>
      <c r="E126" s="63">
        <f t="shared" si="4"/>
        <v>5090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TRUNC(9115,-1)</f>
        <v>9110</v>
      </c>
      <c r="E128" s="63">
        <f t="shared" si="4"/>
        <v>30110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TRUNC(20540,-1)</f>
        <v>20540</v>
      </c>
      <c r="E130" s="63">
        <f t="shared" si="4"/>
        <v>67900</v>
      </c>
    </row>
    <row r="131" spans="1:7" x14ac:dyDescent="0.3">
      <c r="A131" s="2">
        <v>10</v>
      </c>
      <c r="C131" s="38" t="s">
        <v>148</v>
      </c>
      <c r="D131" s="42">
        <f>TRUNC(48089,-1)</f>
        <v>48080</v>
      </c>
      <c r="E131" s="63">
        <f t="shared" si="4"/>
        <v>158940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94600</v>
      </c>
      <c r="E133" s="39">
        <f>SUM(E122:E132)</f>
        <v>312710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TRUNC(440+6680+30116,-1)</f>
        <v>37230</v>
      </c>
      <c r="E137" s="63">
        <f t="shared" si="5"/>
        <v>123070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TRUNC(3933,-1)</f>
        <v>3930</v>
      </c>
      <c r="E139" s="63">
        <f t="shared" si="5"/>
        <v>12990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f>TRUNC(29185,-1)</f>
        <v>29180</v>
      </c>
      <c r="E141" s="63">
        <f t="shared" si="5"/>
        <v>96460</v>
      </c>
    </row>
    <row r="142" spans="1:7" x14ac:dyDescent="0.3">
      <c r="A142" s="2">
        <v>7</v>
      </c>
      <c r="C142" s="38" t="s">
        <v>58</v>
      </c>
      <c r="D142" s="42">
        <f>TRUNC(5601,-1)</f>
        <v>5600</v>
      </c>
      <c r="E142" s="63">
        <f t="shared" si="5"/>
        <v>18510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75940</v>
      </c>
      <c r="E146" s="39">
        <f>SUM(E136:E145)</f>
        <v>251030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TRUNC(10009+4175,-1)</f>
        <v>14180</v>
      </c>
      <c r="E149" s="62">
        <f>TRUNC(+D149*3.3058,-1)</f>
        <v>46870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TRUNC(7725,-1)</f>
        <v>7720</v>
      </c>
      <c r="E150" s="63">
        <f>TRUNC(+D150*3.3058,-1)</f>
        <v>25520</v>
      </c>
    </row>
    <row r="151" spans="1:7" x14ac:dyDescent="0.3">
      <c r="A151" s="2">
        <v>3</v>
      </c>
      <c r="C151" s="38" t="s">
        <v>50</v>
      </c>
      <c r="D151" s="42">
        <f>TRUNC(4137,-1)</f>
        <v>4130</v>
      </c>
      <c r="E151" s="63">
        <f>TRUNC(+D151*3.3058,-1)</f>
        <v>13650</v>
      </c>
    </row>
    <row r="152" spans="1:7" x14ac:dyDescent="0.3">
      <c r="A152" s="2">
        <v>4</v>
      </c>
      <c r="C152" s="38" t="s">
        <v>47</v>
      </c>
      <c r="D152" s="42">
        <f>TRUNC(354+1253,-1)</f>
        <v>1600</v>
      </c>
      <c r="E152" s="63">
        <f>TRUNC(+D152*3.3058,-1)</f>
        <v>5280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TRUNC(8330,-1)</f>
        <v>8330</v>
      </c>
      <c r="E153" s="64">
        <f>TRUNC(+D153*3.3058,-1)</f>
        <v>27530</v>
      </c>
    </row>
    <row r="154" spans="1:7" x14ac:dyDescent="0.3">
      <c r="A154" s="2">
        <v>6</v>
      </c>
      <c r="C154" s="27" t="s">
        <v>112</v>
      </c>
      <c r="D154" s="39">
        <f>SUM(D149:D153)</f>
        <v>35960</v>
      </c>
      <c r="E154" s="39">
        <f>SUM(E149:E153)</f>
        <v>118850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TRUNC(9314,-1)</f>
        <v>9310</v>
      </c>
      <c r="E157" s="62">
        <f>TRUNC(+D157*3.3058,-1)</f>
        <v>30770</v>
      </c>
    </row>
    <row r="158" spans="1:7" x14ac:dyDescent="0.3">
      <c r="A158" s="2">
        <v>2</v>
      </c>
      <c r="C158" s="38" t="s">
        <v>52</v>
      </c>
      <c r="D158" s="42">
        <f>TRUNC(3603,-1)</f>
        <v>3600</v>
      </c>
      <c r="E158" s="63">
        <f>TRUNC(+D158*3.3058,-1)</f>
        <v>11900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TRUNC(6492+37,-1)</f>
        <v>6520</v>
      </c>
      <c r="E159" s="63">
        <f>TRUNC(+D159*3.3058,-1)</f>
        <v>21550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TRUNC(7532,-1)</f>
        <v>7530</v>
      </c>
      <c r="E160" s="64">
        <f>TRUNC(+D160*3.3058,-1)</f>
        <v>24890</v>
      </c>
    </row>
    <row r="161" spans="1:5" x14ac:dyDescent="0.3">
      <c r="A161" s="2">
        <v>5</v>
      </c>
      <c r="C161" s="27" t="s">
        <v>112</v>
      </c>
      <c r="D161" s="39">
        <f>SUM(D157:D160)</f>
        <v>26960</v>
      </c>
      <c r="E161" s="39">
        <f>SUM(E157:E160)</f>
        <v>89110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2020-12-08T02:15:43Z</dcterms:modified>
</cp:coreProperties>
</file>