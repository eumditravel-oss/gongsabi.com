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8" i="4" l="1"/>
  <c r="D53" i="4"/>
  <c r="D52" i="4"/>
  <c r="D50" i="4"/>
  <c r="D49" i="4"/>
  <c r="D48" i="4"/>
  <c r="D46" i="4"/>
  <c r="D45" i="4"/>
  <c r="D44" i="4"/>
  <c r="D43" i="4"/>
  <c r="D41" i="4"/>
  <c r="D40" i="4"/>
  <c r="D92" i="4"/>
  <c r="D91" i="4"/>
  <c r="D89" i="4"/>
  <c r="D73" i="4"/>
  <c r="D72" i="4"/>
  <c r="D71" i="4"/>
  <c r="D70" i="4"/>
  <c r="D69" i="4"/>
  <c r="D65" i="4"/>
  <c r="D63" i="4"/>
  <c r="D118" i="4"/>
  <c r="D116" i="4"/>
  <c r="D114" i="4"/>
  <c r="D105" i="4"/>
  <c r="D104" i="4"/>
  <c r="D103" i="4"/>
  <c r="D102" i="4"/>
  <c r="D100" i="4"/>
  <c r="D99" i="4"/>
  <c r="D98" i="4"/>
  <c r="D132" i="4"/>
  <c r="D130" i="4"/>
  <c r="D128" i="4"/>
  <c r="D127" i="4"/>
  <c r="D126" i="4"/>
  <c r="D125" i="4"/>
  <c r="D124" i="4"/>
  <c r="D122" i="4"/>
  <c r="D144" i="4"/>
  <c r="D143" i="4"/>
  <c r="D142" i="4"/>
  <c r="D140" i="4"/>
  <c r="D139" i="4"/>
  <c r="D138" i="4"/>
  <c r="D137" i="4"/>
  <c r="D152" i="4"/>
  <c r="D150" i="4"/>
  <c r="D149" i="4"/>
  <c r="D159" i="4"/>
  <c r="D158" i="4"/>
  <c r="D157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<sst xmlns="http://schemas.openxmlformats.org/spreadsheetml/2006/main" count="393" uniqueCount="268">
  <si>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</si>
  <si>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</si>
  <si>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</si>
  <si>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</si>
  <si>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</si>
  <si>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</si>
  <si>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</si>
  <si>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</si>
  <si>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</si>
  <si>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</si>
  <si>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</si>
  <si>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</si>
  <si>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</si>
  <si>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</si>
  <si>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</si>
  <si>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</si>
  <si>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</si>
  <si>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</si>
  <si>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</si>
  <si>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</si>
  <si>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</si>
  <si>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</si>
  <si>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</si>
  <si>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</si>
  <si>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</si>
  <si>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</si>
  <si>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</si>
  <si>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</si>
  <si>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</si>
  <si>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</si>
  <si>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</si>
  <si>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</si>
  <si>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</si>
  <si>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</si>
  <si>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</si>
  <si>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</si>
  <si>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</si>
  <si>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</si>
  <si>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</si>
  <si>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</si>
  <si>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</si>
  <si>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</si>
  <si>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</si>
  <si>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</si>
  <si>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</si>
  <si>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</si>
  <si>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</si>
  <si>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</si>
  <si>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</si>
  <si>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</si>
  <si>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</si>
  <si>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</si>
  <si>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</si>
  <si>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</si>
  <si>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</si>
  <si>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</si>
  <si>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</si>
  <si>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</si>
  <si>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</si>
  <si>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</si>
  <si>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</si>
  <si>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</si>
  <si>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</si>
  <si>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</si>
  <si>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</si>
  <si>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</si>
  <si>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</si>
  <si>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</si>
  <si>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</si>
  <si>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</si>
  <si>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</si>
  <si>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</si>
  <si>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</si>
  <si>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</si>
  <si>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</si>
  <si>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</si>
  <si>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</si>
  <si>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</si>
  <si>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</si>
  <si>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</si>
  <si>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</si>
  <si>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</si>
  <si>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</si>
  <si>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</si>
  <si>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</si>
  <si>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</si>
  <si>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</si>
  <si>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</si>
  <si>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</si>
  <si>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</si>
  <si>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</si>
  <si>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</si>
  <si>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</si>
  <si>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</si>
  <si>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</si>
  <si>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</si>
  <si>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</si>
  <si>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</si>
  <si>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</si>
  <si>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</si>
  <si>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</si>
  <si>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</si>
  <si>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</si>
  <si>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</si>
  <si>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</si>
  <si>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</si>
  <si>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</si>
  <si>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</si>
  <si>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</si>
  <si>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</si>
  <si>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</si>
  <si>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</si>
  <si>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</si>
  <si>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</si>
  <si>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</si>
  <si>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</si>
  <si>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</si>
  <si>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</si>
  <si>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</si>
  <si>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</si>
  <si>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</si>
  <si>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</si>
  <si>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</si>
  <si>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</si>
  <si>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</si>
  <si>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</si>
  <si>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</si>
  <si>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</si>
  <si>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</si>
  <si>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</si>
  <si>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</si>
  <si>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</si>
  <si>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</si>
  <si>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</si>
  <si>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</si>
  <si>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</si>
  <si>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</si>
  <si>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</si>
  <si>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</si>
  <si>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</si>
  <si>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</si>
  <si>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</si>
  <si>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</si>
  <si>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</si>
  <si>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</si>
  <si>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</si>
  <si>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</si>
  <si>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</si>
  <si>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</si>
  <si>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</si>
  <si>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</si>
  <si>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</si>
  <si>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</si>
  <si>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</si>
  <si>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</si>
  <si>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</si>
  <si>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</si>
  <si>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</si>
  <si>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</si>
  <si>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</si>
  <si>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</si>
  <si>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</si>
  <si>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</si>
  <si>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</si>
  <si>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</si>
  <si>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</si>
  <si>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</si>
  <si>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</si>
  <si>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</si>
  <si>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</si>
  <si>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</si>
  <si>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</si>
  <si>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</si>
  <si>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</si>
  <si>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</si>
  <si>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</si>
  <si>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</si>
  <si>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</si>
  <si>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</si>
  <si>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</si>
  <si>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</si>
  <si>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</si>
  <si>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</si>
  <si>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</si>
  <si>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</si>
  <si>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</si>
  <si>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</si>
  <si>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</si>
  <si>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</si>
  <si>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</si>
  <si>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</si>
  <si>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</si>
  <si>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</si>
  <si>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</si>
  <si>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</si>
  <si>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</si>
  <si>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</si>
  <si>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</si>
  <si>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</si>
  <si>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</si>
  <si>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</si>
  <si>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</si>
  <si>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</si>
  <si>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</si>
  <si>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</si>
  <si>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</si>
  <si>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</si>
  <si>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</si>
  <si>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</si>
  <si>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</si>
  <si>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</si>
  <si>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</si>
  <si>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</si>
  <si>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</si>
  <si>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</si>
  <si>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</si>
  <si>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</si>
  <si>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</si>
  <si>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</si>
  <si>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</si>
  <si>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</si>
  <si>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</si>
  <si>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</si>
  <si>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</si>
  <si>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</si>
  <si>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</si>
  <si>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</si>
  <si>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</si>
  <si>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</si>
  <si>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</si>
  <si>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</si>
  <si>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</si>
  <si>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</si>
  <si>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</si>
  <si>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</si>
  <si>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</si>
  <si>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</si>
  <si>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</si>
  <si>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</si>
  <si>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</si>
  <si>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</si>
  <si>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</si>
  <si>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</si>
  <si>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</si>
  <si>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</si>
  <si>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</si>
  <si>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</si>
  <si>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</si>
  <si>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공주세무서 청사신축공사</t>
    <phoneticPr fontId="2" type="noConversion"/>
  </si>
  <si>
    <t>업무</t>
  </si>
  <si>
    <t>충청도</t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</si>
  <si>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</si>
  <si>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</si>
  <si>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</si>
  <si>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</si>
  <si>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</si>
  <si>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</si>
  <si>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</si>
  <si>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</si>
  <si>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</si>
  <si>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</si>
  <si>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우수처리시설공사,기타공사, 바닥난방공사</t>
    <phoneticPr fontId="2" type="noConversion"/>
  </si>
  <si>
    <t>지붕및홈통공사 포함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</si>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</sst>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2989.12</v>
      </c>
      <c r="D7" s="36">
        <f>+C7/3.3058</f>
        <v>904.2047310787101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995780</v>
      </c>
      <c r="E25" s="59">
        <f t="shared" si="0"/>
        <v>3291840</v>
      </c>
    </row>
    <row r="26" spans="1:5" x14ac:dyDescent="0.3">
      <c r="B26" s="2">
        <v>3</v>
      </c>
      <c r="C26" s="35" t="s">
        <v>95</v>
      </c>
      <c r="D26" s="45">
        <f>+D66</f>
        <v>56490</v>
      </c>
      <c r="E26" s="59">
        <f t="shared" si="0"/>
        <v>186740</v>
      </c>
    </row>
    <row r="27" spans="1:5" x14ac:dyDescent="0.3">
      <c r="B27" s="2">
        <v>4</v>
      </c>
      <c r="C27" s="35" t="s">
        <v>96</v>
      </c>
      <c r="D27" s="45">
        <f>+D95</f>
        <v>215650</v>
      </c>
      <c r="E27" s="59">
        <f t="shared" si="0"/>
        <v>712890</v>
      </c>
    </row>
    <row r="28" spans="1:5" x14ac:dyDescent="0.3">
      <c r="B28" s="2">
        <v>5</v>
      </c>
      <c r="C28" s="35" t="s">
        <v>97</v>
      </c>
      <c r="D28" s="45">
        <f>+D119</f>
        <v>247790</v>
      </c>
      <c r="E28" s="59">
        <f t="shared" si="0"/>
        <v>819140</v>
      </c>
    </row>
    <row r="29" spans="1:5" x14ac:dyDescent="0.3">
      <c r="B29" s="2">
        <v>6</v>
      </c>
      <c r="C29" s="35" t="s">
        <v>98</v>
      </c>
      <c r="D29" s="45">
        <f>+D133</f>
        <v>162600</v>
      </c>
      <c r="E29" s="59">
        <f t="shared" si="0"/>
        <v>537520</v>
      </c>
    </row>
    <row r="30" spans="1:5" x14ac:dyDescent="0.3">
      <c r="B30" s="2">
        <v>7</v>
      </c>
      <c r="C30" s="35" t="s">
        <v>99</v>
      </c>
      <c r="D30" s="45">
        <f>+D146</f>
        <v>53330</v>
      </c>
      <c r="E30" s="59">
        <f t="shared" si="0"/>
        <v>176290</v>
      </c>
    </row>
    <row r="31" spans="1:5" x14ac:dyDescent="0.3">
      <c r="B31" s="2">
        <v>8</v>
      </c>
      <c r="C31" s="35" t="s">
        <v>100</v>
      </c>
      <c r="D31" s="45">
        <f>+D154</f>
        <v>32380</v>
      </c>
      <c r="E31" s="59">
        <f t="shared" si="0"/>
        <v>107040</v>
      </c>
    </row>
    <row r="32" spans="1:5" x14ac:dyDescent="0.3">
      <c r="B32" s="2">
        <v>9</v>
      </c>
      <c r="C32" s="35" t="s">
        <v>101</v>
      </c>
      <c r="D32" s="45">
        <f>+D161</f>
        <v>43480</v>
      </c>
      <c r="E32" s="59">
        <f t="shared" si="0"/>
        <v>143730</v>
      </c>
    </row>
    <row r="33" spans="1:7" x14ac:dyDescent="0.3">
      <c r="B33" s="2">
        <v>10</v>
      </c>
      <c r="C33" s="35" t="s">
        <v>154</v>
      </c>
      <c r="D33" s="53">
        <f>TRUNC(SUM(D24:D32)*0.275,-1)</f>
        <v>497060</v>
      </c>
      <c r="E33" s="60">
        <f t="shared" si="0"/>
        <v>1643180</v>
      </c>
    </row>
    <row r="34" spans="1:7" x14ac:dyDescent="0.3">
      <c r="C34" s="35" t="s">
        <v>112</v>
      </c>
      <c r="D34" s="44">
        <f>SUM(D24:D33)</f>
        <v>2304560</v>
      </c>
      <c r="E34" s="44">
        <f>SUM(E24:E33)</f>
        <v>7618370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TRUNC(65037,-1)</f>
        <v>65030</v>
      </c>
      <c r="E40" s="62">
        <f t="shared" ref="E40:E59" si="1">TRUNC(+D40*3.3058,-1)</f>
        <v>214970</v>
      </c>
    </row>
    <row r="41" spans="1:7" x14ac:dyDescent="0.3">
      <c r="A41" s="2">
        <v>2</v>
      </c>
      <c r="C41" s="38" t="s">
        <v>13</v>
      </c>
      <c r="D41" s="42">
        <f>TRUNC(174999,-1)</f>
        <v>174990</v>
      </c>
      <c r="E41" s="63">
        <f t="shared" si="1"/>
        <v>578480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TRUNC(22989,-1)</f>
        <v>22980</v>
      </c>
      <c r="E43" s="63">
        <f t="shared" si="1"/>
        <v>75960</v>
      </c>
    </row>
    <row r="44" spans="1:7" x14ac:dyDescent="0.3">
      <c r="A44" s="2">
        <v>5</v>
      </c>
      <c r="C44" s="38" t="s">
        <v>17</v>
      </c>
      <c r="D44" s="42">
        <f>TRUNC(11045,-1)</f>
        <v>11040</v>
      </c>
      <c r="E44" s="63">
        <f t="shared" si="1"/>
        <v>36490</v>
      </c>
    </row>
    <row r="45" spans="1:7" x14ac:dyDescent="0.3">
      <c r="A45" s="2">
        <v>6</v>
      </c>
      <c r="C45" s="38" t="s">
        <v>18</v>
      </c>
      <c r="D45" s="42">
        <f>TRUNC(11957,-1)</f>
        <v>11950</v>
      </c>
      <c r="E45" s="63">
        <f t="shared" si="1"/>
        <v>39500</v>
      </c>
    </row>
    <row r="46" spans="1:7" x14ac:dyDescent="0.3">
      <c r="A46" s="2">
        <v>7</v>
      </c>
      <c r="C46" s="38" t="s">
        <v>19</v>
      </c>
      <c r="D46" s="42">
        <f>TRUNC(12347,-1)</f>
        <v>12340</v>
      </c>
      <c r="E46" s="63">
        <f t="shared" si="1"/>
        <v>40790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TRUNC(91811,-1)</f>
        <v>91810</v>
      </c>
      <c r="E48" s="63">
        <f t="shared" si="1"/>
        <v>303500</v>
      </c>
      <c r="F48" s="2" t="s">
        <v>262</v>
      </c>
    </row>
    <row r="49" spans="1:7" x14ac:dyDescent="0.3">
      <c r="A49" s="2">
        <v>10</v>
      </c>
      <c r="C49" s="38" t="s">
        <v>22</v>
      </c>
      <c r="D49" s="42">
        <f>TRUNC(8099,-1)</f>
        <v>8090</v>
      </c>
      <c r="E49" s="63">
        <f t="shared" si="1"/>
        <v>26740</v>
      </c>
    </row>
    <row r="50" spans="1:7" x14ac:dyDescent="0.3">
      <c r="A50" s="2">
        <v>11</v>
      </c>
      <c r="C50" s="38" t="s">
        <v>155</v>
      </c>
      <c r="D50" s="42">
        <f>TRUNC(43880,-1)</f>
        <v>43880</v>
      </c>
      <c r="E50" s="63">
        <f t="shared" si="1"/>
        <v>145050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TRUNC(14630,-1)</f>
        <v>14630</v>
      </c>
      <c r="E52" s="63">
        <f t="shared" si="1"/>
        <v>48360</v>
      </c>
    </row>
    <row r="53" spans="1:7" x14ac:dyDescent="0.3">
      <c r="A53" s="2">
        <v>14</v>
      </c>
      <c r="C53" s="38" t="s">
        <v>25</v>
      </c>
      <c r="D53" s="42">
        <f>TRUNC(67745,-1)</f>
        <v>67740</v>
      </c>
      <c r="E53" s="63">
        <f t="shared" si="1"/>
        <v>223930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TRUNC(11712+21146+4651-902+8525,-1)</f>
        <v>45130</v>
      </c>
      <c r="E58" s="63">
        <f t="shared" si="1"/>
        <v>149190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TRUNC(426178,-1)</f>
        <v>426170</v>
      </c>
      <c r="E59" s="64">
        <f t="shared" si="1"/>
        <v>1408830</v>
      </c>
    </row>
    <row r="60" spans="1:7" x14ac:dyDescent="0.3">
      <c r="A60" s="2">
        <v>21</v>
      </c>
      <c r="C60" s="27" t="s">
        <v>112</v>
      </c>
      <c r="D60" s="39">
        <f>SUM(D40:D59)</f>
        <v>995780</v>
      </c>
      <c r="E60" s="39">
        <f>SUM(E40:E59)</f>
        <v>3291790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TRUNC(32392,-1)</f>
        <v>32390</v>
      </c>
      <c r="E63" s="62">
        <f>TRUNC(+D63*3.3058,-1)</f>
        <v>107070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TRUNC(24100,-1)</f>
        <v>24100</v>
      </c>
      <c r="E65" s="64">
        <f>TRUNC(+D65*3.3058,-1)</f>
        <v>79660</v>
      </c>
    </row>
    <row r="66" spans="1:7" x14ac:dyDescent="0.3">
      <c r="A66" s="2">
        <v>4</v>
      </c>
      <c r="C66" s="27" t="s">
        <v>112</v>
      </c>
      <c r="D66" s="39">
        <f>SUM(D63:D65)</f>
        <v>56490</v>
      </c>
      <c r="E66" s="65">
        <f>SUM(E63:E65)</f>
        <v>186730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TRUNC(11157,-1)</f>
        <v>11150</v>
      </c>
      <c r="E69" s="62">
        <f t="shared" ref="E69:E94" si="2">TRUNC(+D69*3.3058,-1)</f>
        <v>36850</v>
      </c>
    </row>
    <row r="70" spans="1:7" ht="16.5" customHeight="1" x14ac:dyDescent="0.3">
      <c r="A70" s="2">
        <v>2</v>
      </c>
      <c r="C70" s="38" t="s">
        <v>31</v>
      </c>
      <c r="D70" s="42">
        <f>TRUNC(688,-1)</f>
        <v>680</v>
      </c>
      <c r="E70" s="63">
        <f t="shared" si="2"/>
        <v>2240</v>
      </c>
    </row>
    <row r="71" spans="1:7" x14ac:dyDescent="0.3">
      <c r="A71" s="2">
        <v>3</v>
      </c>
      <c r="C71" s="38" t="s">
        <v>32</v>
      </c>
      <c r="D71" s="42">
        <f>TRUNC(9871,-1)</f>
        <v>9870</v>
      </c>
      <c r="E71" s="63">
        <f t="shared" si="2"/>
        <v>32620</v>
      </c>
    </row>
    <row r="72" spans="1:7" x14ac:dyDescent="0.3">
      <c r="A72" s="2">
        <v>4</v>
      </c>
      <c r="C72" s="38" t="s">
        <v>33</v>
      </c>
      <c r="D72" s="42">
        <f>TRUNC(8438,-1)</f>
        <v>8430</v>
      </c>
      <c r="E72" s="63">
        <f t="shared" si="2"/>
        <v>27860</v>
      </c>
    </row>
    <row r="73" spans="1:7" x14ac:dyDescent="0.3">
      <c r="A73" s="2">
        <v>5</v>
      </c>
      <c r="C73" s="38" t="s">
        <v>34</v>
      </c>
      <c r="D73" s="42">
        <f>TRUNC(13747,-1)</f>
        <v>13740</v>
      </c>
      <c r="E73" s="63">
        <f t="shared" si="2"/>
        <v>45420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TRUNC(6057,-1)</f>
        <v>6050</v>
      </c>
      <c r="E89" s="63">
        <f t="shared" si="2"/>
        <v>20000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TRUNC(12167,-1)</f>
        <v>12160</v>
      </c>
      <c r="E91" s="63">
        <f t="shared" si="2"/>
        <v>40190</v>
      </c>
    </row>
    <row r="92" spans="1:7" x14ac:dyDescent="0.3">
      <c r="A92" s="2">
        <v>24</v>
      </c>
      <c r="C92" s="38" t="s">
        <v>38</v>
      </c>
      <c r="D92" s="42">
        <f>TRUNC(5355,-1)</f>
        <v>5350</v>
      </c>
      <c r="E92" s="63">
        <f t="shared" si="2"/>
        <v>17680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TRUNC(8754+138794+681,-1)</f>
        <v>148220</v>
      </c>
      <c r="E94" s="64">
        <f t="shared" si="2"/>
        <v>489980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215650</v>
      </c>
      <c r="E95" s="39">
        <f>SUM(E69:E94)</f>
        <v>712840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TRUNC(13035,-1)</f>
        <v>13030</v>
      </c>
      <c r="E98" s="62">
        <f t="shared" ref="E98:E118" si="3">TRUNC(+D98*3.3058,-1)</f>
        <v>43070</v>
      </c>
    </row>
    <row r="99" spans="1:7" x14ac:dyDescent="0.3">
      <c r="A99" s="2">
        <v>2</v>
      </c>
      <c r="C99" s="38" t="s">
        <v>40</v>
      </c>
      <c r="D99" s="42">
        <f>TRUNC(10649,-1)</f>
        <v>10640</v>
      </c>
      <c r="E99" s="63">
        <f t="shared" si="3"/>
        <v>35170</v>
      </c>
    </row>
    <row r="100" spans="1:7" x14ac:dyDescent="0.3">
      <c r="A100" s="2">
        <v>3</v>
      </c>
      <c r="C100" s="38" t="s">
        <v>41</v>
      </c>
      <c r="D100" s="42">
        <f>TRUNC(45105,-1)</f>
        <v>45100</v>
      </c>
      <c r="E100" s="63">
        <f t="shared" si="3"/>
        <v>149090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TRUNC(23441,-1)</f>
        <v>23440</v>
      </c>
      <c r="E102" s="63">
        <f t="shared" si="3"/>
        <v>77480</v>
      </c>
    </row>
    <row r="103" spans="1:7" x14ac:dyDescent="0.3">
      <c r="A103" s="2">
        <v>6</v>
      </c>
      <c r="C103" s="38" t="s">
        <v>44</v>
      </c>
      <c r="D103" s="42">
        <f>TRUNC(7463,-1)</f>
        <v>7460</v>
      </c>
      <c r="E103" s="63">
        <f t="shared" si="3"/>
        <v>24660</v>
      </c>
    </row>
    <row r="104" spans="1:7" x14ac:dyDescent="0.3">
      <c r="A104" s="2">
        <v>7</v>
      </c>
      <c r="C104" s="38" t="s">
        <v>45</v>
      </c>
      <c r="D104" s="42">
        <f>TRUNC(37287,-1)</f>
        <v>37280</v>
      </c>
      <c r="E104" s="63">
        <f t="shared" si="3"/>
        <v>123240</v>
      </c>
    </row>
    <row r="105" spans="1:7" x14ac:dyDescent="0.3">
      <c r="A105" s="2">
        <v>8</v>
      </c>
      <c r="C105" s="38" t="s">
        <v>46</v>
      </c>
      <c r="D105" s="42">
        <f>TRUNC(3492,-1)</f>
        <v>3490</v>
      </c>
      <c r="E105" s="63">
        <f t="shared" si="3"/>
        <v>11530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TRUNC(5286,-1)</f>
        <v>5280</v>
      </c>
      <c r="E114" s="63">
        <f t="shared" si="3"/>
        <v>17450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TRUNC(12306,-1)</f>
        <v>12300</v>
      </c>
      <c r="E116" s="63">
        <f t="shared" si="3"/>
        <v>40660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TRUNC(89462,-1)</f>
        <v>89460</v>
      </c>
      <c r="E117" s="63">
        <f t="shared" si="3"/>
        <v>295730</v>
      </c>
    </row>
    <row r="118" spans="1:7" ht="17.25" thickBot="1" x14ac:dyDescent="0.35">
      <c r="A118" s="2">
        <v>21</v>
      </c>
      <c r="C118" s="38" t="s">
        <v>47</v>
      </c>
      <c r="D118" s="43">
        <f>TRUNC(317,-1)</f>
        <v>310</v>
      </c>
      <c r="E118" s="64">
        <f t="shared" si="3"/>
        <v>1020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247790</v>
      </c>
      <c r="E119" s="39">
        <f>SUM(E98:E118)</f>
        <v>819100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TRUNC(5003,-1)</f>
        <v>5000</v>
      </c>
      <c r="E122" s="62">
        <f t="shared" ref="E122:E132" si="4">TRUNC(+D122*3.3058,-1)</f>
        <v>16520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TRUNC(1970,-1)</f>
        <v>1970</v>
      </c>
      <c r="E124" s="63">
        <f t="shared" si="4"/>
        <v>6510</v>
      </c>
    </row>
    <row r="125" spans="1:7" x14ac:dyDescent="0.3">
      <c r="A125" s="2">
        <v>4</v>
      </c>
      <c r="C125" s="38" t="s">
        <v>138</v>
      </c>
      <c r="D125" s="42">
        <f>TRUNC(10911,-1)</f>
        <v>10910</v>
      </c>
      <c r="E125" s="63">
        <f t="shared" si="4"/>
        <v>36060</v>
      </c>
    </row>
    <row r="126" spans="1:7" x14ac:dyDescent="0.3">
      <c r="A126" s="2">
        <v>5</v>
      </c>
      <c r="C126" s="38" t="s">
        <v>53</v>
      </c>
      <c r="D126" s="42">
        <f>TRUNC(9665,-1)</f>
        <v>9660</v>
      </c>
      <c r="E126" s="63">
        <f t="shared" si="4"/>
        <v>31930</v>
      </c>
    </row>
    <row r="127" spans="1:7" x14ac:dyDescent="0.3">
      <c r="A127" s="2">
        <v>6</v>
      </c>
      <c r="C127" s="38" t="s">
        <v>56</v>
      </c>
      <c r="D127" s="42">
        <f>TRUNC(4603,-1)</f>
        <v>4600</v>
      </c>
      <c r="E127" s="63">
        <f t="shared" si="4"/>
        <v>15200</v>
      </c>
    </row>
    <row r="128" spans="1:7" x14ac:dyDescent="0.3">
      <c r="A128" s="2">
        <v>7</v>
      </c>
      <c r="C128" s="38" t="s">
        <v>46</v>
      </c>
      <c r="D128" s="42">
        <f>TRUNC(8873,-1)</f>
        <v>8870</v>
      </c>
      <c r="E128" s="63">
        <f t="shared" si="4"/>
        <v>29320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TRUNC(54619,-1)</f>
        <v>54610</v>
      </c>
      <c r="E130" s="63">
        <f t="shared" si="4"/>
        <v>180520</v>
      </c>
    </row>
    <row r="131" spans="1:7" x14ac:dyDescent="0.3">
      <c r="A131" s="2">
        <v>10</v>
      </c>
      <c r="C131" s="38" t="s">
        <v>148</v>
      </c>
      <c r="D131" s="42">
        <f>TRUNC(63339,-1)</f>
        <v>63330</v>
      </c>
      <c r="E131" s="63">
        <f t="shared" si="4"/>
        <v>209350</v>
      </c>
    </row>
    <row r="132" spans="1:7" ht="18" thickBot="1" x14ac:dyDescent="0.35">
      <c r="A132" s="2">
        <v>11</v>
      </c>
      <c r="C132" s="38" t="s">
        <v>47</v>
      </c>
      <c r="D132" s="43">
        <f>TRUNC(2164+1493,-1)</f>
        <v>3650</v>
      </c>
      <c r="E132" s="64">
        <f t="shared" si="4"/>
        <v>12060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162600</v>
      </c>
      <c r="E133" s="39">
        <f>SUM(E122:E132)</f>
        <v>537470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TRUNC(2944,-1)</f>
        <v>2940</v>
      </c>
      <c r="E137" s="63">
        <f t="shared" si="5"/>
        <v>9710</v>
      </c>
    </row>
    <row r="138" spans="1:7" x14ac:dyDescent="0.3">
      <c r="A138" s="2">
        <v>3</v>
      </c>
      <c r="C138" s="38" t="s">
        <v>60</v>
      </c>
      <c r="D138" s="42">
        <f>TRUNC(7863,-1)</f>
        <v>7860</v>
      </c>
      <c r="E138" s="63">
        <f t="shared" si="5"/>
        <v>25980</v>
      </c>
    </row>
    <row r="139" spans="1:7" x14ac:dyDescent="0.3">
      <c r="A139" s="2">
        <v>4</v>
      </c>
      <c r="C139" s="38" t="s">
        <v>61</v>
      </c>
      <c r="D139" s="42">
        <f>TRUNC(1373,-1)</f>
        <v>1370</v>
      </c>
      <c r="E139" s="63">
        <f t="shared" si="5"/>
        <v>4520</v>
      </c>
    </row>
    <row r="140" spans="1:7" x14ac:dyDescent="0.3">
      <c r="A140" s="2">
        <v>5</v>
      </c>
      <c r="C140" s="38" t="s">
        <v>57</v>
      </c>
      <c r="D140" s="42">
        <f>TRUNC(1833,-1)</f>
        <v>1830</v>
      </c>
      <c r="E140" s="63">
        <f t="shared" si="5"/>
        <v>6040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TRUNC(9952,-1)</f>
        <v>9950</v>
      </c>
      <c r="E142" s="63">
        <f t="shared" si="5"/>
        <v>32890</v>
      </c>
    </row>
    <row r="143" spans="1:7" x14ac:dyDescent="0.3">
      <c r="A143" s="2">
        <v>8</v>
      </c>
      <c r="C143" s="38" t="s">
        <v>62</v>
      </c>
      <c r="D143" s="42">
        <f>TRUNC(4663,-1)</f>
        <v>4660</v>
      </c>
      <c r="E143" s="63">
        <f t="shared" si="5"/>
        <v>15400</v>
      </c>
    </row>
    <row r="144" spans="1:7" x14ac:dyDescent="0.3">
      <c r="A144" s="2">
        <v>9</v>
      </c>
      <c r="C144" s="38" t="s">
        <v>63</v>
      </c>
      <c r="D144" s="42">
        <f>TRUNC(24728,-1)</f>
        <v>24720</v>
      </c>
      <c r="E144" s="63">
        <f t="shared" si="5"/>
        <v>81710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53330</v>
      </c>
      <c r="E146" s="39">
        <f>SUM(E136:E145)</f>
        <v>176250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TRUNC(13362+2447,-1)</f>
        <v>15800</v>
      </c>
      <c r="E149" s="62">
        <f>TRUNC(+D149*3.3058,-1)</f>
        <v>52230</v>
      </c>
      <c r="F149" s="2" t="s">
        <v>257</v>
      </c>
    </row>
    <row r="150" spans="1:7" x14ac:dyDescent="0.3">
      <c r="A150" s="2">
        <v>2</v>
      </c>
      <c r="C150" s="38" t="s">
        <v>49</v>
      </c>
      <c r="D150" s="42">
        <f>TRUNC(9239,-1)</f>
        <v>9230</v>
      </c>
      <c r="E150" s="63">
        <f>TRUNC(+D150*3.3058,-1)</f>
        <v>30510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TRUNC(25+4797+5+2531,-1)</f>
        <v>7350</v>
      </c>
      <c r="E152" s="63">
        <f>TRUNC(+D152*3.3058,-1)</f>
        <v>24290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32380</v>
      </c>
      <c r="E154" s="39">
        <f>SUM(E149:E153)</f>
        <v>107030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TRUNC(18911,-1)</f>
        <v>18910</v>
      </c>
      <c r="E157" s="62">
        <f>TRUNC(+D157*3.3058,-1)</f>
        <v>62510</v>
      </c>
    </row>
    <row r="158" spans="1:7" x14ac:dyDescent="0.3">
      <c r="A158" s="2">
        <v>2</v>
      </c>
      <c r="C158" s="38" t="s">
        <v>52</v>
      </c>
      <c r="D158" s="42">
        <f>TRUNC(8776,-1)</f>
        <v>8770</v>
      </c>
      <c r="E158" s="63">
        <f>TRUNC(+D158*3.3058,-1)</f>
        <v>28990</v>
      </c>
      <c r="F158" s="2" t="s">
        <v>260</v>
      </c>
    </row>
    <row r="159" spans="1:7" x14ac:dyDescent="0.3">
      <c r="A159" s="2">
        <v>3</v>
      </c>
      <c r="C159" s="38" t="s">
        <v>47</v>
      </c>
      <c r="D159" s="42">
        <f>TRUNC(15798+9,-1)</f>
        <v>15800</v>
      </c>
      <c r="E159" s="63">
        <f>TRUNC(+D159*3.3058,-1)</f>
        <v>52230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43480</v>
      </c>
      <c r="E161" s="39">
        <f>SUM(E157:E160)</f>
        <v>143730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2020-12-08T04:02:41Z</dcterms:modified>
</cp:coreProperties>
</file>