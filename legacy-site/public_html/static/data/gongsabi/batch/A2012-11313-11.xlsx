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2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8" i="4" l="1"/>
  <c r="D118" i="4"/>
  <c r="D64" i="4"/>
  <c r="D58" i="4"/>
  <c r="D131" i="4" l="1"/>
  <c r="D117" i="4"/>
  <c r="D93" i="4"/>
  <c r="D59" i="4"/>
  <c r="D102" i="4" l="1"/>
  <c r="E118" i="4"/>
  <c r="D99" i="4"/>
  <c r="E99" i="4" s="1"/>
  <c r="D100" i="4"/>
  <c r="E160" i="4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1" i="4"/>
  <c r="E129" i="4"/>
  <c r="E127" i="4"/>
  <c r="E126" i="4"/>
  <c r="E123" i="4"/>
  <c r="E117" i="4"/>
  <c r="E116" i="4"/>
  <c r="E115" i="4"/>
  <c r="E113" i="4"/>
  <c r="E112" i="4"/>
  <c r="E111" i="4"/>
  <c r="E110" i="4"/>
  <c r="E109" i="4"/>
  <c r="E108" i="4"/>
  <c r="E107" i="4"/>
  <c r="E106" i="4"/>
  <c r="E103" i="4"/>
  <c r="E102" i="4"/>
  <c r="E101" i="4"/>
  <c r="E100" i="4"/>
  <c r="E93" i="4"/>
  <c r="E90" i="4"/>
  <c r="E88" i="4"/>
  <c r="E87" i="4"/>
  <c r="E86" i="4"/>
  <c r="E85" i="4"/>
  <c r="E83" i="4"/>
  <c r="E82" i="4"/>
  <c r="E81" i="4"/>
  <c r="E80" i="4"/>
  <c r="E79" i="4"/>
  <c r="E78" i="4"/>
  <c r="E77" i="4"/>
  <c r="E76" i="4"/>
  <c r="E75" i="4"/>
  <c r="E74" i="4"/>
  <c r="E71" i="4"/>
  <c r="E70" i="4"/>
  <c r="E65" i="4"/>
  <c r="E64" i="4"/>
  <c r="E59" i="4"/>
  <c r="E58" i="4"/>
  <c r="E57" i="4"/>
  <c r="E56" i="4"/>
  <c r="E54" i="4"/>
  <c r="D137" i="4" l="1"/>
  <c r="E137" i="4" s="1"/>
  <c r="D128" i="4"/>
  <c r="E128" i="4" s="1"/>
  <c r="D124" i="4"/>
  <c r="E124" i="4" s="1"/>
  <c r="D132" i="4"/>
  <c r="E132" i="4" s="1"/>
  <c r="D125" i="4"/>
  <c r="E125" i="4" s="1"/>
  <c r="D122" i="4"/>
  <c r="E122" i="4" s="1"/>
  <c r="E133" i="4" s="1"/>
  <c r="D130" i="4"/>
  <c r="E130" i="4" s="1"/>
  <c r="D104" i="4"/>
  <c r="E104" i="4" s="1"/>
  <c r="E119" i="4" s="1"/>
  <c r="D105" i="4"/>
  <c r="E105" i="4" s="1"/>
  <c r="D98" i="4"/>
  <c r="E98" i="4" s="1"/>
  <c r="D114" i="4"/>
  <c r="E114" i="4" s="1"/>
  <c r="D73" i="4"/>
  <c r="E73" i="4" s="1"/>
  <c r="D94" i="4"/>
  <c r="E94" i="4" s="1"/>
  <c r="D136" i="4"/>
  <c r="E136" i="4" s="1"/>
  <c r="D84" i="4"/>
  <c r="E84" i="4" s="1"/>
  <c r="D72" i="4"/>
  <c r="E72" i="4" s="1"/>
  <c r="D91" i="4"/>
  <c r="E91" i="4" s="1"/>
  <c r="D89" i="4"/>
  <c r="E89" i="4" s="1"/>
  <c r="D92" i="4"/>
  <c r="E92" i="4" s="1"/>
  <c r="D69" i="4"/>
  <c r="E69" i="4" s="1"/>
  <c r="E95" i="4" s="1"/>
  <c r="D152" i="4"/>
  <c r="E152" i="4" s="1"/>
  <c r="E154" i="4" s="1"/>
  <c r="D63" i="4"/>
  <c r="E63" i="4" s="1"/>
  <c r="E66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E60" i="4" s="1"/>
  <c r="D41" i="4"/>
  <c r="E41" i="4" s="1"/>
  <c r="D40" i="4"/>
  <c r="E40" i="4" s="1"/>
  <c r="D37" i="4"/>
  <c r="E37" i="4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6" i="4"/>
  <c r="D133" i="4"/>
  <c r="D29" i="4" s="1"/>
  <c r="D161" i="4"/>
  <c r="D32" i="4"/>
  <c r="E32" i="4" s="1"/>
  <c r="D7" i="4"/>
  <c r="O31" i="1"/>
  <c r="M31" i="1"/>
  <c r="D26" i="4"/>
  <c r="D154" i="4"/>
  <c r="D31" i="4"/>
  <c r="E31" i="4" s="1"/>
  <c r="D60" i="4" l="1"/>
  <c r="D25" i="4" s="1"/>
  <c r="E25" i="4" s="1"/>
  <c r="D146" i="4"/>
  <c r="D30" i="4" s="1"/>
  <c r="E30" i="4" s="1"/>
  <c r="E146" i="4"/>
  <c r="D119" i="4"/>
  <c r="D28" i="4" s="1"/>
  <c r="D95" i="4"/>
  <c r="D27" i="4" s="1"/>
  <c r="E27" i="4" s="1"/>
  <c r="E26" i="4"/>
  <c r="E29" i="4"/>
  <c r="E28" i="4"/>
  <c r="D33" i="4"/>
  <c r="D34" i="4" s="1"/>
  <c r="E33" i="4" l="1"/>
  <c r="E34" i="4" s="1"/>
</calcChain>
</file>

<file path=xl/sharedStrings.xml><?xml version="1.0" encoding="utf-8"?>
<sst xmlns="http://schemas.openxmlformats.org/spreadsheetml/2006/main" count="392" uniqueCount="327">
  <si>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</si>
  <si>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</si>
  <si>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</si>
  <si>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</si>
  <si>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</si>
  <si>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</si>
  <si>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</si>
  <si>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</si>
  <si>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</si>
  <si>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</si>
  <si>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</si>
  <si>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</si>
  <si>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</si>
  <si>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</si>
  <si>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</si>
  <si>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</si>
  <si>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</si>
  <si>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</si>
  <si>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</si>
  <si>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</si>
  <si>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</si>
  <si>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</si>
  <si>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</si>
  <si>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</si>
  <si>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</si>
  <si>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</si>
  <si>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</si>
  <si>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</si>
  <si>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</si>
  <si>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</si>
  <si>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</si>
  <si>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</si>
  <si>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</si>
  <si>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</si>
  <si>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</si>
  <si>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</si>
  <si>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</si>
  <si>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</si>
  <si>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</si>
  <si>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</si>
  <si>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</si>
  <si>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</si>
  <si>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</si>
  <si>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</si>
  <si>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</si>
  <si>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</si>
  <si>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</si>
  <si>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</si>
  <si>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</si>
  <si>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</si>
  <si>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</si>
  <si>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</si>
  <si>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</si>
  <si>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</si>
  <si>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</si>
  <si>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</si>
  <si>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</si>
  <si>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</si>
  <si>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</si>
  <si>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</si>
  <si>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</si>
  <si>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</si>
  <si>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</si>
  <si>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</si>
  <si>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</si>
  <si>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</si>
  <si>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</si>
  <si>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</si>
  <si>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</si>
  <si>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</si>
  <si>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</si>
  <si>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</si>
  <si>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</si>
  <si>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</si>
  <si>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</si>
  <si>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</si>
  <si>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</si>
  <si>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</si>
  <si>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</si>
  <si>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</si>
  <si>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</si>
  <si>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</si>
  <si>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</si>
  <si>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</si>
  <si>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</si>
  <si>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</si>
  <si>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</si>
  <si>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</si>
  <si>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</si>
  <si>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</si>
  <si>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</si>
  <si>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</si>
  <si>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</si>
  <si>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</si>
  <si>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</si>
  <si>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</si>
  <si>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</si>
  <si>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</si>
  <si>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</si>
  <si>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</si>
  <si>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</si>
  <si>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</si>
  <si>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</si>
  <si>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</si>
  <si>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</si>
  <si>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</si>
  <si>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</si>
  <si>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</si>
  <si>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</si>
  <si>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</si>
  <si>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</si>
  <si>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</si>
  <si>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</si>
  <si>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</si>
  <si>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</si>
  <si>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</si>
  <si>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</si>
  <si>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</si>
  <si>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</si>
  <si>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</si>
  <si>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</si>
  <si>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</si>
  <si>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</si>
  <si>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</si>
  <si>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</si>
  <si>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</si>
  <si>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</si>
  <si>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</si>
  <si>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</si>
  <si>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</si>
  <si>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</si>
  <si>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</si>
  <si>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</si>
  <si>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</si>
  <si>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</si>
  <si>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</si>
  <si>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</si>
  <si>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</si>
  <si>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</si>
  <si>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</si>
  <si>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</si>
  <si>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</si>
  <si>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</si>
  <si>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</si>
  <si>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</si>
  <si>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</si>
  <si>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</si>
  <si>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</si>
  <si>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</si>
  <si>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</si>
  <si>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</si>
  <si>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</si>
  <si>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</si>
  <si>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</si>
  <si>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</si>
  <si>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</si>
  <si>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</si>
  <si>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</si>
  <si>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</si>
  <si>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</si>
  <si>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</si>
  <si>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</si>
  <si>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</si>
  <si>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</si>
  <si>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</si>
  <si>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</si>
  <si>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</si>
  <si>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</si>
  <si>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</si>
  <si>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</si>
  <si>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</si>
  <si>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</si>
  <si>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</si>
  <si>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</si>
  <si>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</si>
  <si>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</si>
  <si>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</si>
  <si>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</si>
  <si>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</si>
  <si>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</si>
  <si>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</si>
  <si>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</si>
  <si>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</si>
  <si>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</si>
  <si>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</si>
  <si>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</si>
  <si>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</si>
  <si>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</si>
  <si>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</si>
  <si>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</si>
  <si>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</si>
  <si>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</si>
  <si>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</si>
  <si>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</si>
  <si>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</si>
  <si>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</si>
  <si>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</si>
  <si>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</si>
  <si>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</si>
  <si>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</si>
  <si>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</si>
  <si>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</si>
  <si>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</si>
  <si>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</si>
  <si>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</si>
  <si>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</si>
  <si>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</si>
  <si>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</si>
  <si>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</si>
  <si>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</si>
  <si>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</si>
  <si>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</si>
  <si>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</si>
  <si>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</si>
  <si>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</si>
  <si>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</si>
  <si>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</si>
  <si>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</si>
  <si>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</si>
  <si>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</si>
  <si>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</si>
  <si>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</si>
  <si>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</si>
  <si>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</si>
  <si>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</si>
  <si>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</si>
  <si>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</si>
  <si>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</si>
  <si>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</si>
  <si>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</si>
  <si>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</si>
  <si>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</si>
  <si>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</si>
  <si>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</si>
  <si>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</si>
  <si>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</si>
  <si>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</si>
  <si>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</si>
  <si>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</si>
  <si>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</si>
  <si>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</si>
  <si>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</si>
  <si>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</si>
  <si>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</si>
  <si>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</si>
  <si>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</si>
  <si>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</si>
  <si>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</si>
  <si>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</si>
  <si>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</si>
  <si>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</si>
  <si>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</si>
  <si>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</si>
  <si>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</si>
  <si>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</si>
  <si>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</si>
  <si>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</si>
  <si>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</si>
  <si>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</si>
  <si>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</si>
  <si>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</si>
  <si>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</si>
  <si>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</si>
  <si>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</si>
  <si>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</si>
  <si>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</si>
  <si>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</si>
  <si>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</si>
  <si>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</si>
  <si>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</si>
  <si>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</si>
  <si>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</si>
  <si>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</si>
  <si>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</si>
  <si>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</si>
  <si>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</si>
  <si>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</si>
  <si>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</si>
  <si>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</si>
  <si>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</si>
  <si>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</si>
  <si>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</si>
  <si>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</si>
  <si>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</si>
  <si>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</si>
  <si>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</si>
  <si>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</si>
  <si>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</si>
  <si>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</si>
  <si>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</si>
  <si>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</si>
  <si>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</si>
  <si>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</si>
  <si>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</si>
  <si>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</si>
  <si>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</si>
  <si>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</si>
  <si>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</si>
  <si>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</si>
  <si>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</si>
  <si>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</si>
  <si>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</si>
  <si>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</si>
  <si>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</si>
  <si>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</si>
  <si>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</si>
  <si>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</si>
  <si>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</si>
  <si>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00중 교사 신축공사</t>
  </si>
  <si>
    <t>교육연구</t>
  </si>
  <si>
    <t>전라도</t>
  </si>
  <si>
    <t>토목공사,조경공사</t>
    <phoneticPr fontId="2" type="noConversion"/>
  </si>
  <si>
    <t>기계소방공사</t>
    <phoneticPr fontId="2" type="noConversion"/>
  </si>
  <si>
    <t>옥외위생배관공사,빗물이용설비공사,무대장치설비공사,신재생에너지</t>
    <phoneticPr fontId="2" type="noConversion"/>
  </si>
  <si>
    <t>옥외간선및전기실설비공사,옥외보안등설비공사</t>
    <phoneticPr fontId="2" type="noConversion"/>
  </si>
  <si>
    <t>전기소방공사</t>
    <phoneticPr fontId="2" type="noConversion"/>
  </si>
  <si>
    <t>CCTV설비공사</t>
  </si>
  <si>
    <t>기계실동력설비공사,주방동력설비공사</t>
    <phoneticPr fontId="2" type="noConversion"/>
  </si>
  <si>
    <t>전열설비, 24h전열설비공사</t>
    <phoneticPr fontId="2" type="noConversion"/>
  </si>
  <si>
    <t>커텐제작설치,기타공사,골재대및운반비,작업부산물,폐기물차리비</t>
    <phoneticPr fontId="2" type="noConversion"/>
  </si>
  <si>
    <t>최대전력제어장치공사</t>
    <phoneticPr fontId="2" type="noConversion"/>
  </si>
  <si>
    <t>환기유니트및냉난방설비공사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</si>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</sst>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324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8729</v>
      </c>
      <c r="D7" s="36">
        <f>+C7/3.3058</f>
        <v>2640.5106177022203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74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325</v>
      </c>
    </row>
    <row r="19" spans="1:5" x14ac:dyDescent="0.3">
      <c r="A19" s="2">
        <v>9</v>
      </c>
      <c r="B19" s="2" t="s">
        <v>326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1900</v>
      </c>
      <c r="E24" s="59">
        <f t="shared" ref="E24:E33" si="0">TRUNC(+D24*3.3058,-1)</f>
        <v>6280</v>
      </c>
    </row>
    <row r="25" spans="1:5" x14ac:dyDescent="0.3">
      <c r="B25" s="2">
        <v>2</v>
      </c>
      <c r="C25" s="35" t="s">
        <v>45</v>
      </c>
      <c r="D25" s="47">
        <f>+D60</f>
        <v>853710</v>
      </c>
      <c r="E25" s="60">
        <f t="shared" si="0"/>
        <v>2822190</v>
      </c>
    </row>
    <row r="26" spans="1:5" x14ac:dyDescent="0.3">
      <c r="B26" s="2">
        <v>3</v>
      </c>
      <c r="C26" s="35" t="s">
        <v>29</v>
      </c>
      <c r="D26" s="47">
        <f>+D66</f>
        <v>7920</v>
      </c>
      <c r="E26" s="60">
        <f t="shared" si="0"/>
        <v>26180</v>
      </c>
    </row>
    <row r="27" spans="1:5" x14ac:dyDescent="0.3">
      <c r="B27" s="2">
        <v>4</v>
      </c>
      <c r="C27" s="35" t="s">
        <v>30</v>
      </c>
      <c r="D27" s="47">
        <f>+D95</f>
        <v>192670</v>
      </c>
      <c r="E27" s="60">
        <f t="shared" si="0"/>
        <v>636920</v>
      </c>
    </row>
    <row r="28" spans="1:5" x14ac:dyDescent="0.3">
      <c r="B28" s="2">
        <v>5</v>
      </c>
      <c r="C28" s="35" t="s">
        <v>31</v>
      </c>
      <c r="D28" s="47">
        <f>+D119</f>
        <v>101630</v>
      </c>
      <c r="E28" s="60">
        <f t="shared" si="0"/>
        <v>335960</v>
      </c>
    </row>
    <row r="29" spans="1:5" x14ac:dyDescent="0.3">
      <c r="B29" s="2">
        <v>6</v>
      </c>
      <c r="C29" s="35" t="s">
        <v>32</v>
      </c>
      <c r="D29" s="47">
        <f>+D133</f>
        <v>68430</v>
      </c>
      <c r="E29" s="60">
        <f t="shared" si="0"/>
        <v>226210</v>
      </c>
    </row>
    <row r="30" spans="1:5" x14ac:dyDescent="0.3">
      <c r="B30" s="2">
        <v>7</v>
      </c>
      <c r="C30" s="35" t="s">
        <v>33</v>
      </c>
      <c r="D30" s="47">
        <f>+D146</f>
        <v>20510</v>
      </c>
      <c r="E30" s="60">
        <f t="shared" si="0"/>
        <v>67800</v>
      </c>
    </row>
    <row r="31" spans="1:5" x14ac:dyDescent="0.3">
      <c r="B31" s="2">
        <v>8</v>
      </c>
      <c r="C31" s="35" t="s">
        <v>34</v>
      </c>
      <c r="D31" s="47">
        <f>+D154</f>
        <v>84410</v>
      </c>
      <c r="E31" s="60">
        <f t="shared" si="0"/>
        <v>279040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366070</v>
      </c>
      <c r="E33" s="61">
        <f t="shared" si="0"/>
        <v>1210150</v>
      </c>
    </row>
    <row r="34" spans="1:5" x14ac:dyDescent="0.3">
      <c r="C34" s="35" t="s">
        <v>46</v>
      </c>
      <c r="D34" s="46">
        <f>SUM(D24:D33)</f>
        <v>1697250</v>
      </c>
      <c r="E34" s="46">
        <f>SUM(E24:E33)</f>
        <v>5610730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f>TRUNC(1907,-1)</f>
        <v>1900</v>
      </c>
      <c r="E37" s="62">
        <f>TRUNC(+D37*3.3058,-1)</f>
        <v>6280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322</v>
      </c>
      <c r="E39" s="68" t="s">
        <v>323</v>
      </c>
    </row>
    <row r="40" spans="1:5" x14ac:dyDescent="0.3">
      <c r="A40" s="2">
        <v>1</v>
      </c>
      <c r="C40" s="39" t="s">
        <v>75</v>
      </c>
      <c r="D40" s="42">
        <f>TRUNC(29500,-1)</f>
        <v>29500</v>
      </c>
      <c r="E40" s="63">
        <f t="shared" ref="E40:E59" si="1">TRUNC(+D40*3.3058,-1)</f>
        <v>97520</v>
      </c>
    </row>
    <row r="41" spans="1:5" x14ac:dyDescent="0.3">
      <c r="A41" s="2">
        <v>2</v>
      </c>
      <c r="C41" s="39" t="s">
        <v>6</v>
      </c>
      <c r="D41" s="44">
        <f>TRUNC(136386,-1)</f>
        <v>136380</v>
      </c>
      <c r="E41" s="64">
        <f t="shared" si="1"/>
        <v>450840</v>
      </c>
    </row>
    <row r="42" spans="1:5" x14ac:dyDescent="0.3">
      <c r="A42" s="2">
        <v>3</v>
      </c>
      <c r="C42" s="39" t="s">
        <v>7</v>
      </c>
      <c r="D42" s="44">
        <f>TRUNC(11241,-1)</f>
        <v>11240</v>
      </c>
      <c r="E42" s="64">
        <f t="shared" si="1"/>
        <v>37150</v>
      </c>
    </row>
    <row r="43" spans="1:5" x14ac:dyDescent="0.3">
      <c r="A43" s="2">
        <v>4</v>
      </c>
      <c r="C43" s="39" t="s">
        <v>8</v>
      </c>
      <c r="D43" s="44">
        <f>TRUNC(25671,-1)</f>
        <v>25670</v>
      </c>
      <c r="E43" s="64">
        <f t="shared" si="1"/>
        <v>84850</v>
      </c>
    </row>
    <row r="44" spans="1:5" x14ac:dyDescent="0.3">
      <c r="A44" s="2">
        <v>5</v>
      </c>
      <c r="C44" s="39" t="s">
        <v>9</v>
      </c>
      <c r="D44" s="44">
        <f>TRUNC(20133,-1)</f>
        <v>20130</v>
      </c>
      <c r="E44" s="64">
        <f t="shared" si="1"/>
        <v>66540</v>
      </c>
    </row>
    <row r="45" spans="1:5" x14ac:dyDescent="0.3">
      <c r="A45" s="2">
        <v>6</v>
      </c>
      <c r="C45" s="39" t="s">
        <v>10</v>
      </c>
      <c r="D45" s="44">
        <f>TRUNC(9111,-1)</f>
        <v>9110</v>
      </c>
      <c r="E45" s="64">
        <f t="shared" si="1"/>
        <v>30110</v>
      </c>
    </row>
    <row r="46" spans="1:5" x14ac:dyDescent="0.3">
      <c r="A46" s="2">
        <v>7</v>
      </c>
      <c r="C46" s="39" t="s">
        <v>11</v>
      </c>
      <c r="D46" s="44">
        <f>TRUNC(20156,-1)</f>
        <v>20150</v>
      </c>
      <c r="E46" s="64">
        <f t="shared" si="1"/>
        <v>66610</v>
      </c>
    </row>
    <row r="47" spans="1:5" x14ac:dyDescent="0.3">
      <c r="A47" s="2">
        <v>8</v>
      </c>
      <c r="C47" s="39" t="s">
        <v>12</v>
      </c>
      <c r="D47" s="44">
        <f>TRUNC(23833,-1)</f>
        <v>23830</v>
      </c>
      <c r="E47" s="64">
        <f t="shared" si="1"/>
        <v>78770</v>
      </c>
    </row>
    <row r="48" spans="1:5" x14ac:dyDescent="0.3">
      <c r="A48" s="2">
        <v>9</v>
      </c>
      <c r="C48" s="39" t="s">
        <v>13</v>
      </c>
      <c r="D48" s="44">
        <f>TRUNC(79004,-1)</f>
        <v>79000</v>
      </c>
      <c r="E48" s="64">
        <f t="shared" si="1"/>
        <v>261150</v>
      </c>
    </row>
    <row r="49" spans="1:6" x14ac:dyDescent="0.3">
      <c r="A49" s="2">
        <v>10</v>
      </c>
      <c r="C49" s="39" t="s">
        <v>14</v>
      </c>
      <c r="D49" s="44">
        <f>TRUNC(21550,-1)</f>
        <v>21550</v>
      </c>
      <c r="E49" s="64">
        <f t="shared" si="1"/>
        <v>71230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TRUNC(20142,-1)</f>
        <v>20140</v>
      </c>
      <c r="E50" s="64">
        <f t="shared" si="1"/>
        <v>66570</v>
      </c>
      <c r="F50" s="2"/>
    </row>
    <row r="51" spans="1:6" x14ac:dyDescent="0.3">
      <c r="A51" s="2">
        <v>12</v>
      </c>
      <c r="C51" s="39" t="s">
        <v>16</v>
      </c>
      <c r="D51" s="44">
        <f>TRUNC(18088,-1)</f>
        <v>18080</v>
      </c>
      <c r="E51" s="64">
        <f t="shared" si="1"/>
        <v>59760</v>
      </c>
    </row>
    <row r="52" spans="1:6" x14ac:dyDescent="0.3">
      <c r="A52" s="2">
        <v>13</v>
      </c>
      <c r="C52" s="39" t="s">
        <v>17</v>
      </c>
      <c r="D52" s="44">
        <f>TRUNC(8595,-1)</f>
        <v>8590</v>
      </c>
      <c r="E52" s="64">
        <f t="shared" si="1"/>
        <v>28390</v>
      </c>
    </row>
    <row r="53" spans="1:6" x14ac:dyDescent="0.3">
      <c r="A53" s="2">
        <v>14</v>
      </c>
      <c r="C53" s="39" t="s">
        <v>18</v>
      </c>
      <c r="D53" s="44">
        <f>TRUNC(46888,-1)</f>
        <v>46880</v>
      </c>
      <c r="E53" s="64">
        <f t="shared" si="1"/>
        <v>154970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TRUNC(13891,-1)</f>
        <v>13890</v>
      </c>
      <c r="E55" s="64">
        <f t="shared" si="1"/>
        <v>45910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TRUNC(3732+4908-1209+272,-1)</f>
        <v>7700</v>
      </c>
      <c r="E58" s="64">
        <f t="shared" si="1"/>
        <v>25450</v>
      </c>
      <c r="F58" s="2" t="s">
        <v>319</v>
      </c>
    </row>
    <row r="59" spans="1:6" ht="17.25" thickBot="1" x14ac:dyDescent="0.35">
      <c r="A59" s="2">
        <v>20</v>
      </c>
      <c r="C59" s="39" t="s">
        <v>56</v>
      </c>
      <c r="D59" s="45">
        <f>TRUNC(361878.973307366,-1)</f>
        <v>361870</v>
      </c>
      <c r="E59" s="65">
        <f t="shared" si="1"/>
        <v>1196260</v>
      </c>
    </row>
    <row r="60" spans="1:6" x14ac:dyDescent="0.3">
      <c r="A60" s="2">
        <v>21</v>
      </c>
      <c r="C60" s="27" t="s">
        <v>46</v>
      </c>
      <c r="D60" s="40">
        <f>SUM(D40:D59)</f>
        <v>853710</v>
      </c>
      <c r="E60" s="40">
        <f>SUM(E40:E59)</f>
        <v>2822080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TRUNC(5122,-1)</f>
        <v>5120</v>
      </c>
      <c r="E63" s="63">
        <f>TRUNC(+D63*3.3058,-1)</f>
        <v>16920</v>
      </c>
    </row>
    <row r="64" spans="1:6" x14ac:dyDescent="0.3">
      <c r="A64" s="2">
        <v>2</v>
      </c>
      <c r="C64" s="39" t="s">
        <v>22</v>
      </c>
      <c r="D64" s="44">
        <f>TRUNC(2800,-1)</f>
        <v>2800</v>
      </c>
      <c r="E64" s="64">
        <f>TRUNC(+D64*3.3058,-1)</f>
        <v>9250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7920</v>
      </c>
      <c r="E66" s="66">
        <f>SUM(E63:E65)</f>
        <v>26170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f>TRUNC(9975,-1)</f>
        <v>9970</v>
      </c>
      <c r="E69" s="63">
        <f t="shared" ref="E69:E94" si="2">TRUNC(+D69*3.3058,-1)</f>
        <v>32950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f>TRUNC(1997,-1)</f>
        <v>1990</v>
      </c>
      <c r="E72" s="64">
        <f t="shared" si="2"/>
        <v>6570</v>
      </c>
    </row>
    <row r="73" spans="1:5" x14ac:dyDescent="0.3">
      <c r="A73" s="2">
        <v>5</v>
      </c>
      <c r="C73" s="39" t="s">
        <v>82</v>
      </c>
      <c r="D73" s="44">
        <f>TRUNC(15192,-1)</f>
        <v>15190</v>
      </c>
      <c r="E73" s="64">
        <f t="shared" si="2"/>
        <v>50210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93</v>
      </c>
      <c r="D84" s="44">
        <f>TRUNC(448,-1)</f>
        <v>440</v>
      </c>
      <c r="E84" s="64">
        <f t="shared" si="2"/>
        <v>1450</v>
      </c>
    </row>
    <row r="85" spans="1:6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98</v>
      </c>
      <c r="D89" s="44">
        <f>TRUNC(5673,-1)</f>
        <v>5670</v>
      </c>
      <c r="E89" s="64">
        <f t="shared" si="2"/>
        <v>18740</v>
      </c>
    </row>
    <row r="90" spans="1:6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6" x14ac:dyDescent="0.3">
      <c r="A91" s="2">
        <v>23</v>
      </c>
      <c r="C91" s="39" t="s">
        <v>100</v>
      </c>
      <c r="D91" s="44">
        <f>TRUNC(5570,-1)</f>
        <v>5570</v>
      </c>
      <c r="E91" s="64">
        <f t="shared" si="2"/>
        <v>18410</v>
      </c>
    </row>
    <row r="92" spans="1:6" x14ac:dyDescent="0.3">
      <c r="A92" s="2">
        <v>24</v>
      </c>
      <c r="C92" s="39" t="s">
        <v>101</v>
      </c>
      <c r="D92" s="44">
        <f>TRUNC(11148,-1)</f>
        <v>11140</v>
      </c>
      <c r="E92" s="64">
        <f t="shared" si="2"/>
        <v>36820</v>
      </c>
    </row>
    <row r="93" spans="1:6" x14ac:dyDescent="0.3">
      <c r="A93" s="2">
        <v>25</v>
      </c>
      <c r="C93" s="39" t="s">
        <v>102</v>
      </c>
      <c r="D93" s="44">
        <f>TRUNC(66098,-1)</f>
        <v>66090</v>
      </c>
      <c r="E93" s="64">
        <f t="shared" si="2"/>
        <v>218480</v>
      </c>
    </row>
    <row r="94" spans="1:6" ht="17.25" thickBot="1" x14ac:dyDescent="0.35">
      <c r="A94" s="2">
        <v>26</v>
      </c>
      <c r="C94" s="39" t="s">
        <v>103</v>
      </c>
      <c r="D94" s="45">
        <f>TRUNC(1711+4342+3674+66889,-1)</f>
        <v>76610</v>
      </c>
      <c r="E94" s="65">
        <f t="shared" si="2"/>
        <v>253250</v>
      </c>
      <c r="F94" s="2" t="s">
        <v>313</v>
      </c>
    </row>
    <row r="95" spans="1:6" x14ac:dyDescent="0.3">
      <c r="A95" s="2">
        <v>27</v>
      </c>
      <c r="C95" s="27" t="s">
        <v>104</v>
      </c>
      <c r="D95" s="40">
        <f>SUM(D69:D94)</f>
        <v>192670</v>
      </c>
      <c r="E95" s="40">
        <f>SUM(E69:E94)</f>
        <v>636880</v>
      </c>
    </row>
    <row r="96" spans="1:6" s="48" customFormat="1" x14ac:dyDescent="0.3">
      <c r="C96" s="49"/>
      <c r="D96" s="49"/>
      <c r="E96" s="49"/>
    </row>
    <row r="97" spans="1:6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6" x14ac:dyDescent="0.3">
      <c r="A98" s="2">
        <v>1</v>
      </c>
      <c r="C98" s="29" t="s">
        <v>106</v>
      </c>
      <c r="D98" s="42">
        <f>TRUNC(11699,-1)</f>
        <v>11690</v>
      </c>
      <c r="E98" s="63">
        <f t="shared" ref="E98:E118" si="3">TRUNC(+D98*3.3058,-1)</f>
        <v>38640</v>
      </c>
    </row>
    <row r="99" spans="1:6" x14ac:dyDescent="0.3">
      <c r="A99" s="2">
        <v>2</v>
      </c>
      <c r="C99" s="29" t="s">
        <v>107</v>
      </c>
      <c r="D99" s="44">
        <f>TRUNC(1850+1355,-1)</f>
        <v>3200</v>
      </c>
      <c r="E99" s="64">
        <f t="shared" si="3"/>
        <v>10570</v>
      </c>
      <c r="F99" s="2" t="s">
        <v>317</v>
      </c>
    </row>
    <row r="100" spans="1:6" x14ac:dyDescent="0.3">
      <c r="A100" s="2">
        <v>3</v>
      </c>
      <c r="C100" s="29" t="s">
        <v>108</v>
      </c>
      <c r="D100" s="44">
        <f>TRUNC(21640,-1)</f>
        <v>21640</v>
      </c>
      <c r="E100" s="64">
        <f t="shared" si="3"/>
        <v>71530</v>
      </c>
    </row>
    <row r="101" spans="1:6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6" x14ac:dyDescent="0.3">
      <c r="A102" s="2">
        <v>5</v>
      </c>
      <c r="C102" s="29" t="s">
        <v>110</v>
      </c>
      <c r="D102" s="44">
        <f>TRUNC(12074+2010,-1)</f>
        <v>14080</v>
      </c>
      <c r="E102" s="64">
        <f t="shared" si="3"/>
        <v>46540</v>
      </c>
      <c r="F102" s="2" t="s">
        <v>318</v>
      </c>
    </row>
    <row r="103" spans="1:6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6" x14ac:dyDescent="0.3">
      <c r="A104" s="2">
        <v>7</v>
      </c>
      <c r="C104" s="29" t="s">
        <v>112</v>
      </c>
      <c r="D104" s="44">
        <f>TRUNC(4506,-1)</f>
        <v>4500</v>
      </c>
      <c r="E104" s="64">
        <f t="shared" si="3"/>
        <v>14870</v>
      </c>
    </row>
    <row r="105" spans="1:6" x14ac:dyDescent="0.3">
      <c r="A105" s="2">
        <v>8</v>
      </c>
      <c r="C105" s="29" t="s">
        <v>113</v>
      </c>
      <c r="D105" s="44">
        <f>TRUNC(2906,-1)</f>
        <v>2900</v>
      </c>
      <c r="E105" s="64">
        <f t="shared" si="3"/>
        <v>9580</v>
      </c>
    </row>
    <row r="106" spans="1:6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6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6" x14ac:dyDescent="0.3">
      <c r="A108" s="2">
        <v>11</v>
      </c>
      <c r="C108" s="29" t="s">
        <v>116</v>
      </c>
      <c r="D108" s="44">
        <f>TRUNC(5349,-1)</f>
        <v>5340</v>
      </c>
      <c r="E108" s="64">
        <f t="shared" si="3"/>
        <v>17650</v>
      </c>
      <c r="F108" s="2" t="s">
        <v>321</v>
      </c>
    </row>
    <row r="109" spans="1:6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6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6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6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f>TRUNC(1929+930,-1)</f>
        <v>2850</v>
      </c>
      <c r="E114" s="64">
        <f t="shared" si="3"/>
        <v>9420</v>
      </c>
      <c r="F114" s="2" t="s">
        <v>314</v>
      </c>
    </row>
    <row r="115" spans="1:6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f>TRUNC(34179.9747966548,-1)</f>
        <v>34170</v>
      </c>
      <c r="E117" s="64">
        <f t="shared" si="3"/>
        <v>112950</v>
      </c>
    </row>
    <row r="118" spans="1:6" ht="17.25" thickBot="1" x14ac:dyDescent="0.35">
      <c r="A118" s="2">
        <v>21</v>
      </c>
      <c r="C118" s="29" t="s">
        <v>103</v>
      </c>
      <c r="D118" s="45">
        <f>TRUNC(1265,-1)</f>
        <v>1260</v>
      </c>
      <c r="E118" s="65">
        <f t="shared" si="3"/>
        <v>4160</v>
      </c>
      <c r="F118" s="2" t="s">
        <v>320</v>
      </c>
    </row>
    <row r="119" spans="1:6" x14ac:dyDescent="0.3">
      <c r="A119" s="2">
        <v>22</v>
      </c>
      <c r="C119" s="27" t="s">
        <v>104</v>
      </c>
      <c r="D119" s="40">
        <f>SUM(D98:D118)</f>
        <v>101630</v>
      </c>
      <c r="E119" s="40">
        <f>SUM(E98:E118)</f>
        <v>335910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6" x14ac:dyDescent="0.3">
      <c r="A122" s="2">
        <v>1</v>
      </c>
      <c r="C122" s="29" t="s">
        <v>126</v>
      </c>
      <c r="D122" s="42">
        <f>TRUNC(2471,-1)</f>
        <v>2470</v>
      </c>
      <c r="E122" s="63">
        <f t="shared" ref="E122:E132" si="4">TRUNC(+D122*3.3058,-1)</f>
        <v>8160</v>
      </c>
    </row>
    <row r="123" spans="1:6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6" x14ac:dyDescent="0.3">
      <c r="A124" s="2">
        <v>3</v>
      </c>
      <c r="C124" s="29" t="s">
        <v>128</v>
      </c>
      <c r="D124" s="44">
        <f>TRUNC(923,-1)</f>
        <v>920</v>
      </c>
      <c r="E124" s="64">
        <f t="shared" si="4"/>
        <v>3040</v>
      </c>
    </row>
    <row r="125" spans="1:6" x14ac:dyDescent="0.3">
      <c r="A125" s="2">
        <v>4</v>
      </c>
      <c r="C125" s="29" t="s">
        <v>129</v>
      </c>
      <c r="D125" s="44">
        <f>TRUNC(4373,-1)</f>
        <v>4370</v>
      </c>
      <c r="E125" s="64">
        <f t="shared" si="4"/>
        <v>14440</v>
      </c>
    </row>
    <row r="126" spans="1:6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6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6" x14ac:dyDescent="0.3">
      <c r="A128" s="2">
        <v>7</v>
      </c>
      <c r="C128" s="29" t="s">
        <v>113</v>
      </c>
      <c r="D128" s="44">
        <f>TRUNC(2952,-1)</f>
        <v>2950</v>
      </c>
      <c r="E128" s="64">
        <f t="shared" si="4"/>
        <v>9750</v>
      </c>
    </row>
    <row r="129" spans="1:6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f>TRUNC(7441,-1)</f>
        <v>7440</v>
      </c>
      <c r="E130" s="64">
        <f t="shared" si="4"/>
        <v>24590</v>
      </c>
    </row>
    <row r="131" spans="1:6" x14ac:dyDescent="0.3">
      <c r="A131" s="2">
        <v>10</v>
      </c>
      <c r="C131" s="29" t="s">
        <v>102</v>
      </c>
      <c r="D131" s="44">
        <f>TRUNC(45792.3015236568,-1)</f>
        <v>45790</v>
      </c>
      <c r="E131" s="64">
        <f t="shared" si="4"/>
        <v>151370</v>
      </c>
    </row>
    <row r="132" spans="1:6" ht="17.25" thickBot="1" x14ac:dyDescent="0.35">
      <c r="A132" s="2">
        <v>11</v>
      </c>
      <c r="C132" s="29" t="s">
        <v>103</v>
      </c>
      <c r="D132" s="45">
        <f>TRUNC(4490,-1)</f>
        <v>4490</v>
      </c>
      <c r="E132" s="65">
        <f t="shared" si="4"/>
        <v>14840</v>
      </c>
      <c r="F132" s="2" t="s">
        <v>316</v>
      </c>
    </row>
    <row r="133" spans="1:6" x14ac:dyDescent="0.3">
      <c r="A133" s="2">
        <v>12</v>
      </c>
      <c r="C133" s="41" t="s">
        <v>104</v>
      </c>
      <c r="D133" s="40">
        <f>SUM(D122:D132)</f>
        <v>68430</v>
      </c>
      <c r="E133" s="40">
        <f>SUM(E122:E132)</f>
        <v>226190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6" x14ac:dyDescent="0.3">
      <c r="A136" s="2">
        <v>1</v>
      </c>
      <c r="C136" s="39" t="s">
        <v>135</v>
      </c>
      <c r="D136" s="42">
        <f>TRUNC(12782,-1)</f>
        <v>12780</v>
      </c>
      <c r="E136" s="63">
        <f t="shared" ref="E136:E145" si="5">TRUNC(+D136*3.3058,-1)</f>
        <v>42240</v>
      </c>
      <c r="F136" s="2" t="s">
        <v>312</v>
      </c>
    </row>
    <row r="137" spans="1:6" x14ac:dyDescent="0.3">
      <c r="A137" s="2">
        <v>2</v>
      </c>
      <c r="C137" s="39" t="s">
        <v>103</v>
      </c>
      <c r="D137" s="44">
        <f>TRUNC(7733,-1)</f>
        <v>7730</v>
      </c>
      <c r="E137" s="64">
        <f t="shared" si="5"/>
        <v>25550</v>
      </c>
      <c r="F137" s="2" t="s">
        <v>315</v>
      </c>
    </row>
    <row r="138" spans="1:6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20510</v>
      </c>
      <c r="E146" s="40">
        <f>SUM(E136:E145)</f>
        <v>67790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TRUNC(62533+21886,-1)</f>
        <v>84410</v>
      </c>
      <c r="E152" s="64">
        <f>TRUNC(+D152*3.3058,-1)</f>
        <v>279040</v>
      </c>
      <c r="F152" s="37" t="s">
        <v>311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84410</v>
      </c>
      <c r="E154" s="40">
        <f>SUM(E149:E153)</f>
        <v>279040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2020-12-07T09:32:23Z</dcterms:modified>
</cp:coreProperties>
</file>