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118" i="4"/>
  <c r="D137" i="4"/>
  <c r="D144" i="4"/>
  <c r="D143" i="4"/>
  <c r="D139" i="4"/>
  <c r="D142" i="4"/>
  <c r="D140" i="4"/>
  <c r="D128" i="4"/>
  <c r="D122" i="4"/>
  <c r="D130" i="4"/>
  <c r="D105" i="4"/>
  <c r="D104" i="4"/>
  <c r="D102" i="4"/>
  <c r="D100" i="4"/>
  <c r="D99" i="4"/>
  <c r="D114" i="4"/>
  <c r="D98" i="4"/>
  <c r="D116" i="4"/>
  <c r="D92" i="4"/>
  <c r="D91" i="4"/>
  <c r="D89" i="4"/>
  <c r="D73" i="4"/>
  <c r="D71" i="4"/>
  <c r="D6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63" i="4"/>
  <c r="D152" i="4"/>
  <c r="D150" i="4"/>
  <c r="D149" i="4"/>
  <c r="D159" i="4"/>
  <c r="D158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33" i="4"/>
  <c r="E119" i="4"/>
  <c r="E95" i="4"/>
  <c r="E60" i="4"/>
  <c r="E154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<sst xmlns="http://schemas.openxmlformats.org/spreadsheetml/2006/main" count="392" uniqueCount="267">
  <si>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</si>
  <si>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</si>
  <si>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</si>
  <si>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</si>
  <si>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</si>
  <si>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</si>
  <si>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</si>
  <si>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</si>
  <si>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</si>
  <si>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</si>
  <si>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</si>
  <si>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</si>
  <si>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</si>
  <si>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</si>
  <si>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</si>
  <si>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</si>
  <si>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</si>
  <si>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</si>
  <si>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</si>
  <si>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</si>
  <si>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</si>
  <si>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</si>
  <si>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</si>
  <si>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</si>
  <si>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</si>
  <si>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</si>
  <si>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</si>
  <si>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</si>
  <si>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</si>
  <si>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</si>
  <si>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</si>
  <si>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</si>
  <si>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</si>
  <si>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</si>
  <si>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</si>
  <si>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</si>
  <si>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</si>
  <si>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</si>
  <si>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</si>
  <si>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</si>
  <si>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</si>
  <si>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</si>
  <si>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</si>
  <si>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</si>
  <si>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</si>
  <si>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</si>
  <si>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</si>
  <si>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</si>
  <si>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</si>
  <si>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</si>
  <si>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</si>
  <si>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</si>
  <si>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</si>
  <si>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</si>
  <si>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</si>
  <si>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</si>
  <si>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</si>
  <si>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</si>
  <si>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</si>
  <si>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</si>
  <si>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</si>
  <si>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</si>
  <si>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</si>
  <si>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</si>
  <si>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</si>
  <si>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</si>
  <si>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</si>
  <si>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</si>
  <si>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</si>
  <si>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</si>
  <si>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</si>
  <si>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</si>
  <si>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</si>
  <si>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</si>
  <si>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</si>
  <si>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</si>
  <si>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</si>
  <si>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</si>
  <si>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</si>
  <si>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</si>
  <si>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</si>
  <si>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</si>
  <si>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</si>
  <si>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</si>
  <si>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</si>
  <si>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</si>
  <si>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</si>
  <si>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</si>
  <si>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</si>
  <si>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</si>
  <si>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</si>
  <si>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</si>
  <si>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</si>
  <si>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</si>
  <si>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</si>
  <si>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</si>
  <si>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</si>
  <si>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</si>
  <si>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</si>
  <si>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</si>
  <si>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</si>
  <si>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</si>
  <si>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</si>
  <si>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</si>
  <si>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</si>
  <si>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</si>
  <si>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</si>
  <si>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</si>
  <si>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</si>
  <si>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</si>
  <si>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</si>
  <si>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</si>
  <si>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</si>
  <si>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</si>
  <si>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</si>
  <si>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</si>
  <si>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</si>
  <si>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</si>
  <si>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</si>
  <si>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</si>
  <si>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</si>
  <si>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</si>
  <si>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</si>
  <si>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</si>
  <si>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</si>
  <si>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</si>
  <si>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</si>
  <si>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</si>
  <si>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</si>
  <si>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</si>
  <si>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</si>
  <si>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</si>
  <si>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</si>
  <si>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</si>
  <si>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</si>
  <si>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</si>
  <si>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</si>
  <si>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</si>
  <si>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</si>
  <si>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</si>
  <si>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</si>
  <si>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</si>
  <si>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</si>
  <si>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</si>
  <si>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</si>
  <si>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</si>
  <si>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</si>
  <si>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</si>
  <si>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</si>
  <si>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</si>
  <si>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</si>
  <si>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</si>
  <si>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</si>
  <si>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</si>
  <si>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</si>
  <si>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</si>
  <si>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</si>
  <si>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</si>
  <si>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</si>
  <si>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</si>
  <si>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</si>
  <si>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</si>
  <si>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</si>
  <si>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</si>
  <si>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</si>
  <si>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</si>
  <si>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</si>
  <si>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</si>
  <si>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</si>
  <si>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</si>
  <si>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</si>
  <si>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</si>
  <si>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</si>
  <si>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</si>
  <si>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</si>
  <si>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</si>
  <si>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</si>
  <si>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</si>
  <si>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</si>
  <si>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</si>
  <si>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</si>
  <si>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</si>
  <si>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</si>
  <si>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</si>
  <si>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</si>
  <si>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</si>
  <si>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</si>
  <si>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</si>
  <si>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</si>
  <si>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</si>
  <si>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</si>
  <si>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</si>
  <si>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</si>
  <si>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</si>
  <si>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</si>
  <si>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</si>
  <si>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</si>
  <si>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</si>
  <si>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</si>
  <si>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</si>
  <si>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</si>
  <si>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</si>
  <si>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</si>
  <si>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</si>
  <si>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</si>
  <si>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</si>
  <si>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</si>
  <si>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</si>
  <si>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</si>
  <si>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</si>
  <si>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</si>
  <si>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</si>
  <si>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</si>
  <si>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</si>
  <si>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</si>
  <si>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</si>
  <si>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</si>
  <si>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</si>
  <si>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</si>
  <si>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</si>
  <si>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</si>
  <si>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</si>
  <si>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</si>
  <si>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</si>
  <si>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</si>
  <si>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</si>
  <si>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</si>
  <si>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</si>
  <si>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</si>
  <si>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</si>
  <si>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</si>
  <si>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</si>
  <si>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</si>
  <si>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</si>
  <si>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</si>
  <si>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</si>
  <si>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</si>
  <si>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</si>
  <si>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</si>
  <si>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</si>
  <si>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</si>
  <si>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</si>
  <si>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</si>
  <si>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</si>
  <si>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</si>
  <si>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</si>
  <si>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</si>
  <si>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</si>
  <si>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기상관측장비 연구 및 실험시설 신축공사</t>
    <phoneticPr fontId="2" type="noConversion"/>
  </si>
  <si>
    <t>교육연구</t>
  </si>
  <si>
    <t>제주도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</si>
  <si>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</si>
  <si>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</si>
  <si>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</si>
  <si>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폐기물처리비,골재비및운반비,작업부산물,품질시험비,기타공사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</si>
  <si>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</si>
  <si>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</si>
  <si>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</t>
    <phoneticPr fontId="2" type="noConversion"/>
  </si>
  <si>
    <t>오수공사</t>
    <phoneticPr fontId="2" type="noConversion"/>
  </si>
  <si>
    <t>상수도공사,운반비,기타공사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</si>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</sst>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2085.46</v>
      </c>
      <c r="D7" s="36">
        <f>+C7/3.3058</f>
        <v>630.84881118034968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1326860</v>
      </c>
      <c r="E25" s="59">
        <f t="shared" si="0"/>
        <v>4386330</v>
      </c>
    </row>
    <row r="26" spans="1:5" x14ac:dyDescent="0.3">
      <c r="B26" s="2">
        <v>3</v>
      </c>
      <c r="C26" s="35" t="s">
        <v>95</v>
      </c>
      <c r="D26" s="45">
        <f>+D66</f>
        <v>30640</v>
      </c>
      <c r="E26" s="59">
        <f t="shared" si="0"/>
        <v>101280</v>
      </c>
    </row>
    <row r="27" spans="1:5" x14ac:dyDescent="0.3">
      <c r="B27" s="2">
        <v>4</v>
      </c>
      <c r="C27" s="35" t="s">
        <v>96</v>
      </c>
      <c r="D27" s="45">
        <f>+D95</f>
        <v>44860</v>
      </c>
      <c r="E27" s="59">
        <f t="shared" si="0"/>
        <v>148290</v>
      </c>
    </row>
    <row r="28" spans="1:5" x14ac:dyDescent="0.3">
      <c r="B28" s="2">
        <v>5</v>
      </c>
      <c r="C28" s="35" t="s">
        <v>97</v>
      </c>
      <c r="D28" s="45">
        <f>+D119</f>
        <v>199130</v>
      </c>
      <c r="E28" s="59">
        <f t="shared" si="0"/>
        <v>658280</v>
      </c>
    </row>
    <row r="29" spans="1:5" x14ac:dyDescent="0.3">
      <c r="B29" s="2">
        <v>6</v>
      </c>
      <c r="C29" s="35" t="s">
        <v>98</v>
      </c>
      <c r="D29" s="45">
        <f>+D133</f>
        <v>62820</v>
      </c>
      <c r="E29" s="59">
        <f t="shared" si="0"/>
        <v>207670</v>
      </c>
    </row>
    <row r="30" spans="1:5" x14ac:dyDescent="0.3">
      <c r="B30" s="2">
        <v>7</v>
      </c>
      <c r="C30" s="35" t="s">
        <v>99</v>
      </c>
      <c r="D30" s="45">
        <f>+D146</f>
        <v>36670</v>
      </c>
      <c r="E30" s="59">
        <f t="shared" si="0"/>
        <v>121220</v>
      </c>
    </row>
    <row r="31" spans="1:5" x14ac:dyDescent="0.3">
      <c r="B31" s="2">
        <v>8</v>
      </c>
      <c r="C31" s="35" t="s">
        <v>100</v>
      </c>
      <c r="D31" s="45">
        <f>+D154</f>
        <v>19510</v>
      </c>
      <c r="E31" s="59">
        <f t="shared" si="0"/>
        <v>64490</v>
      </c>
    </row>
    <row r="32" spans="1:5" x14ac:dyDescent="0.3">
      <c r="B32" s="2">
        <v>9</v>
      </c>
      <c r="C32" s="35" t="s">
        <v>101</v>
      </c>
      <c r="D32" s="45">
        <f>+D161</f>
        <v>125500</v>
      </c>
      <c r="E32" s="59">
        <f t="shared" si="0"/>
        <v>414870</v>
      </c>
    </row>
    <row r="33" spans="1:7" x14ac:dyDescent="0.3">
      <c r="B33" s="2">
        <v>10</v>
      </c>
      <c r="C33" s="35" t="s">
        <v>154</v>
      </c>
      <c r="D33" s="53">
        <f>TRUNC(SUM(D24:D32)*0.275,-1)</f>
        <v>507640</v>
      </c>
      <c r="E33" s="60">
        <f t="shared" si="0"/>
        <v>1678150</v>
      </c>
    </row>
    <row r="34" spans="1:7" x14ac:dyDescent="0.3">
      <c r="C34" s="35" t="s">
        <v>112</v>
      </c>
      <c r="D34" s="44">
        <f>SUM(D24:D33)</f>
        <v>2353630</v>
      </c>
      <c r="E34" s="44">
        <f>SUM(E24:E33)</f>
        <v>7780580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TRUNC(92904,-1)</f>
        <v>92900</v>
      </c>
      <c r="E40" s="62">
        <f t="shared" ref="E40:E59" si="1">TRUNC(+D40*3.3058,-1)</f>
        <v>307100</v>
      </c>
    </row>
    <row r="41" spans="1:7" x14ac:dyDescent="0.3">
      <c r="A41" s="2">
        <v>2</v>
      </c>
      <c r="C41" s="38" t="s">
        <v>13</v>
      </c>
      <c r="D41" s="42">
        <f>TRUNC(218169,-1)</f>
        <v>218160</v>
      </c>
      <c r="E41" s="63">
        <f t="shared" si="1"/>
        <v>721190</v>
      </c>
    </row>
    <row r="42" spans="1:7" x14ac:dyDescent="0.3">
      <c r="A42" s="2">
        <v>3</v>
      </c>
      <c r="C42" s="38" t="s">
        <v>14</v>
      </c>
      <c r="D42" s="42">
        <f>TRUNC(76645,-1)</f>
        <v>76640</v>
      </c>
      <c r="E42" s="63">
        <f t="shared" si="1"/>
        <v>253350</v>
      </c>
    </row>
    <row r="43" spans="1:7" x14ac:dyDescent="0.3">
      <c r="A43" s="2">
        <v>4</v>
      </c>
      <c r="C43" s="38" t="s">
        <v>16</v>
      </c>
      <c r="D43" s="42">
        <f>TRUNC(78706,-1)</f>
        <v>78700</v>
      </c>
      <c r="E43" s="63">
        <f t="shared" si="1"/>
        <v>260160</v>
      </c>
    </row>
    <row r="44" spans="1:7" x14ac:dyDescent="0.3">
      <c r="A44" s="2">
        <v>5</v>
      </c>
      <c r="C44" s="38" t="s">
        <v>17</v>
      </c>
      <c r="D44" s="42">
        <f>TRUNC(31868,-1)</f>
        <v>31860</v>
      </c>
      <c r="E44" s="63">
        <f t="shared" si="1"/>
        <v>105320</v>
      </c>
    </row>
    <row r="45" spans="1:7" x14ac:dyDescent="0.3">
      <c r="A45" s="2">
        <v>6</v>
      </c>
      <c r="C45" s="38" t="s">
        <v>18</v>
      </c>
      <c r="D45" s="42">
        <f>TRUNC(9636,-1)</f>
        <v>9630</v>
      </c>
      <c r="E45" s="63">
        <f t="shared" si="1"/>
        <v>31830</v>
      </c>
    </row>
    <row r="46" spans="1:7" x14ac:dyDescent="0.3">
      <c r="A46" s="2">
        <v>7</v>
      </c>
      <c r="C46" s="38" t="s">
        <v>19</v>
      </c>
      <c r="D46" s="42">
        <f>TRUNC(5613,-1)</f>
        <v>5610</v>
      </c>
      <c r="E46" s="63">
        <f t="shared" si="1"/>
        <v>18540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TRUNC(43258,-1)</f>
        <v>43250</v>
      </c>
      <c r="E48" s="63">
        <f t="shared" si="1"/>
        <v>142970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TRUNC(7368,-1)</f>
        <v>7360</v>
      </c>
      <c r="E49" s="63">
        <f t="shared" si="1"/>
        <v>24330</v>
      </c>
    </row>
    <row r="50" spans="1:7" x14ac:dyDescent="0.3">
      <c r="A50" s="2">
        <v>11</v>
      </c>
      <c r="C50" s="38" t="s">
        <v>155</v>
      </c>
      <c r="D50" s="42">
        <f>TRUNC(90706,-1)</f>
        <v>90700</v>
      </c>
      <c r="E50" s="63">
        <f t="shared" si="1"/>
        <v>299830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TRUNC(29991,-1)</f>
        <v>29990</v>
      </c>
      <c r="E52" s="63">
        <f t="shared" si="1"/>
        <v>99140</v>
      </c>
    </row>
    <row r="53" spans="1:7" x14ac:dyDescent="0.3">
      <c r="A53" s="2">
        <v>14</v>
      </c>
      <c r="C53" s="38" t="s">
        <v>25</v>
      </c>
      <c r="D53" s="42">
        <f>TRUNC(82768,-1)</f>
        <v>82760</v>
      </c>
      <c r="E53" s="63">
        <f t="shared" si="1"/>
        <v>273580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TRUNC(2390+4617-1581+993+11933,-1)</f>
        <v>18350</v>
      </c>
      <c r="E58" s="63">
        <f t="shared" si="1"/>
        <v>60660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TRUNC(540959,-1)</f>
        <v>540950</v>
      </c>
      <c r="E59" s="64">
        <f t="shared" si="1"/>
        <v>1788270</v>
      </c>
    </row>
    <row r="60" spans="1:7" x14ac:dyDescent="0.3">
      <c r="A60" s="2">
        <v>21</v>
      </c>
      <c r="C60" s="27" t="s">
        <v>112</v>
      </c>
      <c r="D60" s="39">
        <f>SUM(D40:D59)</f>
        <v>1326860</v>
      </c>
      <c r="E60" s="39">
        <f>SUM(E40:E59)</f>
        <v>4386270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TRUNC(30649,-1)</f>
        <v>30640</v>
      </c>
      <c r="E63" s="62">
        <f>TRUNC(+D63*3.3058,-1)</f>
        <v>101280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30640</v>
      </c>
      <c r="E66" s="65">
        <f>SUM(E63:E65)</f>
        <v>101280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TRUNC(11420,-1)</f>
        <v>11420</v>
      </c>
      <c r="E69" s="62">
        <f t="shared" ref="E69:E94" si="2">TRUNC(+D69*3.3058,-1)</f>
        <v>37750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TRUNC(8833,-1)</f>
        <v>8830</v>
      </c>
      <c r="E71" s="63">
        <f t="shared" si="2"/>
        <v>29190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TRUNC(5647,-1)</f>
        <v>5640</v>
      </c>
      <c r="E73" s="63">
        <f t="shared" si="2"/>
        <v>18640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TRUNC(8091,-1)</f>
        <v>8090</v>
      </c>
      <c r="E89" s="63">
        <f t="shared" si="2"/>
        <v>26740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TRUNC(4401,-1)</f>
        <v>4400</v>
      </c>
      <c r="E91" s="63">
        <f t="shared" si="2"/>
        <v>14540</v>
      </c>
    </row>
    <row r="92" spans="1:7" x14ac:dyDescent="0.3">
      <c r="A92" s="2">
        <v>24</v>
      </c>
      <c r="C92" s="38" t="s">
        <v>38</v>
      </c>
      <c r="D92" s="42">
        <f>TRUNC(6484,-1)</f>
        <v>6480</v>
      </c>
      <c r="E92" s="63">
        <f t="shared" si="2"/>
        <v>21420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44860</v>
      </c>
      <c r="E95" s="39">
        <f>SUM(E69:E94)</f>
        <v>148280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TRUNC(9061,-1)</f>
        <v>9060</v>
      </c>
      <c r="E98" s="62">
        <f t="shared" ref="E98:E118" si="3">TRUNC(+D98*3.3058,-1)</f>
        <v>29950</v>
      </c>
    </row>
    <row r="99" spans="1:7" x14ac:dyDescent="0.3">
      <c r="A99" s="2">
        <v>2</v>
      </c>
      <c r="C99" s="38" t="s">
        <v>40</v>
      </c>
      <c r="D99" s="42">
        <f>TRUNC(6393,-1)</f>
        <v>6390</v>
      </c>
      <c r="E99" s="63">
        <f t="shared" si="3"/>
        <v>21120</v>
      </c>
    </row>
    <row r="100" spans="1:7" x14ac:dyDescent="0.3">
      <c r="A100" s="2">
        <v>3</v>
      </c>
      <c r="C100" s="38" t="s">
        <v>41</v>
      </c>
      <c r="D100" s="42">
        <f>TRUNC(23980,-1)</f>
        <v>23980</v>
      </c>
      <c r="E100" s="63">
        <f t="shared" si="3"/>
        <v>79270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TRUNC(14371,-1)</f>
        <v>14370</v>
      </c>
      <c r="E102" s="63">
        <f t="shared" si="3"/>
        <v>47500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TRUNC(8831,-1)</f>
        <v>8830</v>
      </c>
      <c r="E104" s="63">
        <f t="shared" si="3"/>
        <v>29190</v>
      </c>
    </row>
    <row r="105" spans="1:7" x14ac:dyDescent="0.3">
      <c r="A105" s="2">
        <v>8</v>
      </c>
      <c r="C105" s="38" t="s">
        <v>46</v>
      </c>
      <c r="D105" s="42">
        <f>TRUNC(12166,-1)</f>
        <v>12160</v>
      </c>
      <c r="E105" s="63">
        <f t="shared" si="3"/>
        <v>40190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TRUNC(11836,-1)</f>
        <v>11830</v>
      </c>
      <c r="E114" s="63">
        <f t="shared" si="3"/>
        <v>39100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TRUNC(25157,-1)</f>
        <v>25150</v>
      </c>
      <c r="E116" s="63">
        <f t="shared" si="3"/>
        <v>83140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TRUNC(87368,-1)</f>
        <v>87360</v>
      </c>
      <c r="E118" s="64">
        <f t="shared" si="3"/>
        <v>288790</v>
      </c>
    </row>
    <row r="119" spans="1:7" x14ac:dyDescent="0.3">
      <c r="A119" s="2">
        <v>22</v>
      </c>
      <c r="C119" s="27" t="s">
        <v>112</v>
      </c>
      <c r="D119" s="39">
        <f>SUM(D98:D118)</f>
        <v>199130</v>
      </c>
      <c r="E119" s="39">
        <f>SUM(E98:E118)</f>
        <v>658250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TRUNC(5644,-1)</f>
        <v>5640</v>
      </c>
      <c r="E122" s="62">
        <f t="shared" ref="E122:E132" si="4">TRUNC(+D122*3.3058,-1)</f>
        <v>18640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TRUNC(10805,-1)</f>
        <v>10800</v>
      </c>
      <c r="E128" s="63">
        <f t="shared" si="4"/>
        <v>35700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TRUNC(46381,-1)</f>
        <v>46380</v>
      </c>
      <c r="E130" s="63">
        <f t="shared" si="4"/>
        <v>153320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62820</v>
      </c>
      <c r="E133" s="39">
        <f>SUM(E122:E132)</f>
        <v>207660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TRUNC(5240,-1)</f>
        <v>5240</v>
      </c>
      <c r="E137" s="63">
        <f t="shared" si="5"/>
        <v>17320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TRUNC(922,-1)</f>
        <v>920</v>
      </c>
      <c r="E139" s="63">
        <f t="shared" si="5"/>
        <v>3040</v>
      </c>
    </row>
    <row r="140" spans="1:7" x14ac:dyDescent="0.3">
      <c r="A140" s="2">
        <v>5</v>
      </c>
      <c r="C140" s="38" t="s">
        <v>57</v>
      </c>
      <c r="D140" s="42">
        <f>TRUNC(3348,-1)</f>
        <v>3340</v>
      </c>
      <c r="E140" s="63">
        <f t="shared" si="5"/>
        <v>11040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TRUNC(3900,-1)</f>
        <v>3900</v>
      </c>
      <c r="E142" s="63">
        <f t="shared" si="5"/>
        <v>12890</v>
      </c>
    </row>
    <row r="143" spans="1:7" x14ac:dyDescent="0.3">
      <c r="A143" s="2">
        <v>8</v>
      </c>
      <c r="C143" s="38" t="s">
        <v>62</v>
      </c>
      <c r="D143" s="42">
        <f>TRUNC(3571,-1)</f>
        <v>3570</v>
      </c>
      <c r="E143" s="63">
        <f t="shared" si="5"/>
        <v>11800</v>
      </c>
    </row>
    <row r="144" spans="1:7" x14ac:dyDescent="0.3">
      <c r="A144" s="2">
        <v>9</v>
      </c>
      <c r="C144" s="38" t="s">
        <v>63</v>
      </c>
      <c r="D144" s="42">
        <f>TRUNC(19709,-1)</f>
        <v>19700</v>
      </c>
      <c r="E144" s="63">
        <f t="shared" si="5"/>
        <v>65120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36670</v>
      </c>
      <c r="E146" s="39">
        <f>SUM(E136:E145)</f>
        <v>121210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TRUNC(8430,-1)</f>
        <v>8430</v>
      </c>
      <c r="E149" s="62">
        <f>TRUNC(+D149*3.3058,-1)</f>
        <v>27860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TRUNC(9100,-1)</f>
        <v>9100</v>
      </c>
      <c r="E150" s="63">
        <f>TRUNC(+D150*3.3058,-1)</f>
        <v>30080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TRUNC(1355+393+239,-1)</f>
        <v>1980</v>
      </c>
      <c r="E152" s="63">
        <f>TRUNC(+D152*3.3058,-1)</f>
        <v>6540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19510</v>
      </c>
      <c r="E154" s="39">
        <f>SUM(E149:E153)</f>
        <v>64480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TRUNC(89548,-1)</f>
        <v>89540</v>
      </c>
      <c r="E157" s="62">
        <f>TRUNC(+D157*3.3058,-1)</f>
        <v>296000</v>
      </c>
    </row>
    <row r="158" spans="1:7" x14ac:dyDescent="0.3">
      <c r="A158" s="2">
        <v>2</v>
      </c>
      <c r="C158" s="38" t="s">
        <v>52</v>
      </c>
      <c r="D158" s="42">
        <f>TRUNC(7747,-1)</f>
        <v>7740</v>
      </c>
      <c r="E158" s="63">
        <f>TRUNC(+D158*3.3058,-1)</f>
        <v>25580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TRUNC(28229,-1)</f>
        <v>28220</v>
      </c>
      <c r="E159" s="63">
        <f>TRUNC(+D159*3.3058,-1)</f>
        <v>93280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125500</v>
      </c>
      <c r="E161" s="39">
        <f>SUM(E157:E160)</f>
        <v>414860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2020-12-08T02:46:55Z</dcterms:modified>
</cp:coreProperties>
</file>