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119" i="4" s="1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66" i="4"/>
  <c r="E161" i="4"/>
  <c r="E146" i="4"/>
  <c r="E95" i="4"/>
  <c r="E154" i="4"/>
  <c r="D132" i="4" l="1"/>
  <c r="E132" i="4" s="1"/>
  <c r="E133" i="4" s="1"/>
  <c r="D161" i="4" l="1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30" i="4"/>
  <c r="E30" i="4" s="1"/>
  <c r="D25" i="4"/>
  <c r="E25" i="4" s="1"/>
  <c r="D24" i="4"/>
  <c r="D7" i="4"/>
  <c r="E24" i="4" l="1"/>
  <c r="E34" i="4" s="1"/>
  <c r="D33" i="4"/>
  <c r="E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</calcChain>
</file>

<file path=xl/sharedStrings.xml><?xml version="1.0" encoding="utf-8"?>
<sst xmlns="http://schemas.openxmlformats.org/spreadsheetml/2006/main" count="386" uniqueCount="265">
  <si>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</si>
  <si>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</si>
  <si>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</si>
  <si>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</si>
  <si>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</si>
  <si>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</si>
  <si>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</si>
  <si>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</si>
  <si>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</si>
  <si>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</si>
  <si>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</si>
  <si>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</si>
  <si>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</si>
  <si>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</si>
  <si>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</si>
  <si>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</si>
  <si>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</si>
  <si>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</si>
  <si>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</si>
  <si>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</si>
  <si>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</si>
  <si>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</si>
  <si>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</si>
  <si>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</si>
  <si>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</si>
  <si>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</si>
  <si>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</si>
  <si>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</si>
  <si>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</si>
  <si>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</si>
  <si>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</si>
  <si>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</si>
  <si>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</si>
  <si>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</si>
  <si>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</si>
  <si>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</si>
  <si>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</si>
  <si>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</si>
  <si>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</si>
  <si>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</si>
  <si>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</si>
  <si>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</si>
  <si>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</si>
  <si>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</si>
  <si>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</si>
  <si>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</si>
  <si>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</si>
  <si>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</si>
  <si>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</si>
  <si>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</si>
  <si>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</si>
  <si>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</si>
  <si>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</si>
  <si>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</si>
  <si>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</si>
  <si>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</si>
  <si>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</si>
  <si>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</si>
  <si>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</si>
  <si>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</si>
  <si>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</si>
  <si>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</si>
  <si>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</si>
  <si>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</si>
  <si>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</si>
  <si>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</si>
  <si>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</si>
  <si>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</si>
  <si>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</si>
  <si>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</si>
  <si>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</si>
  <si>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</si>
  <si>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</si>
  <si>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</si>
  <si>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</si>
  <si>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</si>
  <si>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</si>
  <si>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</si>
  <si>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</si>
  <si>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</si>
  <si>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</si>
  <si>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</si>
  <si>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</si>
  <si>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</si>
  <si>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</si>
  <si>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</si>
  <si>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</si>
  <si>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</si>
  <si>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</si>
  <si>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</si>
  <si>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</si>
  <si>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</si>
  <si>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</si>
  <si>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</si>
  <si>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</si>
  <si>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</si>
  <si>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</si>
  <si>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</si>
  <si>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</si>
  <si>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</si>
  <si>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</si>
  <si>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</si>
  <si>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</si>
  <si>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</si>
  <si>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</si>
  <si>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</si>
  <si>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</si>
  <si>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</si>
  <si>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</si>
  <si>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</si>
  <si>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</si>
  <si>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</si>
  <si>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</si>
  <si>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</si>
  <si>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</si>
  <si>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</si>
  <si>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</si>
  <si>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</si>
  <si>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</si>
  <si>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</si>
  <si>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</si>
  <si>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</si>
  <si>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</si>
  <si>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</si>
  <si>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</si>
  <si>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</si>
  <si>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</si>
  <si>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</si>
  <si>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</si>
  <si>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</si>
  <si>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</si>
  <si>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</si>
  <si>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</si>
  <si>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</si>
  <si>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</si>
  <si>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</si>
  <si>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</si>
  <si>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</si>
  <si>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</si>
  <si>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</si>
  <si>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</si>
  <si>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</si>
  <si>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</si>
  <si>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</si>
  <si>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</si>
  <si>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</si>
  <si>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</si>
  <si>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</si>
  <si>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</si>
  <si>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</si>
  <si>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</si>
  <si>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</si>
  <si>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</si>
  <si>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</si>
  <si>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</si>
  <si>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</si>
  <si>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</si>
  <si>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</si>
  <si>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</si>
  <si>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</si>
  <si>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</si>
  <si>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</si>
  <si>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</si>
  <si>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</si>
  <si>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</si>
  <si>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</si>
  <si>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</si>
  <si>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</si>
  <si>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</si>
  <si>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</si>
  <si>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</si>
  <si>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</si>
  <si>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</si>
  <si>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</si>
  <si>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</si>
  <si>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</si>
  <si>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</si>
  <si>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</si>
  <si>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</si>
  <si>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</si>
  <si>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</si>
  <si>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</si>
  <si>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</si>
  <si>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</si>
  <si>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</si>
  <si>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</si>
  <si>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</si>
  <si>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</si>
  <si>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</si>
  <si>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</si>
  <si>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</si>
  <si>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</si>
  <si>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</si>
  <si>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</si>
  <si>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</si>
  <si>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</si>
  <si>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</si>
  <si>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</si>
  <si>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</si>
  <si>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</si>
  <si>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</si>
  <si>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</si>
  <si>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</si>
  <si>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</si>
  <si>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</si>
  <si>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</si>
  <si>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</si>
  <si>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</si>
  <si>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</si>
  <si>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</si>
  <si>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</si>
  <si>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</si>
  <si>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</si>
  <si>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</si>
  <si>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</si>
  <si>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</si>
  <si>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</si>
  <si>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</si>
  <si>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</si>
  <si>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</si>
  <si>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</si>
  <si>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</si>
  <si>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</si>
  <si>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</si>
  <si>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</si>
  <si>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</si>
  <si>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</si>
  <si>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</si>
  <si>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</si>
  <si>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</si>
  <si>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</si>
  <si>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</si>
  <si>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</si>
  <si>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</si>
  <si>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</si>
  <si>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</si>
  <si>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평</t>
    <phoneticPr fontId="2" type="noConversion"/>
  </si>
  <si>
    <t>원/ m2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</si>
  <si>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</si>
  <si>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</si>
  <si>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</si>
  <si>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</si>
  <si>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</si>
  <si>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</si>
  <si>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</si>
  <si>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</si>
  <si>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</si>
  <si>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</si>
  <si>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</si>
  <si>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</si>
  <si>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</si>
  <si>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옥외인입공사, 기타설비</t>
    <phoneticPr fontId="2" type="noConversion"/>
  </si>
  <si>
    <t>경기도 파주시 00 초등학교</t>
    <phoneticPr fontId="2" type="noConversion"/>
  </si>
  <si>
    <t>원/ m2</t>
    <phoneticPr fontId="2" type="noConversion"/>
  </si>
  <si>
    <t>원 /평</t>
    <phoneticPr fontId="2" type="noConversion"/>
  </si>
  <si>
    <t>원/ m2</t>
  </si>
  <si>
    <t>원 /평</t>
  </si>
  <si>
    <t>토목공종</t>
    <phoneticPr fontId="2" type="noConversion"/>
  </si>
  <si>
    <t>원/ m2</t>
    <phoneticPr fontId="2" type="noConversion"/>
  </si>
  <si>
    <t>원 /평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</si>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</sst>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252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9350</v>
      </c>
      <c r="D7" s="36">
        <f>+C7/3.3058</f>
        <v>2828.3622723697745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421110</v>
      </c>
      <c r="E25" s="59">
        <f t="shared" si="0"/>
        <v>1392100</v>
      </c>
    </row>
    <row r="26" spans="1:5" x14ac:dyDescent="0.3">
      <c r="B26" s="2">
        <v>3</v>
      </c>
      <c r="C26" s="35" t="s">
        <v>95</v>
      </c>
      <c r="D26" s="45">
        <f>+D66</f>
        <v>10530</v>
      </c>
      <c r="E26" s="59">
        <f t="shared" si="0"/>
        <v>34810</v>
      </c>
    </row>
    <row r="27" spans="1:5" x14ac:dyDescent="0.3">
      <c r="B27" s="2">
        <v>4</v>
      </c>
      <c r="C27" s="35" t="s">
        <v>96</v>
      </c>
      <c r="D27" s="45">
        <f>+D95</f>
        <v>99210</v>
      </c>
      <c r="E27" s="59">
        <f t="shared" si="0"/>
        <v>327960</v>
      </c>
    </row>
    <row r="28" spans="1:5" x14ac:dyDescent="0.3">
      <c r="B28" s="2">
        <v>5</v>
      </c>
      <c r="C28" s="35" t="s">
        <v>97</v>
      </c>
      <c r="D28" s="45">
        <f>+D119</f>
        <v>81970</v>
      </c>
      <c r="E28" s="59">
        <f t="shared" si="0"/>
        <v>270970</v>
      </c>
    </row>
    <row r="29" spans="1:5" x14ac:dyDescent="0.3">
      <c r="B29" s="2">
        <v>6</v>
      </c>
      <c r="C29" s="35" t="s">
        <v>98</v>
      </c>
      <c r="D29" s="45">
        <f>+D133</f>
        <v>28460</v>
      </c>
      <c r="E29" s="59">
        <f t="shared" si="0"/>
        <v>94080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176350</v>
      </c>
      <c r="E33" s="60">
        <f t="shared" si="0"/>
        <v>582970</v>
      </c>
    </row>
    <row r="34" spans="1:7" x14ac:dyDescent="0.3">
      <c r="C34" s="35" t="s">
        <v>112</v>
      </c>
      <c r="D34" s="44">
        <f>SUM(D24:D33)</f>
        <v>817630</v>
      </c>
      <c r="E34" s="44">
        <f>SUM(E24:E33)</f>
        <v>2702890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253</v>
      </c>
      <c r="E36" s="56" t="s">
        <v>254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255</v>
      </c>
      <c r="E39" s="66" t="s">
        <v>256</v>
      </c>
      <c r="G39" s="67"/>
    </row>
    <row r="40" spans="1:7" x14ac:dyDescent="0.3">
      <c r="A40" s="2">
        <v>1</v>
      </c>
      <c r="C40" s="38" t="s">
        <v>15</v>
      </c>
      <c r="D40" s="40">
        <v>29320</v>
      </c>
      <c r="E40" s="62">
        <f t="shared" ref="E40:E59" si="1">TRUNC(+D40*3.3058,-1)</f>
        <v>96920</v>
      </c>
    </row>
    <row r="41" spans="1:7" x14ac:dyDescent="0.3">
      <c r="A41" s="2">
        <v>2</v>
      </c>
      <c r="C41" s="38" t="s">
        <v>13</v>
      </c>
      <c r="D41" s="42">
        <v>155960</v>
      </c>
      <c r="E41" s="63">
        <f t="shared" si="1"/>
        <v>515570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235830</v>
      </c>
      <c r="E58" s="63">
        <f t="shared" si="1"/>
        <v>779600</v>
      </c>
      <c r="F58" s="2" t="s">
        <v>247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421110</v>
      </c>
      <c r="E60" s="39">
        <f>SUM(E40:E59)</f>
        <v>1392090</v>
      </c>
    </row>
    <row r="61" spans="1:7" s="55" customFormat="1" x14ac:dyDescent="0.3">
      <c r="C61" s="56"/>
      <c r="D61" s="56"/>
      <c r="E61" s="56"/>
      <c r="G61" s="54"/>
    </row>
    <row r="62" spans="1:7" s="55" customFormat="1" ht="17.25" thickBot="1" x14ac:dyDescent="0.35">
      <c r="B62" s="55" t="s">
        <v>257</v>
      </c>
      <c r="C62" s="55" t="s">
        <v>113</v>
      </c>
      <c r="D62" s="56" t="s">
        <v>258</v>
      </c>
      <c r="E62" s="56" t="s">
        <v>259</v>
      </c>
      <c r="G62" s="54"/>
    </row>
    <row r="63" spans="1:7" x14ac:dyDescent="0.3">
      <c r="A63" s="2">
        <v>1</v>
      </c>
      <c r="C63" s="38" t="s">
        <v>27</v>
      </c>
      <c r="D63" s="40">
        <v>10530</v>
      </c>
      <c r="E63" s="62">
        <f>TRUNC(+D63*3.3058,-1)</f>
        <v>34810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10530</v>
      </c>
      <c r="E66" s="57">
        <f>SUM(E63:E65)</f>
        <v>34810</v>
      </c>
    </row>
    <row r="67" spans="1:7" s="55" customFormat="1" x14ac:dyDescent="0.3">
      <c r="C67" s="56"/>
      <c r="D67" s="56"/>
      <c r="E67" s="56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258</v>
      </c>
      <c r="E68" s="56" t="s">
        <v>259</v>
      </c>
      <c r="G68" s="54"/>
    </row>
    <row r="69" spans="1:7" x14ac:dyDescent="0.3">
      <c r="A69" s="2">
        <v>1</v>
      </c>
      <c r="C69" s="38" t="s">
        <v>30</v>
      </c>
      <c r="D69" s="40">
        <v>14880</v>
      </c>
      <c r="E69" s="62">
        <f>TRUNC(+D69*3.3058,-1)</f>
        <v>49190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270</v>
      </c>
      <c r="E90" s="63">
        <f>TRUNC(+D90*3.3058,-1)</f>
        <v>890</v>
      </c>
    </row>
    <row r="91" spans="1:7" x14ac:dyDescent="0.3">
      <c r="A91" s="2">
        <v>23</v>
      </c>
      <c r="C91" s="38" t="s">
        <v>37</v>
      </c>
      <c r="D91" s="42">
        <v>730</v>
      </c>
      <c r="E91" s="63">
        <f>TRUNC(+D91*3.3058,-1)</f>
        <v>2410</v>
      </c>
    </row>
    <row r="92" spans="1:7" x14ac:dyDescent="0.3">
      <c r="A92" s="2">
        <v>24</v>
      </c>
      <c r="C92" s="38" t="s">
        <v>38</v>
      </c>
      <c r="D92" s="42">
        <v>27160</v>
      </c>
      <c r="E92" s="63">
        <f>TRUNC(+D92*3.3058,-1)</f>
        <v>89780</v>
      </c>
    </row>
    <row r="93" spans="1:7" x14ac:dyDescent="0.3">
      <c r="A93" s="2">
        <v>25</v>
      </c>
      <c r="C93" s="38" t="s">
        <v>148</v>
      </c>
      <c r="D93" s="42">
        <v>56170</v>
      </c>
      <c r="E93" s="63">
        <f>TRUNC(+D93*3.3058,-1)</f>
        <v>185680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99210</v>
      </c>
      <c r="E95" s="39">
        <f>SUM(E69:E94)</f>
        <v>327950</v>
      </c>
    </row>
    <row r="96" spans="1:7" s="55" customFormat="1" x14ac:dyDescent="0.3">
      <c r="C96" s="56"/>
      <c r="D96" s="56"/>
      <c r="E96" s="56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258</v>
      </c>
      <c r="E97" s="56" t="s">
        <v>259</v>
      </c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25770</v>
      </c>
      <c r="E100" s="63">
        <f t="shared" si="4"/>
        <v>85190</v>
      </c>
      <c r="F100" s="2" t="s">
        <v>248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11330</v>
      </c>
      <c r="E116" s="63">
        <f t="shared" si="4"/>
        <v>37450</v>
      </c>
      <c r="F116" s="2" t="s">
        <v>249</v>
      </c>
    </row>
    <row r="117" spans="1:7" x14ac:dyDescent="0.3">
      <c r="A117" s="2">
        <v>20</v>
      </c>
      <c r="C117" s="38" t="s">
        <v>148</v>
      </c>
      <c r="D117" s="42">
        <v>41020</v>
      </c>
      <c r="E117" s="63">
        <f t="shared" si="4"/>
        <v>135600</v>
      </c>
    </row>
    <row r="118" spans="1:7" ht="17.25" thickBot="1" x14ac:dyDescent="0.35">
      <c r="A118" s="2">
        <v>21</v>
      </c>
      <c r="C118" s="38" t="s">
        <v>47</v>
      </c>
      <c r="D118" s="43">
        <v>3850</v>
      </c>
      <c r="E118" s="64">
        <f t="shared" si="4"/>
        <v>12720</v>
      </c>
      <c r="F118" s="2" t="s">
        <v>250</v>
      </c>
    </row>
    <row r="119" spans="1:7" x14ac:dyDescent="0.3">
      <c r="A119" s="2">
        <v>22</v>
      </c>
      <c r="C119" s="27" t="s">
        <v>112</v>
      </c>
      <c r="D119" s="39">
        <f>SUM(D98:D118)</f>
        <v>81970</v>
      </c>
      <c r="E119" s="39">
        <f>SUM(E98:E118)</f>
        <v>270960</v>
      </c>
    </row>
    <row r="120" spans="1:7" s="55" customFormat="1" x14ac:dyDescent="0.3">
      <c r="C120" s="56"/>
      <c r="D120" s="56"/>
      <c r="E120" s="56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258</v>
      </c>
      <c r="E121" s="56" t="s">
        <v>259</v>
      </c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4040</v>
      </c>
      <c r="E125" s="63">
        <f t="shared" si="5"/>
        <v>13350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5580</v>
      </c>
      <c r="E130" s="63">
        <f t="shared" si="5"/>
        <v>18440</v>
      </c>
    </row>
    <row r="131" spans="1:7" x14ac:dyDescent="0.3">
      <c r="A131" s="2">
        <v>10</v>
      </c>
      <c r="C131" s="38" t="s">
        <v>148</v>
      </c>
      <c r="D131" s="42">
        <v>14590</v>
      </c>
      <c r="E131" s="63">
        <f t="shared" si="5"/>
        <v>48230</v>
      </c>
    </row>
    <row r="132" spans="1:7" ht="17.25" thickBot="1" x14ac:dyDescent="0.35">
      <c r="A132" s="2">
        <v>11</v>
      </c>
      <c r="C132" s="38" t="s">
        <v>47</v>
      </c>
      <c r="D132" s="43">
        <f>1400+2850</f>
        <v>4250</v>
      </c>
      <c r="E132" s="64">
        <f t="shared" si="5"/>
        <v>14040</v>
      </c>
      <c r="F132" s="2" t="s">
        <v>251</v>
      </c>
    </row>
    <row r="133" spans="1:7" x14ac:dyDescent="0.3">
      <c r="A133" s="2">
        <v>12</v>
      </c>
      <c r="C133" s="27" t="s">
        <v>112</v>
      </c>
      <c r="D133" s="39">
        <f>SUM(D122:D132)</f>
        <v>28460</v>
      </c>
      <c r="E133" s="39">
        <f>SUM(E122:E132)</f>
        <v>94060</v>
      </c>
    </row>
    <row r="134" spans="1:7" s="55" customFormat="1" x14ac:dyDescent="0.3">
      <c r="C134" s="56"/>
      <c r="D134" s="56"/>
      <c r="E134" s="56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258</v>
      </c>
      <c r="E135" s="56" t="s">
        <v>259</v>
      </c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5" customFormat="1" x14ac:dyDescent="0.3">
      <c r="C147" s="56"/>
      <c r="D147" s="56"/>
      <c r="E147" s="56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260</v>
      </c>
      <c r="E148" s="56" t="s">
        <v>261</v>
      </c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260</v>
      </c>
      <c r="E156" s="56" t="s">
        <v>261</v>
      </c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2020-12-07T08:54:48Z</dcterms:modified>
</cp:coreProperties>
</file>