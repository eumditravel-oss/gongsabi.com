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3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D79" i="4"/>
  <c r="D94" i="4"/>
  <c r="D69" i="4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0" i="4"/>
  <c r="E129" i="4"/>
  <c r="E127" i="4"/>
  <c r="E126" i="4"/>
  <c r="E124" i="4"/>
  <c r="E115" i="4"/>
  <c r="E114" i="4"/>
  <c r="E113" i="4"/>
  <c r="E112" i="4"/>
  <c r="E111" i="4"/>
  <c r="E110" i="4"/>
  <c r="E109" i="4"/>
  <c r="E107" i="4"/>
  <c r="E106" i="4"/>
  <c r="E103" i="4"/>
  <c r="E101" i="4"/>
  <c r="E99" i="4"/>
  <c r="E94" i="4"/>
  <c r="E91" i="4"/>
  <c r="E90" i="4"/>
  <c r="E89" i="4"/>
  <c r="E88" i="4"/>
  <c r="E87" i="4"/>
  <c r="E86" i="4"/>
  <c r="E85" i="4"/>
  <c r="E83" i="4"/>
  <c r="E82" i="4"/>
  <c r="E81" i="4"/>
  <c r="E80" i="4"/>
  <c r="E79" i="4"/>
  <c r="E78" i="4"/>
  <c r="E77" i="4"/>
  <c r="E76" i="4"/>
  <c r="E75" i="4"/>
  <c r="E74" i="4"/>
  <c r="E73" i="4"/>
  <c r="E71" i="4"/>
  <c r="E70" i="4"/>
  <c r="E69" i="4"/>
  <c r="E65" i="4"/>
  <c r="E64" i="4"/>
  <c r="E63" i="4"/>
  <c r="E66" i="4" s="1"/>
  <c r="E57" i="4"/>
  <c r="E56" i="4"/>
  <c r="E54" i="4"/>
  <c r="E45" i="4"/>
  <c r="E37" i="4"/>
  <c r="E146" i="4" l="1"/>
  <c r="D131" i="4"/>
  <c r="E131" i="4" s="1"/>
  <c r="D117" i="4"/>
  <c r="E117" i="4" s="1"/>
  <c r="D132" i="4"/>
  <c r="E132" i="4" s="1"/>
  <c r="D128" i="4"/>
  <c r="E128" i="4" s="1"/>
  <c r="D125" i="4"/>
  <c r="E125" i="4" s="1"/>
  <c r="D122" i="4"/>
  <c r="E122" i="4" s="1"/>
  <c r="D123" i="4"/>
  <c r="E123" i="4" s="1"/>
  <c r="D118" i="4"/>
  <c r="E118" i="4" s="1"/>
  <c r="D116" i="4"/>
  <c r="E116" i="4" s="1"/>
  <c r="D108" i="4"/>
  <c r="E108" i="4" s="1"/>
  <c r="D105" i="4"/>
  <c r="E105" i="4" s="1"/>
  <c r="D104" i="4"/>
  <c r="E104" i="4" s="1"/>
  <c r="D102" i="4"/>
  <c r="E102" i="4" s="1"/>
  <c r="D100" i="4"/>
  <c r="E100" i="4" s="1"/>
  <c r="D98" i="4"/>
  <c r="E98" i="4" s="1"/>
  <c r="D93" i="4"/>
  <c r="E93" i="4" s="1"/>
  <c r="E95" i="4" s="1"/>
  <c r="D72" i="4"/>
  <c r="E72" i="4" s="1"/>
  <c r="D84" i="4"/>
  <c r="E84" i="4" s="1"/>
  <c r="D92" i="4"/>
  <c r="E92" i="4" s="1"/>
  <c r="D59" i="4"/>
  <c r="E59" i="4" s="1"/>
  <c r="D159" i="4"/>
  <c r="E159" i="4" s="1"/>
  <c r="E161" i="4" s="1"/>
  <c r="D152" i="4"/>
  <c r="E152" i="4" s="1"/>
  <c r="E154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4" i="4"/>
  <c r="E44" i="4" s="1"/>
  <c r="D43" i="4"/>
  <c r="E43" i="4" s="1"/>
  <c r="D42" i="4"/>
  <c r="E42" i="4" s="1"/>
  <c r="D41" i="4"/>
  <c r="E41" i="4" s="1"/>
  <c r="D40" i="4"/>
  <c r="E40" i="4" s="1"/>
  <c r="E133" i="4" l="1"/>
  <c r="E119" i="4"/>
  <c r="E60" i="4"/>
  <c r="D161" i="4"/>
  <c r="D32" i="4" s="1"/>
  <c r="E32" i="4" s="1"/>
  <c r="D154" i="4"/>
  <c r="D146" i="4"/>
  <c r="D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0" i="4" l="1"/>
  <c r="D33" i="4"/>
  <c r="E33" i="4" l="1"/>
  <c r="E34" i="4" s="1"/>
  <c r="D34" i="4"/>
</calcChain>
</file>

<file path=xl/sharedStrings.xml><?xml version="1.0" encoding="utf-8"?>
<sst xmlns="http://schemas.openxmlformats.org/spreadsheetml/2006/main" count="397" uniqueCount="272">
  <si>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</si>
  <si>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</si>
  <si>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</si>
  <si>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</si>
  <si>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</si>
  <si>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</si>
  <si>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</si>
  <si>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</si>
  <si>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</si>
  <si>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</si>
  <si>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</si>
  <si>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</si>
  <si>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</si>
  <si>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</si>
  <si>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</si>
  <si>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</si>
  <si>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</si>
  <si>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</si>
  <si>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</si>
  <si>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</si>
  <si>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</si>
  <si>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</si>
  <si>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</si>
  <si>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</si>
  <si>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</si>
  <si>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</si>
  <si>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</si>
  <si>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</si>
  <si>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</si>
  <si>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</si>
  <si>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</si>
  <si>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</si>
  <si>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</si>
  <si>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</si>
  <si>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</si>
  <si>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</si>
  <si>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</si>
  <si>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</si>
  <si>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</si>
  <si>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</si>
  <si>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</si>
  <si>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</si>
  <si>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</si>
  <si>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</si>
  <si>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</si>
  <si>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</si>
  <si>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</si>
  <si>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</si>
  <si>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</si>
  <si>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</si>
  <si>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</si>
  <si>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</si>
  <si>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</si>
  <si>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</si>
  <si>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</si>
  <si>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</si>
  <si>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</si>
  <si>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</si>
  <si>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</si>
  <si>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</si>
  <si>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</si>
  <si>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</si>
  <si>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</si>
  <si>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</si>
  <si>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</si>
  <si>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</si>
  <si>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</si>
  <si>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</si>
  <si>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</si>
  <si>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</si>
  <si>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</si>
  <si>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</si>
  <si>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</si>
  <si>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</si>
  <si>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</si>
  <si>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</si>
  <si>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</si>
  <si>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</si>
  <si>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</si>
  <si>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</si>
  <si>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</si>
  <si>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</si>
  <si>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</si>
  <si>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</si>
  <si>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</si>
  <si>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</si>
  <si>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</si>
  <si>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</si>
  <si>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</si>
  <si>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</si>
  <si>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</si>
  <si>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</si>
  <si>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</si>
  <si>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</si>
  <si>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</si>
  <si>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</si>
  <si>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</si>
  <si>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</si>
  <si>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</si>
  <si>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</si>
  <si>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</si>
  <si>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</si>
  <si>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</si>
  <si>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</si>
  <si>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</si>
  <si>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</si>
  <si>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</si>
  <si>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</si>
  <si>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</si>
  <si>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</si>
  <si>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</si>
  <si>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</si>
  <si>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</si>
  <si>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</si>
  <si>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</si>
  <si>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</si>
  <si>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</si>
  <si>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</si>
  <si>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</si>
  <si>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</si>
  <si>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</si>
  <si>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</si>
  <si>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</si>
  <si>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</si>
  <si>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</si>
  <si>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</si>
  <si>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</si>
  <si>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</si>
  <si>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</si>
  <si>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</si>
  <si>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</si>
  <si>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</si>
  <si>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</si>
  <si>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</si>
  <si>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</si>
  <si>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</si>
  <si>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</si>
  <si>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</si>
  <si>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</si>
  <si>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</si>
  <si>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</si>
  <si>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</si>
  <si>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</si>
  <si>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</si>
  <si>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</si>
  <si>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</si>
  <si>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</si>
  <si>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</si>
  <si>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</si>
  <si>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</si>
  <si>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</si>
  <si>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</si>
  <si>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</si>
  <si>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</si>
  <si>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</si>
  <si>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</si>
  <si>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</si>
  <si>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</si>
  <si>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</si>
  <si>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</si>
  <si>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</si>
  <si>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</si>
  <si>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</si>
  <si>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</si>
  <si>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</si>
  <si>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</si>
  <si>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</si>
  <si>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</si>
  <si>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</si>
  <si>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</si>
  <si>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</si>
  <si>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</si>
  <si>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</si>
  <si>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</si>
  <si>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</si>
  <si>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</si>
  <si>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</si>
  <si>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</si>
  <si>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</si>
  <si>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</si>
  <si>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</si>
  <si>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</si>
  <si>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</si>
  <si>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</si>
  <si>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</si>
  <si>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</si>
  <si>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</si>
  <si>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</si>
  <si>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</si>
  <si>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</si>
  <si>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</si>
  <si>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</si>
  <si>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</si>
  <si>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</si>
  <si>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</si>
  <si>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</si>
  <si>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</si>
  <si>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</si>
  <si>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</si>
  <si>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</si>
  <si>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</si>
  <si>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</si>
  <si>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</si>
  <si>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</si>
  <si>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</si>
  <si>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</si>
  <si>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</si>
  <si>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</si>
  <si>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</si>
  <si>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</si>
  <si>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</si>
  <si>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</si>
  <si>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</si>
  <si>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</si>
  <si>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</si>
  <si>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</si>
  <si>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</si>
  <si>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</si>
  <si>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</si>
  <si>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</si>
  <si>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</si>
  <si>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</si>
  <si>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</si>
  <si>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</si>
  <si>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</si>
  <si>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</si>
  <si>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</si>
  <si>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</si>
  <si>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</si>
  <si>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</si>
  <si>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</si>
  <si>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</si>
  <si>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</si>
  <si>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</si>
  <si>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</si>
  <si>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</si>
  <si>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</si>
  <si>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</si>
  <si>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</si>
  <si>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</si>
  <si>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</si>
  <si>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</si>
  <si>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</si>
  <si>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</si>
  <si>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</si>
  <si>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</si>
  <si>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</si>
  <si>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</si>
  <si>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00중학교 교사 신축공사</t>
    <phoneticPr fontId="2" type="noConversion"/>
  </si>
  <si>
    <t>교육연구</t>
  </si>
  <si>
    <t>경상도</t>
  </si>
  <si>
    <t>홈통공사</t>
    <phoneticPr fontId="2" type="noConversion"/>
  </si>
  <si>
    <t>돌 및 타일공사</t>
    <phoneticPr fontId="2" type="noConversion"/>
  </si>
  <si>
    <t>기초및토공사,골재대,운반공사,폐기물처리비</t>
    <phoneticPr fontId="2" type="noConversion"/>
  </si>
  <si>
    <t>토목공사</t>
    <phoneticPr fontId="2" type="noConversion"/>
  </si>
  <si>
    <t>조경공사</t>
    <phoneticPr fontId="2" type="noConversion"/>
  </si>
  <si>
    <t>냉난방/환기기타공사</t>
    <phoneticPr fontId="2" type="noConversion"/>
  </si>
  <si>
    <t>인입간선및외등설비공사</t>
    <phoneticPr fontId="2" type="noConversion"/>
  </si>
  <si>
    <t>냉난방설비공사,난방설비공사,복사난방설비공사</t>
    <phoneticPr fontId="2" type="noConversion"/>
  </si>
  <si>
    <t>정보통신(전화,LAN)설비공사</t>
    <phoneticPr fontId="2" type="noConversion"/>
  </si>
  <si>
    <t>CATV설비공사</t>
    <phoneticPr fontId="2" type="noConversion"/>
  </si>
  <si>
    <t>무선AP설비공사,CCTV설비공사</t>
    <phoneticPr fontId="2" type="noConversion"/>
  </si>
  <si>
    <t>기계장비설치공사</t>
    <phoneticPr fontId="2" type="noConversion"/>
  </si>
  <si>
    <t>옥외위생배관공사,기계실위생배관공사,위생배관공사,화장실위생배관공사,조리실위생배관공사,조리실급배기덕트설치공사,난방용전열관설치공사,원적외선패널설치공사</t>
    <phoneticPr fontId="2" type="noConversion"/>
  </si>
  <si>
    <t>환기배관공사</t>
    <phoneticPr fontId="2" type="noConversion"/>
  </si>
  <si>
    <t>전기 소방공사</t>
    <phoneticPr fontId="2" type="noConversion"/>
  </si>
  <si>
    <t>기계 소방기계설비공사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</si>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</sst>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topLeftCell="A10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8439</v>
      </c>
      <c r="D7" s="36">
        <f>+C7/3.3058</f>
        <v>2552.7860124629437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270</v>
      </c>
    </row>
    <row r="19" spans="1:5" x14ac:dyDescent="0.3">
      <c r="A19" s="2">
        <v>9</v>
      </c>
      <c r="B19" s="2" t="s">
        <v>271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823950</v>
      </c>
      <c r="E25" s="59">
        <f t="shared" si="0"/>
        <v>2723810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140170</v>
      </c>
      <c r="E27" s="59">
        <f t="shared" si="0"/>
        <v>463370</v>
      </c>
    </row>
    <row r="28" spans="1:5" x14ac:dyDescent="0.3">
      <c r="B28" s="2">
        <v>5</v>
      </c>
      <c r="C28" s="35" t="s">
        <v>97</v>
      </c>
      <c r="D28" s="45">
        <f>+D119</f>
        <v>185130</v>
      </c>
      <c r="E28" s="59">
        <f t="shared" si="0"/>
        <v>612000</v>
      </c>
    </row>
    <row r="29" spans="1:5" x14ac:dyDescent="0.3">
      <c r="B29" s="2">
        <v>6</v>
      </c>
      <c r="C29" s="35" t="s">
        <v>98</v>
      </c>
      <c r="D29" s="45">
        <f>+D133</f>
        <v>53090</v>
      </c>
      <c r="E29" s="59">
        <f t="shared" si="0"/>
        <v>175500</v>
      </c>
    </row>
    <row r="30" spans="1:5" x14ac:dyDescent="0.3">
      <c r="B30" s="2">
        <v>7</v>
      </c>
      <c r="C30" s="35" t="s">
        <v>99</v>
      </c>
      <c r="D30" s="45">
        <f>+D146</f>
        <v>26440</v>
      </c>
      <c r="E30" s="59">
        <f t="shared" si="0"/>
        <v>87400</v>
      </c>
    </row>
    <row r="31" spans="1:5" x14ac:dyDescent="0.3">
      <c r="B31" s="2">
        <v>8</v>
      </c>
      <c r="C31" s="35" t="s">
        <v>100</v>
      </c>
      <c r="D31" s="45">
        <f>+D154</f>
        <v>37900</v>
      </c>
      <c r="E31" s="59">
        <f t="shared" si="0"/>
        <v>125280</v>
      </c>
    </row>
    <row r="32" spans="1:5" x14ac:dyDescent="0.3">
      <c r="B32" s="2">
        <v>9</v>
      </c>
      <c r="C32" s="35" t="s">
        <v>101</v>
      </c>
      <c r="D32" s="45">
        <f>+D161</f>
        <v>22590</v>
      </c>
      <c r="E32" s="59">
        <f t="shared" si="0"/>
        <v>74670</v>
      </c>
    </row>
    <row r="33" spans="1:7" x14ac:dyDescent="0.3">
      <c r="B33" s="2">
        <v>10</v>
      </c>
      <c r="C33" s="35" t="s">
        <v>154</v>
      </c>
      <c r="D33" s="53">
        <f>TRUNC(SUM(D24:D32)*0.275,-1)</f>
        <v>354540</v>
      </c>
      <c r="E33" s="60">
        <f t="shared" si="0"/>
        <v>1172030</v>
      </c>
    </row>
    <row r="34" spans="1:7" x14ac:dyDescent="0.3">
      <c r="C34" s="35" t="s">
        <v>112</v>
      </c>
      <c r="D34" s="44">
        <f>SUM(D24:D33)</f>
        <v>1643810</v>
      </c>
      <c r="E34" s="44">
        <f>SUM(E24:E33)</f>
        <v>5434060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267</v>
      </c>
      <c r="E39" s="67" t="s">
        <v>268</v>
      </c>
      <c r="G39" s="68"/>
    </row>
    <row r="40" spans="1:7" x14ac:dyDescent="0.3">
      <c r="A40" s="2">
        <v>1</v>
      </c>
      <c r="C40" s="38" t="s">
        <v>15</v>
      </c>
      <c r="D40" s="40">
        <f>TRUNC(21289,-1)</f>
        <v>21280</v>
      </c>
      <c r="E40" s="62">
        <f t="shared" ref="E40:E59" si="1">TRUNC(+D40*3.3058,-1)</f>
        <v>70340</v>
      </c>
    </row>
    <row r="41" spans="1:7" x14ac:dyDescent="0.3">
      <c r="A41" s="2">
        <v>2</v>
      </c>
      <c r="C41" s="38" t="s">
        <v>13</v>
      </c>
      <c r="D41" s="42">
        <f>TRUNC(122464,-1)</f>
        <v>122460</v>
      </c>
      <c r="E41" s="63">
        <f t="shared" si="1"/>
        <v>404820</v>
      </c>
    </row>
    <row r="42" spans="1:7" x14ac:dyDescent="0.3">
      <c r="A42" s="2">
        <v>3</v>
      </c>
      <c r="C42" s="38" t="s">
        <v>14</v>
      </c>
      <c r="D42" s="42">
        <f>TRUNC(11179,-1)</f>
        <v>11170</v>
      </c>
      <c r="E42" s="63">
        <f t="shared" si="1"/>
        <v>36920</v>
      </c>
    </row>
    <row r="43" spans="1:7" x14ac:dyDescent="0.3">
      <c r="A43" s="2">
        <v>4</v>
      </c>
      <c r="C43" s="38" t="s">
        <v>16</v>
      </c>
      <c r="D43" s="42">
        <f>TRUNC(29484,-1)</f>
        <v>29480</v>
      </c>
      <c r="E43" s="63">
        <f t="shared" si="1"/>
        <v>97450</v>
      </c>
    </row>
    <row r="44" spans="1:7" x14ac:dyDescent="0.3">
      <c r="A44" s="2">
        <v>5</v>
      </c>
      <c r="C44" s="38" t="s">
        <v>17</v>
      </c>
      <c r="D44" s="42">
        <f>TRUNC(15680,-1)</f>
        <v>15680</v>
      </c>
      <c r="E44" s="63">
        <f t="shared" si="1"/>
        <v>51830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f>TRUNC(35688,-1)</f>
        <v>35680</v>
      </c>
      <c r="E46" s="63">
        <f t="shared" si="1"/>
        <v>117950</v>
      </c>
      <c r="F46" s="2" t="s">
        <v>252</v>
      </c>
    </row>
    <row r="47" spans="1:7" x14ac:dyDescent="0.3">
      <c r="A47" s="2">
        <v>8</v>
      </c>
      <c r="C47" s="38" t="s">
        <v>20</v>
      </c>
      <c r="D47" s="42">
        <f>TRUNC(40440,-1)</f>
        <v>40440</v>
      </c>
      <c r="E47" s="63">
        <f t="shared" si="1"/>
        <v>133680</v>
      </c>
    </row>
    <row r="48" spans="1:7" x14ac:dyDescent="0.3">
      <c r="A48" s="2">
        <v>9</v>
      </c>
      <c r="C48" s="38" t="s">
        <v>21</v>
      </c>
      <c r="D48" s="42">
        <f>TRUNC(62586,-1)</f>
        <v>62580</v>
      </c>
      <c r="E48" s="63">
        <f t="shared" si="1"/>
        <v>206870</v>
      </c>
    </row>
    <row r="49" spans="1:7" x14ac:dyDescent="0.3">
      <c r="A49" s="2">
        <v>10</v>
      </c>
      <c r="C49" s="38" t="s">
        <v>22</v>
      </c>
      <c r="D49" s="42">
        <f>TRUNC(19936,-1)</f>
        <v>19930</v>
      </c>
      <c r="E49" s="63">
        <f t="shared" si="1"/>
        <v>65880</v>
      </c>
    </row>
    <row r="50" spans="1:7" x14ac:dyDescent="0.3">
      <c r="A50" s="2">
        <v>11</v>
      </c>
      <c r="C50" s="38" t="s">
        <v>155</v>
      </c>
      <c r="D50" s="42">
        <f>TRUNC(22826,-1)</f>
        <v>22820</v>
      </c>
      <c r="E50" s="63">
        <f t="shared" si="1"/>
        <v>75430</v>
      </c>
    </row>
    <row r="51" spans="1:7" x14ac:dyDescent="0.3">
      <c r="A51" s="2">
        <v>12</v>
      </c>
      <c r="C51" s="38" t="s">
        <v>23</v>
      </c>
      <c r="D51" s="42">
        <f>TRUNC(22023,-1)</f>
        <v>22020</v>
      </c>
      <c r="E51" s="63">
        <f t="shared" si="1"/>
        <v>72790</v>
      </c>
    </row>
    <row r="52" spans="1:7" x14ac:dyDescent="0.3">
      <c r="A52" s="2">
        <v>13</v>
      </c>
      <c r="C52" s="38" t="s">
        <v>24</v>
      </c>
      <c r="D52" s="42">
        <f>TRUNC(9122,-1)</f>
        <v>9120</v>
      </c>
      <c r="E52" s="63">
        <f t="shared" si="1"/>
        <v>30140</v>
      </c>
    </row>
    <row r="53" spans="1:7" x14ac:dyDescent="0.3">
      <c r="A53" s="2">
        <v>14</v>
      </c>
      <c r="C53" s="38" t="s">
        <v>25</v>
      </c>
      <c r="D53" s="42">
        <f>TRUNC(25117,-1)</f>
        <v>25110</v>
      </c>
      <c r="E53" s="63">
        <f t="shared" si="1"/>
        <v>83000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TRUNC(2643,-1)</f>
        <v>2640</v>
      </c>
      <c r="E55" s="63">
        <f t="shared" si="1"/>
        <v>8720</v>
      </c>
      <c r="F55" s="2" t="s">
        <v>251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TRUNC(20541+1425+1745+269,-1)</f>
        <v>23980</v>
      </c>
      <c r="E58" s="63">
        <f t="shared" si="1"/>
        <v>79270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TRUNC(359569,-1)</f>
        <v>359560</v>
      </c>
      <c r="E59" s="64">
        <f t="shared" si="1"/>
        <v>1188630</v>
      </c>
    </row>
    <row r="60" spans="1:7" x14ac:dyDescent="0.3">
      <c r="A60" s="2">
        <v>21</v>
      </c>
      <c r="C60" s="27" t="s">
        <v>112</v>
      </c>
      <c r="D60" s="39">
        <f>SUM(D40:D59)</f>
        <v>823950</v>
      </c>
      <c r="E60" s="39">
        <f>SUM(E40:E59)</f>
        <v>2723720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TRUNC(3172,-1)</f>
        <v>3170</v>
      </c>
      <c r="E69" s="62">
        <f t="shared" ref="E69:E94" si="2">TRUNC(+D69*3.3058,-1)</f>
        <v>10470</v>
      </c>
      <c r="F69" s="2" t="s">
        <v>262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TRUNC(6431,-1)</f>
        <v>6430</v>
      </c>
      <c r="E72" s="63">
        <f t="shared" si="2"/>
        <v>21250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TRUNC(1843,-1)</f>
        <v>1840</v>
      </c>
      <c r="E79" s="63">
        <f t="shared" si="2"/>
        <v>6080</v>
      </c>
      <c r="F79" s="2" t="s">
        <v>264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TRUNC(850,-1)</f>
        <v>850</v>
      </c>
      <c r="E84" s="63">
        <f t="shared" si="2"/>
        <v>2800</v>
      </c>
      <c r="F84" s="2" t="s">
        <v>256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TRUNC(9239,-1)</f>
        <v>9230</v>
      </c>
      <c r="E92" s="63">
        <f t="shared" si="2"/>
        <v>30510</v>
      </c>
    </row>
    <row r="93" spans="1:7" x14ac:dyDescent="0.3">
      <c r="A93" s="2">
        <v>25</v>
      </c>
      <c r="C93" s="38" t="s">
        <v>148</v>
      </c>
      <c r="D93" s="42">
        <f>TRUNC(86059,-1)</f>
        <v>86050</v>
      </c>
      <c r="E93" s="63">
        <f t="shared" si="2"/>
        <v>284460</v>
      </c>
    </row>
    <row r="94" spans="1:7" ht="17.25" thickBot="1" x14ac:dyDescent="0.35">
      <c r="A94" s="2">
        <v>26</v>
      </c>
      <c r="C94" s="38" t="s">
        <v>47</v>
      </c>
      <c r="D94" s="43">
        <f>TRUNC(1093+3354+6727+9777+2344+3398+2289+3620,-1)</f>
        <v>32600</v>
      </c>
      <c r="E94" s="64">
        <f t="shared" si="2"/>
        <v>107760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140170</v>
      </c>
      <c r="E95" s="39">
        <f>SUM(E69:E94)</f>
        <v>463330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TRUNC(10201,-1)</f>
        <v>10200</v>
      </c>
      <c r="E98" s="62">
        <f t="shared" ref="E98:E118" si="3">TRUNC(+D98*3.3058,-1)</f>
        <v>33710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TRUNC(21074,-1)</f>
        <v>21070</v>
      </c>
      <c r="E100" s="63">
        <f t="shared" si="3"/>
        <v>69650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TRUNC(12239,-1)</f>
        <v>12230</v>
      </c>
      <c r="E102" s="63">
        <f t="shared" si="3"/>
        <v>40420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TRUNC(2000,-1)</f>
        <v>2000</v>
      </c>
      <c r="E104" s="63">
        <f t="shared" si="3"/>
        <v>6610</v>
      </c>
    </row>
    <row r="105" spans="1:7" x14ac:dyDescent="0.3">
      <c r="A105" s="2">
        <v>8</v>
      </c>
      <c r="C105" s="38" t="s">
        <v>46</v>
      </c>
      <c r="D105" s="42">
        <f>TRUNC(9146,-1)</f>
        <v>9140</v>
      </c>
      <c r="E105" s="63">
        <f t="shared" si="3"/>
        <v>30210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TRUNC(2638+513+1548,-1)</f>
        <v>4690</v>
      </c>
      <c r="E108" s="63">
        <f t="shared" si="3"/>
        <v>15500</v>
      </c>
      <c r="F108" s="2" t="s">
        <v>258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TRUNC(2753,-1)</f>
        <v>2750</v>
      </c>
      <c r="E116" s="63">
        <f t="shared" si="3"/>
        <v>9090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f>TRUNC(121202,-1)</f>
        <v>121200</v>
      </c>
      <c r="E117" s="63">
        <f t="shared" si="3"/>
        <v>400660</v>
      </c>
    </row>
    <row r="118" spans="1:7" ht="17.25" thickBot="1" x14ac:dyDescent="0.35">
      <c r="A118" s="2">
        <v>21</v>
      </c>
      <c r="C118" s="38" t="s">
        <v>47</v>
      </c>
      <c r="D118" s="43">
        <f>TRUNC(1263+592,-1)</f>
        <v>1850</v>
      </c>
      <c r="E118" s="64">
        <f t="shared" si="3"/>
        <v>6110</v>
      </c>
    </row>
    <row r="119" spans="1:7" x14ac:dyDescent="0.3">
      <c r="A119" s="2">
        <v>22</v>
      </c>
      <c r="C119" s="27" t="s">
        <v>112</v>
      </c>
      <c r="D119" s="39">
        <f>SUM(D98:D118)</f>
        <v>185130</v>
      </c>
      <c r="E119" s="39">
        <f>SUM(E98:E118)</f>
        <v>611960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TRUNC(2366,-1)</f>
        <v>2360</v>
      </c>
      <c r="E122" s="62">
        <f t="shared" ref="E122:E132" si="4">TRUNC(+D122*3.3058,-1)</f>
        <v>7800</v>
      </c>
      <c r="F122" s="2" t="s">
        <v>260</v>
      </c>
    </row>
    <row r="123" spans="1:7" x14ac:dyDescent="0.3">
      <c r="A123" s="2">
        <v>2</v>
      </c>
      <c r="C123" s="38" t="s">
        <v>124</v>
      </c>
      <c r="D123" s="42">
        <f>TRUNC(16684,-1)</f>
        <v>16680</v>
      </c>
      <c r="E123" s="63">
        <f t="shared" si="4"/>
        <v>55140</v>
      </c>
      <c r="F123" s="2" t="s">
        <v>259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TRUNC(6742,-1)</f>
        <v>6740</v>
      </c>
      <c r="E125" s="63">
        <f t="shared" si="4"/>
        <v>22280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TRUNC(849,-1)</f>
        <v>840</v>
      </c>
      <c r="E128" s="63">
        <f t="shared" si="4"/>
        <v>2770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TRUNC(19686,-1)</f>
        <v>19680</v>
      </c>
      <c r="E131" s="63">
        <f t="shared" si="4"/>
        <v>65050</v>
      </c>
    </row>
    <row r="132" spans="1:7" ht="18" thickBot="1" x14ac:dyDescent="0.35">
      <c r="A132" s="2">
        <v>11</v>
      </c>
      <c r="C132" s="38" t="s">
        <v>47</v>
      </c>
      <c r="D132" s="43">
        <f>TRUNC(3304+3490,-1)</f>
        <v>6790</v>
      </c>
      <c r="E132" s="64">
        <f t="shared" si="4"/>
        <v>22440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53090</v>
      </c>
      <c r="E133" s="39">
        <f>SUM(E122:E132)</f>
        <v>175480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TRUNC(17168,-1)</f>
        <v>17160</v>
      </c>
      <c r="E136" s="62">
        <f t="shared" ref="E136:E145" si="5">TRUNC(+D136*3.3058,-1)</f>
        <v>56720</v>
      </c>
      <c r="F136" s="2" t="s">
        <v>266</v>
      </c>
    </row>
    <row r="137" spans="1:7" x14ac:dyDescent="0.3">
      <c r="A137" s="2">
        <v>2</v>
      </c>
      <c r="C137" s="38" t="s">
        <v>47</v>
      </c>
      <c r="D137" s="42">
        <f>TRUNC(9280,-1)</f>
        <v>9280</v>
      </c>
      <c r="E137" s="63">
        <f t="shared" si="5"/>
        <v>30670</v>
      </c>
      <c r="F137" s="2" t="s">
        <v>265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26440</v>
      </c>
      <c r="E146" s="39">
        <f>SUM(E136:E145)</f>
        <v>87390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TRUNC(37903,-1)</f>
        <v>37900</v>
      </c>
      <c r="E152" s="63">
        <f>TRUNC(+D152*3.3058,-1)</f>
        <v>125280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37900</v>
      </c>
      <c r="E154" s="39">
        <f>SUM(E149:E153)</f>
        <v>125280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TRUNC(22596,-1)</f>
        <v>22590</v>
      </c>
      <c r="E159" s="63">
        <f>TRUNC(+D159*3.3058,-1)</f>
        <v>74670</v>
      </c>
      <c r="F159" s="2" t="s">
        <v>255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22590</v>
      </c>
      <c r="E161" s="39">
        <f>SUM(E157:E160)</f>
        <v>74670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2020-12-07T09:36:27Z</dcterms:modified>
</cp:coreProperties>
</file>