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4" i="4" l="1"/>
  <c r="D58" i="4"/>
  <c r="D128" i="4" l="1"/>
  <c r="D124" i="4"/>
  <c r="D127" i="4"/>
  <c r="D125" i="4"/>
  <c r="D122" i="4"/>
  <c r="D132" i="4"/>
  <c r="D126" i="4"/>
  <c r="D118" i="4"/>
  <c r="D105" i="4"/>
  <c r="D104" i="4"/>
  <c r="D108" i="4"/>
  <c r="D102" i="4"/>
  <c r="D100" i="4"/>
  <c r="D99" i="4"/>
  <c r="D98" i="4"/>
  <c r="D115" i="4"/>
  <c r="D114" i="4"/>
  <c r="D94" i="4"/>
  <c r="D75" i="4"/>
  <c r="D74" i="4"/>
  <c r="D92" i="4"/>
  <c r="D79" i="4"/>
  <c r="D71" i="4"/>
  <c r="D70" i="4"/>
  <c r="D69" i="4"/>
  <c r="D41" i="4"/>
  <c r="D45" i="4"/>
  <c r="D50" i="4"/>
  <c r="D55" i="4"/>
  <c r="D43" i="4"/>
  <c r="D51" i="4"/>
  <c r="D53" i="4"/>
  <c r="D46" i="4"/>
  <c r="D44" i="4"/>
  <c r="D49" i="4"/>
  <c r="D47" i="4"/>
  <c r="D52" i="4"/>
  <c r="D48" i="4"/>
  <c r="D37" i="4"/>
  <c r="D40" i="4"/>
  <c r="D56" i="4"/>
  <c r="D137" i="4"/>
  <c r="D136" i="4"/>
  <c r="D159" i="4"/>
  <c r="D152" i="4"/>
  <c r="D131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95" i="4"/>
  <c r="E60" i="4"/>
  <c r="E146" i="4"/>
  <c r="E154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<sst xmlns="http://schemas.openxmlformats.org/spreadsheetml/2006/main" count="391" uniqueCount="266">
  <si>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</si>
  <si>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</si>
  <si>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</si>
  <si>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</si>
  <si>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</si>
  <si>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</si>
  <si>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</si>
  <si>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</si>
  <si>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</si>
  <si>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</si>
  <si>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</si>
  <si>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</si>
  <si>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</si>
  <si>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</si>
  <si>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</si>
  <si>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</si>
  <si>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</si>
  <si>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</si>
  <si>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</si>
  <si>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</si>
  <si>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</si>
  <si>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</si>
  <si>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</si>
  <si>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</si>
  <si>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</si>
  <si>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</si>
  <si>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</si>
  <si>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</si>
  <si>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</si>
  <si>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</si>
  <si>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</si>
  <si>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</si>
  <si>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</si>
  <si>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</si>
  <si>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</si>
  <si>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</si>
  <si>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</si>
  <si>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</si>
  <si>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</si>
  <si>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</si>
  <si>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</si>
  <si>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</si>
  <si>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</si>
  <si>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</si>
  <si>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</si>
  <si>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</si>
  <si>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</si>
  <si>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</si>
  <si>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</si>
  <si>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</si>
  <si>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</si>
  <si>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</si>
  <si>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</si>
  <si>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</si>
  <si>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</si>
  <si>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</si>
  <si>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</si>
  <si>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</si>
  <si>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</si>
  <si>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</si>
  <si>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</si>
  <si>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</si>
  <si>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</si>
  <si>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</si>
  <si>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</si>
  <si>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</si>
  <si>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</si>
  <si>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</si>
  <si>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</si>
  <si>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</si>
  <si>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</si>
  <si>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</si>
  <si>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</si>
  <si>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</si>
  <si>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</si>
  <si>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</si>
  <si>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</si>
  <si>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</si>
  <si>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</si>
  <si>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</si>
  <si>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</si>
  <si>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</si>
  <si>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</si>
  <si>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</si>
  <si>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</si>
  <si>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</si>
  <si>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</si>
  <si>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</si>
  <si>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</si>
  <si>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</si>
  <si>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</si>
  <si>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</si>
  <si>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</si>
  <si>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</si>
  <si>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</si>
  <si>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</si>
  <si>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</si>
  <si>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</si>
  <si>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</si>
  <si>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</si>
  <si>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</si>
  <si>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</si>
  <si>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</si>
  <si>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</si>
  <si>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</si>
  <si>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</si>
  <si>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</si>
  <si>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</si>
  <si>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</si>
  <si>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</si>
  <si>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</si>
  <si>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</si>
  <si>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</si>
  <si>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</si>
  <si>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</si>
  <si>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</si>
  <si>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</si>
  <si>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</si>
  <si>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</si>
  <si>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</si>
  <si>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</si>
  <si>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</si>
  <si>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</si>
  <si>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</si>
  <si>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</si>
  <si>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</si>
  <si>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</si>
  <si>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</si>
  <si>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</si>
  <si>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</si>
  <si>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</si>
  <si>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</si>
  <si>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</si>
  <si>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</si>
  <si>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</si>
  <si>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</si>
  <si>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</si>
  <si>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</si>
  <si>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</si>
  <si>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</si>
  <si>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</si>
  <si>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</si>
  <si>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</si>
  <si>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</si>
  <si>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</si>
  <si>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</si>
  <si>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</si>
  <si>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</si>
  <si>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</si>
  <si>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</si>
  <si>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</si>
  <si>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</si>
  <si>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</si>
  <si>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</si>
  <si>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</si>
  <si>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</si>
  <si>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</si>
  <si>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</si>
  <si>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</si>
  <si>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</si>
  <si>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</si>
  <si>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</si>
  <si>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</si>
  <si>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</si>
  <si>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</si>
  <si>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</si>
  <si>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</si>
  <si>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</si>
  <si>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</si>
  <si>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</si>
  <si>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</si>
  <si>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</si>
  <si>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</si>
  <si>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</si>
  <si>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</si>
  <si>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</si>
  <si>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</si>
  <si>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</si>
  <si>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</si>
  <si>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</si>
  <si>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</si>
  <si>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</si>
  <si>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</si>
  <si>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</si>
  <si>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</si>
  <si>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</si>
  <si>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</si>
  <si>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</si>
  <si>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</si>
  <si>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</si>
  <si>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</si>
  <si>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</si>
  <si>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</si>
  <si>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</si>
  <si>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</si>
  <si>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</si>
  <si>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</si>
  <si>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</si>
  <si>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</si>
  <si>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</si>
  <si>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</si>
  <si>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</si>
  <si>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</si>
  <si>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</si>
  <si>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</si>
  <si>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</si>
  <si>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</si>
  <si>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</si>
  <si>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</si>
  <si>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</si>
  <si>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</si>
  <si>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</si>
  <si>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</si>
  <si>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</si>
  <si>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</si>
  <si>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</si>
  <si>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</si>
  <si>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</si>
  <si>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</si>
  <si>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</si>
  <si>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</si>
  <si>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</si>
  <si>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</si>
  <si>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</si>
  <si>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</si>
  <si>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</si>
  <si>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</si>
  <si>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</si>
  <si>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</si>
  <si>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</si>
  <si>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</si>
  <si>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</si>
  <si>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</si>
  <si>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</si>
  <si>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</si>
  <si>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</si>
  <si>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</si>
  <si>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</si>
  <si>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</si>
  <si>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</si>
  <si>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</si>
  <si>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</si>
  <si>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</si>
  <si>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</si>
  <si>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</si>
  <si>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</si>
  <si>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</si>
  <si>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</si>
  <si>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 지원센터 신축공사</t>
    <phoneticPr fontId="2" type="noConversion"/>
  </si>
  <si>
    <t>교육연구</t>
  </si>
  <si>
    <t>전라도</t>
  </si>
  <si>
    <t>기계 소화설비공사</t>
    <phoneticPr fontId="2" type="noConversion"/>
  </si>
  <si>
    <t>전기 소방공사</t>
    <phoneticPr fontId="2" type="noConversion"/>
  </si>
  <si>
    <t>부대토목공사(흙막이공사 포함)</t>
    <phoneticPr fontId="2" type="noConversion"/>
  </si>
  <si>
    <t>부대조경공사</t>
    <phoneticPr fontId="2" type="noConversion"/>
  </si>
  <si>
    <t>위생설비공사</t>
    <phoneticPr fontId="2" type="noConversion"/>
  </si>
  <si>
    <t>방진소음장치</t>
    <phoneticPr fontId="2" type="noConversion"/>
  </si>
  <si>
    <t>태양광설비공사,기숙사동전기공사</t>
    <phoneticPr fontId="2" type="noConversion"/>
  </si>
  <si>
    <t>정보통신공사,CCTV설비공사</t>
    <phoneticPr fontId="2" type="noConversion"/>
  </si>
  <si>
    <t>CATV설비공사</t>
    <phoneticPr fontId="2" type="noConversion"/>
  </si>
  <si>
    <t>기타공사,운반비,작업부산물,주요자재비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</si>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</sst>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8295</v>
      </c>
      <c r="D7" s="36">
        <f>+C7/3.3058</f>
        <v>2509.2262084820618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6150</v>
      </c>
      <c r="E24" s="58">
        <f t="shared" ref="E24:E33" si="0">TRUNC(+D24*3.3058,-1)</f>
        <v>20330</v>
      </c>
    </row>
    <row r="25" spans="1:5" x14ac:dyDescent="0.3">
      <c r="B25" s="2">
        <v>2</v>
      </c>
      <c r="C25" s="35" t="s">
        <v>111</v>
      </c>
      <c r="D25" s="45">
        <f>+D60</f>
        <v>862650</v>
      </c>
      <c r="E25" s="59">
        <f t="shared" si="0"/>
        <v>2851740</v>
      </c>
    </row>
    <row r="26" spans="1:5" x14ac:dyDescent="0.3">
      <c r="B26" s="2">
        <v>3</v>
      </c>
      <c r="C26" s="35" t="s">
        <v>95</v>
      </c>
      <c r="D26" s="45">
        <f>+D66</f>
        <v>39340</v>
      </c>
      <c r="E26" s="59">
        <f t="shared" si="0"/>
        <v>130050</v>
      </c>
    </row>
    <row r="27" spans="1:5" x14ac:dyDescent="0.3">
      <c r="B27" s="2">
        <v>4</v>
      </c>
      <c r="C27" s="35" t="s">
        <v>96</v>
      </c>
      <c r="D27" s="45">
        <f>+D95</f>
        <v>174830</v>
      </c>
      <c r="E27" s="59">
        <f t="shared" si="0"/>
        <v>577950</v>
      </c>
    </row>
    <row r="28" spans="1:5" x14ac:dyDescent="0.3">
      <c r="B28" s="2">
        <v>5</v>
      </c>
      <c r="C28" s="35" t="s">
        <v>97</v>
      </c>
      <c r="D28" s="45">
        <f>+D119</f>
        <v>220940</v>
      </c>
      <c r="E28" s="59">
        <f t="shared" si="0"/>
        <v>730380</v>
      </c>
    </row>
    <row r="29" spans="1:5" x14ac:dyDescent="0.3">
      <c r="B29" s="2">
        <v>6</v>
      </c>
      <c r="C29" s="35" t="s">
        <v>98</v>
      </c>
      <c r="D29" s="45">
        <f>+D133</f>
        <v>78210</v>
      </c>
      <c r="E29" s="59">
        <f t="shared" si="0"/>
        <v>258540</v>
      </c>
    </row>
    <row r="30" spans="1:5" x14ac:dyDescent="0.3">
      <c r="B30" s="2">
        <v>7</v>
      </c>
      <c r="C30" s="35" t="s">
        <v>99</v>
      </c>
      <c r="D30" s="45">
        <f>+D146</f>
        <v>23150</v>
      </c>
      <c r="E30" s="59">
        <f t="shared" si="0"/>
        <v>76520</v>
      </c>
    </row>
    <row r="31" spans="1:5" x14ac:dyDescent="0.3">
      <c r="B31" s="2">
        <v>8</v>
      </c>
      <c r="C31" s="35" t="s">
        <v>100</v>
      </c>
      <c r="D31" s="45">
        <f>+D154</f>
        <v>31490</v>
      </c>
      <c r="E31" s="59">
        <f t="shared" si="0"/>
        <v>104090</v>
      </c>
    </row>
    <row r="32" spans="1:5" x14ac:dyDescent="0.3">
      <c r="B32" s="2">
        <v>9</v>
      </c>
      <c r="C32" s="35" t="s">
        <v>101</v>
      </c>
      <c r="D32" s="45">
        <f>+D161</f>
        <v>47740</v>
      </c>
      <c r="E32" s="59">
        <f t="shared" si="0"/>
        <v>157810</v>
      </c>
    </row>
    <row r="33" spans="1:7" x14ac:dyDescent="0.3">
      <c r="B33" s="2">
        <v>10</v>
      </c>
      <c r="C33" s="35" t="s">
        <v>154</v>
      </c>
      <c r="D33" s="53">
        <f>TRUNC(SUM(D24:D32)*0.275,-1)</f>
        <v>408230</v>
      </c>
      <c r="E33" s="60">
        <f t="shared" si="0"/>
        <v>1349520</v>
      </c>
    </row>
    <row r="34" spans="1:7" x14ac:dyDescent="0.3">
      <c r="C34" s="35" t="s">
        <v>112</v>
      </c>
      <c r="D34" s="44">
        <f>SUM(D24:D33)</f>
        <v>1892730</v>
      </c>
      <c r="E34" s="44">
        <f>SUM(E24:E33)</f>
        <v>6256930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TRUNC(6151,-1)</f>
        <v>6150</v>
      </c>
      <c r="E37" s="61">
        <f>TRUNC(+D37*3.3058,-1)</f>
        <v>20330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TRUNC(46716,-1)</f>
        <v>46710</v>
      </c>
      <c r="E40" s="62">
        <f t="shared" ref="E40:E59" si="1">TRUNC(+D40*3.3058,-1)</f>
        <v>154410</v>
      </c>
    </row>
    <row r="41" spans="1:7" x14ac:dyDescent="0.3">
      <c r="A41" s="2">
        <v>2</v>
      </c>
      <c r="C41" s="38" t="s">
        <v>13</v>
      </c>
      <c r="D41" s="42">
        <f>TRUNC(151824,-1)</f>
        <v>151820</v>
      </c>
      <c r="E41" s="63">
        <f t="shared" si="1"/>
        <v>501880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TRUNC(22916,-1)</f>
        <v>22910</v>
      </c>
      <c r="E43" s="63">
        <f t="shared" si="1"/>
        <v>75730</v>
      </c>
    </row>
    <row r="44" spans="1:7" x14ac:dyDescent="0.3">
      <c r="A44" s="2">
        <v>5</v>
      </c>
      <c r="C44" s="38" t="s">
        <v>17</v>
      </c>
      <c r="D44" s="42">
        <f>TRUNC(24214,-1)</f>
        <v>24210</v>
      </c>
      <c r="E44" s="63">
        <f t="shared" si="1"/>
        <v>80030</v>
      </c>
    </row>
    <row r="45" spans="1:7" x14ac:dyDescent="0.3">
      <c r="A45" s="2">
        <v>6</v>
      </c>
      <c r="C45" s="38" t="s">
        <v>18</v>
      </c>
      <c r="D45" s="42">
        <f>TRUNC(19523,-1)</f>
        <v>19520</v>
      </c>
      <c r="E45" s="63">
        <f t="shared" si="1"/>
        <v>64520</v>
      </c>
    </row>
    <row r="46" spans="1:7" x14ac:dyDescent="0.3">
      <c r="A46" s="2">
        <v>7</v>
      </c>
      <c r="C46" s="38" t="s">
        <v>19</v>
      </c>
      <c r="D46" s="42">
        <f>TRUNC(1783,-1)</f>
        <v>1780</v>
      </c>
      <c r="E46" s="63">
        <f t="shared" si="1"/>
        <v>5880</v>
      </c>
    </row>
    <row r="47" spans="1:7" x14ac:dyDescent="0.3">
      <c r="A47" s="2">
        <v>8</v>
      </c>
      <c r="C47" s="38" t="s">
        <v>20</v>
      </c>
      <c r="D47" s="42">
        <f>TRUNC(548,-1)</f>
        <v>540</v>
      </c>
      <c r="E47" s="63">
        <f t="shared" si="1"/>
        <v>1780</v>
      </c>
    </row>
    <row r="48" spans="1:7" x14ac:dyDescent="0.3">
      <c r="A48" s="2">
        <v>9</v>
      </c>
      <c r="C48" s="38" t="s">
        <v>21</v>
      </c>
      <c r="D48" s="42">
        <f>TRUNC(58328,-1)</f>
        <v>58320</v>
      </c>
      <c r="E48" s="63">
        <f t="shared" si="1"/>
        <v>192790</v>
      </c>
    </row>
    <row r="49" spans="1:7" x14ac:dyDescent="0.3">
      <c r="A49" s="2">
        <v>10</v>
      </c>
      <c r="C49" s="38" t="s">
        <v>22</v>
      </c>
      <c r="D49" s="42">
        <f>TRUNC(17368,-1)</f>
        <v>17360</v>
      </c>
      <c r="E49" s="63">
        <f t="shared" si="1"/>
        <v>57380</v>
      </c>
    </row>
    <row r="50" spans="1:7" x14ac:dyDescent="0.3">
      <c r="A50" s="2">
        <v>11</v>
      </c>
      <c r="C50" s="38" t="s">
        <v>155</v>
      </c>
      <c r="D50" s="42">
        <f>TRUNC(32475,-1)</f>
        <v>32470</v>
      </c>
      <c r="E50" s="63">
        <f t="shared" si="1"/>
        <v>107330</v>
      </c>
    </row>
    <row r="51" spans="1:7" x14ac:dyDescent="0.3">
      <c r="A51" s="2">
        <v>12</v>
      </c>
      <c r="C51" s="38" t="s">
        <v>23</v>
      </c>
      <c r="D51" s="42">
        <f>TRUNC(17387,-1)</f>
        <v>17380</v>
      </c>
      <c r="E51" s="63">
        <f t="shared" si="1"/>
        <v>57450</v>
      </c>
    </row>
    <row r="52" spans="1:7" x14ac:dyDescent="0.3">
      <c r="A52" s="2">
        <v>13</v>
      </c>
      <c r="C52" s="38" t="s">
        <v>24</v>
      </c>
      <c r="D52" s="42">
        <f>TRUNC(13905,-1)</f>
        <v>13900</v>
      </c>
      <c r="E52" s="63">
        <f t="shared" si="1"/>
        <v>45950</v>
      </c>
    </row>
    <row r="53" spans="1:7" x14ac:dyDescent="0.3">
      <c r="A53" s="2">
        <v>14</v>
      </c>
      <c r="C53" s="38" t="s">
        <v>25</v>
      </c>
      <c r="D53" s="42">
        <f>TRUNC(75695,-1)</f>
        <v>75690</v>
      </c>
      <c r="E53" s="63">
        <f t="shared" si="1"/>
        <v>250210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TRUNC(2011,-1)</f>
        <v>2010</v>
      </c>
      <c r="E55" s="63">
        <f t="shared" si="1"/>
        <v>6640</v>
      </c>
    </row>
    <row r="56" spans="1:7" x14ac:dyDescent="0.3">
      <c r="A56" s="2">
        <v>17</v>
      </c>
      <c r="C56" s="38" t="s">
        <v>145</v>
      </c>
      <c r="D56" s="42">
        <f>TRUNC(5111,-1)</f>
        <v>5110</v>
      </c>
      <c r="E56" s="63">
        <f t="shared" si="1"/>
        <v>16890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TRUNC(4644+4511-1178+1336,-1)</f>
        <v>9310</v>
      </c>
      <c r="E58" s="63">
        <f t="shared" si="1"/>
        <v>30770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TRUNC(363613,-1)</f>
        <v>363610</v>
      </c>
      <c r="E59" s="64">
        <f t="shared" si="1"/>
        <v>1202020</v>
      </c>
    </row>
    <row r="60" spans="1:7" x14ac:dyDescent="0.3">
      <c r="A60" s="2">
        <v>21</v>
      </c>
      <c r="C60" s="27" t="s">
        <v>112</v>
      </c>
      <c r="D60" s="39">
        <f>SUM(D40:D59)</f>
        <v>862650</v>
      </c>
      <c r="E60" s="39">
        <f>SUM(E40:E59)</f>
        <v>2851660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f>TRUNC(39345,-1)</f>
        <v>39340</v>
      </c>
      <c r="E64" s="63">
        <f>TRUNC(+D64*3.3058,-1)</f>
        <v>130050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39340</v>
      </c>
      <c r="E66" s="65">
        <f>SUM(E63:E65)</f>
        <v>130050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TRUNC(5016,-1)</f>
        <v>5010</v>
      </c>
      <c r="E69" s="62">
        <f t="shared" ref="E69:E94" si="2">TRUNC(+D69*3.3058,-1)</f>
        <v>16560</v>
      </c>
    </row>
    <row r="70" spans="1:7" ht="16.5" customHeight="1" x14ac:dyDescent="0.3">
      <c r="A70" s="2">
        <v>2</v>
      </c>
      <c r="C70" s="38" t="s">
        <v>31</v>
      </c>
      <c r="D70" s="42">
        <f>TRUNC(415,-1)</f>
        <v>410</v>
      </c>
      <c r="E70" s="63">
        <f t="shared" si="2"/>
        <v>1350</v>
      </c>
    </row>
    <row r="71" spans="1:7" x14ac:dyDescent="0.3">
      <c r="A71" s="2">
        <v>3</v>
      </c>
      <c r="C71" s="38" t="s">
        <v>32</v>
      </c>
      <c r="D71" s="42">
        <f>TRUNC(4054,-1)</f>
        <v>4050</v>
      </c>
      <c r="E71" s="63">
        <f t="shared" si="2"/>
        <v>13380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f>TRUNC(11197,-1)</f>
        <v>11190</v>
      </c>
      <c r="E74" s="63">
        <f t="shared" si="2"/>
        <v>36990</v>
      </c>
    </row>
    <row r="75" spans="1:7" x14ac:dyDescent="0.3">
      <c r="A75" s="2">
        <v>7</v>
      </c>
      <c r="C75" s="38" t="s">
        <v>140</v>
      </c>
      <c r="D75" s="42">
        <f>TRUNC(97,-1)</f>
        <v>90</v>
      </c>
      <c r="E75" s="63">
        <f t="shared" si="2"/>
        <v>290</v>
      </c>
      <c r="F75" s="2" t="s">
        <v>256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TRUNC(7654,-1)</f>
        <v>7650</v>
      </c>
      <c r="E79" s="63">
        <f t="shared" si="2"/>
        <v>25280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TRUNC(36593,-1)</f>
        <v>36590</v>
      </c>
      <c r="E92" s="63">
        <f t="shared" si="2"/>
        <v>120950</v>
      </c>
      <c r="F92" s="2" t="s">
        <v>255</v>
      </c>
    </row>
    <row r="93" spans="1:7" x14ac:dyDescent="0.3">
      <c r="A93" s="2">
        <v>25</v>
      </c>
      <c r="C93" s="38" t="s">
        <v>148</v>
      </c>
      <c r="D93" s="42">
        <f>TRUNC(101503,-1)</f>
        <v>101500</v>
      </c>
      <c r="E93" s="63">
        <f t="shared" si="2"/>
        <v>335530</v>
      </c>
    </row>
    <row r="94" spans="1:7" ht="17.25" thickBot="1" x14ac:dyDescent="0.35">
      <c r="A94" s="2">
        <v>26</v>
      </c>
      <c r="C94" s="38" t="s">
        <v>47</v>
      </c>
      <c r="D94" s="43">
        <f>TRUNC(8344,-1)</f>
        <v>8340</v>
      </c>
      <c r="E94" s="64">
        <f t="shared" si="2"/>
        <v>27570</v>
      </c>
    </row>
    <row r="95" spans="1:7" x14ac:dyDescent="0.3">
      <c r="A95" s="2">
        <v>27</v>
      </c>
      <c r="C95" s="27" t="s">
        <v>112</v>
      </c>
      <c r="D95" s="39">
        <f>SUM(D69:D94)</f>
        <v>174830</v>
      </c>
      <c r="E95" s="39">
        <f>SUM(E69:E94)</f>
        <v>577900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TRUNC(9437,-1)</f>
        <v>9430</v>
      </c>
      <c r="E98" s="62">
        <f t="shared" ref="E98:E118" si="3">TRUNC(+D98*3.3058,-1)</f>
        <v>31170</v>
      </c>
    </row>
    <row r="99" spans="1:7" x14ac:dyDescent="0.3">
      <c r="A99" s="2">
        <v>2</v>
      </c>
      <c r="C99" s="38" t="s">
        <v>40</v>
      </c>
      <c r="D99" s="42">
        <f>TRUNC(3021,-1)</f>
        <v>3020</v>
      </c>
      <c r="E99" s="63">
        <f t="shared" si="3"/>
        <v>9980</v>
      </c>
    </row>
    <row r="100" spans="1:7" x14ac:dyDescent="0.3">
      <c r="A100" s="2">
        <v>3</v>
      </c>
      <c r="C100" s="38" t="s">
        <v>41</v>
      </c>
      <c r="D100" s="42">
        <f>TRUNC(22337,-1)</f>
        <v>22330</v>
      </c>
      <c r="E100" s="63">
        <f t="shared" si="3"/>
        <v>73810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TRUNC(11140,-1)</f>
        <v>11140</v>
      </c>
      <c r="E102" s="63">
        <f t="shared" si="3"/>
        <v>36820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TRUNC(3248,-1)</f>
        <v>3240</v>
      </c>
      <c r="E104" s="63">
        <f t="shared" si="3"/>
        <v>10710</v>
      </c>
    </row>
    <row r="105" spans="1:7" x14ac:dyDescent="0.3">
      <c r="A105" s="2">
        <v>8</v>
      </c>
      <c r="C105" s="38" t="s">
        <v>46</v>
      </c>
      <c r="D105" s="42">
        <f>TRUNC(10041,-1)</f>
        <v>10040</v>
      </c>
      <c r="E105" s="63">
        <f t="shared" si="3"/>
        <v>33190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TRUNC(2489,-1)</f>
        <v>2480</v>
      </c>
      <c r="E108" s="63">
        <f t="shared" si="3"/>
        <v>8190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TRUNC(1122,-1)</f>
        <v>1120</v>
      </c>
      <c r="E114" s="63">
        <f t="shared" si="3"/>
        <v>3700</v>
      </c>
    </row>
    <row r="115" spans="1:7" x14ac:dyDescent="0.3">
      <c r="A115" s="2">
        <v>18</v>
      </c>
      <c r="C115" s="38" t="s">
        <v>116</v>
      </c>
      <c r="D115" s="42">
        <f>TRUNC(4936,-1)</f>
        <v>4930</v>
      </c>
      <c r="E115" s="63">
        <f t="shared" si="3"/>
        <v>16290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TRUNC(125958,-1)</f>
        <v>125950</v>
      </c>
      <c r="E117" s="63">
        <f t="shared" si="3"/>
        <v>416360</v>
      </c>
    </row>
    <row r="118" spans="1:7" ht="17.25" thickBot="1" x14ac:dyDescent="0.35">
      <c r="A118" s="2">
        <v>21</v>
      </c>
      <c r="C118" s="38" t="s">
        <v>47</v>
      </c>
      <c r="D118" s="43">
        <f>TRUNC(1620+25646,-1)</f>
        <v>27260</v>
      </c>
      <c r="E118" s="64">
        <f t="shared" si="3"/>
        <v>90110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220940</v>
      </c>
      <c r="E119" s="39">
        <f>SUM(E98:E118)</f>
        <v>730330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TRUNC(3800,-1)</f>
        <v>3800</v>
      </c>
      <c r="E122" s="62">
        <f t="shared" ref="E122:E132" si="4">TRUNC(+D122*3.3058,-1)</f>
        <v>12560</v>
      </c>
      <c r="F122" s="2" t="s">
        <v>259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TRUNC(713,-1)</f>
        <v>710</v>
      </c>
      <c r="E124" s="63">
        <f t="shared" si="4"/>
        <v>2340</v>
      </c>
    </row>
    <row r="125" spans="1:7" x14ac:dyDescent="0.3">
      <c r="A125" s="2">
        <v>4</v>
      </c>
      <c r="C125" s="38" t="s">
        <v>138</v>
      </c>
      <c r="D125" s="42">
        <f>TRUNC(5407,-1)</f>
        <v>5400</v>
      </c>
      <c r="E125" s="63">
        <f t="shared" si="4"/>
        <v>17850</v>
      </c>
    </row>
    <row r="126" spans="1:7" x14ac:dyDescent="0.3">
      <c r="A126" s="2">
        <v>5</v>
      </c>
      <c r="C126" s="38" t="s">
        <v>53</v>
      </c>
      <c r="D126" s="42">
        <f>TRUNC(735,-1)</f>
        <v>730</v>
      </c>
      <c r="E126" s="63">
        <f t="shared" si="4"/>
        <v>2410</v>
      </c>
    </row>
    <row r="127" spans="1:7" x14ac:dyDescent="0.3">
      <c r="A127" s="2">
        <v>6</v>
      </c>
      <c r="C127" s="38" t="s">
        <v>56</v>
      </c>
      <c r="D127" s="42">
        <f>TRUNC(385,-1)</f>
        <v>380</v>
      </c>
      <c r="E127" s="63">
        <f t="shared" si="4"/>
        <v>1250</v>
      </c>
    </row>
    <row r="128" spans="1:7" x14ac:dyDescent="0.3">
      <c r="A128" s="2">
        <v>7</v>
      </c>
      <c r="C128" s="38" t="s">
        <v>46</v>
      </c>
      <c r="D128" s="42">
        <f>TRUNC(8636,-1)</f>
        <v>8630</v>
      </c>
      <c r="E128" s="63">
        <f t="shared" si="4"/>
        <v>28520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TRUNC(41682,-1)</f>
        <v>41680</v>
      </c>
      <c r="E131" s="63">
        <f t="shared" si="4"/>
        <v>137780</v>
      </c>
    </row>
    <row r="132" spans="1:7" ht="18" thickBot="1" x14ac:dyDescent="0.35">
      <c r="A132" s="2">
        <v>11</v>
      </c>
      <c r="C132" s="38" t="s">
        <v>47</v>
      </c>
      <c r="D132" s="43">
        <f>TRUNC(15605+1279,-1)</f>
        <v>16880</v>
      </c>
      <c r="E132" s="64">
        <f t="shared" si="4"/>
        <v>55800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78210</v>
      </c>
      <c r="E133" s="39">
        <f>SUM(E122:E132)</f>
        <v>258510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TRUNC(6940,-1)</f>
        <v>6940</v>
      </c>
      <c r="E136" s="62">
        <f t="shared" ref="E136:E145" si="5">TRUNC(+D136*3.3058,-1)</f>
        <v>22940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TRUNC(16215,-1)</f>
        <v>16210</v>
      </c>
      <c r="E137" s="63">
        <f t="shared" si="5"/>
        <v>53580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23150</v>
      </c>
      <c r="E146" s="39">
        <f>SUM(E136:E145)</f>
        <v>76520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TRUNC(31495,-1)</f>
        <v>31490</v>
      </c>
      <c r="E152" s="63">
        <f>TRUNC(+D152*3.3058,-1)</f>
        <v>104090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31490</v>
      </c>
      <c r="E154" s="39">
        <f>SUM(E149:E153)</f>
        <v>104090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TRUNC(47742,-1)</f>
        <v>47740</v>
      </c>
      <c r="E159" s="63">
        <f>TRUNC(+D159*3.3058,-1)</f>
        <v>157810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47740</v>
      </c>
      <c r="E161" s="39">
        <f>SUM(E157:E160)</f>
        <v>157810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2020-12-07T09:51:25Z</dcterms:modified>
</cp:coreProperties>
</file>