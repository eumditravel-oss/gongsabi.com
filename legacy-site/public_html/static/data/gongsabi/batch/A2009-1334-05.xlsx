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161" i="4" l="1"/>
  <c r="D40" i="4"/>
  <c r="E40" i="4" s="1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E60" i="4" s="1"/>
  <c r="D41" i="4"/>
  <c r="E41" i="4" s="1"/>
  <c r="D161" i="4" l="1"/>
  <c r="D32" i="4" s="1"/>
  <c r="E32" i="4" s="1"/>
  <c r="D154" i="4"/>
  <c r="D31" i="4" s="1"/>
  <c r="D146" i="4"/>
  <c r="D133" i="4"/>
  <c r="D29" i="4" s="1"/>
  <c r="D119" i="4"/>
  <c r="D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E28" i="4"/>
  <c r="E31" i="4"/>
  <c r="D33" i="4"/>
  <c r="E33" i="4" l="1"/>
  <c r="E34" i="4" s="1"/>
  <c r="D34" i="4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<sst xmlns="http://schemas.openxmlformats.org/spreadsheetml/2006/main" count="384" uniqueCount="259">
  <si>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</si>
  <si>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</si>
  <si>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</si>
  <si>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</si>
  <si>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</si>
  <si>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</si>
  <si>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</si>
  <si>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</si>
  <si>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</si>
  <si>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</si>
  <si>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</si>
  <si>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</si>
  <si>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</si>
  <si>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</si>
  <si>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</si>
  <si>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</si>
  <si>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</si>
  <si>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</si>
  <si>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</si>
  <si>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</si>
  <si>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</si>
  <si>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</si>
  <si>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</si>
  <si>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</si>
  <si>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</si>
  <si>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</si>
  <si>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</si>
  <si>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</si>
  <si>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</si>
  <si>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</si>
  <si>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</si>
  <si>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</si>
  <si>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</si>
  <si>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</si>
  <si>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</si>
  <si>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</si>
  <si>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</si>
  <si>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</si>
  <si>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</si>
  <si>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</si>
  <si>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</si>
  <si>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</si>
  <si>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</si>
  <si>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</si>
  <si>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</si>
  <si>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</si>
  <si>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</si>
  <si>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</si>
  <si>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</si>
  <si>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</si>
  <si>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</si>
  <si>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</si>
  <si>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</si>
  <si>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</si>
  <si>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</si>
  <si>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</si>
  <si>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</si>
  <si>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</si>
  <si>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</si>
  <si>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</si>
  <si>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</si>
  <si>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</si>
  <si>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</si>
  <si>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</si>
  <si>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</si>
  <si>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</si>
  <si>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</si>
  <si>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</si>
  <si>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</si>
  <si>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</si>
  <si>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</si>
  <si>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</si>
  <si>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</si>
  <si>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</si>
  <si>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</si>
  <si>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</si>
  <si>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</si>
  <si>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</si>
  <si>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</si>
  <si>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</si>
  <si>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</si>
  <si>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</si>
  <si>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</si>
  <si>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</si>
  <si>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</si>
  <si>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</si>
  <si>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</si>
  <si>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</si>
  <si>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</si>
  <si>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</si>
  <si>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</si>
  <si>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</si>
  <si>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</si>
  <si>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</si>
  <si>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</si>
  <si>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</si>
  <si>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</si>
  <si>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</si>
  <si>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</si>
  <si>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</si>
  <si>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</si>
  <si>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</si>
  <si>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</si>
  <si>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</si>
  <si>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</si>
  <si>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</si>
  <si>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</si>
  <si>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</si>
  <si>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</si>
  <si>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</si>
  <si>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</si>
  <si>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</si>
  <si>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</si>
  <si>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</si>
  <si>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</si>
  <si>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</si>
  <si>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</si>
  <si>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</si>
  <si>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</si>
  <si>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</si>
  <si>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</si>
  <si>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</si>
  <si>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</si>
  <si>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</si>
  <si>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</si>
  <si>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</si>
  <si>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</si>
  <si>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</si>
  <si>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</si>
  <si>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</si>
  <si>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</si>
  <si>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</si>
  <si>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</si>
  <si>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</si>
  <si>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</si>
  <si>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</si>
  <si>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</si>
  <si>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</si>
  <si>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</si>
  <si>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</si>
  <si>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</si>
  <si>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</si>
  <si>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</si>
  <si>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</si>
  <si>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</si>
  <si>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</si>
  <si>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</si>
  <si>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</si>
  <si>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</si>
  <si>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</si>
  <si>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</si>
  <si>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</si>
  <si>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</si>
  <si>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</si>
  <si>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</si>
  <si>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</si>
  <si>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</si>
  <si>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</si>
  <si>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</si>
  <si>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</si>
  <si>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</si>
  <si>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</si>
  <si>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</si>
  <si>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</si>
  <si>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</si>
  <si>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</si>
  <si>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</si>
  <si>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</si>
  <si>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</si>
  <si>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</si>
  <si>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</si>
  <si>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</si>
  <si>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</si>
  <si>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</si>
  <si>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</si>
  <si>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</si>
  <si>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</si>
  <si>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</si>
  <si>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</si>
  <si>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</si>
  <si>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</si>
  <si>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</si>
  <si>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</si>
  <si>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</si>
  <si>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</si>
  <si>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</si>
  <si>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</si>
  <si>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</si>
  <si>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</si>
  <si>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</si>
  <si>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</si>
  <si>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</si>
  <si>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</si>
  <si>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</si>
  <si>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</si>
  <si>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</si>
  <si>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</si>
  <si>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</si>
  <si>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</si>
  <si>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</si>
  <si>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</si>
  <si>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</si>
  <si>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</si>
  <si>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</si>
  <si>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</si>
  <si>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</si>
  <si>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</si>
  <si>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</si>
  <si>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</si>
  <si>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</si>
  <si>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</si>
  <si>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</si>
  <si>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</si>
  <si>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</si>
  <si>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</si>
  <si>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</si>
  <si>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</si>
  <si>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</si>
  <si>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</si>
  <si>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</si>
  <si>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</si>
  <si>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</si>
  <si>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</si>
  <si>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</si>
  <si>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</si>
  <si>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</si>
  <si>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</si>
  <si>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</si>
  <si>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</si>
  <si>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</si>
  <si>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</si>
  <si>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</si>
  <si>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</si>
  <si>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</si>
  <si>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</si>
  <si>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</si>
  <si>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</si>
  <si>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</si>
  <si>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</si>
  <si>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</si>
  <si>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</si>
  <si>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</si>
  <si>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</si>
  <si>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</si>
  <si>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</si>
  <si>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</si>
  <si>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</si>
  <si>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</si>
  <si>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부산진세무서 청사 신축공사</t>
  </si>
  <si>
    <t>업무</t>
  </si>
  <si>
    <t>부산시</t>
  </si>
  <si>
    <t>기타공사,골재대 및 운반비</t>
  </si>
  <si>
    <t>토공사 및 지정공사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</si>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</sst>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8662</v>
      </c>
      <c r="D7" s="36">
        <f>+C7/3.3058</f>
        <v>2620.2432089055601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240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897320</v>
      </c>
      <c r="E25" s="59">
        <f t="shared" si="0"/>
        <v>2966360</v>
      </c>
    </row>
    <row r="26" spans="1:5" x14ac:dyDescent="0.3">
      <c r="B26" s="2">
        <v>3</v>
      </c>
      <c r="C26" s="35" t="s">
        <v>95</v>
      </c>
      <c r="D26" s="45">
        <f>+D66</f>
        <v>180</v>
      </c>
      <c r="E26" s="59">
        <f t="shared" si="0"/>
        <v>590</v>
      </c>
    </row>
    <row r="27" spans="1:5" x14ac:dyDescent="0.3">
      <c r="B27" s="2">
        <v>4</v>
      </c>
      <c r="C27" s="35" t="s">
        <v>96</v>
      </c>
      <c r="D27" s="45">
        <f>+D95</f>
        <v>215440</v>
      </c>
      <c r="E27" s="59">
        <f t="shared" si="0"/>
        <v>712200</v>
      </c>
    </row>
    <row r="28" spans="1:5" x14ac:dyDescent="0.3">
      <c r="B28" s="2">
        <v>5</v>
      </c>
      <c r="C28" s="35" t="s">
        <v>97</v>
      </c>
      <c r="D28" s="45">
        <f>+D119</f>
        <v>271040</v>
      </c>
      <c r="E28" s="59">
        <f t="shared" si="0"/>
        <v>896000</v>
      </c>
    </row>
    <row r="29" spans="1:5" x14ac:dyDescent="0.3">
      <c r="B29" s="2">
        <v>6</v>
      </c>
      <c r="C29" s="35" t="s">
        <v>98</v>
      </c>
      <c r="D29" s="45">
        <f>+D133</f>
        <v>77250</v>
      </c>
      <c r="E29" s="59">
        <f t="shared" si="0"/>
        <v>255370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193160</v>
      </c>
      <c r="E31" s="59">
        <f t="shared" si="0"/>
        <v>638540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454950</v>
      </c>
      <c r="E33" s="60">
        <f t="shared" si="0"/>
        <v>1503970</v>
      </c>
    </row>
    <row r="34" spans="1:7" x14ac:dyDescent="0.3">
      <c r="C34" s="35" t="s">
        <v>112</v>
      </c>
      <c r="D34" s="44">
        <f>SUM(D24:D33)</f>
        <v>2109340</v>
      </c>
      <c r="E34" s="44">
        <f>SUM(E24:E33)</f>
        <v>6973030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240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254</v>
      </c>
      <c r="E39" s="67" t="s">
        <v>255</v>
      </c>
      <c r="G39" s="68"/>
    </row>
    <row r="40" spans="1:7" x14ac:dyDescent="0.3">
      <c r="A40" s="2">
        <v>1</v>
      </c>
      <c r="C40" s="38" t="s">
        <v>15</v>
      </c>
      <c r="D40" s="40">
        <f>TRUNC(55525,-1)</f>
        <v>55520</v>
      </c>
      <c r="E40" s="62">
        <f t="shared" ref="E40:E59" si="1">TRUNC(+D40*3.3058,-1)</f>
        <v>183530</v>
      </c>
    </row>
    <row r="41" spans="1:7" x14ac:dyDescent="0.3">
      <c r="A41" s="2">
        <v>2</v>
      </c>
      <c r="C41" s="38" t="s">
        <v>13</v>
      </c>
      <c r="D41" s="42">
        <f>TRUNC(252972,-1)</f>
        <v>252970</v>
      </c>
      <c r="E41" s="63">
        <f t="shared" si="1"/>
        <v>836260</v>
      </c>
    </row>
    <row r="42" spans="1:7" x14ac:dyDescent="0.3">
      <c r="A42" s="2">
        <v>3</v>
      </c>
      <c r="C42" s="38" t="s">
        <v>14</v>
      </c>
      <c r="D42" s="42">
        <f>TRUNC(16217,-1)</f>
        <v>16210</v>
      </c>
      <c r="E42" s="63">
        <f t="shared" si="1"/>
        <v>53580</v>
      </c>
    </row>
    <row r="43" spans="1:7" x14ac:dyDescent="0.3">
      <c r="A43" s="2">
        <v>4</v>
      </c>
      <c r="C43" s="38" t="s">
        <v>16</v>
      </c>
      <c r="D43" s="42">
        <f>TRUNC(12448,-1)</f>
        <v>12440</v>
      </c>
      <c r="E43" s="63">
        <f t="shared" si="1"/>
        <v>41120</v>
      </c>
    </row>
    <row r="44" spans="1:7" x14ac:dyDescent="0.3">
      <c r="A44" s="2">
        <v>5</v>
      </c>
      <c r="C44" s="38" t="s">
        <v>17</v>
      </c>
      <c r="D44" s="42">
        <f>TRUNC(23878,-1)</f>
        <v>23870</v>
      </c>
      <c r="E44" s="63">
        <f t="shared" si="1"/>
        <v>78900</v>
      </c>
    </row>
    <row r="45" spans="1:7" x14ac:dyDescent="0.3">
      <c r="A45" s="2">
        <v>6</v>
      </c>
      <c r="C45" s="38" t="s">
        <v>18</v>
      </c>
      <c r="D45" s="42">
        <f>TRUNC(8507,-1)</f>
        <v>8500</v>
      </c>
      <c r="E45" s="63">
        <f t="shared" si="1"/>
        <v>28090</v>
      </c>
    </row>
    <row r="46" spans="1:7" x14ac:dyDescent="0.3">
      <c r="A46" s="2">
        <v>7</v>
      </c>
      <c r="C46" s="38" t="s">
        <v>19</v>
      </c>
      <c r="D46" s="42">
        <f>TRUNC(42346,-1)</f>
        <v>42340</v>
      </c>
      <c r="E46" s="63">
        <f t="shared" si="1"/>
        <v>139960</v>
      </c>
    </row>
    <row r="47" spans="1:7" x14ac:dyDescent="0.3">
      <c r="A47" s="2">
        <v>8</v>
      </c>
      <c r="C47" s="38" t="s">
        <v>20</v>
      </c>
      <c r="D47" s="42">
        <f>TRUNC(1495,-1)</f>
        <v>1490</v>
      </c>
      <c r="E47" s="63">
        <f t="shared" si="1"/>
        <v>4920</v>
      </c>
    </row>
    <row r="48" spans="1:7" x14ac:dyDescent="0.3">
      <c r="A48" s="2">
        <v>9</v>
      </c>
      <c r="C48" s="38" t="s">
        <v>21</v>
      </c>
      <c r="D48" s="42">
        <f>TRUNC(51012,-1)</f>
        <v>51010</v>
      </c>
      <c r="E48" s="63">
        <f t="shared" si="1"/>
        <v>168620</v>
      </c>
    </row>
    <row r="49" spans="1:7" x14ac:dyDescent="0.3">
      <c r="A49" s="2">
        <v>10</v>
      </c>
      <c r="C49" s="38" t="s">
        <v>22</v>
      </c>
      <c r="D49" s="42">
        <f>TRUNC(12651,-1)</f>
        <v>12650</v>
      </c>
      <c r="E49" s="63">
        <f t="shared" si="1"/>
        <v>41810</v>
      </c>
    </row>
    <row r="50" spans="1:7" x14ac:dyDescent="0.3">
      <c r="A50" s="2">
        <v>11</v>
      </c>
      <c r="C50" s="38" t="s">
        <v>154</v>
      </c>
      <c r="D50" s="42">
        <f>TRUNC(69618,-1)</f>
        <v>69610</v>
      </c>
      <c r="E50" s="63">
        <f t="shared" si="1"/>
        <v>230110</v>
      </c>
    </row>
    <row r="51" spans="1:7" x14ac:dyDescent="0.3">
      <c r="A51" s="2">
        <v>12</v>
      </c>
      <c r="C51" s="38" t="s">
        <v>23</v>
      </c>
      <c r="D51" s="42">
        <f>TRUNC(6669,-1)</f>
        <v>6660</v>
      </c>
      <c r="E51" s="63">
        <f t="shared" si="1"/>
        <v>22010</v>
      </c>
    </row>
    <row r="52" spans="1:7" x14ac:dyDescent="0.3">
      <c r="A52" s="2">
        <v>13</v>
      </c>
      <c r="C52" s="38" t="s">
        <v>24</v>
      </c>
      <c r="D52" s="42">
        <f>TRUNC(13858,-1)</f>
        <v>13850</v>
      </c>
      <c r="E52" s="63">
        <f t="shared" si="1"/>
        <v>45780</v>
      </c>
    </row>
    <row r="53" spans="1:7" x14ac:dyDescent="0.3">
      <c r="A53" s="2">
        <v>14</v>
      </c>
      <c r="C53" s="38" t="s">
        <v>25</v>
      </c>
      <c r="D53" s="42">
        <f>TRUNC(69483,-1)</f>
        <v>69480</v>
      </c>
      <c r="E53" s="63">
        <f t="shared" si="1"/>
        <v>229680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TRUNC(480,-1)</f>
        <v>480</v>
      </c>
      <c r="E55" s="63">
        <f t="shared" si="1"/>
        <v>1580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TRUNC(65890+895,-1)</f>
        <v>66780</v>
      </c>
      <c r="E58" s="63">
        <f t="shared" si="1"/>
        <v>220760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TRUNC(193460.978988686,-1)</f>
        <v>193460</v>
      </c>
      <c r="E59" s="64">
        <f t="shared" si="1"/>
        <v>639540</v>
      </c>
    </row>
    <row r="60" spans="1:7" x14ac:dyDescent="0.3">
      <c r="A60" s="2">
        <v>21</v>
      </c>
      <c r="C60" s="27" t="s">
        <v>112</v>
      </c>
      <c r="D60" s="39">
        <f>SUM(D40:D59)</f>
        <v>897320</v>
      </c>
      <c r="E60" s="39">
        <f>SUM(E40:E59)</f>
        <v>2966250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240</v>
      </c>
      <c r="G62" s="55"/>
    </row>
    <row r="63" spans="1:7" x14ac:dyDescent="0.3">
      <c r="A63" s="2">
        <v>1</v>
      </c>
      <c r="C63" s="38" t="s">
        <v>27</v>
      </c>
      <c r="D63" s="40">
        <f>TRUNC(183,-1)</f>
        <v>180</v>
      </c>
      <c r="E63" s="62">
        <f>TRUNC(+D63*3.3058,-1)</f>
        <v>590</v>
      </c>
      <c r="F63" s="2" t="s">
        <v>252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180</v>
      </c>
      <c r="E66" s="65">
        <f>SUM(E63:E65)</f>
        <v>590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240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TRUNC(67419.5335950127,-1)</f>
        <v>67410</v>
      </c>
      <c r="E93" s="63">
        <f t="shared" si="2"/>
        <v>222840</v>
      </c>
    </row>
    <row r="94" spans="1:7" ht="17.25" thickBot="1" x14ac:dyDescent="0.35">
      <c r="A94" s="2">
        <v>26</v>
      </c>
      <c r="C94" s="38" t="s">
        <v>47</v>
      </c>
      <c r="D94" s="43">
        <f>TRUNC(148038,-1)</f>
        <v>148030</v>
      </c>
      <c r="E94" s="64">
        <f t="shared" si="2"/>
        <v>489350</v>
      </c>
    </row>
    <row r="95" spans="1:7" x14ac:dyDescent="0.3">
      <c r="A95" s="2">
        <v>27</v>
      </c>
      <c r="C95" s="27" t="s">
        <v>112</v>
      </c>
      <c r="D95" s="39">
        <f>SUM(D69:D94)</f>
        <v>215440</v>
      </c>
      <c r="E95" s="39">
        <f>SUM(E69:E94)</f>
        <v>712190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240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TRUNC(98853.0362502886,-1)</f>
        <v>98850</v>
      </c>
      <c r="E117" s="63">
        <f t="shared" si="3"/>
        <v>326770</v>
      </c>
    </row>
    <row r="118" spans="1:7" ht="17.25" thickBot="1" x14ac:dyDescent="0.35">
      <c r="A118" s="2">
        <v>21</v>
      </c>
      <c r="C118" s="38" t="s">
        <v>47</v>
      </c>
      <c r="D118" s="43">
        <f>TRUNC(172193,-1)</f>
        <v>172190</v>
      </c>
      <c r="E118" s="64">
        <f t="shared" si="3"/>
        <v>569220</v>
      </c>
    </row>
    <row r="119" spans="1:7" x14ac:dyDescent="0.3">
      <c r="A119" s="2">
        <v>22</v>
      </c>
      <c r="C119" s="27" t="s">
        <v>112</v>
      </c>
      <c r="D119" s="39">
        <f>SUM(D98:D118)</f>
        <v>271040</v>
      </c>
      <c r="E119" s="39">
        <f>SUM(E98:E118)</f>
        <v>895990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240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TRUNC(13804.4331563149,-1)</f>
        <v>13800</v>
      </c>
      <c r="E131" s="63">
        <f t="shared" si="4"/>
        <v>45620</v>
      </c>
    </row>
    <row r="132" spans="1:7" ht="18" thickBot="1" x14ac:dyDescent="0.35">
      <c r="A132" s="2">
        <v>11</v>
      </c>
      <c r="C132" s="38" t="s">
        <v>47</v>
      </c>
      <c r="D132" s="43">
        <f>TRUNC(63457,-1)</f>
        <v>63450</v>
      </c>
      <c r="E132" s="64">
        <f t="shared" si="4"/>
        <v>209750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77250</v>
      </c>
      <c r="E133" s="39">
        <f>SUM(E122:E132)</f>
        <v>255370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240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240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TRUNC(-645+176488,-1)</f>
        <v>175840</v>
      </c>
      <c r="E152" s="63">
        <f>TRUNC(+D152*3.3058,-1)</f>
        <v>581290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f>TRUNC(17327.5225121219,-1)</f>
        <v>17320</v>
      </c>
      <c r="E153" s="64">
        <f>TRUNC(+D153*3.3058,-1)</f>
        <v>57250</v>
      </c>
    </row>
    <row r="154" spans="1:7" x14ac:dyDescent="0.3">
      <c r="A154" s="2">
        <v>6</v>
      </c>
      <c r="C154" s="27" t="s">
        <v>112</v>
      </c>
      <c r="D154" s="39">
        <f>SUM(D149:D153)</f>
        <v>193160</v>
      </c>
      <c r="E154" s="39">
        <f>SUM(E149:E153)</f>
        <v>638540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240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2020-12-07T09:26:14Z</dcterms:modified>
</cp:coreProperties>
</file>