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8" i="4"/>
  <c r="D127" i="4"/>
  <c r="D126" i="4"/>
  <c r="D125" i="4"/>
  <c r="D124" i="4"/>
  <c r="D122" i="4"/>
  <c r="D118" i="4"/>
  <c r="D117" i="4"/>
  <c r="D116" i="4"/>
  <c r="D105" i="4"/>
  <c r="D104" i="4"/>
  <c r="D103" i="4"/>
  <c r="D102" i="4"/>
  <c r="D101" i="4"/>
  <c r="D100" i="4"/>
  <c r="D99" i="4"/>
  <c r="D98" i="4"/>
  <c r="D94" i="4"/>
  <c r="D93" i="4"/>
  <c r="D92" i="4"/>
  <c r="D91" i="4"/>
  <c r="D90" i="4"/>
  <c r="D89" i="4"/>
  <c r="D73" i="4"/>
  <c r="D72" i="4"/>
  <c r="D71" i="4"/>
  <c r="D70" i="4"/>
  <c r="D69" i="4"/>
  <c r="D65" i="4"/>
  <c r="D63" i="4"/>
  <c r="D53" i="4"/>
  <c r="D52" i="4"/>
  <c r="D50" i="4"/>
  <c r="D49" i="4"/>
  <c r="D48" i="4"/>
  <c r="D46" i="4"/>
  <c r="D45" i="4"/>
  <c r="D44" i="4" l="1"/>
  <c r="D43" i="4"/>
  <c r="D42" i="4"/>
  <c r="D41" i="4"/>
  <c r="D40" i="4"/>
  <c r="D58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<sst xmlns="http://schemas.openxmlformats.org/spreadsheetml/2006/main" count="392" uniqueCount="269">
  <si>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</si>
  <si>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</si>
  <si>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</si>
  <si>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</si>
  <si>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</si>
  <si>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</si>
  <si>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</si>
  <si>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</si>
  <si>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</si>
  <si>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</si>
  <si>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</si>
  <si>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</si>
  <si>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</si>
  <si>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</si>
  <si>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</si>
  <si>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</si>
  <si>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</si>
  <si>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</si>
  <si>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</si>
  <si>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</si>
  <si>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</si>
  <si>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</si>
  <si>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</si>
  <si>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</si>
  <si>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</si>
  <si>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</si>
  <si>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</si>
  <si>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</si>
  <si>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</si>
  <si>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</si>
  <si>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</si>
  <si>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</si>
  <si>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</si>
  <si>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</si>
  <si>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</si>
  <si>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</si>
  <si>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</si>
  <si>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</si>
  <si>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</si>
  <si>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</si>
  <si>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</si>
  <si>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</si>
  <si>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</si>
  <si>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</si>
  <si>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</si>
  <si>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</si>
  <si>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</si>
  <si>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</si>
  <si>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</si>
  <si>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</si>
  <si>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</si>
  <si>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</si>
  <si>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</si>
  <si>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</si>
  <si>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</si>
  <si>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</si>
  <si>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</si>
  <si>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</si>
  <si>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</si>
  <si>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</si>
  <si>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</si>
  <si>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</si>
  <si>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</si>
  <si>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</si>
  <si>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</si>
  <si>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</si>
  <si>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</si>
  <si>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</si>
  <si>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</si>
  <si>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</si>
  <si>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</si>
  <si>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</si>
  <si>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</si>
  <si>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</si>
  <si>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</si>
  <si>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</si>
  <si>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</si>
  <si>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</si>
  <si>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</si>
  <si>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</si>
  <si>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</si>
  <si>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</si>
  <si>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</si>
  <si>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</si>
  <si>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</si>
  <si>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</si>
  <si>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</si>
  <si>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</si>
  <si>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</si>
  <si>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</si>
  <si>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</si>
  <si>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</si>
  <si>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</si>
  <si>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</si>
  <si>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</si>
  <si>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</si>
  <si>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</si>
  <si>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</si>
  <si>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</si>
  <si>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</si>
  <si>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</si>
  <si>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</si>
  <si>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</si>
  <si>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</si>
  <si>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</si>
  <si>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</si>
  <si>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</si>
  <si>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</si>
  <si>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</si>
  <si>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</si>
  <si>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</si>
  <si>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</si>
  <si>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</si>
  <si>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</si>
  <si>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</si>
  <si>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</si>
  <si>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</si>
  <si>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</si>
  <si>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</si>
  <si>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</si>
  <si>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</si>
  <si>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</si>
  <si>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</si>
  <si>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</si>
  <si>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</si>
  <si>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</si>
  <si>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</si>
  <si>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</si>
  <si>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</si>
  <si>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</si>
  <si>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</si>
  <si>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</si>
  <si>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</si>
  <si>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</si>
  <si>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</si>
  <si>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</si>
  <si>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</si>
  <si>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</si>
  <si>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</si>
  <si>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</si>
  <si>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</si>
  <si>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</si>
  <si>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</si>
  <si>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</si>
  <si>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</si>
  <si>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</si>
  <si>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</si>
  <si>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</si>
  <si>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</si>
  <si>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</si>
  <si>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</si>
  <si>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</si>
  <si>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</si>
  <si>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</si>
  <si>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</si>
  <si>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</si>
  <si>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</si>
  <si>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</si>
  <si>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</si>
  <si>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</si>
  <si>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</si>
  <si>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</si>
  <si>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</si>
  <si>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</si>
  <si>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</si>
  <si>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</si>
  <si>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</si>
  <si>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</si>
  <si>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</si>
  <si>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</si>
  <si>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</si>
  <si>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</si>
  <si>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</si>
  <si>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</si>
  <si>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</si>
  <si>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</si>
  <si>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</si>
  <si>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</si>
  <si>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</si>
  <si>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</si>
  <si>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</si>
  <si>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</si>
  <si>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</si>
  <si>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</si>
  <si>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</si>
  <si>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</si>
  <si>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</si>
  <si>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</si>
  <si>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</si>
  <si>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</si>
  <si>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</si>
  <si>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</si>
  <si>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</si>
  <si>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</si>
  <si>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</si>
  <si>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</si>
  <si>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</si>
  <si>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</si>
  <si>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</si>
  <si>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</si>
  <si>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</si>
  <si>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</si>
  <si>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</si>
  <si>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</si>
  <si>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</si>
  <si>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</si>
  <si>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</si>
  <si>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</si>
  <si>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</si>
  <si>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</si>
  <si>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</si>
  <si>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</si>
  <si>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</si>
  <si>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</si>
  <si>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</si>
  <si>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</si>
  <si>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</si>
  <si>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</si>
  <si>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</si>
  <si>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</si>
  <si>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</si>
  <si>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</si>
  <si>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</si>
  <si>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</si>
  <si>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</si>
  <si>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</si>
  <si>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</si>
  <si>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</si>
  <si>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</si>
  <si>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</si>
  <si>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</si>
  <si>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</si>
  <si>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</si>
  <si>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</si>
  <si>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</si>
  <si>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</si>
  <si>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</si>
  <si>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</si>
  <si>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</si>
  <si>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</si>
  <si>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</si>
  <si>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</si>
  <si>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</si>
  <si>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</si>
  <si>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</si>
  <si>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</si>
  <si>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</si>
  <si>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</si>
  <si>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</si>
  <si>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</si>
  <si>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</si>
  <si>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</si>
  <si>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</si>
  <si>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</si>
  <si>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</si>
  <si>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광역수사대 청사 신축공사</t>
    <phoneticPr fontId="2" type="noConversion"/>
  </si>
  <si>
    <t>서울</t>
  </si>
  <si>
    <t>기초공사, 해체및철거공사, 폐기물처리비, 골재비및운반비, 작업부산물, 기타공사</t>
    <phoneticPr fontId="2" type="noConversion"/>
  </si>
  <si>
    <t>공조배관공사, 우수처리시설공사, 바닥난방공사, 기타공사</t>
    <phoneticPr fontId="2" type="noConversion"/>
  </si>
  <si>
    <t>CCTV설비공사, 주차관제설비공사, 기타공사</t>
    <phoneticPr fontId="2" type="noConversion"/>
  </si>
  <si>
    <t>제연덕트설치공사, 무선통신보조설비공사</t>
    <phoneticPr fontId="2" type="noConversion"/>
  </si>
  <si>
    <t>상수도공사, 사급자재비, 운반비,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</si>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</sst>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12257</v>
      </c>
      <c r="D7" s="36">
        <f>+C7/3.3058</f>
        <v>3707.7258152338313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757740</v>
      </c>
      <c r="E25" s="59">
        <f t="shared" si="0"/>
        <v>2504930</v>
      </c>
    </row>
    <row r="26" spans="1:5" x14ac:dyDescent="0.3">
      <c r="B26" s="2">
        <v>3</v>
      </c>
      <c r="C26" s="35" t="s">
        <v>95</v>
      </c>
      <c r="D26" s="45">
        <f>+D66</f>
        <v>109650</v>
      </c>
      <c r="E26" s="59">
        <f t="shared" si="0"/>
        <v>362480</v>
      </c>
    </row>
    <row r="27" spans="1:5" x14ac:dyDescent="0.3">
      <c r="B27" s="2">
        <v>4</v>
      </c>
      <c r="C27" s="35" t="s">
        <v>96</v>
      </c>
      <c r="D27" s="45">
        <f>+D95</f>
        <v>343810</v>
      </c>
      <c r="E27" s="59">
        <f t="shared" si="0"/>
        <v>1136560</v>
      </c>
    </row>
    <row r="28" spans="1:5" x14ac:dyDescent="0.3">
      <c r="B28" s="2">
        <v>5</v>
      </c>
      <c r="C28" s="35" t="s">
        <v>97</v>
      </c>
      <c r="D28" s="45">
        <f>+D119</f>
        <v>160170</v>
      </c>
      <c r="E28" s="59">
        <f t="shared" si="0"/>
        <v>529480</v>
      </c>
    </row>
    <row r="29" spans="1:5" x14ac:dyDescent="0.3">
      <c r="B29" s="2">
        <v>6</v>
      </c>
      <c r="C29" s="35" t="s">
        <v>98</v>
      </c>
      <c r="D29" s="45">
        <f>+D133</f>
        <v>168120</v>
      </c>
      <c r="E29" s="59">
        <f t="shared" si="0"/>
        <v>555770</v>
      </c>
    </row>
    <row r="30" spans="1:5" x14ac:dyDescent="0.3">
      <c r="B30" s="2">
        <v>7</v>
      </c>
      <c r="C30" s="35" t="s">
        <v>99</v>
      </c>
      <c r="D30" s="45">
        <f>+D146</f>
        <v>59790</v>
      </c>
      <c r="E30" s="59">
        <f t="shared" si="0"/>
        <v>197650</v>
      </c>
    </row>
    <row r="31" spans="1:5" x14ac:dyDescent="0.3">
      <c r="B31" s="2">
        <v>8</v>
      </c>
      <c r="C31" s="35" t="s">
        <v>100</v>
      </c>
      <c r="D31" s="45">
        <f>+D154</f>
        <v>25730</v>
      </c>
      <c r="E31" s="59">
        <f t="shared" si="0"/>
        <v>85050</v>
      </c>
    </row>
    <row r="32" spans="1:5" x14ac:dyDescent="0.3">
      <c r="B32" s="2">
        <v>9</v>
      </c>
      <c r="C32" s="35" t="s">
        <v>101</v>
      </c>
      <c r="D32" s="45">
        <f>+D161</f>
        <v>15630</v>
      </c>
      <c r="E32" s="59">
        <f t="shared" si="0"/>
        <v>51660</v>
      </c>
    </row>
    <row r="33" spans="1:7" x14ac:dyDescent="0.3">
      <c r="B33" s="2">
        <v>10</v>
      </c>
      <c r="C33" s="35" t="s">
        <v>154</v>
      </c>
      <c r="D33" s="53">
        <f>TRUNC(SUM(D24:D32)*0.275,-1)</f>
        <v>451170</v>
      </c>
      <c r="E33" s="60">
        <f t="shared" si="0"/>
        <v>1491470</v>
      </c>
    </row>
    <row r="34" spans="1:7" x14ac:dyDescent="0.3">
      <c r="C34" s="35" t="s">
        <v>112</v>
      </c>
      <c r="D34" s="44">
        <f>SUM(D24:D33)</f>
        <v>2091810</v>
      </c>
      <c r="E34" s="44">
        <f>SUM(E24:E33)</f>
        <v>6915050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262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TRUNC(43958,-1)</f>
        <v>43950</v>
      </c>
      <c r="E40" s="62">
        <f t="shared" ref="E40:E59" si="1">TRUNC(+D40*3.3058,-1)</f>
        <v>145280</v>
      </c>
    </row>
    <row r="41" spans="1:7" x14ac:dyDescent="0.3">
      <c r="A41" s="2">
        <v>2</v>
      </c>
      <c r="C41" s="38" t="s">
        <v>13</v>
      </c>
      <c r="D41" s="42">
        <f>TRUNC(104691,-1)</f>
        <v>104690</v>
      </c>
      <c r="E41" s="63">
        <f t="shared" si="1"/>
        <v>346080</v>
      </c>
    </row>
    <row r="42" spans="1:7" x14ac:dyDescent="0.3">
      <c r="A42" s="2">
        <v>3</v>
      </c>
      <c r="C42" s="38" t="s">
        <v>14</v>
      </c>
      <c r="D42" s="42">
        <f>TRUNC(59409,-1)</f>
        <v>59400</v>
      </c>
      <c r="E42" s="63">
        <f t="shared" si="1"/>
        <v>196360</v>
      </c>
    </row>
    <row r="43" spans="1:7" x14ac:dyDescent="0.3">
      <c r="A43" s="2">
        <v>4</v>
      </c>
      <c r="C43" s="38" t="s">
        <v>16</v>
      </c>
      <c r="D43" s="42">
        <f>TRUNC(18158,-1)</f>
        <v>18150</v>
      </c>
      <c r="E43" s="63">
        <f t="shared" si="1"/>
        <v>60000</v>
      </c>
    </row>
    <row r="44" spans="1:7" x14ac:dyDescent="0.3">
      <c r="A44" s="2">
        <v>5</v>
      </c>
      <c r="C44" s="38" t="s">
        <v>17</v>
      </c>
      <c r="D44" s="42">
        <f>TRUNC(15081,-1)</f>
        <v>15080</v>
      </c>
      <c r="E44" s="63">
        <f t="shared" si="1"/>
        <v>49850</v>
      </c>
    </row>
    <row r="45" spans="1:7" x14ac:dyDescent="0.3">
      <c r="A45" s="2">
        <v>6</v>
      </c>
      <c r="C45" s="38" t="s">
        <v>18</v>
      </c>
      <c r="D45" s="42">
        <f>TRUNC(7025,-1)</f>
        <v>7020</v>
      </c>
      <c r="E45" s="63">
        <f t="shared" si="1"/>
        <v>23200</v>
      </c>
    </row>
    <row r="46" spans="1:7" x14ac:dyDescent="0.3">
      <c r="A46" s="2">
        <v>7</v>
      </c>
      <c r="C46" s="38" t="s">
        <v>19</v>
      </c>
      <c r="D46" s="42">
        <f>TRUNC(63456,-1)</f>
        <v>63450</v>
      </c>
      <c r="E46" s="63">
        <f t="shared" si="1"/>
        <v>209750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TRUNC(21206,-1)</f>
        <v>21200</v>
      </c>
      <c r="E48" s="63">
        <f t="shared" si="1"/>
        <v>70080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TRUNC(18881,-1)</f>
        <v>18880</v>
      </c>
      <c r="E49" s="63">
        <f t="shared" si="1"/>
        <v>62410</v>
      </c>
    </row>
    <row r="50" spans="1:7" x14ac:dyDescent="0.3">
      <c r="A50" s="2">
        <v>11</v>
      </c>
      <c r="C50" s="38" t="s">
        <v>155</v>
      </c>
      <c r="D50" s="42">
        <f>TRUNC(38897,-1)</f>
        <v>38890</v>
      </c>
      <c r="E50" s="63">
        <f t="shared" si="1"/>
        <v>128560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TRUNC(14009,-1)</f>
        <v>14000</v>
      </c>
      <c r="E52" s="63">
        <f t="shared" si="1"/>
        <v>46280</v>
      </c>
    </row>
    <row r="53" spans="1:7" x14ac:dyDescent="0.3">
      <c r="A53" s="2">
        <v>14</v>
      </c>
      <c r="C53" s="38" t="s">
        <v>25</v>
      </c>
      <c r="D53" s="42">
        <f>TRUNC(66507,-1)</f>
        <v>66500</v>
      </c>
      <c r="E53" s="63">
        <f t="shared" si="1"/>
        <v>219830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19213+24261+1393+10934-782+25951</f>
        <v>80970</v>
      </c>
      <c r="E58" s="63">
        <f t="shared" si="1"/>
        <v>267670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v>205560</v>
      </c>
      <c r="E59" s="64">
        <f t="shared" si="1"/>
        <v>679540</v>
      </c>
    </row>
    <row r="60" spans="1:7" x14ac:dyDescent="0.3">
      <c r="A60" s="2">
        <v>21</v>
      </c>
      <c r="C60" s="27" t="s">
        <v>112</v>
      </c>
      <c r="D60" s="39">
        <f>SUM(D40:D59)</f>
        <v>757740</v>
      </c>
      <c r="E60" s="39">
        <f>SUM(E40:E59)</f>
        <v>2504890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TRUNC(69441,-1)</f>
        <v>69440</v>
      </c>
      <c r="E63" s="62">
        <f>TRUNC(+D63*3.3058,-1)</f>
        <v>229550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TRUNC(40213,-1)</f>
        <v>40210</v>
      </c>
      <c r="E65" s="64">
        <f>TRUNC(+D65*3.3058,-1)</f>
        <v>132920</v>
      </c>
    </row>
    <row r="66" spans="1:7" x14ac:dyDescent="0.3">
      <c r="A66" s="2">
        <v>4</v>
      </c>
      <c r="C66" s="27" t="s">
        <v>112</v>
      </c>
      <c r="D66" s="39">
        <f>SUM(D63:D65)</f>
        <v>109650</v>
      </c>
      <c r="E66" s="65">
        <f>SUM(E63:E65)</f>
        <v>362470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TRUNC(9935,-1)</f>
        <v>9930</v>
      </c>
      <c r="E69" s="62">
        <f t="shared" ref="E69:E94" si="2">TRUNC(+D69*3.3058,-1)</f>
        <v>32820</v>
      </c>
    </row>
    <row r="70" spans="1:7" ht="16.5" customHeight="1" x14ac:dyDescent="0.3">
      <c r="A70" s="2">
        <v>2</v>
      </c>
      <c r="C70" s="38" t="s">
        <v>31</v>
      </c>
      <c r="D70" s="42">
        <f>TRUNC(104,-1)</f>
        <v>100</v>
      </c>
      <c r="E70" s="63">
        <f t="shared" si="2"/>
        <v>330</v>
      </c>
    </row>
    <row r="71" spans="1:7" x14ac:dyDescent="0.3">
      <c r="A71" s="2">
        <v>3</v>
      </c>
      <c r="C71" s="38" t="s">
        <v>32</v>
      </c>
      <c r="D71" s="42">
        <f>TRUNC(7719,-1)</f>
        <v>7710</v>
      </c>
      <c r="E71" s="63">
        <f t="shared" si="2"/>
        <v>25480</v>
      </c>
    </row>
    <row r="72" spans="1:7" x14ac:dyDescent="0.3">
      <c r="A72" s="2">
        <v>4</v>
      </c>
      <c r="C72" s="38" t="s">
        <v>33</v>
      </c>
      <c r="D72" s="42">
        <f>TRUNC(4673,-1)</f>
        <v>4670</v>
      </c>
      <c r="E72" s="63">
        <f t="shared" si="2"/>
        <v>15430</v>
      </c>
    </row>
    <row r="73" spans="1:7" x14ac:dyDescent="0.3">
      <c r="A73" s="2">
        <v>5</v>
      </c>
      <c r="C73" s="38" t="s">
        <v>34</v>
      </c>
      <c r="D73" s="42">
        <f>TRUNC(6024,-1)</f>
        <v>6020</v>
      </c>
      <c r="E73" s="63">
        <f t="shared" si="2"/>
        <v>19900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1480</v>
      </c>
      <c r="E75" s="63">
        <f t="shared" si="2"/>
        <v>4890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TRUNC(13838,-1)</f>
        <v>13830</v>
      </c>
      <c r="E89" s="63">
        <f t="shared" si="2"/>
        <v>45710</v>
      </c>
    </row>
    <row r="90" spans="1:7" x14ac:dyDescent="0.3">
      <c r="A90" s="2">
        <v>22</v>
      </c>
      <c r="C90" s="38" t="s">
        <v>36</v>
      </c>
      <c r="D90" s="42">
        <f>TRUNC(2706,-1)</f>
        <v>2700</v>
      </c>
      <c r="E90" s="63">
        <f t="shared" si="2"/>
        <v>8920</v>
      </c>
    </row>
    <row r="91" spans="1:7" x14ac:dyDescent="0.3">
      <c r="A91" s="2">
        <v>23</v>
      </c>
      <c r="C91" s="38" t="s">
        <v>37</v>
      </c>
      <c r="D91" s="42">
        <f>TRUNC(27588,-1)</f>
        <v>27580</v>
      </c>
      <c r="E91" s="63">
        <f t="shared" si="2"/>
        <v>91170</v>
      </c>
    </row>
    <row r="92" spans="1:7" x14ac:dyDescent="0.3">
      <c r="A92" s="2">
        <v>24</v>
      </c>
      <c r="C92" s="38" t="s">
        <v>38</v>
      </c>
      <c r="D92" s="42">
        <f>TRUNC(5332,-1)</f>
        <v>5330</v>
      </c>
      <c r="E92" s="63">
        <f t="shared" si="2"/>
        <v>17610</v>
      </c>
    </row>
    <row r="93" spans="1:7" x14ac:dyDescent="0.3">
      <c r="A93" s="2">
        <v>25</v>
      </c>
      <c r="C93" s="38" t="s">
        <v>148</v>
      </c>
      <c r="D93" s="42">
        <f>TRUNC(226195,-1)</f>
        <v>226190</v>
      </c>
      <c r="E93" s="63">
        <f t="shared" si="2"/>
        <v>747730</v>
      </c>
    </row>
    <row r="94" spans="1:7" ht="17.25" thickBot="1" x14ac:dyDescent="0.35">
      <c r="A94" s="2">
        <v>26</v>
      </c>
      <c r="C94" s="38" t="s">
        <v>47</v>
      </c>
      <c r="D94" s="43">
        <f>TRUNC(10788+7024+858+19604,-1)</f>
        <v>38270</v>
      </c>
      <c r="E94" s="64">
        <f t="shared" si="2"/>
        <v>126510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343810</v>
      </c>
      <c r="E95" s="39">
        <f>SUM(E69:E94)</f>
        <v>1136500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TRUNC(9151,-1)</f>
        <v>9150</v>
      </c>
      <c r="E98" s="62">
        <f t="shared" ref="E98:E118" si="3">TRUNC(+D98*3.3058,-1)</f>
        <v>30240</v>
      </c>
    </row>
    <row r="99" spans="1:7" x14ac:dyDescent="0.3">
      <c r="A99" s="2">
        <v>2</v>
      </c>
      <c r="C99" s="38" t="s">
        <v>40</v>
      </c>
      <c r="D99" s="42">
        <f>TRUNC(7976,-1)</f>
        <v>7970</v>
      </c>
      <c r="E99" s="63">
        <f t="shared" si="3"/>
        <v>26340</v>
      </c>
    </row>
    <row r="100" spans="1:7" x14ac:dyDescent="0.3">
      <c r="A100" s="2">
        <v>3</v>
      </c>
      <c r="C100" s="38" t="s">
        <v>41</v>
      </c>
      <c r="D100" s="42">
        <f>TRUNC(27875,-1)</f>
        <v>27870</v>
      </c>
      <c r="E100" s="63">
        <f t="shared" si="3"/>
        <v>92130</v>
      </c>
    </row>
    <row r="101" spans="1:7" x14ac:dyDescent="0.3">
      <c r="A101" s="2">
        <v>4</v>
      </c>
      <c r="C101" s="38" t="s">
        <v>42</v>
      </c>
      <c r="D101" s="42">
        <f>TRUNC(56,-1)</f>
        <v>50</v>
      </c>
      <c r="E101" s="63">
        <f t="shared" si="3"/>
        <v>160</v>
      </c>
    </row>
    <row r="102" spans="1:7" x14ac:dyDescent="0.3">
      <c r="A102" s="2">
        <v>5</v>
      </c>
      <c r="C102" s="38" t="s">
        <v>43</v>
      </c>
      <c r="D102" s="42">
        <f>TRUNC(8459,-1)</f>
        <v>8450</v>
      </c>
      <c r="E102" s="63">
        <f t="shared" si="3"/>
        <v>27930</v>
      </c>
    </row>
    <row r="103" spans="1:7" x14ac:dyDescent="0.3">
      <c r="A103" s="2">
        <v>6</v>
      </c>
      <c r="C103" s="38" t="s">
        <v>44</v>
      </c>
      <c r="D103" s="42">
        <f>TRUNC(5335,-1)</f>
        <v>5330</v>
      </c>
      <c r="E103" s="63">
        <f t="shared" si="3"/>
        <v>17610</v>
      </c>
    </row>
    <row r="104" spans="1:7" x14ac:dyDescent="0.3">
      <c r="A104" s="2">
        <v>7</v>
      </c>
      <c r="C104" s="38" t="s">
        <v>45</v>
      </c>
      <c r="D104" s="42">
        <f>TRUNC(4781,-1)</f>
        <v>4780</v>
      </c>
      <c r="E104" s="63">
        <f t="shared" si="3"/>
        <v>15800</v>
      </c>
    </row>
    <row r="105" spans="1:7" x14ac:dyDescent="0.3">
      <c r="A105" s="2">
        <v>8</v>
      </c>
      <c r="C105" s="38" t="s">
        <v>46</v>
      </c>
      <c r="D105" s="42">
        <f>TRUNC(1869,-1)</f>
        <v>1860</v>
      </c>
      <c r="E105" s="63">
        <f t="shared" si="3"/>
        <v>6140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TRUNC(7794,-1)</f>
        <v>7790</v>
      </c>
      <c r="E116" s="63">
        <f t="shared" si="3"/>
        <v>25750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f>TRUNC(84154,-1)</f>
        <v>84150</v>
      </c>
      <c r="E117" s="63">
        <f t="shared" si="3"/>
        <v>278180</v>
      </c>
    </row>
    <row r="118" spans="1:7" ht="17.25" thickBot="1" x14ac:dyDescent="0.35">
      <c r="A118" s="2">
        <v>21</v>
      </c>
      <c r="C118" s="38" t="s">
        <v>47</v>
      </c>
      <c r="D118" s="43">
        <f>TRUNC(2778,-1)</f>
        <v>2770</v>
      </c>
      <c r="E118" s="64">
        <f t="shared" si="3"/>
        <v>9150</v>
      </c>
    </row>
    <row r="119" spans="1:7" x14ac:dyDescent="0.3">
      <c r="A119" s="2">
        <v>22</v>
      </c>
      <c r="C119" s="27" t="s">
        <v>112</v>
      </c>
      <c r="D119" s="39">
        <f>SUM(D98:D118)</f>
        <v>160170</v>
      </c>
      <c r="E119" s="39">
        <f>SUM(E98:E118)</f>
        <v>529430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TRUNC(4102,-1)</f>
        <v>4100</v>
      </c>
      <c r="E122" s="62">
        <f t="shared" ref="E122:E132" si="4">TRUNC(+D122*3.3058,-1)</f>
        <v>13550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TRUNC(638,-1)</f>
        <v>630</v>
      </c>
      <c r="E124" s="63">
        <f t="shared" si="4"/>
        <v>2080</v>
      </c>
    </row>
    <row r="125" spans="1:7" x14ac:dyDescent="0.3">
      <c r="A125" s="2">
        <v>4</v>
      </c>
      <c r="C125" s="38" t="s">
        <v>138</v>
      </c>
      <c r="D125" s="42">
        <f>TRUNC(3722,-1)</f>
        <v>3720</v>
      </c>
      <c r="E125" s="63">
        <f t="shared" si="4"/>
        <v>12290</v>
      </c>
    </row>
    <row r="126" spans="1:7" x14ac:dyDescent="0.3">
      <c r="A126" s="2">
        <v>5</v>
      </c>
      <c r="C126" s="38" t="s">
        <v>53</v>
      </c>
      <c r="D126" s="42">
        <f>TRUNC(403,-1)</f>
        <v>400</v>
      </c>
      <c r="E126" s="63">
        <f t="shared" si="4"/>
        <v>1320</v>
      </c>
    </row>
    <row r="127" spans="1:7" x14ac:dyDescent="0.3">
      <c r="A127" s="2">
        <v>6</v>
      </c>
      <c r="C127" s="38" t="s">
        <v>56</v>
      </c>
      <c r="D127" s="42">
        <f>TRUNC(2479,-1)</f>
        <v>2470</v>
      </c>
      <c r="E127" s="63">
        <f t="shared" si="4"/>
        <v>8160</v>
      </c>
    </row>
    <row r="128" spans="1:7" x14ac:dyDescent="0.3">
      <c r="A128" s="2">
        <v>7</v>
      </c>
      <c r="C128" s="38" t="s">
        <v>46</v>
      </c>
      <c r="D128" s="42">
        <f>TRUNC(5612,-1)</f>
        <v>5610</v>
      </c>
      <c r="E128" s="63">
        <f t="shared" si="4"/>
        <v>18540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TRUNC(33013,-1)</f>
        <v>33010</v>
      </c>
      <c r="E130" s="63">
        <f t="shared" si="4"/>
        <v>109120</v>
      </c>
    </row>
    <row r="131" spans="1:7" x14ac:dyDescent="0.3">
      <c r="A131" s="2">
        <v>10</v>
      </c>
      <c r="C131" s="38" t="s">
        <v>148</v>
      </c>
      <c r="D131" s="42">
        <f>TRUNC(110436,-1)</f>
        <v>110430</v>
      </c>
      <c r="E131" s="63">
        <f t="shared" si="4"/>
        <v>365050</v>
      </c>
    </row>
    <row r="132" spans="1:7" ht="18" thickBot="1" x14ac:dyDescent="0.35">
      <c r="A132" s="2">
        <v>11</v>
      </c>
      <c r="C132" s="38" t="s">
        <v>47</v>
      </c>
      <c r="D132" s="43">
        <f>TRUNC(6385+57+1309,-1)</f>
        <v>7750</v>
      </c>
      <c r="E132" s="64">
        <f t="shared" si="4"/>
        <v>25610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168120</v>
      </c>
      <c r="E133" s="39">
        <f>SUM(E122:E132)</f>
        <v>555720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TRUNC(3898+1339,-1)</f>
        <v>5230</v>
      </c>
      <c r="E137" s="63">
        <f t="shared" si="5"/>
        <v>17280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TRUNC(4271,-1)</f>
        <v>4270</v>
      </c>
      <c r="E139" s="63">
        <f t="shared" si="5"/>
        <v>14110</v>
      </c>
    </row>
    <row r="140" spans="1:7" x14ac:dyDescent="0.3">
      <c r="A140" s="2">
        <v>5</v>
      </c>
      <c r="C140" s="38" t="s">
        <v>57</v>
      </c>
      <c r="D140" s="42">
        <f>TRUNC(2112,-1)</f>
        <v>2110</v>
      </c>
      <c r="E140" s="63">
        <f t="shared" si="5"/>
        <v>6970</v>
      </c>
    </row>
    <row r="141" spans="1:7" x14ac:dyDescent="0.3">
      <c r="A141" s="2">
        <v>6</v>
      </c>
      <c r="C141" s="38" t="s">
        <v>59</v>
      </c>
      <c r="D141" s="42">
        <f>TRUNC(14022,-1)</f>
        <v>14020</v>
      </c>
      <c r="E141" s="63">
        <f t="shared" si="5"/>
        <v>46340</v>
      </c>
    </row>
    <row r="142" spans="1:7" x14ac:dyDescent="0.3">
      <c r="A142" s="2">
        <v>7</v>
      </c>
      <c r="C142" s="38" t="s">
        <v>58</v>
      </c>
      <c r="D142" s="42">
        <f>TRUNC(6209,-1)</f>
        <v>6200</v>
      </c>
      <c r="E142" s="63">
        <f t="shared" si="5"/>
        <v>20490</v>
      </c>
    </row>
    <row r="143" spans="1:7" x14ac:dyDescent="0.3">
      <c r="A143" s="2">
        <v>8</v>
      </c>
      <c r="C143" s="38" t="s">
        <v>62</v>
      </c>
      <c r="D143" s="42">
        <f>TRUNC(4633,-1)</f>
        <v>4630</v>
      </c>
      <c r="E143" s="63">
        <f t="shared" si="5"/>
        <v>15300</v>
      </c>
    </row>
    <row r="144" spans="1:7" x14ac:dyDescent="0.3">
      <c r="A144" s="2">
        <v>9</v>
      </c>
      <c r="C144" s="38" t="s">
        <v>63</v>
      </c>
      <c r="D144" s="42">
        <f>TRUNC(19097,-1)</f>
        <v>19090</v>
      </c>
      <c r="E144" s="63">
        <f t="shared" si="5"/>
        <v>63100</v>
      </c>
    </row>
    <row r="145" spans="1:7" ht="17.25" thickBot="1" x14ac:dyDescent="0.35">
      <c r="A145" s="2">
        <v>10</v>
      </c>
      <c r="C145" s="38" t="s">
        <v>148</v>
      </c>
      <c r="D145" s="43">
        <v>4240</v>
      </c>
      <c r="E145" s="64">
        <f t="shared" si="5"/>
        <v>14010</v>
      </c>
    </row>
    <row r="146" spans="1:7" x14ac:dyDescent="0.3">
      <c r="A146" s="2">
        <v>11</v>
      </c>
      <c r="C146" s="27" t="s">
        <v>112</v>
      </c>
      <c r="D146" s="39">
        <f>SUM(D136:D145)</f>
        <v>59790</v>
      </c>
      <c r="E146" s="39">
        <f>SUM(E136:E145)</f>
        <v>197600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TRUNC(2627+100,-1)</f>
        <v>2720</v>
      </c>
      <c r="E149" s="62">
        <f>TRUNC(+D149*3.3058,-1)</f>
        <v>8990</v>
      </c>
    </row>
    <row r="150" spans="1:7" x14ac:dyDescent="0.3">
      <c r="A150" s="2">
        <v>2</v>
      </c>
      <c r="C150" s="38" t="s">
        <v>49</v>
      </c>
      <c r="D150" s="42">
        <f>TRUNC(677,-1)</f>
        <v>670</v>
      </c>
      <c r="E150" s="63">
        <f>TRUNC(+D150*3.3058,-1)</f>
        <v>2210</v>
      </c>
    </row>
    <row r="151" spans="1:7" x14ac:dyDescent="0.3">
      <c r="A151" s="2">
        <v>3</v>
      </c>
      <c r="C151" s="38" t="s">
        <v>50</v>
      </c>
      <c r="D151" s="42">
        <f>TRUNC(492,-1)</f>
        <v>490</v>
      </c>
      <c r="E151" s="63">
        <f>TRUNC(+D151*3.3058,-1)</f>
        <v>1610</v>
      </c>
    </row>
    <row r="152" spans="1:7" x14ac:dyDescent="0.3">
      <c r="A152" s="2">
        <v>4</v>
      </c>
      <c r="C152" s="38" t="s">
        <v>47</v>
      </c>
      <c r="D152" s="42">
        <f>TRUNC(341+1167+170+6901,-1)</f>
        <v>8570</v>
      </c>
      <c r="E152" s="63">
        <f>TRUNC(+D152*3.3058,-1)</f>
        <v>28330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TRUNC(13287,-1)</f>
        <v>13280</v>
      </c>
      <c r="E153" s="64">
        <f>TRUNC(+D153*3.3058,-1)</f>
        <v>43900</v>
      </c>
    </row>
    <row r="154" spans="1:7" x14ac:dyDescent="0.3">
      <c r="A154" s="2">
        <v>6</v>
      </c>
      <c r="C154" s="27" t="s">
        <v>112</v>
      </c>
      <c r="D154" s="39">
        <f>SUM(D149:D153)</f>
        <v>25730</v>
      </c>
      <c r="E154" s="39">
        <f>SUM(E149:E153)</f>
        <v>85040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TRUNC(7143,-1)</f>
        <v>7140</v>
      </c>
      <c r="E157" s="62">
        <f>TRUNC(+D157*3.3058,-1)</f>
        <v>23600</v>
      </c>
    </row>
    <row r="158" spans="1:7" x14ac:dyDescent="0.3">
      <c r="A158" s="2">
        <v>2</v>
      </c>
      <c r="C158" s="38" t="s">
        <v>52</v>
      </c>
      <c r="D158" s="42">
        <f>TRUNC(3378,-1)</f>
        <v>3370</v>
      </c>
      <c r="E158" s="63">
        <f>TRUNC(+D158*3.3058,-1)</f>
        <v>11140</v>
      </c>
    </row>
    <row r="159" spans="1:7" x14ac:dyDescent="0.3">
      <c r="A159" s="2">
        <v>3</v>
      </c>
      <c r="C159" s="38" t="s">
        <v>47</v>
      </c>
      <c r="D159" s="42">
        <f>TRUNC(3034+2091,-1)</f>
        <v>5120</v>
      </c>
      <c r="E159" s="63">
        <f>TRUNC(+D159*3.3058,-1)</f>
        <v>16920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15630</v>
      </c>
      <c r="E161" s="39">
        <f>SUM(E156:E160)</f>
        <v>51660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2020-12-08T01:43:38Z</dcterms:modified>
</cp:coreProperties>
</file>