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50" i="4"/>
  <c r="D149" i="4"/>
  <c r="D144" i="4"/>
  <c r="D143" i="4"/>
  <c r="D142" i="4"/>
  <c r="D141" i="4"/>
  <c r="D140" i="4"/>
  <c r="D137" i="4"/>
  <c r="D132" i="4"/>
  <c r="D131" i="4"/>
  <c r="D130" i="4"/>
  <c r="D128" i="4"/>
  <c r="D125" i="4"/>
  <c r="D124" i="4"/>
  <c r="D122" i="4"/>
  <c r="D118" i="4"/>
  <c r="D117" i="4"/>
  <c r="D116" i="4"/>
  <c r="D114" i="4"/>
  <c r="D105" i="4"/>
  <c r="D104" i="4"/>
  <c r="D103" i="4"/>
  <c r="D102" i="4"/>
  <c r="D101" i="4"/>
  <c r="D100" i="4"/>
  <c r="D99" i="4"/>
  <c r="D94" i="4"/>
  <c r="D93" i="4"/>
  <c r="D92" i="4"/>
  <c r="D91" i="4"/>
  <c r="D89" i="4"/>
  <c r="D73" i="4"/>
  <c r="D72" i="4"/>
  <c r="D71" i="4"/>
  <c r="D70" i="4"/>
  <c r="D63" i="4"/>
  <c r="D59" i="4"/>
  <c r="D58" i="4"/>
  <c r="D53" i="4"/>
  <c r="D52" i="4"/>
  <c r="D50" i="4"/>
  <c r="D49" i="4"/>
  <c r="D48" i="4"/>
  <c r="D46" i="4"/>
  <c r="D45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<sst xmlns="http://schemas.openxmlformats.org/spreadsheetml/2006/main" count="390" uniqueCount="264">
  <si>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</si>
  <si>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</si>
  <si>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</si>
  <si>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</si>
  <si>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</si>
  <si>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</si>
  <si>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</si>
  <si>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</si>
  <si>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</si>
  <si>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</si>
  <si>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</si>
  <si>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</si>
  <si>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</si>
  <si>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</si>
  <si>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</si>
  <si>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</si>
  <si>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</si>
  <si>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</si>
  <si>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</si>
  <si>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</si>
  <si>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</si>
  <si>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</si>
  <si>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</si>
  <si>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</si>
  <si>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</si>
  <si>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</si>
  <si>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</si>
  <si>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</si>
  <si>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</si>
  <si>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</si>
  <si>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</si>
  <si>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</si>
  <si>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</si>
  <si>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</si>
  <si>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</si>
  <si>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</si>
  <si>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</si>
  <si>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</si>
  <si>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</si>
  <si>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</si>
  <si>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</si>
  <si>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</si>
  <si>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</si>
  <si>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</si>
  <si>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</si>
  <si>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</si>
  <si>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</si>
  <si>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</si>
  <si>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</si>
  <si>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</si>
  <si>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</si>
  <si>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</si>
  <si>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</si>
  <si>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</si>
  <si>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</si>
  <si>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</si>
  <si>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</si>
  <si>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</si>
  <si>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</si>
  <si>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</si>
  <si>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</si>
  <si>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</si>
  <si>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</si>
  <si>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</si>
  <si>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</si>
  <si>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</si>
  <si>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</si>
  <si>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</si>
  <si>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</si>
  <si>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</si>
  <si>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</si>
  <si>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</si>
  <si>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</si>
  <si>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</si>
  <si>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</si>
  <si>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</si>
  <si>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</si>
  <si>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</si>
  <si>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</si>
  <si>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</si>
  <si>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</si>
  <si>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</si>
  <si>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</si>
  <si>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</si>
  <si>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</si>
  <si>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</si>
  <si>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</si>
  <si>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</si>
  <si>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</si>
  <si>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</si>
  <si>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</si>
  <si>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</si>
  <si>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</si>
  <si>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</si>
  <si>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</si>
  <si>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</si>
  <si>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</si>
  <si>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</si>
  <si>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</si>
  <si>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</si>
  <si>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</si>
  <si>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</si>
  <si>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</si>
  <si>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</si>
  <si>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</si>
  <si>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</si>
  <si>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</si>
  <si>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</si>
  <si>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</si>
  <si>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</si>
  <si>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</si>
  <si>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</si>
  <si>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</si>
  <si>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</si>
  <si>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</si>
  <si>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</si>
  <si>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</si>
  <si>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</si>
  <si>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</si>
  <si>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</si>
  <si>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</si>
  <si>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</si>
  <si>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</si>
  <si>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</si>
  <si>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</si>
  <si>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</si>
  <si>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</si>
  <si>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</si>
  <si>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</si>
  <si>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</si>
  <si>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</si>
  <si>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</si>
  <si>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</si>
  <si>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</si>
  <si>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</si>
  <si>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</si>
  <si>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</si>
  <si>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</si>
  <si>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</si>
  <si>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</si>
  <si>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</si>
  <si>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</si>
  <si>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</si>
  <si>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</si>
  <si>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</si>
  <si>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</si>
  <si>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</si>
  <si>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</si>
  <si>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</si>
  <si>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</si>
  <si>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</si>
  <si>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</si>
  <si>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</si>
  <si>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</si>
  <si>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</si>
  <si>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</si>
  <si>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</si>
  <si>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</si>
  <si>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</si>
  <si>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</si>
  <si>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</si>
  <si>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</si>
  <si>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</si>
  <si>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</si>
  <si>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</si>
  <si>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</si>
  <si>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</si>
  <si>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</si>
  <si>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</si>
  <si>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</si>
  <si>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</si>
  <si>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</si>
  <si>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</si>
  <si>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</si>
  <si>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</si>
  <si>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</si>
  <si>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</si>
  <si>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</si>
  <si>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</si>
  <si>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</si>
  <si>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</si>
  <si>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</si>
  <si>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</si>
  <si>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</si>
  <si>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</si>
  <si>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</si>
  <si>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</si>
  <si>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</si>
  <si>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</si>
  <si>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</si>
  <si>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</si>
  <si>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</si>
  <si>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</si>
  <si>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</si>
  <si>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</si>
  <si>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</si>
  <si>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</si>
  <si>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</si>
  <si>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</si>
  <si>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</si>
  <si>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</si>
  <si>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</si>
  <si>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</si>
  <si>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</si>
  <si>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</si>
  <si>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</si>
  <si>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</si>
  <si>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</si>
  <si>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</si>
  <si>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</si>
  <si>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</si>
  <si>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</si>
  <si>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</si>
  <si>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</si>
  <si>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</si>
  <si>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</si>
  <si>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</si>
  <si>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</si>
  <si>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</si>
  <si>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</si>
  <si>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</si>
  <si>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</si>
  <si>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</si>
  <si>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</si>
  <si>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</si>
  <si>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</si>
  <si>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</si>
  <si>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</si>
  <si>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</si>
  <si>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</si>
  <si>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</si>
  <si>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</si>
  <si>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</si>
  <si>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</si>
  <si>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</si>
  <si>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</si>
  <si>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</si>
  <si>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</si>
  <si>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</si>
  <si>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</si>
  <si>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</si>
  <si>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</si>
  <si>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</si>
  <si>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</si>
  <si>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</si>
  <si>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</si>
  <si>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</si>
  <si>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</si>
  <si>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</si>
  <si>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</si>
  <si>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해밀중고등학교 신축공사</t>
    <phoneticPr fontId="2" type="noConversion"/>
  </si>
  <si>
    <t>세종시</t>
  </si>
  <si>
    <t>지붕및홈통공사 포함</t>
    <phoneticPr fontId="2" type="noConversion"/>
  </si>
  <si>
    <t>목공사및수장공사(인테리어공사 포함)</t>
    <phoneticPr fontId="2" type="noConversion"/>
  </si>
  <si>
    <t>기초공사, 골재비및운반비, 품질시험비, 기타공사</t>
    <phoneticPr fontId="2" type="noConversion"/>
  </si>
  <si>
    <t>CATV 및 TV 설비공사</t>
    <phoneticPr fontId="2" type="noConversion"/>
  </si>
  <si>
    <t>포장공사</t>
    <phoneticPr fontId="2" type="noConversion"/>
  </si>
  <si>
    <t>창호및유리공사</t>
    <phoneticPr fontId="2" type="noConversion"/>
  </si>
  <si>
    <t>난방배관공사,우수처리시설공사, 바닥난방공사, 기타공사</t>
    <phoneticPr fontId="2" type="noConversion"/>
  </si>
  <si>
    <t>CCTV설비공사, 주차관제설비공사</t>
    <phoneticPr fontId="2" type="noConversion"/>
  </si>
  <si>
    <t>사급자재비,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</si>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</sst>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15456</v>
      </c>
      <c r="D7" s="36">
        <f>+C7/3.3058</f>
        <v>4675.4189606146774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1006660</v>
      </c>
      <c r="E25" s="59">
        <f t="shared" si="0"/>
        <v>3327810</v>
      </c>
    </row>
    <row r="26" spans="1:5" x14ac:dyDescent="0.3">
      <c r="B26" s="2">
        <v>3</v>
      </c>
      <c r="C26" s="35" t="s">
        <v>95</v>
      </c>
      <c r="D26" s="45">
        <f>+D66</f>
        <v>17630</v>
      </c>
      <c r="E26" s="59">
        <f t="shared" si="0"/>
        <v>58280</v>
      </c>
    </row>
    <row r="27" spans="1:5" x14ac:dyDescent="0.3">
      <c r="B27" s="2">
        <v>4</v>
      </c>
      <c r="C27" s="35" t="s">
        <v>96</v>
      </c>
      <c r="D27" s="45">
        <f>+D95</f>
        <v>197360</v>
      </c>
      <c r="E27" s="59">
        <f t="shared" si="0"/>
        <v>652430</v>
      </c>
    </row>
    <row r="28" spans="1:5" x14ac:dyDescent="0.3">
      <c r="B28" s="2">
        <v>5</v>
      </c>
      <c r="C28" s="35" t="s">
        <v>97</v>
      </c>
      <c r="D28" s="45">
        <f>+D119</f>
        <v>196320</v>
      </c>
      <c r="E28" s="59">
        <f t="shared" si="0"/>
        <v>648990</v>
      </c>
    </row>
    <row r="29" spans="1:5" x14ac:dyDescent="0.3">
      <c r="B29" s="2">
        <v>6</v>
      </c>
      <c r="C29" s="35" t="s">
        <v>98</v>
      </c>
      <c r="D29" s="45">
        <f>+D133</f>
        <v>101180</v>
      </c>
      <c r="E29" s="59">
        <f t="shared" si="0"/>
        <v>334480</v>
      </c>
    </row>
    <row r="30" spans="1:5" x14ac:dyDescent="0.3">
      <c r="B30" s="2">
        <v>7</v>
      </c>
      <c r="C30" s="35" t="s">
        <v>99</v>
      </c>
      <c r="D30" s="45">
        <f>+D146</f>
        <v>41720</v>
      </c>
      <c r="E30" s="59">
        <f t="shared" si="0"/>
        <v>137910</v>
      </c>
    </row>
    <row r="31" spans="1:5" x14ac:dyDescent="0.3">
      <c r="B31" s="2">
        <v>8</v>
      </c>
      <c r="C31" s="35" t="s">
        <v>100</v>
      </c>
      <c r="D31" s="45">
        <f>+D154</f>
        <v>79020</v>
      </c>
      <c r="E31" s="59">
        <f t="shared" si="0"/>
        <v>261220</v>
      </c>
    </row>
    <row r="32" spans="1:5" x14ac:dyDescent="0.3">
      <c r="B32" s="2">
        <v>9</v>
      </c>
      <c r="C32" s="35" t="s">
        <v>101</v>
      </c>
      <c r="D32" s="45">
        <f>+D161</f>
        <v>62930</v>
      </c>
      <c r="E32" s="59">
        <f t="shared" si="0"/>
        <v>208030</v>
      </c>
    </row>
    <row r="33" spans="1:7" x14ac:dyDescent="0.3">
      <c r="B33" s="2">
        <v>10</v>
      </c>
      <c r="C33" s="35" t="s">
        <v>155</v>
      </c>
      <c r="D33" s="53">
        <f>TRUNC(SUM(D24:D32)*0.275,-1)</f>
        <v>468270</v>
      </c>
      <c r="E33" s="60">
        <f t="shared" si="0"/>
        <v>1548000</v>
      </c>
    </row>
    <row r="34" spans="1:7" x14ac:dyDescent="0.3">
      <c r="C34" s="35" t="s">
        <v>112</v>
      </c>
      <c r="D34" s="44">
        <f>SUM(D24:D33)</f>
        <v>2171090</v>
      </c>
      <c r="E34" s="44">
        <f>SUM(E24:E33)</f>
        <v>7177150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TRUNC(39338,-1)</f>
        <v>39330</v>
      </c>
      <c r="E40" s="62">
        <f t="shared" ref="E40:E59" si="1">TRUNC(+D40*3.3058,-1)</f>
        <v>130010</v>
      </c>
    </row>
    <row r="41" spans="1:7" x14ac:dyDescent="0.3">
      <c r="A41" s="2">
        <v>2</v>
      </c>
      <c r="C41" s="38" t="s">
        <v>13</v>
      </c>
      <c r="D41" s="42">
        <f>TRUNC(158728,-1)</f>
        <v>158720</v>
      </c>
      <c r="E41" s="63">
        <f t="shared" si="1"/>
        <v>524690</v>
      </c>
    </row>
    <row r="42" spans="1:7" x14ac:dyDescent="0.3">
      <c r="A42" s="2">
        <v>3</v>
      </c>
      <c r="C42" s="38" t="s">
        <v>14</v>
      </c>
      <c r="D42" s="42">
        <f>TRUNC(17539,-1)</f>
        <v>17530</v>
      </c>
      <c r="E42" s="63">
        <f t="shared" si="1"/>
        <v>57950</v>
      </c>
    </row>
    <row r="43" spans="1:7" x14ac:dyDescent="0.3">
      <c r="A43" s="2">
        <v>4</v>
      </c>
      <c r="C43" s="38" t="s">
        <v>16</v>
      </c>
      <c r="D43" s="42">
        <f>TRUNC(35387,-1)</f>
        <v>35380</v>
      </c>
      <c r="E43" s="63">
        <f t="shared" si="1"/>
        <v>116950</v>
      </c>
    </row>
    <row r="44" spans="1:7" x14ac:dyDescent="0.3">
      <c r="A44" s="2">
        <v>5</v>
      </c>
      <c r="C44" s="38" t="s">
        <v>17</v>
      </c>
      <c r="D44" s="42">
        <v>20690</v>
      </c>
      <c r="E44" s="63">
        <f t="shared" si="1"/>
        <v>68390</v>
      </c>
    </row>
    <row r="45" spans="1:7" x14ac:dyDescent="0.3">
      <c r="A45" s="2">
        <v>6</v>
      </c>
      <c r="C45" s="38" t="s">
        <v>18</v>
      </c>
      <c r="D45" s="42">
        <f>TRUNC(7143,-1)</f>
        <v>7140</v>
      </c>
      <c r="E45" s="63">
        <f t="shared" si="1"/>
        <v>23600</v>
      </c>
    </row>
    <row r="46" spans="1:7" x14ac:dyDescent="0.3">
      <c r="A46" s="2">
        <v>7</v>
      </c>
      <c r="C46" s="38" t="s">
        <v>19</v>
      </c>
      <c r="D46" s="42">
        <f>TRUNC(22535,-1)</f>
        <v>22530</v>
      </c>
      <c r="E46" s="63">
        <f t="shared" si="1"/>
        <v>74470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TRUNC(81295,-1)</f>
        <v>81290</v>
      </c>
      <c r="E48" s="63">
        <f t="shared" si="1"/>
        <v>268720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TRUNC(20904,-1)</f>
        <v>20900</v>
      </c>
      <c r="E49" s="63">
        <f t="shared" si="1"/>
        <v>69090</v>
      </c>
    </row>
    <row r="50" spans="1:7" x14ac:dyDescent="0.3">
      <c r="A50" s="2">
        <v>11</v>
      </c>
      <c r="C50" s="38" t="s">
        <v>156</v>
      </c>
      <c r="D50" s="42">
        <f>TRUNC(55174,-1)</f>
        <v>55170</v>
      </c>
      <c r="E50" s="63">
        <f t="shared" si="1"/>
        <v>182380</v>
      </c>
      <c r="F50" s="2" t="s">
        <v>257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TRUNC(7399,-1)</f>
        <v>7390</v>
      </c>
      <c r="E52" s="63">
        <f t="shared" si="1"/>
        <v>24420</v>
      </c>
    </row>
    <row r="53" spans="1:7" x14ac:dyDescent="0.3">
      <c r="A53" s="2">
        <v>14</v>
      </c>
      <c r="C53" s="38" t="s">
        <v>25</v>
      </c>
      <c r="D53" s="42">
        <f>TRUNC(125063,-1)</f>
        <v>125060</v>
      </c>
      <c r="E53" s="63">
        <f t="shared" si="1"/>
        <v>413420</v>
      </c>
      <c r="F53" s="2" t="s">
        <v>253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TRUNC(77909+7801-1145+4533+10837,-1)</f>
        <v>99930</v>
      </c>
      <c r="E58" s="63">
        <f t="shared" si="1"/>
        <v>330340</v>
      </c>
      <c r="F58" s="2" t="s">
        <v>254</v>
      </c>
    </row>
    <row r="59" spans="1:7" ht="17.25" thickBot="1" x14ac:dyDescent="0.35">
      <c r="A59" s="2">
        <v>20</v>
      </c>
      <c r="C59" s="38" t="s">
        <v>149</v>
      </c>
      <c r="D59" s="43">
        <f>TRUNC(315603,-1)</f>
        <v>315600</v>
      </c>
      <c r="E59" s="64">
        <f t="shared" si="1"/>
        <v>1043310</v>
      </c>
    </row>
    <row r="60" spans="1:7" x14ac:dyDescent="0.3">
      <c r="A60" s="2">
        <v>21</v>
      </c>
      <c r="C60" s="27" t="s">
        <v>112</v>
      </c>
      <c r="D60" s="39">
        <f>SUM(D40:D59)</f>
        <v>1006660</v>
      </c>
      <c r="E60" s="39">
        <f>SUM(E40:E59)</f>
        <v>3327740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TRUNC(17639,-1)</f>
        <v>17630</v>
      </c>
      <c r="E63" s="62">
        <f>TRUNC(+D63*3.3058,-1)</f>
        <v>58280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17630</v>
      </c>
      <c r="E66" s="65">
        <f>SUM(E63:E65)</f>
        <v>58280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v>6680</v>
      </c>
      <c r="E69" s="62">
        <f t="shared" ref="E69:E94" si="2">TRUNC(+D69*3.3058,-1)</f>
        <v>22080</v>
      </c>
    </row>
    <row r="70" spans="1:7" ht="16.5" customHeight="1" x14ac:dyDescent="0.3">
      <c r="A70" s="2">
        <v>2</v>
      </c>
      <c r="C70" s="38" t="s">
        <v>31</v>
      </c>
      <c r="D70" s="42">
        <f>TRUNC(5581,-1)</f>
        <v>5580</v>
      </c>
      <c r="E70" s="63">
        <f t="shared" si="2"/>
        <v>18440</v>
      </c>
    </row>
    <row r="71" spans="1:7" x14ac:dyDescent="0.3">
      <c r="A71" s="2">
        <v>3</v>
      </c>
      <c r="C71" s="38" t="s">
        <v>32</v>
      </c>
      <c r="D71" s="42">
        <f>TRUNC(7491,-1)</f>
        <v>7490</v>
      </c>
      <c r="E71" s="63">
        <f t="shared" si="2"/>
        <v>24760</v>
      </c>
    </row>
    <row r="72" spans="1:7" x14ac:dyDescent="0.3">
      <c r="A72" s="2">
        <v>4</v>
      </c>
      <c r="C72" s="38" t="s">
        <v>33</v>
      </c>
      <c r="D72" s="42">
        <f>TRUNC(5104,-1)</f>
        <v>5100</v>
      </c>
      <c r="E72" s="63">
        <f t="shared" si="2"/>
        <v>16850</v>
      </c>
    </row>
    <row r="73" spans="1:7" x14ac:dyDescent="0.3">
      <c r="A73" s="2">
        <v>5</v>
      </c>
      <c r="C73" s="38" t="s">
        <v>34</v>
      </c>
      <c r="D73" s="42">
        <f>TRUNC(16251,-1)</f>
        <v>16250</v>
      </c>
      <c r="E73" s="63">
        <f t="shared" si="2"/>
        <v>53710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TRUNC(8097,-1)</f>
        <v>8090</v>
      </c>
      <c r="E89" s="63">
        <f t="shared" si="2"/>
        <v>26740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TRUNC(7747,-1)</f>
        <v>7740</v>
      </c>
      <c r="E91" s="63">
        <f t="shared" si="2"/>
        <v>25580</v>
      </c>
    </row>
    <row r="92" spans="1:7" x14ac:dyDescent="0.3">
      <c r="A92" s="2">
        <v>24</v>
      </c>
      <c r="C92" s="38" t="s">
        <v>38</v>
      </c>
      <c r="D92" s="42">
        <f>TRUNC(11557,-1)</f>
        <v>11550</v>
      </c>
      <c r="E92" s="63">
        <f t="shared" si="2"/>
        <v>38180</v>
      </c>
    </row>
    <row r="93" spans="1:7" x14ac:dyDescent="0.3">
      <c r="A93" s="2">
        <v>25</v>
      </c>
      <c r="C93" s="38" t="s">
        <v>149</v>
      </c>
      <c r="D93" s="42">
        <f>TRUNC(97591,-1)</f>
        <v>97590</v>
      </c>
      <c r="E93" s="63">
        <f t="shared" si="2"/>
        <v>322610</v>
      </c>
    </row>
    <row r="94" spans="1:7" ht="17.25" thickBot="1" x14ac:dyDescent="0.35">
      <c r="A94" s="2">
        <v>26</v>
      </c>
      <c r="C94" s="38" t="s">
        <v>47</v>
      </c>
      <c r="D94" s="43">
        <f>TRUNC(1116+2817+630+26736,-1)</f>
        <v>31290</v>
      </c>
      <c r="E94" s="64">
        <f t="shared" si="2"/>
        <v>103430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197360</v>
      </c>
      <c r="E95" s="39">
        <f>SUM(E69:E94)</f>
        <v>652380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v>19980</v>
      </c>
      <c r="E98" s="62">
        <f t="shared" ref="E98:E118" si="3">TRUNC(+D98*3.3058,-1)</f>
        <v>66040</v>
      </c>
    </row>
    <row r="99" spans="1:7" x14ac:dyDescent="0.3">
      <c r="A99" s="2">
        <v>2</v>
      </c>
      <c r="C99" s="38" t="s">
        <v>40</v>
      </c>
      <c r="D99" s="42">
        <f>TRUNC(6433,-1)</f>
        <v>6430</v>
      </c>
      <c r="E99" s="63">
        <f t="shared" si="3"/>
        <v>21250</v>
      </c>
    </row>
    <row r="100" spans="1:7" x14ac:dyDescent="0.3">
      <c r="A100" s="2">
        <v>3</v>
      </c>
      <c r="C100" s="38" t="s">
        <v>41</v>
      </c>
      <c r="D100" s="42">
        <f>TRUNC(31028,-1)</f>
        <v>31020</v>
      </c>
      <c r="E100" s="63">
        <f t="shared" si="3"/>
        <v>102540</v>
      </c>
    </row>
    <row r="101" spans="1:7" x14ac:dyDescent="0.3">
      <c r="A101" s="2">
        <v>4</v>
      </c>
      <c r="C101" s="38" t="s">
        <v>42</v>
      </c>
      <c r="D101" s="42">
        <f>TRUNC(225,-1)</f>
        <v>220</v>
      </c>
      <c r="E101" s="63">
        <f t="shared" si="3"/>
        <v>720</v>
      </c>
    </row>
    <row r="102" spans="1:7" x14ac:dyDescent="0.3">
      <c r="A102" s="2">
        <v>5</v>
      </c>
      <c r="C102" s="38" t="s">
        <v>43</v>
      </c>
      <c r="D102" s="42">
        <f>TRUNC(18008,-1)</f>
        <v>18000</v>
      </c>
      <c r="E102" s="63">
        <f t="shared" si="3"/>
        <v>59500</v>
      </c>
    </row>
    <row r="103" spans="1:7" x14ac:dyDescent="0.3">
      <c r="A103" s="2">
        <v>6</v>
      </c>
      <c r="C103" s="38" t="s">
        <v>44</v>
      </c>
      <c r="D103" s="42">
        <f>TRUNC(7065,-1)</f>
        <v>7060</v>
      </c>
      <c r="E103" s="63">
        <f t="shared" si="3"/>
        <v>23330</v>
      </c>
    </row>
    <row r="104" spans="1:7" x14ac:dyDescent="0.3">
      <c r="A104" s="2">
        <v>7</v>
      </c>
      <c r="C104" s="38" t="s">
        <v>45</v>
      </c>
      <c r="D104" s="42">
        <f>TRUNC(8438,-1)</f>
        <v>8430</v>
      </c>
      <c r="E104" s="63">
        <f t="shared" si="3"/>
        <v>27860</v>
      </c>
    </row>
    <row r="105" spans="1:7" x14ac:dyDescent="0.3">
      <c r="A105" s="2">
        <v>8</v>
      </c>
      <c r="C105" s="38" t="s">
        <v>46</v>
      </c>
      <c r="D105" s="42">
        <f>TRUNC(6691,-1)</f>
        <v>6690</v>
      </c>
      <c r="E105" s="63">
        <f t="shared" si="3"/>
        <v>22110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TRUNC(4151,-1)</f>
        <v>4150</v>
      </c>
      <c r="E114" s="63">
        <f t="shared" si="3"/>
        <v>13710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TRUNC(4716,-1)</f>
        <v>4710</v>
      </c>
      <c r="E116" s="63">
        <f t="shared" si="3"/>
        <v>15570</v>
      </c>
    </row>
    <row r="117" spans="1:7" x14ac:dyDescent="0.3">
      <c r="A117" s="2">
        <v>20</v>
      </c>
      <c r="C117" s="38" t="s">
        <v>149</v>
      </c>
      <c r="D117" s="42">
        <f>TRUNC(85381,-1)</f>
        <v>85380</v>
      </c>
      <c r="E117" s="63">
        <f t="shared" si="3"/>
        <v>282240</v>
      </c>
    </row>
    <row r="118" spans="1:7" ht="17.25" thickBot="1" x14ac:dyDescent="0.35">
      <c r="A118" s="2">
        <v>21</v>
      </c>
      <c r="C118" s="38" t="s">
        <v>47</v>
      </c>
      <c r="D118" s="43">
        <f>TRUNC(4253,-1)</f>
        <v>4250</v>
      </c>
      <c r="E118" s="64">
        <f t="shared" si="3"/>
        <v>14040</v>
      </c>
    </row>
    <row r="119" spans="1:7" x14ac:dyDescent="0.3">
      <c r="A119" s="2">
        <v>22</v>
      </c>
      <c r="C119" s="27" t="s">
        <v>112</v>
      </c>
      <c r="D119" s="39">
        <f>SUM(D98:D118)</f>
        <v>196320</v>
      </c>
      <c r="E119" s="39">
        <f>SUM(E98:E118)</f>
        <v>648910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TRUNC(6097,-1)</f>
        <v>6090</v>
      </c>
      <c r="E122" s="62">
        <f t="shared" ref="E122:E132" si="4">TRUNC(+D122*3.3058,-1)</f>
        <v>20130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TRUNC(945,-1)</f>
        <v>940</v>
      </c>
      <c r="E124" s="63">
        <f t="shared" si="4"/>
        <v>3100</v>
      </c>
    </row>
    <row r="125" spans="1:7" x14ac:dyDescent="0.3">
      <c r="A125" s="2">
        <v>4</v>
      </c>
      <c r="C125" s="38" t="s">
        <v>138</v>
      </c>
      <c r="D125" s="42">
        <f>TRUNC(12169,-1)</f>
        <v>12160</v>
      </c>
      <c r="E125" s="63">
        <f t="shared" si="4"/>
        <v>40190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TRUNC(9264,-1)</f>
        <v>9260</v>
      </c>
      <c r="E128" s="63">
        <f t="shared" si="4"/>
        <v>30610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TRUNC(20576,-1)</f>
        <v>20570</v>
      </c>
      <c r="E130" s="63">
        <f t="shared" si="4"/>
        <v>68000</v>
      </c>
    </row>
    <row r="131" spans="1:7" x14ac:dyDescent="0.3">
      <c r="A131" s="2">
        <v>10</v>
      </c>
      <c r="C131" s="38" t="s">
        <v>149</v>
      </c>
      <c r="D131" s="42">
        <f>TRUNC(45031,-1)</f>
        <v>45030</v>
      </c>
      <c r="E131" s="63">
        <f t="shared" si="4"/>
        <v>148860</v>
      </c>
    </row>
    <row r="132" spans="1:7" ht="18" thickBot="1" x14ac:dyDescent="0.35">
      <c r="A132" s="2">
        <v>11</v>
      </c>
      <c r="C132" s="38" t="s">
        <v>47</v>
      </c>
      <c r="D132" s="43">
        <f>TRUNC(6884+253,-1)</f>
        <v>7130</v>
      </c>
      <c r="E132" s="64">
        <f t="shared" si="4"/>
        <v>23570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101180</v>
      </c>
      <c r="E133" s="39">
        <f>SUM(E122:E132)</f>
        <v>334460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TRUNC(2515,-1)</f>
        <v>2510</v>
      </c>
      <c r="E137" s="63">
        <f t="shared" si="5"/>
        <v>8290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960</v>
      </c>
      <c r="E139" s="63">
        <f t="shared" si="5"/>
        <v>3170</v>
      </c>
    </row>
    <row r="140" spans="1:7" x14ac:dyDescent="0.3">
      <c r="A140" s="2">
        <v>5</v>
      </c>
      <c r="C140" s="38" t="s">
        <v>57</v>
      </c>
      <c r="D140" s="42">
        <f>TRUNC(2821,-1)</f>
        <v>2820</v>
      </c>
      <c r="E140" s="63">
        <f t="shared" si="5"/>
        <v>9320</v>
      </c>
    </row>
    <row r="141" spans="1:7" x14ac:dyDescent="0.3">
      <c r="A141" s="2">
        <v>6</v>
      </c>
      <c r="C141" s="38" t="s">
        <v>59</v>
      </c>
      <c r="D141" s="42">
        <f>TRUNC(2279,-1)</f>
        <v>2270</v>
      </c>
      <c r="E141" s="63">
        <f t="shared" si="5"/>
        <v>7500</v>
      </c>
    </row>
    <row r="142" spans="1:7" x14ac:dyDescent="0.3">
      <c r="A142" s="2">
        <v>7</v>
      </c>
      <c r="C142" s="38" t="s">
        <v>58</v>
      </c>
      <c r="D142" s="42">
        <f>TRUNC(6891,-1)</f>
        <v>6890</v>
      </c>
      <c r="E142" s="63">
        <f t="shared" si="5"/>
        <v>22770</v>
      </c>
    </row>
    <row r="143" spans="1:7" x14ac:dyDescent="0.3">
      <c r="A143" s="2">
        <v>8</v>
      </c>
      <c r="C143" s="38" t="s">
        <v>62</v>
      </c>
      <c r="D143" s="42">
        <f>TRUNC(5479,-1)</f>
        <v>5470</v>
      </c>
      <c r="E143" s="63">
        <f t="shared" si="5"/>
        <v>18080</v>
      </c>
    </row>
    <row r="144" spans="1:7" x14ac:dyDescent="0.3">
      <c r="A144" s="2">
        <v>9</v>
      </c>
      <c r="C144" s="38" t="s">
        <v>63</v>
      </c>
      <c r="D144" s="42">
        <f>TRUNC(20805,-1)</f>
        <v>20800</v>
      </c>
      <c r="E144" s="63">
        <f t="shared" si="5"/>
        <v>68760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41720</v>
      </c>
      <c r="E146" s="39">
        <f>SUM(E136:E145)</f>
        <v>137890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TRUNC(8505+2611,-1)</f>
        <v>11110</v>
      </c>
      <c r="E149" s="62">
        <f>TRUNC(+D149*3.3058,-1)</f>
        <v>36720</v>
      </c>
    </row>
    <row r="150" spans="1:7" x14ac:dyDescent="0.3">
      <c r="A150" s="2">
        <v>2</v>
      </c>
      <c r="C150" s="38" t="s">
        <v>49</v>
      </c>
      <c r="D150" s="42">
        <f>TRUNC(11466,-1)</f>
        <v>11460</v>
      </c>
      <c r="E150" s="63">
        <f>TRUNC(+D150*3.3058,-1)</f>
        <v>37880</v>
      </c>
    </row>
    <row r="151" spans="1:7" x14ac:dyDescent="0.3">
      <c r="A151" s="2">
        <v>3</v>
      </c>
      <c r="C151" s="38" t="s">
        <v>50</v>
      </c>
      <c r="D151" s="42">
        <f>TRUNC(8468,-1)</f>
        <v>8460</v>
      </c>
      <c r="E151" s="63">
        <f>TRUNC(+D151*3.3058,-1)</f>
        <v>27960</v>
      </c>
    </row>
    <row r="152" spans="1:7" x14ac:dyDescent="0.3">
      <c r="A152" s="2">
        <v>4</v>
      </c>
      <c r="C152" s="38" t="s">
        <v>47</v>
      </c>
      <c r="D152" s="42">
        <f>TRUNC(2813+1728,-1)</f>
        <v>4540</v>
      </c>
      <c r="E152" s="63">
        <f>TRUNC(+D152*3.3058,-1)</f>
        <v>15000</v>
      </c>
      <c r="F152" s="2" t="s">
        <v>260</v>
      </c>
    </row>
    <row r="153" spans="1:7" ht="17.25" thickBot="1" x14ac:dyDescent="0.35">
      <c r="A153" s="2">
        <v>5</v>
      </c>
      <c r="C153" s="38" t="s">
        <v>149</v>
      </c>
      <c r="D153" s="43">
        <f>TRUNC(43457,-1)</f>
        <v>43450</v>
      </c>
      <c r="E153" s="64">
        <f>TRUNC(+D153*3.3058,-1)</f>
        <v>143630</v>
      </c>
    </row>
    <row r="154" spans="1:7" x14ac:dyDescent="0.3">
      <c r="A154" s="2">
        <v>6</v>
      </c>
      <c r="C154" s="27" t="s">
        <v>112</v>
      </c>
      <c r="D154" s="39">
        <f>SUM(D149:D153)</f>
        <v>79020</v>
      </c>
      <c r="E154" s="39">
        <f>SUM(E149:E153)</f>
        <v>261190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TRUNC(30042,-1)</f>
        <v>30040</v>
      </c>
      <c r="E157" s="62">
        <f>TRUNC(+D157*3.3058,-1)</f>
        <v>99300</v>
      </c>
    </row>
    <row r="158" spans="1:7" x14ac:dyDescent="0.3">
      <c r="A158" s="2">
        <v>2</v>
      </c>
      <c r="C158" s="38" t="s">
        <v>52</v>
      </c>
      <c r="D158" s="42">
        <f>TRUNC(26304,-1)</f>
        <v>26300</v>
      </c>
      <c r="E158" s="63">
        <f>TRUNC(+D158*3.3058,-1)</f>
        <v>86940</v>
      </c>
    </row>
    <row r="159" spans="1:7" x14ac:dyDescent="0.3">
      <c r="A159" s="2">
        <v>3</v>
      </c>
      <c r="C159" s="38" t="s">
        <v>47</v>
      </c>
      <c r="D159" s="42">
        <f>TRUNC(589,-1)</f>
        <v>580</v>
      </c>
      <c r="E159" s="63">
        <f>TRUNC(+D159*3.3058,-1)</f>
        <v>1910</v>
      </c>
      <c r="F159" s="2" t="s">
        <v>256</v>
      </c>
    </row>
    <row r="160" spans="1:7" ht="17.25" thickBot="1" x14ac:dyDescent="0.35">
      <c r="A160" s="2">
        <v>4</v>
      </c>
      <c r="C160" s="38" t="s">
        <v>149</v>
      </c>
      <c r="D160" s="43">
        <v>6010</v>
      </c>
      <c r="E160" s="64">
        <f>TRUNC(+D160*3.3058,-1)</f>
        <v>19860</v>
      </c>
    </row>
    <row r="161" spans="1:5" x14ac:dyDescent="0.3">
      <c r="A161" s="2">
        <v>5</v>
      </c>
      <c r="C161" s="27" t="s">
        <v>112</v>
      </c>
      <c r="D161" s="39">
        <f>SUM(D157:D160)</f>
        <v>62930</v>
      </c>
      <c r="E161" s="39">
        <f>SUM(E157:E160)</f>
        <v>208010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2020-12-08T04:20:26Z</dcterms:modified>
</cp:coreProperties>
</file>