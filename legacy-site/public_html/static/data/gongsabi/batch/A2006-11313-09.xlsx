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45" i="4"/>
  <c r="E144" i="4"/>
  <c r="E143" i="4"/>
  <c r="E142" i="4"/>
  <c r="E141" i="4"/>
  <c r="E140" i="4"/>
  <c r="E139" i="4"/>
  <c r="E138" i="4"/>
  <c r="E137" i="4"/>
  <c r="E136" i="4"/>
  <c r="E132" i="4"/>
  <c r="E129" i="4"/>
  <c r="E127" i="4"/>
  <c r="E126" i="4"/>
  <c r="E124" i="4"/>
  <c r="E123" i="4"/>
  <c r="E118" i="4"/>
  <c r="E116" i="4"/>
  <c r="E114" i="4"/>
  <c r="E113" i="4"/>
  <c r="E112" i="4"/>
  <c r="E111" i="4"/>
  <c r="E110" i="4"/>
  <c r="E109" i="4"/>
  <c r="E107" i="4"/>
  <c r="E106" i="4"/>
  <c r="E103" i="4"/>
  <c r="E101" i="4"/>
  <c r="E91" i="4"/>
  <c r="E90" i="4"/>
  <c r="E89" i="4"/>
  <c r="E88" i="4"/>
  <c r="E87" i="4"/>
  <c r="E86" i="4"/>
  <c r="E85" i="4"/>
  <c r="E84" i="4"/>
  <c r="E80" i="4"/>
  <c r="E79" i="4"/>
  <c r="E78" i="4"/>
  <c r="E77" i="4"/>
  <c r="E76" i="4"/>
  <c r="E75" i="4"/>
  <c r="E74" i="4"/>
  <c r="E73" i="4"/>
  <c r="E71" i="4"/>
  <c r="E70" i="4"/>
  <c r="E65" i="4"/>
  <c r="E57" i="4"/>
  <c r="E56" i="4"/>
  <c r="E55" i="4"/>
  <c r="E54" i="4"/>
  <c r="E42" i="4"/>
  <c r="E41" i="4"/>
  <c r="E146" i="4" l="1"/>
  <c r="D159" i="4"/>
  <c r="E159" i="4" s="1"/>
  <c r="E161" i="4" s="1"/>
  <c r="D152" i="4"/>
  <c r="E152" i="4" s="1"/>
  <c r="D151" i="4"/>
  <c r="E151" i="4" s="1"/>
  <c r="D150" i="4"/>
  <c r="E150" i="4" s="1"/>
  <c r="D149" i="4"/>
  <c r="E149" i="4" s="1"/>
  <c r="E154" i="4" s="1"/>
  <c r="D131" i="4"/>
  <c r="E131" i="4" s="1"/>
  <c r="D130" i="4"/>
  <c r="E130" i="4" s="1"/>
  <c r="D128" i="4"/>
  <c r="E128" i="4" s="1"/>
  <c r="D125" i="4"/>
  <c r="E125" i="4" s="1"/>
  <c r="E133" i="4" s="1"/>
  <c r="D122" i="4"/>
  <c r="E122" i="4" s="1"/>
  <c r="D117" i="4"/>
  <c r="E117" i="4" s="1"/>
  <c r="D115" i="4"/>
  <c r="E115" i="4" s="1"/>
  <c r="D108" i="4"/>
  <c r="E10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83" i="4"/>
  <c r="E83" i="4" s="1"/>
  <c r="D82" i="4"/>
  <c r="E82" i="4" s="1"/>
  <c r="D81" i="4"/>
  <c r="E81" i="4" s="1"/>
  <c r="D94" i="4"/>
  <c r="E94" i="4" s="1"/>
  <c r="D93" i="4"/>
  <c r="E93" i="4" s="1"/>
  <c r="D92" i="4"/>
  <c r="E92" i="4" s="1"/>
  <c r="D72" i="4"/>
  <c r="E72" i="4" s="1"/>
  <c r="D69" i="4"/>
  <c r="E69" i="4" s="1"/>
  <c r="D64" i="4"/>
  <c r="E64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0" i="4"/>
  <c r="E40" i="4" s="1"/>
  <c r="D37" i="4"/>
  <c r="E37" i="4" s="1"/>
  <c r="E119" i="4" l="1"/>
  <c r="E60" i="4"/>
  <c r="E95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<sst xmlns="http://schemas.openxmlformats.org/spreadsheetml/2006/main" count="394" uniqueCount="267">
  <si>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</si>
  <si>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</si>
  <si>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</si>
  <si>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</si>
  <si>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</si>
  <si>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</si>
  <si>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</si>
  <si>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</si>
  <si>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</si>
  <si>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</si>
  <si>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</si>
  <si>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</si>
  <si>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</si>
  <si>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</si>
  <si>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</si>
  <si>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</si>
  <si>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</si>
  <si>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</si>
  <si>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</si>
  <si>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</si>
  <si>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</si>
  <si>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</si>
  <si>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</si>
  <si>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</si>
  <si>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</si>
  <si>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</si>
  <si>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</si>
  <si>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</si>
  <si>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</si>
  <si>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</si>
  <si>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</si>
  <si>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</si>
  <si>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</si>
  <si>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</si>
  <si>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</si>
  <si>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</si>
  <si>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</si>
  <si>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</si>
  <si>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</si>
  <si>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</si>
  <si>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</si>
  <si>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</si>
  <si>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</si>
  <si>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</si>
  <si>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</si>
  <si>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</si>
  <si>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</si>
  <si>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</si>
  <si>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</si>
  <si>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</si>
  <si>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</si>
  <si>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</si>
  <si>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</si>
  <si>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</si>
  <si>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</si>
  <si>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</si>
  <si>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</si>
  <si>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</si>
  <si>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</si>
  <si>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</si>
  <si>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</si>
  <si>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</si>
  <si>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</si>
  <si>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</si>
  <si>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</si>
  <si>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</si>
  <si>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</si>
  <si>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</si>
  <si>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</si>
  <si>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</si>
  <si>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</si>
  <si>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</si>
  <si>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</si>
  <si>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</si>
  <si>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</si>
  <si>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</si>
  <si>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</si>
  <si>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</si>
  <si>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</si>
  <si>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</si>
  <si>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</si>
  <si>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</si>
  <si>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</si>
  <si>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</si>
  <si>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</si>
  <si>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</si>
  <si>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</si>
  <si>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</si>
  <si>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</si>
  <si>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</si>
  <si>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</si>
  <si>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</si>
  <si>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</si>
  <si>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</si>
  <si>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</si>
  <si>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</si>
  <si>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</si>
  <si>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</si>
  <si>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</si>
  <si>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</si>
  <si>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</si>
  <si>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</si>
  <si>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</si>
  <si>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</si>
  <si>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</si>
  <si>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</si>
  <si>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</si>
  <si>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</si>
  <si>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</si>
  <si>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</si>
  <si>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</si>
  <si>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</si>
  <si>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</si>
  <si>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</si>
  <si>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</si>
  <si>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</si>
  <si>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</si>
  <si>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</si>
  <si>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</si>
  <si>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</si>
  <si>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</si>
  <si>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</si>
  <si>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</si>
  <si>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</si>
  <si>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</si>
  <si>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</si>
  <si>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</si>
  <si>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</si>
  <si>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</si>
  <si>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</si>
  <si>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</si>
  <si>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</si>
  <si>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</si>
  <si>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</si>
  <si>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</si>
  <si>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</si>
  <si>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</si>
  <si>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</si>
  <si>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</si>
  <si>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</si>
  <si>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</si>
  <si>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</si>
  <si>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</si>
  <si>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</si>
  <si>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</si>
  <si>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</si>
  <si>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</si>
  <si>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</si>
  <si>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</si>
  <si>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</si>
  <si>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</si>
  <si>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</si>
  <si>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</si>
  <si>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</si>
  <si>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</si>
  <si>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</si>
  <si>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</si>
  <si>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</si>
  <si>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</si>
  <si>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</si>
  <si>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</si>
  <si>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</si>
  <si>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</si>
  <si>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</si>
  <si>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</si>
  <si>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</si>
  <si>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</si>
  <si>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</si>
  <si>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</si>
  <si>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</si>
  <si>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</si>
  <si>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</si>
  <si>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</si>
  <si>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</si>
  <si>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</si>
  <si>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</si>
  <si>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</si>
  <si>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</si>
  <si>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</si>
  <si>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</si>
  <si>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</si>
  <si>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</si>
  <si>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</si>
  <si>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</si>
  <si>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</si>
  <si>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</si>
  <si>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</si>
  <si>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</si>
  <si>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</si>
  <si>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</si>
  <si>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</si>
  <si>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</si>
  <si>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</si>
  <si>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</si>
  <si>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</si>
  <si>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</si>
  <si>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</si>
  <si>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</si>
  <si>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</si>
  <si>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</si>
  <si>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</si>
  <si>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</si>
  <si>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</si>
  <si>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</si>
  <si>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</si>
  <si>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</si>
  <si>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</si>
  <si>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</si>
  <si>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</si>
  <si>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</si>
  <si>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</si>
  <si>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</si>
  <si>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</si>
  <si>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</si>
  <si>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</si>
  <si>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</si>
  <si>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</si>
  <si>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</si>
  <si>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</si>
  <si>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</si>
  <si>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</si>
  <si>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</si>
  <si>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</si>
  <si>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</si>
  <si>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</si>
  <si>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</si>
  <si>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</si>
  <si>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</si>
  <si>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</si>
  <si>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</si>
  <si>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</si>
  <si>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</si>
  <si>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</si>
  <si>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</si>
  <si>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</si>
  <si>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</si>
  <si>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</si>
  <si>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</si>
  <si>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</si>
  <si>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</si>
  <si>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</si>
  <si>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</si>
  <si>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</si>
  <si>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</si>
  <si>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</si>
  <si>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</si>
  <si>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</si>
  <si>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</si>
  <si>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00대학교 공과대학 교육강의동 신축공사</t>
  </si>
  <si>
    <t>전라도</t>
  </si>
  <si>
    <t>파일및지정공사</t>
  </si>
  <si>
    <t>잡공사, 골재비, 작업부산물, 운반비, 사급자재</t>
    <phoneticPr fontId="2" type="noConversion"/>
  </si>
  <si>
    <t>도급자설치관급</t>
  </si>
  <si>
    <t>조경공사</t>
    <phoneticPr fontId="2" type="noConversion"/>
  </si>
  <si>
    <t>철거공사, 주요 자재대</t>
    <phoneticPr fontId="2" type="noConversion"/>
  </si>
  <si>
    <t>기계실 위생배관공사, 위생,우수관 배관(지하~옥상층), 옥외 위생배관공사</t>
    <phoneticPr fontId="2" type="noConversion"/>
  </si>
  <si>
    <t>흄후드및 화장실 배기덕트 설치</t>
  </si>
  <si>
    <t>도시가스 배관공사</t>
  </si>
  <si>
    <t>동력설비공사, 실험동력설비공사</t>
    <phoneticPr fontId="2" type="noConversion"/>
  </si>
  <si>
    <t>피뢰침 및 접지설비공사</t>
  </si>
  <si>
    <t>관급자설치관급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</si>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</sst>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9906</v>
      </c>
      <c r="D7" s="36">
        <f>+C7/3.3058</f>
        <v>2996.5515155181802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+D37</f>
        <v>1950</v>
      </c>
      <c r="E24" s="58">
        <f t="shared" ref="E24:E33" si="0">TRUNC(+D24*3.3058,-1)</f>
        <v>6440</v>
      </c>
    </row>
    <row r="25" spans="1:5" x14ac:dyDescent="0.3">
      <c r="B25" s="2">
        <v>2</v>
      </c>
      <c r="C25" s="35" t="s">
        <v>111</v>
      </c>
      <c r="D25" s="45">
        <f>+D60</f>
        <v>456669.66666666669</v>
      </c>
      <c r="E25" s="59">
        <f t="shared" si="0"/>
        <v>1509650</v>
      </c>
    </row>
    <row r="26" spans="1:5" x14ac:dyDescent="0.3">
      <c r="B26" s="2">
        <v>3</v>
      </c>
      <c r="C26" s="35" t="s">
        <v>95</v>
      </c>
      <c r="D26" s="45">
        <f>+D66</f>
        <v>28570</v>
      </c>
      <c r="E26" s="59">
        <f t="shared" si="0"/>
        <v>94440</v>
      </c>
    </row>
    <row r="27" spans="1:5" x14ac:dyDescent="0.3">
      <c r="B27" s="2">
        <v>4</v>
      </c>
      <c r="C27" s="35" t="s">
        <v>96</v>
      </c>
      <c r="D27" s="45">
        <f>+D95</f>
        <v>204290</v>
      </c>
      <c r="E27" s="59">
        <f t="shared" si="0"/>
        <v>675340</v>
      </c>
    </row>
    <row r="28" spans="1:5" x14ac:dyDescent="0.3">
      <c r="B28" s="2">
        <v>5</v>
      </c>
      <c r="C28" s="35" t="s">
        <v>97</v>
      </c>
      <c r="D28" s="45">
        <f>+D119</f>
        <v>120110</v>
      </c>
      <c r="E28" s="59">
        <f t="shared" si="0"/>
        <v>397050</v>
      </c>
    </row>
    <row r="29" spans="1:5" x14ac:dyDescent="0.3">
      <c r="B29" s="2">
        <v>6</v>
      </c>
      <c r="C29" s="35" t="s">
        <v>98</v>
      </c>
      <c r="D29" s="45">
        <f>+D133</f>
        <v>34650</v>
      </c>
      <c r="E29" s="59">
        <f t="shared" si="0"/>
        <v>114540</v>
      </c>
    </row>
    <row r="30" spans="1:5" x14ac:dyDescent="0.3">
      <c r="B30" s="2">
        <v>7</v>
      </c>
      <c r="C30" s="35" t="s">
        <v>99</v>
      </c>
      <c r="D30" s="45">
        <f>+D146</f>
        <v>6460.1129618413079</v>
      </c>
      <c r="E30" s="59">
        <f t="shared" si="0"/>
        <v>21350</v>
      </c>
    </row>
    <row r="31" spans="1:5" x14ac:dyDescent="0.3">
      <c r="B31" s="2">
        <v>8</v>
      </c>
      <c r="C31" s="35" t="s">
        <v>100</v>
      </c>
      <c r="D31" s="45">
        <f>+D154</f>
        <v>12270</v>
      </c>
      <c r="E31" s="59">
        <f t="shared" si="0"/>
        <v>40560</v>
      </c>
    </row>
    <row r="32" spans="1:5" x14ac:dyDescent="0.3">
      <c r="B32" s="2">
        <v>9</v>
      </c>
      <c r="C32" s="35" t="s">
        <v>101</v>
      </c>
      <c r="D32" s="45">
        <f>+D161</f>
        <v>21650</v>
      </c>
      <c r="E32" s="59">
        <f t="shared" si="0"/>
        <v>71570</v>
      </c>
    </row>
    <row r="33" spans="1:7" x14ac:dyDescent="0.3">
      <c r="B33" s="2">
        <v>10</v>
      </c>
      <c r="C33" s="35" t="s">
        <v>153</v>
      </c>
      <c r="D33" s="53">
        <f>TRUNC(SUM(D24:D32)*0.275,-1)</f>
        <v>243820</v>
      </c>
      <c r="E33" s="60">
        <f t="shared" si="0"/>
        <v>806020</v>
      </c>
    </row>
    <row r="34" spans="1:7" x14ac:dyDescent="0.3">
      <c r="C34" s="35" t="s">
        <v>112</v>
      </c>
      <c r="D34" s="44">
        <f>SUM(D24:D33)</f>
        <v>1130439.779628508</v>
      </c>
      <c r="E34" s="44">
        <f>SUM(E24:E33)</f>
        <v>3736960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261</v>
      </c>
      <c r="G36" s="55"/>
    </row>
    <row r="37" spans="1:7" ht="17.25" thickBot="1" x14ac:dyDescent="0.35">
      <c r="C37" s="38" t="s">
        <v>143</v>
      </c>
      <c r="D37" s="52">
        <f>TRUNC(1950.34958610943,-1)</f>
        <v>1950</v>
      </c>
      <c r="E37" s="61">
        <f>TRUNC(+D37*3.3058,-1)</f>
        <v>6440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TRUNC(26011.2890167575,-1)</f>
        <v>26010</v>
      </c>
      <c r="E40" s="62">
        <f t="shared" ref="E40:E59" si="1">TRUNC(+D40*3.3058,-1)</f>
        <v>85980</v>
      </c>
    </row>
    <row r="41" spans="1:7" x14ac:dyDescent="0.3">
      <c r="A41" s="2">
        <v>2</v>
      </c>
      <c r="C41" s="38" t="s">
        <v>13</v>
      </c>
      <c r="D41" s="42">
        <v>83739.666666666672</v>
      </c>
      <c r="E41" s="63">
        <f t="shared" si="1"/>
        <v>276820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TRUNC(14230.8409045023,-1)</f>
        <v>14230</v>
      </c>
      <c r="E43" s="63">
        <f t="shared" si="1"/>
        <v>47040</v>
      </c>
    </row>
    <row r="44" spans="1:7" x14ac:dyDescent="0.3">
      <c r="A44" s="2">
        <v>5</v>
      </c>
      <c r="C44" s="38" t="s">
        <v>17</v>
      </c>
      <c r="D44" s="42">
        <f>TRUNC(9365.92509590147,-1)</f>
        <v>9360</v>
      </c>
      <c r="E44" s="63">
        <f t="shared" si="1"/>
        <v>30940</v>
      </c>
    </row>
    <row r="45" spans="1:7" x14ac:dyDescent="0.3">
      <c r="A45" s="2">
        <v>6</v>
      </c>
      <c r="C45" s="38" t="s">
        <v>18</v>
      </c>
      <c r="D45" s="42">
        <f>TRUNC(3906.69594185342,-1)</f>
        <v>3900</v>
      </c>
      <c r="E45" s="63">
        <f t="shared" si="1"/>
        <v>12890</v>
      </c>
    </row>
    <row r="46" spans="1:7" x14ac:dyDescent="0.3">
      <c r="A46" s="2">
        <v>7</v>
      </c>
      <c r="C46" s="38" t="s">
        <v>19</v>
      </c>
      <c r="D46" s="42">
        <f>TRUNC(36138.1496062992,-1)</f>
        <v>36130</v>
      </c>
      <c r="E46" s="63">
        <f t="shared" si="1"/>
        <v>119430</v>
      </c>
    </row>
    <row r="47" spans="1:7" x14ac:dyDescent="0.3">
      <c r="A47" s="2">
        <v>8</v>
      </c>
      <c r="C47" s="38" t="s">
        <v>20</v>
      </c>
      <c r="D47" s="42">
        <f>TRUNC(185.213002220876,-1)</f>
        <v>180</v>
      </c>
      <c r="E47" s="63">
        <f t="shared" si="1"/>
        <v>590</v>
      </c>
    </row>
    <row r="48" spans="1:7" x14ac:dyDescent="0.3">
      <c r="A48" s="2">
        <v>9</v>
      </c>
      <c r="C48" s="38" t="s">
        <v>21</v>
      </c>
      <c r="D48" s="42">
        <f>TRUNC(30377.1887744801,-1)</f>
        <v>30370</v>
      </c>
      <c r="E48" s="63">
        <f t="shared" si="1"/>
        <v>100390</v>
      </c>
    </row>
    <row r="49" spans="1:7" x14ac:dyDescent="0.3">
      <c r="A49" s="2">
        <v>10</v>
      </c>
      <c r="C49" s="38" t="s">
        <v>22</v>
      </c>
      <c r="D49" s="42">
        <f>TRUNC(17021.9478094084,-1)</f>
        <v>17020</v>
      </c>
      <c r="E49" s="63">
        <f t="shared" si="1"/>
        <v>56260</v>
      </c>
    </row>
    <row r="50" spans="1:7" x14ac:dyDescent="0.3">
      <c r="A50" s="2">
        <v>11</v>
      </c>
      <c r="C50" s="38" t="s">
        <v>154</v>
      </c>
      <c r="D50" s="42">
        <f>TRUNC(44679.7246113467,-1)</f>
        <v>44670</v>
      </c>
      <c r="E50" s="63">
        <f t="shared" si="1"/>
        <v>147670</v>
      </c>
    </row>
    <row r="51" spans="1:7" x14ac:dyDescent="0.3">
      <c r="A51" s="2">
        <v>12</v>
      </c>
      <c r="C51" s="38" t="s">
        <v>23</v>
      </c>
      <c r="D51" s="42">
        <f>TRUNC(11381.2036139713,-1)</f>
        <v>11380</v>
      </c>
      <c r="E51" s="63">
        <f t="shared" si="1"/>
        <v>37620</v>
      </c>
    </row>
    <row r="52" spans="1:7" x14ac:dyDescent="0.3">
      <c r="A52" s="2">
        <v>13</v>
      </c>
      <c r="C52" s="38" t="s">
        <v>24</v>
      </c>
      <c r="D52" s="42">
        <f>TRUNC(4604.68352513628,-1)</f>
        <v>4600</v>
      </c>
      <c r="E52" s="63">
        <f t="shared" si="1"/>
        <v>15200</v>
      </c>
    </row>
    <row r="53" spans="1:7" x14ac:dyDescent="0.3">
      <c r="A53" s="2">
        <v>14</v>
      </c>
      <c r="C53" s="38" t="s">
        <v>25</v>
      </c>
      <c r="D53" s="42">
        <f>TRUNC(27137.4001615183,-1)</f>
        <v>27130</v>
      </c>
      <c r="E53" s="63">
        <f t="shared" si="1"/>
        <v>89680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TRUNC(416.931556632344+1825.96406218453-381.926105390672+1902.98839087422+42473.353926913,-1)</f>
        <v>46230</v>
      </c>
      <c r="E58" s="63">
        <f t="shared" si="1"/>
        <v>152820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TRUNC(101729.355945891,-1)</f>
        <v>101720</v>
      </c>
      <c r="E59" s="64">
        <f t="shared" si="1"/>
        <v>336260</v>
      </c>
      <c r="F59" s="2" t="s">
        <v>252</v>
      </c>
    </row>
    <row r="60" spans="1:7" x14ac:dyDescent="0.3">
      <c r="A60" s="2">
        <v>21</v>
      </c>
      <c r="C60" s="27" t="s">
        <v>112</v>
      </c>
      <c r="D60" s="39">
        <f>SUM(D40:D59)</f>
        <v>456669.66666666669</v>
      </c>
      <c r="E60" s="39">
        <f>SUM(E40:E59)</f>
        <v>1509590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261</v>
      </c>
      <c r="G62" s="55"/>
    </row>
    <row r="63" spans="1:7" x14ac:dyDescent="0.3">
      <c r="A63" s="2">
        <v>1</v>
      </c>
      <c r="C63" s="38" t="s">
        <v>27</v>
      </c>
      <c r="D63" s="40">
        <f>TRUNC(5785.93478699778,-1)</f>
        <v>5780</v>
      </c>
      <c r="E63" s="62">
        <f>TRUNC(+D63*3.3058,-1)</f>
        <v>19100</v>
      </c>
    </row>
    <row r="64" spans="1:7" x14ac:dyDescent="0.3">
      <c r="A64" s="2">
        <v>2</v>
      </c>
      <c r="C64" s="38" t="s">
        <v>29</v>
      </c>
      <c r="D64" s="42">
        <f>TRUNC(22799.1462749849,-1)</f>
        <v>22790</v>
      </c>
      <c r="E64" s="63">
        <f>TRUNC(+D64*3.3058,-1)</f>
        <v>75330</v>
      </c>
      <c r="F64" s="2" t="s">
        <v>250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28570</v>
      </c>
      <c r="E66" s="65">
        <f>SUM(E63:E65)</f>
        <v>94430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261</v>
      </c>
      <c r="G68" s="55"/>
    </row>
    <row r="69" spans="1:7" x14ac:dyDescent="0.3">
      <c r="A69" s="2">
        <v>1</v>
      </c>
      <c r="C69" s="38" t="s">
        <v>30</v>
      </c>
      <c r="D69" s="40">
        <f>TRUNC(8464.05683424187,-1)</f>
        <v>8460</v>
      </c>
      <c r="E69" s="62">
        <f>TRUNC(+D69*3.3058,-1)</f>
        <v>27960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f>TRUNC(4556.08621037755,-1)</f>
        <v>4550</v>
      </c>
      <c r="E72" s="63">
        <f t="shared" si="2"/>
        <v>15040</v>
      </c>
      <c r="F72" s="2" t="s">
        <v>257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TRUNC(3592.3952150212,-1)</f>
        <v>3590</v>
      </c>
      <c r="E81" s="63">
        <f t="shared" si="3"/>
        <v>11860</v>
      </c>
    </row>
    <row r="82" spans="1:7" x14ac:dyDescent="0.3">
      <c r="A82" s="2">
        <v>14</v>
      </c>
      <c r="C82" s="38" t="s">
        <v>134</v>
      </c>
      <c r="D82" s="42">
        <f>TRUNC(4116.47910357359,-1)</f>
        <v>4110</v>
      </c>
      <c r="E82" s="63">
        <f t="shared" si="3"/>
        <v>13580</v>
      </c>
      <c r="F82" s="2" t="s">
        <v>256</v>
      </c>
    </row>
    <row r="83" spans="1:7" x14ac:dyDescent="0.3">
      <c r="A83" s="2">
        <v>15</v>
      </c>
      <c r="C83" s="38" t="s">
        <v>136</v>
      </c>
      <c r="D83" s="42">
        <f>TRUNC(33723.2964869776,-1)</f>
        <v>33720</v>
      </c>
      <c r="E83" s="63">
        <f t="shared" si="3"/>
        <v>111470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TRUNC(8856.22511609126,-1)</f>
        <v>8850</v>
      </c>
      <c r="E92" s="63">
        <f>TRUNC(+D92*3.3058,-1)</f>
        <v>29250</v>
      </c>
    </row>
    <row r="93" spans="1:7" x14ac:dyDescent="0.3">
      <c r="A93" s="2">
        <v>25</v>
      </c>
      <c r="C93" s="38" t="s">
        <v>148</v>
      </c>
      <c r="D93" s="42">
        <f>TRUNC(117375.95699576,-1)</f>
        <v>117370</v>
      </c>
      <c r="E93" s="63">
        <f>TRUNC(+D93*3.3058,-1)</f>
        <v>388000</v>
      </c>
      <c r="F93" s="2" t="s">
        <v>260</v>
      </c>
    </row>
    <row r="94" spans="1:7" ht="17.25" thickBot="1" x14ac:dyDescent="0.35">
      <c r="A94" s="2">
        <v>26</v>
      </c>
      <c r="C94" s="38" t="s">
        <v>47</v>
      </c>
      <c r="D94" s="43">
        <f>TRUNC(1122.17494447809+21932.5222087624+591.85493640218,-1)</f>
        <v>23640</v>
      </c>
      <c r="E94" s="64">
        <f>TRUNC(+D94*3.3058,-1)</f>
        <v>78140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204290</v>
      </c>
      <c r="E95" s="39">
        <f>SUM(E69:E94)</f>
        <v>675300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261</v>
      </c>
      <c r="G97" s="55"/>
    </row>
    <row r="98" spans="1:7" x14ac:dyDescent="0.3">
      <c r="A98" s="2">
        <v>1</v>
      </c>
      <c r="C98" s="38" t="s">
        <v>39</v>
      </c>
      <c r="D98" s="40">
        <f>TRUNC(10601.1567736725,-1)</f>
        <v>10600</v>
      </c>
      <c r="E98" s="62">
        <f t="shared" ref="E98:E118" si="4">TRUNC(+D98*3.3058,-1)</f>
        <v>35040</v>
      </c>
    </row>
    <row r="99" spans="1:7" x14ac:dyDescent="0.3">
      <c r="A99" s="2">
        <v>2</v>
      </c>
      <c r="C99" s="38" t="s">
        <v>40</v>
      </c>
      <c r="D99" s="42">
        <f>TRUNC(1016.23329295377+14402.887946699,-1)</f>
        <v>15410</v>
      </c>
      <c r="E99" s="63">
        <f t="shared" si="4"/>
        <v>50940</v>
      </c>
      <c r="F99" s="2" t="s">
        <v>258</v>
      </c>
    </row>
    <row r="100" spans="1:7" x14ac:dyDescent="0.3">
      <c r="A100" s="2">
        <v>3</v>
      </c>
      <c r="C100" s="38" t="s">
        <v>41</v>
      </c>
      <c r="D100" s="42">
        <f>TRUNC(17690.6256814052,-1)</f>
        <v>17690</v>
      </c>
      <c r="E100" s="63">
        <f t="shared" si="4"/>
        <v>58470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TRUNC(6072.84564910155,-1)</f>
        <v>6070</v>
      </c>
      <c r="E102" s="63">
        <f t="shared" si="4"/>
        <v>20060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TRUNC(885.556531395114,-1)</f>
        <v>880</v>
      </c>
      <c r="E104" s="63">
        <f t="shared" si="4"/>
        <v>2900</v>
      </c>
      <c r="F104" s="2" t="s">
        <v>259</v>
      </c>
    </row>
    <row r="105" spans="1:7" x14ac:dyDescent="0.3">
      <c r="A105" s="2">
        <v>8</v>
      </c>
      <c r="C105" s="38" t="s">
        <v>46</v>
      </c>
      <c r="D105" s="42">
        <f>TRUNC(7076.48536240662,-1)</f>
        <v>7070</v>
      </c>
      <c r="E105" s="63">
        <f t="shared" si="4"/>
        <v>23370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TRUNC(1405.73006258833,-1)</f>
        <v>1400</v>
      </c>
      <c r="E108" s="63">
        <f t="shared" si="4"/>
        <v>4620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TRUNC(3721.11578841106,-1)</f>
        <v>3720</v>
      </c>
      <c r="E115" s="63">
        <f t="shared" si="4"/>
        <v>12290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TRUNC(45361.195235211+11911.9725418938,-1)</f>
        <v>57270</v>
      </c>
      <c r="E117" s="63">
        <f t="shared" si="4"/>
        <v>189320</v>
      </c>
      <c r="F117" s="2" t="s">
        <v>260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120110</v>
      </c>
      <c r="E119" s="39">
        <f>SUM(E98:E118)</f>
        <v>397010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261</v>
      </c>
      <c r="G121" s="55"/>
    </row>
    <row r="122" spans="1:7" x14ac:dyDescent="0.3">
      <c r="A122" s="2">
        <v>1</v>
      </c>
      <c r="C122" s="38" t="s">
        <v>55</v>
      </c>
      <c r="D122" s="40">
        <f>TRUNC(1903.04300423985,-1)</f>
        <v>1900</v>
      </c>
      <c r="E122" s="62">
        <f t="shared" ref="E122:E132" si="5">TRUNC(+D122*3.3058,-1)</f>
        <v>6280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TRUNC(3912.67332929538,-1)</f>
        <v>3910</v>
      </c>
      <c r="E125" s="63">
        <f t="shared" si="5"/>
        <v>12920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TRUNC(2979.29002624672,-1)</f>
        <v>2970</v>
      </c>
      <c r="E128" s="63">
        <f t="shared" si="5"/>
        <v>9810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TRUNC(13027.9906117505,-1)</f>
        <v>13020</v>
      </c>
      <c r="E130" s="63">
        <f t="shared" si="5"/>
        <v>43040</v>
      </c>
    </row>
    <row r="131" spans="1:7" x14ac:dyDescent="0.3">
      <c r="A131" s="2">
        <v>10</v>
      </c>
      <c r="C131" s="38" t="s">
        <v>148</v>
      </c>
      <c r="D131" s="42">
        <f>TRUNC(12852.9174237836,-1)</f>
        <v>12850</v>
      </c>
      <c r="E131" s="63">
        <f t="shared" si="5"/>
        <v>42470</v>
      </c>
      <c r="F131" s="2" t="s">
        <v>260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34650</v>
      </c>
      <c r="E133" s="39">
        <f>SUM(E122:E132)</f>
        <v>114520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261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6460.1129618413079</v>
      </c>
      <c r="E144" s="63">
        <f t="shared" si="6"/>
        <v>21350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6460.1129618413079</v>
      </c>
      <c r="E146" s="39">
        <f>SUM(E136:E145)</f>
        <v>21350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261</v>
      </c>
      <c r="G148" s="55"/>
    </row>
    <row r="149" spans="1:7" x14ac:dyDescent="0.3">
      <c r="A149" s="2">
        <v>1</v>
      </c>
      <c r="C149" s="38" t="s">
        <v>48</v>
      </c>
      <c r="D149" s="40">
        <f>TRUNC(2477.36260852009+699.879265091864,-1)</f>
        <v>3170</v>
      </c>
      <c r="E149" s="62">
        <f>TRUNC(+D149*3.3058,-1)</f>
        <v>10470</v>
      </c>
    </row>
    <row r="150" spans="1:7" x14ac:dyDescent="0.3">
      <c r="A150" s="2">
        <v>2</v>
      </c>
      <c r="C150" s="38" t="s">
        <v>49</v>
      </c>
      <c r="D150" s="42">
        <f>TRUNC(3446.39975772259,-1)</f>
        <v>3440</v>
      </c>
      <c r="E150" s="63">
        <f>TRUNC(+D150*3.3058,-1)</f>
        <v>11370</v>
      </c>
    </row>
    <row r="151" spans="1:7" x14ac:dyDescent="0.3">
      <c r="A151" s="2">
        <v>3</v>
      </c>
      <c r="C151" s="38" t="s">
        <v>50</v>
      </c>
      <c r="D151" s="42">
        <f>TRUNC(3542.97567131032,-1)</f>
        <v>3540</v>
      </c>
      <c r="E151" s="63">
        <f>TRUNC(+D151*3.3058,-1)</f>
        <v>11700</v>
      </c>
    </row>
    <row r="152" spans="1:7" x14ac:dyDescent="0.3">
      <c r="A152" s="2">
        <v>4</v>
      </c>
      <c r="C152" s="38" t="s">
        <v>47</v>
      </c>
      <c r="D152" s="42">
        <f>TRUNC(1299.09267110842+826.771653543307,-1)</f>
        <v>2120</v>
      </c>
      <c r="E152" s="63">
        <f>TRUNC(+D152*3.3058,-1)</f>
        <v>7000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12270</v>
      </c>
      <c r="E154" s="39">
        <f>SUM(E149:E153)</f>
        <v>40540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261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TRUNC(21658.6132646881,-1)</f>
        <v>21650</v>
      </c>
      <c r="E159" s="63">
        <f>TRUNC(+D159*3.3058,-1)</f>
        <v>71570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21650</v>
      </c>
      <c r="E161" s="39">
        <f>SUM(E157:E160)</f>
        <v>71570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2020-12-07T09:12:50Z</dcterms:modified>
</cp:coreProperties>
</file>