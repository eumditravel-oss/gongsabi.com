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49" i="4"/>
  <c r="D144" i="4"/>
  <c r="D143" i="4"/>
  <c r="D142" i="4"/>
  <c r="D141" i="4"/>
  <c r="D140" i="4"/>
  <c r="D137" i="4"/>
  <c r="D132" i="4"/>
  <c r="D131" i="4"/>
  <c r="D130" i="4"/>
  <c r="D128" i="4"/>
  <c r="D126" i="4"/>
  <c r="D125" i="4"/>
  <c r="D124" i="4"/>
  <c r="D122" i="4"/>
  <c r="D117" i="4"/>
  <c r="D105" i="4"/>
  <c r="D104" i="4"/>
  <c r="D103" i="4"/>
  <c r="D102" i="4"/>
  <c r="D100" i="4"/>
  <c r="D99" i="4"/>
  <c r="D98" i="4"/>
  <c r="D94" i="4"/>
  <c r="D92" i="4"/>
  <c r="D91" i="4"/>
  <c r="D89" i="4"/>
  <c r="D73" i="4"/>
  <c r="D72" i="4"/>
  <c r="D71" i="4"/>
  <c r="D70" i="4"/>
  <c r="D69" i="4"/>
  <c r="D59" i="4"/>
  <c r="D58" i="4"/>
  <c r="D53" i="4"/>
  <c r="D52" i="4"/>
  <c r="D50" i="4"/>
  <c r="D49" i="4"/>
  <c r="D48" i="4"/>
  <c r="D46" i="4"/>
  <c r="D45" i="4"/>
  <c r="D44" i="4"/>
  <c r="D43" i="4"/>
  <c r="D42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<sst xmlns="http://schemas.openxmlformats.org/spreadsheetml/2006/main" count="392" uniqueCount="269">
  <si>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</si>
  <si>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</si>
  <si>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</si>
  <si>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</si>
  <si>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</si>
  <si>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</si>
  <si>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</si>
  <si>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</si>
  <si>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</si>
  <si>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</si>
  <si>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</si>
  <si>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</si>
  <si>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</si>
  <si>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</si>
  <si>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</si>
  <si>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</si>
  <si>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</si>
  <si>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</si>
  <si>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</si>
  <si>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</si>
  <si>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</si>
  <si>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</si>
  <si>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</si>
  <si>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</si>
  <si>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</si>
  <si>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</si>
  <si>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</si>
  <si>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</si>
  <si>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</si>
  <si>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</si>
  <si>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</si>
  <si>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</si>
  <si>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</si>
  <si>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</si>
  <si>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</si>
  <si>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</si>
  <si>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</si>
  <si>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</si>
  <si>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</si>
  <si>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</si>
  <si>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</si>
  <si>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</si>
  <si>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</si>
  <si>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</si>
  <si>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</si>
  <si>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</si>
  <si>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</si>
  <si>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</si>
  <si>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</si>
  <si>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</si>
  <si>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</si>
  <si>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</si>
  <si>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</si>
  <si>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</si>
  <si>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</si>
  <si>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</si>
  <si>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</si>
  <si>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</si>
  <si>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</si>
  <si>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</si>
  <si>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</si>
  <si>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</si>
  <si>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</si>
  <si>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</si>
  <si>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</si>
  <si>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</si>
  <si>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</si>
  <si>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</si>
  <si>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</si>
  <si>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</si>
  <si>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</si>
  <si>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</si>
  <si>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</si>
  <si>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</si>
  <si>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</si>
  <si>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</si>
  <si>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</si>
  <si>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</si>
  <si>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</si>
  <si>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</si>
  <si>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</si>
  <si>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</si>
  <si>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</si>
  <si>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</si>
  <si>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</si>
  <si>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</si>
  <si>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</si>
  <si>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</si>
  <si>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</si>
  <si>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</si>
  <si>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</si>
  <si>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</si>
  <si>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</si>
  <si>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</si>
  <si>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</si>
  <si>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</si>
  <si>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</si>
  <si>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</si>
  <si>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</si>
  <si>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</si>
  <si>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</si>
  <si>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</si>
  <si>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</si>
  <si>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</si>
  <si>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</si>
  <si>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</si>
  <si>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</si>
  <si>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</si>
  <si>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</si>
  <si>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</si>
  <si>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</si>
  <si>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</si>
  <si>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</si>
  <si>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</si>
  <si>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</si>
  <si>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</si>
  <si>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</si>
  <si>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</si>
  <si>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</si>
  <si>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</si>
  <si>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</si>
  <si>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</si>
  <si>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</si>
  <si>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</si>
  <si>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</si>
  <si>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</si>
  <si>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</si>
  <si>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</si>
  <si>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</si>
  <si>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</si>
  <si>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</si>
  <si>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</si>
  <si>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</si>
  <si>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</si>
  <si>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</si>
  <si>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</si>
  <si>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</si>
  <si>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</si>
  <si>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</si>
  <si>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</si>
  <si>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</si>
  <si>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</si>
  <si>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</si>
  <si>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</si>
  <si>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</si>
  <si>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</si>
  <si>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</si>
  <si>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</si>
  <si>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</si>
  <si>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</si>
  <si>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</si>
  <si>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</si>
  <si>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</si>
  <si>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</si>
  <si>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</si>
  <si>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</si>
  <si>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</si>
  <si>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</si>
  <si>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</si>
  <si>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</si>
  <si>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</si>
  <si>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</si>
  <si>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</si>
  <si>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</si>
  <si>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</si>
  <si>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</si>
  <si>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</si>
  <si>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</si>
  <si>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</si>
  <si>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</si>
  <si>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</si>
  <si>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</si>
  <si>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</si>
  <si>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</si>
  <si>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</si>
  <si>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</si>
  <si>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</si>
  <si>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</si>
  <si>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</si>
  <si>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</si>
  <si>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</si>
  <si>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</si>
  <si>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</si>
  <si>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</si>
  <si>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</si>
  <si>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</si>
  <si>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</si>
  <si>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</si>
  <si>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</si>
  <si>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</si>
  <si>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</si>
  <si>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</si>
  <si>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</si>
  <si>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</si>
  <si>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</si>
  <si>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</si>
  <si>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</si>
  <si>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</si>
  <si>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</si>
  <si>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</si>
  <si>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</si>
  <si>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</si>
  <si>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</si>
  <si>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</si>
  <si>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</si>
  <si>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</si>
  <si>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</si>
  <si>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</si>
  <si>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</si>
  <si>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</si>
  <si>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</si>
  <si>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</si>
  <si>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</si>
  <si>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</si>
  <si>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</si>
  <si>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</si>
  <si>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</si>
  <si>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</si>
  <si>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</si>
  <si>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</si>
  <si>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</si>
  <si>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</si>
  <si>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</si>
  <si>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</si>
  <si>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</si>
  <si>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</si>
  <si>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</si>
  <si>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</si>
  <si>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</si>
  <si>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</si>
  <si>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</si>
  <si>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</si>
  <si>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</si>
  <si>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</si>
  <si>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</si>
  <si>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</si>
  <si>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</si>
  <si>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</si>
  <si>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</si>
  <si>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</si>
  <si>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</si>
  <si>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</si>
  <si>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</si>
  <si>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</si>
  <si>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</si>
  <si>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</si>
  <si>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</si>
  <si>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</si>
  <si>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</si>
  <si>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(가칭)비슬고등학교 신축공사(장기계속)</t>
    <phoneticPr fontId="2" type="noConversion"/>
  </si>
  <si>
    <t>대구시</t>
  </si>
  <si>
    <t>지붕및홈통공사 포함</t>
    <phoneticPr fontId="2" type="noConversion"/>
  </si>
  <si>
    <t>기초공사, 골재비및운반비, 기타공사</t>
    <phoneticPr fontId="2" type="noConversion"/>
  </si>
  <si>
    <t>공조배관공사,바닥난방공사,기타공사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</si>
  <si>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</si>
  <si>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</si>
  <si>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</si>
  <si>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</si>
  <si>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옥외소화배관공사, 펌프실배관공사</t>
    <phoneticPr fontId="2" type="noConversion"/>
  </si>
  <si>
    <t>운반비, 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</si>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</sst>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15708.43</v>
      </c>
      <c r="D7" s="36">
        <f>+C7/3.3058</f>
        <v>4751.7786919958862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909800</v>
      </c>
      <c r="E25" s="59">
        <f t="shared" si="0"/>
        <v>3007610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76170</v>
      </c>
      <c r="E27" s="59">
        <f t="shared" si="0"/>
        <v>251800</v>
      </c>
    </row>
    <row r="28" spans="1:5" x14ac:dyDescent="0.3">
      <c r="B28" s="2">
        <v>5</v>
      </c>
      <c r="C28" s="35" t="s">
        <v>97</v>
      </c>
      <c r="D28" s="45">
        <f>+D119</f>
        <v>139700</v>
      </c>
      <c r="E28" s="59">
        <f t="shared" si="0"/>
        <v>461820</v>
      </c>
    </row>
    <row r="29" spans="1:5" x14ac:dyDescent="0.3">
      <c r="B29" s="2">
        <v>6</v>
      </c>
      <c r="C29" s="35" t="s">
        <v>98</v>
      </c>
      <c r="D29" s="45">
        <f>+D133</f>
        <v>41650</v>
      </c>
      <c r="E29" s="59">
        <f t="shared" si="0"/>
        <v>137680</v>
      </c>
    </row>
    <row r="30" spans="1:5" x14ac:dyDescent="0.3">
      <c r="B30" s="2">
        <v>7</v>
      </c>
      <c r="C30" s="35" t="s">
        <v>99</v>
      </c>
      <c r="D30" s="45">
        <f>+D146</f>
        <v>33820</v>
      </c>
      <c r="E30" s="59">
        <f t="shared" si="0"/>
        <v>111800</v>
      </c>
    </row>
    <row r="31" spans="1:5" x14ac:dyDescent="0.3">
      <c r="B31" s="2">
        <v>8</v>
      </c>
      <c r="C31" s="35" t="s">
        <v>100</v>
      </c>
      <c r="D31" s="45">
        <f>+D154</f>
        <v>30670</v>
      </c>
      <c r="E31" s="59">
        <f t="shared" si="0"/>
        <v>101380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338740</v>
      </c>
      <c r="E33" s="60">
        <f t="shared" si="0"/>
        <v>1119800</v>
      </c>
    </row>
    <row r="34" spans="1:7" x14ac:dyDescent="0.3">
      <c r="C34" s="35" t="s">
        <v>112</v>
      </c>
      <c r="D34" s="44">
        <f>SUM(D24:D33)</f>
        <v>1570550</v>
      </c>
      <c r="E34" s="44">
        <f>SUM(E24:E33)</f>
        <v>5191890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260</v>
      </c>
      <c r="C39" s="56" t="s">
        <v>261</v>
      </c>
      <c r="D39" s="57" t="s">
        <v>262</v>
      </c>
      <c r="E39" s="57" t="s">
        <v>263</v>
      </c>
      <c r="G39" s="55"/>
    </row>
    <row r="40" spans="1:7" x14ac:dyDescent="0.3">
      <c r="A40" s="2">
        <v>1</v>
      </c>
      <c r="C40" s="38" t="s">
        <v>15</v>
      </c>
      <c r="D40" s="40">
        <f>TRUNC(48398,-1)</f>
        <v>48390</v>
      </c>
      <c r="E40" s="62">
        <f t="shared" ref="E40:E59" si="1">TRUNC(+D40*3.3058,-1)</f>
        <v>159960</v>
      </c>
    </row>
    <row r="41" spans="1:7" x14ac:dyDescent="0.3">
      <c r="A41" s="2">
        <v>2</v>
      </c>
      <c r="C41" s="38" t="s">
        <v>13</v>
      </c>
      <c r="D41" s="42">
        <v>161580</v>
      </c>
      <c r="E41" s="63">
        <f t="shared" si="1"/>
        <v>534150</v>
      </c>
    </row>
    <row r="42" spans="1:7" x14ac:dyDescent="0.3">
      <c r="A42" s="2">
        <v>3</v>
      </c>
      <c r="C42" s="38" t="s">
        <v>14</v>
      </c>
      <c r="D42" s="42">
        <f>TRUNC(7573,-1)</f>
        <v>7570</v>
      </c>
      <c r="E42" s="63">
        <f t="shared" si="1"/>
        <v>25020</v>
      </c>
    </row>
    <row r="43" spans="1:7" x14ac:dyDescent="0.3">
      <c r="A43" s="2">
        <v>4</v>
      </c>
      <c r="C43" s="38" t="s">
        <v>16</v>
      </c>
      <c r="D43" s="42">
        <f>TRUNC(20461,-1)</f>
        <v>20460</v>
      </c>
      <c r="E43" s="63">
        <f t="shared" si="1"/>
        <v>67630</v>
      </c>
    </row>
    <row r="44" spans="1:7" x14ac:dyDescent="0.3">
      <c r="A44" s="2">
        <v>5</v>
      </c>
      <c r="C44" s="38" t="s">
        <v>17</v>
      </c>
      <c r="D44" s="42">
        <f>TRUNC(21457,-1)</f>
        <v>21450</v>
      </c>
      <c r="E44" s="63">
        <f t="shared" si="1"/>
        <v>70900</v>
      </c>
    </row>
    <row r="45" spans="1:7" x14ac:dyDescent="0.3">
      <c r="A45" s="2">
        <v>6</v>
      </c>
      <c r="C45" s="38" t="s">
        <v>18</v>
      </c>
      <c r="D45" s="42">
        <f>TRUNC(13262,-1)</f>
        <v>13260</v>
      </c>
      <c r="E45" s="63">
        <f t="shared" si="1"/>
        <v>43830</v>
      </c>
    </row>
    <row r="46" spans="1:7" x14ac:dyDescent="0.3">
      <c r="A46" s="2">
        <v>7</v>
      </c>
      <c r="C46" s="38" t="s">
        <v>19</v>
      </c>
      <c r="D46" s="42">
        <f>TRUNC(36131,-1)</f>
        <v>36130</v>
      </c>
      <c r="E46" s="63">
        <f t="shared" si="1"/>
        <v>119430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TRUNC(131347,-1)</f>
        <v>131340</v>
      </c>
      <c r="E48" s="63">
        <f t="shared" si="1"/>
        <v>434180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TRUNC(16379,-1)</f>
        <v>16370</v>
      </c>
      <c r="E49" s="63">
        <f t="shared" si="1"/>
        <v>54110</v>
      </c>
    </row>
    <row r="50" spans="1:7" x14ac:dyDescent="0.3">
      <c r="A50" s="2">
        <v>11</v>
      </c>
      <c r="C50" s="38" t="s">
        <v>155</v>
      </c>
      <c r="D50" s="42">
        <f>TRUNC(40709,-1)</f>
        <v>40700</v>
      </c>
      <c r="E50" s="63">
        <f t="shared" si="1"/>
        <v>134540</v>
      </c>
      <c r="F50" s="2" t="s">
        <v>264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TRUNC(10929,-1)</f>
        <v>10920</v>
      </c>
      <c r="E52" s="63">
        <f t="shared" si="1"/>
        <v>36090</v>
      </c>
    </row>
    <row r="53" spans="1:7" x14ac:dyDescent="0.3">
      <c r="A53" s="2">
        <v>14</v>
      </c>
      <c r="C53" s="38" t="s">
        <v>25</v>
      </c>
      <c r="D53" s="42">
        <f>TRUNC(59628,-1)</f>
        <v>59620</v>
      </c>
      <c r="E53" s="63">
        <f t="shared" si="1"/>
        <v>197090</v>
      </c>
      <c r="F53" s="2" t="s">
        <v>265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TRUNC(20821+4202+14109,-1)</f>
        <v>39130</v>
      </c>
      <c r="E58" s="63">
        <f t="shared" si="1"/>
        <v>129350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TRUNC(302883,-1)</f>
        <v>302880</v>
      </c>
      <c r="E59" s="64">
        <f t="shared" si="1"/>
        <v>1001260</v>
      </c>
    </row>
    <row r="60" spans="1:7" x14ac:dyDescent="0.3">
      <c r="A60" s="2">
        <v>21</v>
      </c>
      <c r="C60" s="27" t="s">
        <v>112</v>
      </c>
      <c r="D60" s="39">
        <f>SUM(D40:D59)</f>
        <v>909800</v>
      </c>
      <c r="E60" s="39">
        <f>SUM(E40:E59)</f>
        <v>3007540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TRUNC(5644,-1)</f>
        <v>5640</v>
      </c>
      <c r="E69" s="62">
        <f t="shared" ref="E69:E94" si="2">TRUNC(+D69*3.3058,-1)</f>
        <v>18640</v>
      </c>
    </row>
    <row r="70" spans="1:7" ht="16.5" customHeight="1" x14ac:dyDescent="0.3">
      <c r="A70" s="2">
        <v>2</v>
      </c>
      <c r="C70" s="38" t="s">
        <v>31</v>
      </c>
      <c r="D70" s="42">
        <f>TRUNC(1148,-1)</f>
        <v>1140</v>
      </c>
      <c r="E70" s="63">
        <f t="shared" si="2"/>
        <v>3760</v>
      </c>
    </row>
    <row r="71" spans="1:7" x14ac:dyDescent="0.3">
      <c r="A71" s="2">
        <v>3</v>
      </c>
      <c r="C71" s="38" t="s">
        <v>32</v>
      </c>
      <c r="D71" s="42">
        <f>TRUNC(3746,-1)</f>
        <v>3740</v>
      </c>
      <c r="E71" s="63">
        <f t="shared" si="2"/>
        <v>12360</v>
      </c>
    </row>
    <row r="72" spans="1:7" x14ac:dyDescent="0.3">
      <c r="A72" s="2">
        <v>4</v>
      </c>
      <c r="C72" s="38" t="s">
        <v>33</v>
      </c>
      <c r="D72" s="42">
        <f>TRUNC(2026,-1)</f>
        <v>2020</v>
      </c>
      <c r="E72" s="63">
        <f t="shared" si="2"/>
        <v>6670</v>
      </c>
    </row>
    <row r="73" spans="1:7" x14ac:dyDescent="0.3">
      <c r="A73" s="2">
        <v>5</v>
      </c>
      <c r="C73" s="38" t="s">
        <v>34</v>
      </c>
      <c r="D73" s="42">
        <f>TRUNC(14575,-1)</f>
        <v>14570</v>
      </c>
      <c r="E73" s="63">
        <f t="shared" si="2"/>
        <v>48160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25520</v>
      </c>
      <c r="E76" s="63">
        <f t="shared" si="2"/>
        <v>84360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TRUNC(4655,-1)</f>
        <v>4650</v>
      </c>
      <c r="E89" s="63">
        <f t="shared" si="2"/>
        <v>15370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TRUNC(2596,-1)</f>
        <v>2590</v>
      </c>
      <c r="E91" s="63">
        <f t="shared" si="2"/>
        <v>8560</v>
      </c>
    </row>
    <row r="92" spans="1:7" x14ac:dyDescent="0.3">
      <c r="A92" s="2">
        <v>24</v>
      </c>
      <c r="C92" s="38" t="s">
        <v>38</v>
      </c>
      <c r="D92" s="42">
        <f>TRUNC(10916,-1)</f>
        <v>10910</v>
      </c>
      <c r="E92" s="63">
        <f t="shared" si="2"/>
        <v>36060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TRUNC(532+19+4843,-1)</f>
        <v>5390</v>
      </c>
      <c r="E94" s="64">
        <f t="shared" si="2"/>
        <v>17810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76170</v>
      </c>
      <c r="E95" s="39">
        <f>SUM(E69:E94)</f>
        <v>251750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TRUNC(8484,-1)</f>
        <v>8480</v>
      </c>
      <c r="E98" s="62">
        <f t="shared" ref="E98:E118" si="3">TRUNC(+D98*3.3058,-1)</f>
        <v>28030</v>
      </c>
    </row>
    <row r="99" spans="1:7" x14ac:dyDescent="0.3">
      <c r="A99" s="2">
        <v>2</v>
      </c>
      <c r="C99" s="38" t="s">
        <v>40</v>
      </c>
      <c r="D99" s="42">
        <f>TRUNC(1498,-1)</f>
        <v>1490</v>
      </c>
      <c r="E99" s="63">
        <f t="shared" si="3"/>
        <v>4920</v>
      </c>
    </row>
    <row r="100" spans="1:7" x14ac:dyDescent="0.3">
      <c r="A100" s="2">
        <v>3</v>
      </c>
      <c r="C100" s="38" t="s">
        <v>41</v>
      </c>
      <c r="D100" s="42">
        <f>TRUNC(22225,-1)</f>
        <v>22220</v>
      </c>
      <c r="E100" s="63">
        <f t="shared" si="3"/>
        <v>73450</v>
      </c>
    </row>
    <row r="101" spans="1:7" x14ac:dyDescent="0.3">
      <c r="A101" s="2">
        <v>4</v>
      </c>
      <c r="C101" s="38" t="s">
        <v>42</v>
      </c>
      <c r="D101" s="42">
        <v>1920</v>
      </c>
      <c r="E101" s="63">
        <f t="shared" si="3"/>
        <v>6340</v>
      </c>
    </row>
    <row r="102" spans="1:7" x14ac:dyDescent="0.3">
      <c r="A102" s="2">
        <v>5</v>
      </c>
      <c r="C102" s="38" t="s">
        <v>43</v>
      </c>
      <c r="D102" s="42">
        <f>TRUNC(15442,-1)</f>
        <v>15440</v>
      </c>
      <c r="E102" s="63">
        <f t="shared" si="3"/>
        <v>51040</v>
      </c>
    </row>
    <row r="103" spans="1:7" x14ac:dyDescent="0.3">
      <c r="A103" s="2">
        <v>6</v>
      </c>
      <c r="C103" s="38" t="s">
        <v>44</v>
      </c>
      <c r="D103" s="42">
        <f>TRUNC(3531,-1)</f>
        <v>3530</v>
      </c>
      <c r="E103" s="63">
        <f t="shared" si="3"/>
        <v>11660</v>
      </c>
    </row>
    <row r="104" spans="1:7" x14ac:dyDescent="0.3">
      <c r="A104" s="2">
        <v>7</v>
      </c>
      <c r="C104" s="38" t="s">
        <v>45</v>
      </c>
      <c r="D104" s="42">
        <f>TRUNC(1896,-1)</f>
        <v>1890</v>
      </c>
      <c r="E104" s="63">
        <f t="shared" si="3"/>
        <v>6240</v>
      </c>
    </row>
    <row r="105" spans="1:7" x14ac:dyDescent="0.3">
      <c r="A105" s="2">
        <v>8</v>
      </c>
      <c r="C105" s="38" t="s">
        <v>46</v>
      </c>
      <c r="D105" s="42">
        <f>TRUNC(2425,-1)</f>
        <v>2420</v>
      </c>
      <c r="E105" s="63">
        <f t="shared" si="3"/>
        <v>8000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5070</v>
      </c>
      <c r="E116" s="63">
        <f t="shared" si="3"/>
        <v>16760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TRUNC(70384,-1)</f>
        <v>70380</v>
      </c>
      <c r="E117" s="63">
        <f t="shared" si="3"/>
        <v>232660</v>
      </c>
    </row>
    <row r="118" spans="1:7" ht="17.25" thickBot="1" x14ac:dyDescent="0.35">
      <c r="A118" s="2">
        <v>21</v>
      </c>
      <c r="C118" s="38" t="s">
        <v>47</v>
      </c>
      <c r="D118" s="43">
        <v>6860</v>
      </c>
      <c r="E118" s="64">
        <f t="shared" si="3"/>
        <v>22670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139700</v>
      </c>
      <c r="E119" s="39">
        <f>SUM(E98:E118)</f>
        <v>461770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TRUNC(2316,-1)</f>
        <v>2310</v>
      </c>
      <c r="E122" s="62">
        <f t="shared" ref="E122:E132" si="4">TRUNC(+D122*3.3058,-1)</f>
        <v>7630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TRUNC(816,-1)</f>
        <v>810</v>
      </c>
      <c r="E124" s="63">
        <f t="shared" si="4"/>
        <v>2670</v>
      </c>
    </row>
    <row r="125" spans="1:7" x14ac:dyDescent="0.3">
      <c r="A125" s="2">
        <v>4</v>
      </c>
      <c r="C125" s="38" t="s">
        <v>138</v>
      </c>
      <c r="D125" s="42">
        <f>TRUNC(6491,-1)</f>
        <v>6490</v>
      </c>
      <c r="E125" s="63">
        <f t="shared" si="4"/>
        <v>21450</v>
      </c>
    </row>
    <row r="126" spans="1:7" x14ac:dyDescent="0.3">
      <c r="A126" s="2">
        <v>5</v>
      </c>
      <c r="C126" s="38" t="s">
        <v>53</v>
      </c>
      <c r="D126" s="42">
        <f>TRUNC(1384,-1)</f>
        <v>1380</v>
      </c>
      <c r="E126" s="63">
        <f t="shared" si="4"/>
        <v>4560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TRUNC(3672,-1)</f>
        <v>3670</v>
      </c>
      <c r="E128" s="63">
        <f t="shared" si="4"/>
        <v>12130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TRUNC(7573,-1)</f>
        <v>7570</v>
      </c>
      <c r="E130" s="63">
        <f t="shared" si="4"/>
        <v>25020</v>
      </c>
    </row>
    <row r="131" spans="1:7" x14ac:dyDescent="0.3">
      <c r="A131" s="2">
        <v>10</v>
      </c>
      <c r="C131" s="38" t="s">
        <v>148</v>
      </c>
      <c r="D131" s="42">
        <f>TRUNC(16926,-1)</f>
        <v>16920</v>
      </c>
      <c r="E131" s="63">
        <f t="shared" si="4"/>
        <v>55930</v>
      </c>
    </row>
    <row r="132" spans="1:7" ht="18" thickBot="1" x14ac:dyDescent="0.35">
      <c r="A132" s="2">
        <v>11</v>
      </c>
      <c r="C132" s="38" t="s">
        <v>47</v>
      </c>
      <c r="D132" s="43">
        <f>TRUNC(370+2135,-1)</f>
        <v>2500</v>
      </c>
      <c r="E132" s="64">
        <f t="shared" si="4"/>
        <v>8260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41650</v>
      </c>
      <c r="E133" s="39">
        <f>SUM(E122:E132)</f>
        <v>137650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TRUNC(61+2138+8603,-1)</f>
        <v>10800</v>
      </c>
      <c r="E137" s="63">
        <f t="shared" si="5"/>
        <v>35700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TRUNC(873,-1)</f>
        <v>870</v>
      </c>
      <c r="E140" s="63">
        <f t="shared" si="5"/>
        <v>2870</v>
      </c>
    </row>
    <row r="141" spans="1:7" x14ac:dyDescent="0.3">
      <c r="A141" s="2">
        <v>6</v>
      </c>
      <c r="C141" s="38" t="s">
        <v>59</v>
      </c>
      <c r="D141" s="42">
        <f>TRUNC(8689,-1)</f>
        <v>8680</v>
      </c>
      <c r="E141" s="63">
        <f t="shared" si="5"/>
        <v>28690</v>
      </c>
    </row>
    <row r="142" spans="1:7" x14ac:dyDescent="0.3">
      <c r="A142" s="2">
        <v>7</v>
      </c>
      <c r="C142" s="38" t="s">
        <v>58</v>
      </c>
      <c r="D142" s="42">
        <f>TRUNC(6524,-1)</f>
        <v>6520</v>
      </c>
      <c r="E142" s="63">
        <f t="shared" si="5"/>
        <v>21550</v>
      </c>
    </row>
    <row r="143" spans="1:7" x14ac:dyDescent="0.3">
      <c r="A143" s="2">
        <v>8</v>
      </c>
      <c r="C143" s="38" t="s">
        <v>62</v>
      </c>
      <c r="D143" s="42">
        <f>TRUNC(2976,-1)</f>
        <v>2970</v>
      </c>
      <c r="E143" s="63">
        <f t="shared" si="5"/>
        <v>9810</v>
      </c>
    </row>
    <row r="144" spans="1:7" x14ac:dyDescent="0.3">
      <c r="A144" s="2">
        <v>9</v>
      </c>
      <c r="C144" s="38" t="s">
        <v>63</v>
      </c>
      <c r="D144" s="42">
        <f>TRUNC(3986,-1)</f>
        <v>3980</v>
      </c>
      <c r="E144" s="63">
        <f t="shared" si="5"/>
        <v>13150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33820</v>
      </c>
      <c r="E146" s="39">
        <f>SUM(E136:E145)</f>
        <v>111770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TRUNC(6764+778,-1)</f>
        <v>7540</v>
      </c>
      <c r="E149" s="62">
        <f>TRUNC(+D149*3.3058,-1)</f>
        <v>24920</v>
      </c>
    </row>
    <row r="150" spans="1:7" x14ac:dyDescent="0.3">
      <c r="A150" s="2">
        <v>2</v>
      </c>
      <c r="C150" s="38" t="s">
        <v>49</v>
      </c>
      <c r="D150" s="42">
        <v>7110</v>
      </c>
      <c r="E150" s="63">
        <f>TRUNC(+D150*3.3058,-1)</f>
        <v>23500</v>
      </c>
    </row>
    <row r="151" spans="1:7" x14ac:dyDescent="0.3">
      <c r="A151" s="2">
        <v>3</v>
      </c>
      <c r="C151" s="38" t="s">
        <v>50</v>
      </c>
      <c r="D151" s="42">
        <v>15580</v>
      </c>
      <c r="E151" s="63">
        <f>TRUNC(+D151*3.3058,-1)</f>
        <v>51500</v>
      </c>
    </row>
    <row r="152" spans="1:7" x14ac:dyDescent="0.3">
      <c r="A152" s="2">
        <v>4</v>
      </c>
      <c r="C152" s="38" t="s">
        <v>47</v>
      </c>
      <c r="D152" s="42">
        <f>TRUNC(197+250,-1)</f>
        <v>440</v>
      </c>
      <c r="E152" s="63">
        <f>TRUNC(+D152*3.3058,-1)</f>
        <v>1450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30670</v>
      </c>
      <c r="E154" s="39">
        <f>SUM(E149:E153)</f>
        <v>101370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2020-12-07T09:59:27Z</dcterms:modified>
</cp:coreProperties>
</file>