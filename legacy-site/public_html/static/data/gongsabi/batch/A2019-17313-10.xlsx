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4" i="4"/>
  <c r="D143" i="4"/>
  <c r="D142" i="4"/>
  <c r="D140" i="4"/>
  <c r="D139" i="4"/>
  <c r="D137" i="4"/>
  <c r="D131" i="4"/>
  <c r="D130" i="4"/>
  <c r="D128" i="4"/>
  <c r="D126" i="4"/>
  <c r="D117" i="4"/>
  <c r="D114" i="4"/>
  <c r="D105" i="4"/>
  <c r="D104" i="4"/>
  <c r="D102" i="4"/>
  <c r="D101" i="4"/>
  <c r="D100" i="4"/>
  <c r="D99" i="4"/>
  <c r="D98" i="4"/>
  <c r="D94" i="4"/>
  <c r="D93" i="4"/>
  <c r="D92" i="4"/>
  <c r="D91" i="4"/>
  <c r="D89" i="4"/>
  <c r="D73" i="4"/>
  <c r="D59" i="4"/>
  <c r="D41" i="4"/>
  <c r="D70" i="4"/>
  <c r="D69" i="4"/>
  <c r="D63" i="4"/>
  <c r="D58" i="4"/>
  <c r="D53" i="4"/>
  <c r="D52" i="4"/>
  <c r="D50" i="4"/>
  <c r="D49" i="4"/>
  <c r="D48" i="4"/>
  <c r="D46" i="4"/>
  <c r="D43" i="4"/>
  <c r="D42" i="4"/>
  <c r="D40" i="4"/>
  <c r="D149" i="4" l="1"/>
  <c r="D13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<sst xmlns="http://schemas.openxmlformats.org/spreadsheetml/2006/main" count="392" uniqueCount="266">
  <si>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</si>
  <si>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</si>
  <si>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</si>
  <si>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</si>
  <si>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</si>
  <si>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</si>
  <si>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</si>
  <si>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</si>
  <si>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</si>
  <si>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</si>
  <si>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</si>
  <si>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</si>
  <si>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</si>
  <si>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</si>
  <si>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</si>
  <si>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</si>
  <si>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</si>
  <si>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</si>
  <si>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</si>
  <si>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</si>
  <si>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</si>
  <si>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</si>
  <si>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</si>
  <si>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</si>
  <si>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</si>
  <si>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</si>
  <si>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</si>
  <si>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</si>
  <si>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</si>
  <si>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</si>
  <si>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</si>
  <si>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</si>
  <si>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</si>
  <si>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</si>
  <si>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</si>
  <si>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</si>
  <si>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</si>
  <si>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</si>
  <si>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</si>
  <si>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</si>
  <si>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</si>
  <si>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</si>
  <si>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</si>
  <si>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</si>
  <si>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</si>
  <si>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</si>
  <si>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</si>
  <si>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</si>
  <si>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</si>
  <si>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</si>
  <si>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</si>
  <si>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</si>
  <si>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</si>
  <si>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</si>
  <si>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</si>
  <si>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</si>
  <si>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</si>
  <si>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</si>
  <si>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</si>
  <si>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</si>
  <si>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</si>
  <si>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</si>
  <si>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</si>
  <si>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</si>
  <si>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</si>
  <si>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</si>
  <si>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</si>
  <si>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</si>
  <si>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</si>
  <si>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</si>
  <si>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</si>
  <si>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</si>
  <si>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</si>
  <si>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</si>
  <si>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</si>
  <si>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</si>
  <si>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</si>
  <si>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</si>
  <si>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</si>
  <si>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</si>
  <si>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</si>
  <si>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</si>
  <si>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</si>
  <si>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</si>
  <si>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</si>
  <si>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</si>
  <si>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</si>
  <si>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</si>
  <si>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</si>
  <si>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</si>
  <si>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</si>
  <si>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</si>
  <si>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</si>
  <si>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</si>
  <si>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</si>
  <si>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</si>
  <si>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</si>
  <si>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</si>
  <si>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</si>
  <si>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</si>
  <si>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</si>
  <si>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</si>
  <si>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</si>
  <si>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</si>
  <si>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</si>
  <si>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</si>
  <si>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</si>
  <si>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</si>
  <si>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</si>
  <si>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</si>
  <si>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</si>
  <si>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</si>
  <si>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</si>
  <si>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</si>
  <si>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</si>
  <si>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</si>
  <si>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</si>
  <si>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</si>
  <si>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</si>
  <si>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</si>
  <si>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</si>
  <si>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</si>
  <si>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</si>
  <si>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</si>
  <si>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</si>
  <si>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</si>
  <si>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</si>
  <si>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</si>
  <si>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</si>
  <si>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</si>
  <si>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</si>
  <si>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</si>
  <si>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</si>
  <si>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</si>
  <si>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</si>
  <si>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</si>
  <si>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</si>
  <si>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</si>
  <si>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</si>
  <si>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</si>
  <si>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</si>
  <si>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</si>
  <si>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</si>
  <si>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</si>
  <si>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</si>
  <si>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</si>
  <si>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</si>
  <si>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</si>
  <si>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</si>
  <si>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</si>
  <si>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</si>
  <si>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</si>
  <si>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</si>
  <si>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</si>
  <si>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</si>
  <si>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</si>
  <si>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</si>
  <si>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</si>
  <si>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</si>
  <si>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</si>
  <si>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</si>
  <si>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</si>
  <si>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</si>
  <si>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</si>
  <si>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</si>
  <si>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</si>
  <si>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</si>
  <si>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</si>
  <si>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</si>
  <si>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</si>
  <si>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</si>
  <si>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</si>
  <si>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</si>
  <si>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</si>
  <si>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</si>
  <si>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</si>
  <si>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</si>
  <si>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</si>
  <si>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</si>
  <si>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</si>
  <si>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</si>
  <si>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</si>
  <si>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</si>
  <si>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</si>
  <si>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</si>
  <si>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</si>
  <si>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</si>
  <si>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</si>
  <si>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</si>
  <si>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</si>
  <si>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</si>
  <si>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</si>
  <si>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</si>
  <si>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</si>
  <si>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</si>
  <si>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</si>
  <si>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</si>
  <si>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</si>
  <si>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</si>
  <si>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</si>
  <si>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</si>
  <si>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</si>
  <si>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</si>
  <si>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</si>
  <si>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</si>
  <si>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</si>
  <si>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</si>
  <si>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</si>
  <si>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</si>
  <si>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</si>
  <si>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</si>
  <si>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</si>
  <si>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</si>
  <si>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</si>
  <si>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</si>
  <si>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</si>
  <si>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</si>
  <si>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</si>
  <si>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</si>
  <si>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</si>
  <si>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</si>
  <si>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</si>
  <si>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</si>
  <si>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</si>
  <si>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</si>
  <si>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</si>
  <si>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</si>
  <si>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</si>
  <si>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</si>
  <si>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</si>
  <si>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</si>
  <si>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</si>
  <si>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</si>
  <si>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</si>
  <si>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</si>
  <si>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</si>
  <si>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</si>
  <si>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</si>
  <si>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</si>
  <si>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</si>
  <si>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</si>
  <si>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</si>
  <si>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</si>
  <si>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</si>
  <si>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</si>
  <si>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</si>
  <si>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</si>
  <si>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</si>
  <si>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장수목장 실내언덕주로 건설공사</t>
    <phoneticPr fontId="2" type="noConversion"/>
  </si>
  <si>
    <t>기타</t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</si>
  <si>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</si>
  <si>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</si>
  <si>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</si>
  <si>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</si>
  <si>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</t>
    <phoneticPr fontId="2" type="noConversion"/>
  </si>
  <si>
    <t>난방배관공사,기타공사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</si>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</sst>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8630.52</v>
      </c>
      <c r="D7" s="36">
        <f>+C7/3.3058</f>
        <v>2610.7205517575171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647680</v>
      </c>
      <c r="E25" s="59">
        <f t="shared" si="0"/>
        <v>2141100</v>
      </c>
    </row>
    <row r="26" spans="1:5" x14ac:dyDescent="0.3">
      <c r="B26" s="2">
        <v>3</v>
      </c>
      <c r="C26" s="35" t="s">
        <v>95</v>
      </c>
      <c r="D26" s="45">
        <f>+D66</f>
        <v>144410</v>
      </c>
      <c r="E26" s="59">
        <f t="shared" si="0"/>
        <v>477390</v>
      </c>
    </row>
    <row r="27" spans="1:5" x14ac:dyDescent="0.3">
      <c r="B27" s="2">
        <v>4</v>
      </c>
      <c r="C27" s="35" t="s">
        <v>96</v>
      </c>
      <c r="D27" s="45">
        <f>+D95</f>
        <v>31580</v>
      </c>
      <c r="E27" s="59">
        <f t="shared" si="0"/>
        <v>104390</v>
      </c>
    </row>
    <row r="28" spans="1:5" x14ac:dyDescent="0.3">
      <c r="B28" s="2">
        <v>5</v>
      </c>
      <c r="C28" s="35" t="s">
        <v>97</v>
      </c>
      <c r="D28" s="45">
        <f>+D119</f>
        <v>59560</v>
      </c>
      <c r="E28" s="59">
        <f t="shared" si="0"/>
        <v>196890</v>
      </c>
    </row>
    <row r="29" spans="1:5" x14ac:dyDescent="0.3">
      <c r="B29" s="2">
        <v>6</v>
      </c>
      <c r="C29" s="35" t="s">
        <v>98</v>
      </c>
      <c r="D29" s="45">
        <f>+D133</f>
        <v>42820</v>
      </c>
      <c r="E29" s="59">
        <f t="shared" si="0"/>
        <v>141550</v>
      </c>
    </row>
    <row r="30" spans="1:5" x14ac:dyDescent="0.3">
      <c r="B30" s="2">
        <v>7</v>
      </c>
      <c r="C30" s="35" t="s">
        <v>99</v>
      </c>
      <c r="D30" s="45">
        <f>+D146</f>
        <v>55260</v>
      </c>
      <c r="E30" s="59">
        <f t="shared" si="0"/>
        <v>182670</v>
      </c>
    </row>
    <row r="31" spans="1:5" x14ac:dyDescent="0.3">
      <c r="B31" s="2">
        <v>8</v>
      </c>
      <c r="C31" s="35" t="s">
        <v>100</v>
      </c>
      <c r="D31" s="45">
        <f>+D154</f>
        <v>306490</v>
      </c>
      <c r="E31" s="59">
        <f t="shared" si="0"/>
        <v>1013190</v>
      </c>
    </row>
    <row r="32" spans="1:5" x14ac:dyDescent="0.3">
      <c r="B32" s="2">
        <v>9</v>
      </c>
      <c r="C32" s="35" t="s">
        <v>101</v>
      </c>
      <c r="D32" s="45">
        <f>+D161</f>
        <v>12780</v>
      </c>
      <c r="E32" s="59">
        <f t="shared" si="0"/>
        <v>42240</v>
      </c>
    </row>
    <row r="33" spans="1:7" x14ac:dyDescent="0.3">
      <c r="B33" s="2">
        <v>10</v>
      </c>
      <c r="C33" s="35" t="s">
        <v>154</v>
      </c>
      <c r="D33" s="53">
        <f>TRUNC(SUM(D24:D32)*0.275,-1)</f>
        <v>357650</v>
      </c>
      <c r="E33" s="60">
        <f t="shared" si="0"/>
        <v>1182310</v>
      </c>
    </row>
    <row r="34" spans="1:7" x14ac:dyDescent="0.3">
      <c r="C34" s="35" t="s">
        <v>112</v>
      </c>
      <c r="D34" s="44">
        <f>SUM(D24:D33)</f>
        <v>1658230</v>
      </c>
      <c r="E34" s="44">
        <f>SUM(E24:E33)</f>
        <v>5481730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262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TRUNC(32582,-1)</f>
        <v>32580</v>
      </c>
      <c r="E40" s="62">
        <f t="shared" ref="E40:E59" si="1">TRUNC(+D40*3.3058,-1)</f>
        <v>107700</v>
      </c>
    </row>
    <row r="41" spans="1:7" x14ac:dyDescent="0.3">
      <c r="A41" s="2">
        <v>2</v>
      </c>
      <c r="C41" s="38" t="s">
        <v>13</v>
      </c>
      <c r="D41" s="42">
        <f>TRUNC(83047,-1)</f>
        <v>83040</v>
      </c>
      <c r="E41" s="63">
        <f t="shared" si="1"/>
        <v>274510</v>
      </c>
    </row>
    <row r="42" spans="1:7" x14ac:dyDescent="0.3">
      <c r="A42" s="2">
        <v>3</v>
      </c>
      <c r="C42" s="38" t="s">
        <v>14</v>
      </c>
      <c r="D42" s="42">
        <f>TRUNC(183315,-1)</f>
        <v>183310</v>
      </c>
      <c r="E42" s="63">
        <f t="shared" si="1"/>
        <v>605980</v>
      </c>
    </row>
    <row r="43" spans="1:7" x14ac:dyDescent="0.3">
      <c r="A43" s="2">
        <v>4</v>
      </c>
      <c r="C43" s="38" t="s">
        <v>16</v>
      </c>
      <c r="D43" s="42">
        <f>TRUNC(1641,-1)</f>
        <v>1640</v>
      </c>
      <c r="E43" s="63">
        <f t="shared" si="1"/>
        <v>5420</v>
      </c>
    </row>
    <row r="44" spans="1:7" x14ac:dyDescent="0.3">
      <c r="A44" s="2">
        <v>5</v>
      </c>
      <c r="C44" s="38" t="s">
        <v>17</v>
      </c>
      <c r="D44" s="42">
        <v>4820</v>
      </c>
      <c r="E44" s="63">
        <f t="shared" si="1"/>
        <v>15930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TRUNC(354,-1)</f>
        <v>350</v>
      </c>
      <c r="E46" s="63">
        <f t="shared" si="1"/>
        <v>1150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TRUNC(69306,-1)</f>
        <v>69300</v>
      </c>
      <c r="E48" s="63">
        <f t="shared" si="1"/>
        <v>229090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TRUNC(434,-1)</f>
        <v>430</v>
      </c>
      <c r="E49" s="63">
        <f t="shared" si="1"/>
        <v>1420</v>
      </c>
    </row>
    <row r="50" spans="1:7" x14ac:dyDescent="0.3">
      <c r="A50" s="2">
        <v>11</v>
      </c>
      <c r="C50" s="38" t="s">
        <v>155</v>
      </c>
      <c r="D50" s="42">
        <f>TRUNC(16173,-1)</f>
        <v>16170</v>
      </c>
      <c r="E50" s="63">
        <f t="shared" si="1"/>
        <v>53450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TRUNC(1188,-1)</f>
        <v>1180</v>
      </c>
      <c r="E52" s="63">
        <f t="shared" si="1"/>
        <v>3900</v>
      </c>
    </row>
    <row r="53" spans="1:7" x14ac:dyDescent="0.3">
      <c r="A53" s="2">
        <v>14</v>
      </c>
      <c r="C53" s="38" t="s">
        <v>25</v>
      </c>
      <c r="D53" s="42">
        <f>TRUNC(19873,-1)</f>
        <v>19870</v>
      </c>
      <c r="E53" s="63">
        <f t="shared" si="1"/>
        <v>65680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TRUNC(39347+2062+677,-1)</f>
        <v>42080</v>
      </c>
      <c r="E58" s="63">
        <f t="shared" si="1"/>
        <v>139100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TRUNC(192914,-1)</f>
        <v>192910</v>
      </c>
      <c r="E59" s="64">
        <f t="shared" si="1"/>
        <v>637720</v>
      </c>
    </row>
    <row r="60" spans="1:7" x14ac:dyDescent="0.3">
      <c r="A60" s="2">
        <v>21</v>
      </c>
      <c r="C60" s="27" t="s">
        <v>112</v>
      </c>
      <c r="D60" s="39">
        <f>SUM(D40:D59)</f>
        <v>647680</v>
      </c>
      <c r="E60" s="39">
        <f>SUM(E40:E59)</f>
        <v>2141050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TRUNC(144412,-1)</f>
        <v>144410</v>
      </c>
      <c r="E63" s="62">
        <f>TRUNC(+D63*3.3058,-1)</f>
        <v>477390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144410</v>
      </c>
      <c r="E66" s="65">
        <f>SUM(E63:E65)</f>
        <v>477390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TRUNC(3933,-1)</f>
        <v>3930</v>
      </c>
      <c r="E69" s="62">
        <f t="shared" ref="E69:E94" si="2">TRUNC(+D69*3.3058,-1)</f>
        <v>12990</v>
      </c>
    </row>
    <row r="70" spans="1:7" ht="16.5" customHeight="1" x14ac:dyDescent="0.3">
      <c r="A70" s="2">
        <v>2</v>
      </c>
      <c r="C70" s="38" t="s">
        <v>31</v>
      </c>
      <c r="D70" s="42">
        <f>TRUNC(497,-1)</f>
        <v>490</v>
      </c>
      <c r="E70" s="63">
        <f t="shared" si="2"/>
        <v>1610</v>
      </c>
    </row>
    <row r="71" spans="1:7" x14ac:dyDescent="0.3">
      <c r="A71" s="2">
        <v>3</v>
      </c>
      <c r="C71" s="38" t="s">
        <v>32</v>
      </c>
      <c r="D71" s="42">
        <v>18260</v>
      </c>
      <c r="E71" s="63">
        <f t="shared" si="2"/>
        <v>60360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TRUNC(107,-1)</f>
        <v>100</v>
      </c>
      <c r="E73" s="63">
        <f t="shared" si="2"/>
        <v>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TRUNC(236,-1)</f>
        <v>230</v>
      </c>
      <c r="E89" s="63">
        <f t="shared" si="2"/>
        <v>760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TRUNC(965,-1)</f>
        <v>960</v>
      </c>
      <c r="E91" s="63">
        <f t="shared" si="2"/>
        <v>3170</v>
      </c>
    </row>
    <row r="92" spans="1:7" x14ac:dyDescent="0.3">
      <c r="A92" s="2">
        <v>24</v>
      </c>
      <c r="C92" s="38" t="s">
        <v>38</v>
      </c>
      <c r="D92" s="42">
        <f>TRUNC(222,-1)</f>
        <v>220</v>
      </c>
      <c r="E92" s="63">
        <f t="shared" si="2"/>
        <v>720</v>
      </c>
    </row>
    <row r="93" spans="1:7" x14ac:dyDescent="0.3">
      <c r="A93" s="2">
        <v>25</v>
      </c>
      <c r="C93" s="38" t="s">
        <v>148</v>
      </c>
      <c r="D93" s="42">
        <f>TRUNC(5661,-1)</f>
        <v>5660</v>
      </c>
      <c r="E93" s="63">
        <f t="shared" si="2"/>
        <v>18710</v>
      </c>
    </row>
    <row r="94" spans="1:7" ht="17.25" thickBot="1" x14ac:dyDescent="0.35">
      <c r="A94" s="2">
        <v>26</v>
      </c>
      <c r="C94" s="38" t="s">
        <v>47</v>
      </c>
      <c r="D94" s="43">
        <f>TRUNC(1063+673,-1)</f>
        <v>1730</v>
      </c>
      <c r="E94" s="64">
        <f t="shared" si="2"/>
        <v>5710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31580</v>
      </c>
      <c r="E95" s="39">
        <f>SUM(E69:E94)</f>
        <v>104360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TRUNC(14222,-1)</f>
        <v>14220</v>
      </c>
      <c r="E98" s="62">
        <f t="shared" ref="E98:E118" si="3">TRUNC(+D98*3.3058,-1)</f>
        <v>47000</v>
      </c>
    </row>
    <row r="99" spans="1:7" x14ac:dyDescent="0.3">
      <c r="A99" s="2">
        <v>2</v>
      </c>
      <c r="C99" s="38" t="s">
        <v>40</v>
      </c>
      <c r="D99" s="42">
        <f>TRUNC(2125,-1)</f>
        <v>2120</v>
      </c>
      <c r="E99" s="63">
        <f t="shared" si="3"/>
        <v>7000</v>
      </c>
    </row>
    <row r="100" spans="1:7" x14ac:dyDescent="0.3">
      <c r="A100" s="2">
        <v>3</v>
      </c>
      <c r="C100" s="38" t="s">
        <v>41</v>
      </c>
      <c r="D100" s="42">
        <f>TRUNC(10026,-1)</f>
        <v>10020</v>
      </c>
      <c r="E100" s="63">
        <f t="shared" si="3"/>
        <v>33120</v>
      </c>
    </row>
    <row r="101" spans="1:7" x14ac:dyDescent="0.3">
      <c r="A101" s="2">
        <v>4</v>
      </c>
      <c r="C101" s="38" t="s">
        <v>42</v>
      </c>
      <c r="D101" s="42">
        <f>TRUNC(888,-1)</f>
        <v>880</v>
      </c>
      <c r="E101" s="63">
        <f t="shared" si="3"/>
        <v>2900</v>
      </c>
    </row>
    <row r="102" spans="1:7" x14ac:dyDescent="0.3">
      <c r="A102" s="2">
        <v>5</v>
      </c>
      <c r="C102" s="38" t="s">
        <v>43</v>
      </c>
      <c r="D102" s="42">
        <f>TRUNC(718,-1)</f>
        <v>710</v>
      </c>
      <c r="E102" s="63">
        <f t="shared" si="3"/>
        <v>2340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TRUNC(8415,-1)</f>
        <v>8410</v>
      </c>
      <c r="E104" s="63">
        <f t="shared" si="3"/>
        <v>27800</v>
      </c>
    </row>
    <row r="105" spans="1:7" x14ac:dyDescent="0.3">
      <c r="A105" s="2">
        <v>8</v>
      </c>
      <c r="C105" s="38" t="s">
        <v>46</v>
      </c>
      <c r="D105" s="42">
        <f>TRUNC(5916,-1)</f>
        <v>5910</v>
      </c>
      <c r="E105" s="63">
        <f t="shared" si="3"/>
        <v>19530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TRUNC(856,-1)</f>
        <v>850</v>
      </c>
      <c r="E114" s="63">
        <f t="shared" si="3"/>
        <v>2800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TRUNC(16445,-1)</f>
        <v>16440</v>
      </c>
      <c r="E117" s="63">
        <f t="shared" si="3"/>
        <v>54340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59560</v>
      </c>
      <c r="E119" s="39">
        <f>SUM(E98:E118)</f>
        <v>196830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5480</v>
      </c>
      <c r="E125" s="63">
        <f t="shared" si="4"/>
        <v>18110</v>
      </c>
    </row>
    <row r="126" spans="1:7" x14ac:dyDescent="0.3">
      <c r="A126" s="2">
        <v>5</v>
      </c>
      <c r="C126" s="38" t="s">
        <v>53</v>
      </c>
      <c r="D126" s="42">
        <f>TRUNC(987,-1)</f>
        <v>980</v>
      </c>
      <c r="E126" s="63">
        <f t="shared" si="4"/>
        <v>3230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TRUNC(5602,-1)</f>
        <v>5600</v>
      </c>
      <c r="E128" s="63">
        <f t="shared" si="4"/>
        <v>18510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TRUNC(2773,-1)</f>
        <v>2770</v>
      </c>
      <c r="E130" s="63">
        <f t="shared" si="4"/>
        <v>9150</v>
      </c>
    </row>
    <row r="131" spans="1:7" x14ac:dyDescent="0.3">
      <c r="A131" s="2">
        <v>10</v>
      </c>
      <c r="C131" s="38" t="s">
        <v>148</v>
      </c>
      <c r="D131" s="42">
        <f>TRUNC(23185,-1)</f>
        <v>23180</v>
      </c>
      <c r="E131" s="63">
        <f t="shared" si="4"/>
        <v>76620</v>
      </c>
    </row>
    <row r="132" spans="1:7" ht="18" thickBot="1" x14ac:dyDescent="0.35">
      <c r="A132" s="2">
        <v>11</v>
      </c>
      <c r="C132" s="38" t="s">
        <v>47</v>
      </c>
      <c r="D132" s="43">
        <f>2308+2502</f>
        <v>4810</v>
      </c>
      <c r="E132" s="64">
        <f t="shared" si="4"/>
        <v>15900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42820</v>
      </c>
      <c r="E133" s="39">
        <f>SUM(E122:E132)</f>
        <v>141520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TRUNC(1848+2304+5309,-1)</f>
        <v>9460</v>
      </c>
      <c r="E137" s="63">
        <f t="shared" si="5"/>
        <v>31270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TRUNC(1493,-1)</f>
        <v>1490</v>
      </c>
      <c r="E139" s="63">
        <f t="shared" si="5"/>
        <v>4920</v>
      </c>
    </row>
    <row r="140" spans="1:7" x14ac:dyDescent="0.3">
      <c r="A140" s="2">
        <v>5</v>
      </c>
      <c r="C140" s="38" t="s">
        <v>57</v>
      </c>
      <c r="D140" s="42">
        <f>TRUNC(4347,-1)</f>
        <v>4340</v>
      </c>
      <c r="E140" s="63">
        <f t="shared" si="5"/>
        <v>14340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TRUNC(8704,-1)</f>
        <v>8700</v>
      </c>
      <c r="E142" s="63">
        <f t="shared" si="5"/>
        <v>28760</v>
      </c>
    </row>
    <row r="143" spans="1:7" x14ac:dyDescent="0.3">
      <c r="A143" s="2">
        <v>8</v>
      </c>
      <c r="C143" s="38" t="s">
        <v>62</v>
      </c>
      <c r="D143" s="42">
        <f>TRUNC(4062,-1)</f>
        <v>4060</v>
      </c>
      <c r="E143" s="63">
        <f t="shared" si="5"/>
        <v>13420</v>
      </c>
    </row>
    <row r="144" spans="1:7" x14ac:dyDescent="0.3">
      <c r="A144" s="2">
        <v>9</v>
      </c>
      <c r="C144" s="38" t="s">
        <v>63</v>
      </c>
      <c r="D144" s="42">
        <f>TRUNC(27216,-1)</f>
        <v>27210</v>
      </c>
      <c r="E144" s="63">
        <f t="shared" si="5"/>
        <v>89950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55260</v>
      </c>
      <c r="E146" s="39">
        <f>SUM(E136:E145)</f>
        <v>182660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32272+1488</f>
        <v>33760</v>
      </c>
      <c r="E149" s="62">
        <f>TRUNC(+D149*3.3058,-1)</f>
        <v>111600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TRUNC(15458,-1)</f>
        <v>15450</v>
      </c>
      <c r="E150" s="63">
        <f>TRUNC(+D150*3.3058,-1)</f>
        <v>51070</v>
      </c>
    </row>
    <row r="151" spans="1:7" x14ac:dyDescent="0.3">
      <c r="A151" s="2">
        <v>3</v>
      </c>
      <c r="C151" s="38" t="s">
        <v>50</v>
      </c>
      <c r="D151" s="42">
        <f>TRUNC(138624,-1)</f>
        <v>138620</v>
      </c>
      <c r="E151" s="63">
        <f>TRUNC(+D151*3.3058,-1)</f>
        <v>458240</v>
      </c>
    </row>
    <row r="152" spans="1:7" x14ac:dyDescent="0.3">
      <c r="A152" s="2">
        <v>4</v>
      </c>
      <c r="C152" s="38" t="s">
        <v>47</v>
      </c>
      <c r="D152" s="42">
        <f>TRUNC(36886+4858+11439,-1)</f>
        <v>53180</v>
      </c>
      <c r="E152" s="63">
        <f>TRUNC(+D152*3.3058,-1)</f>
        <v>175800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TRUNC(65485,-1)</f>
        <v>65480</v>
      </c>
      <c r="E153" s="64">
        <f>TRUNC(+D153*3.3058,-1)</f>
        <v>216460</v>
      </c>
    </row>
    <row r="154" spans="1:7" x14ac:dyDescent="0.3">
      <c r="A154" s="2">
        <v>6</v>
      </c>
      <c r="C154" s="27" t="s">
        <v>112</v>
      </c>
      <c r="D154" s="39">
        <f>SUM(D149:D153)</f>
        <v>306490</v>
      </c>
      <c r="E154" s="39">
        <f>SUM(E149:E153)</f>
        <v>1013170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TRUNC(6645,-1)</f>
        <v>6640</v>
      </c>
      <c r="E157" s="62">
        <f>TRUNC(+D157*3.3058,-1)</f>
        <v>21950</v>
      </c>
    </row>
    <row r="158" spans="1:7" x14ac:dyDescent="0.3">
      <c r="A158" s="2">
        <v>2</v>
      </c>
      <c r="C158" s="38" t="s">
        <v>52</v>
      </c>
      <c r="D158" s="42">
        <f>TRUNC(1792,-1)</f>
        <v>1790</v>
      </c>
      <c r="E158" s="63">
        <f>TRUNC(+D158*3.3058,-1)</f>
        <v>5910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TRUNC(4105,-1)</f>
        <v>4100</v>
      </c>
      <c r="E159" s="63">
        <f>TRUNC(+D159*3.3058,-1)</f>
        <v>13550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TRUNC(254,-1)</f>
        <v>250</v>
      </c>
      <c r="E160" s="64">
        <f>TRUNC(+D160*3.3058,-1)</f>
        <v>820</v>
      </c>
    </row>
    <row r="161" spans="1:5" x14ac:dyDescent="0.3">
      <c r="A161" s="2">
        <v>5</v>
      </c>
      <c r="C161" s="27" t="s">
        <v>112</v>
      </c>
      <c r="D161" s="39">
        <f>SUM(D157:D160)</f>
        <v>12780</v>
      </c>
      <c r="E161" s="39">
        <f>SUM(E157:E160)</f>
        <v>42230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2020-12-08T04:48:26Z</dcterms:modified>
</cp:coreProperties>
</file>