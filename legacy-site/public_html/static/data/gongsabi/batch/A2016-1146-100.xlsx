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6" i="4"/>
  <c r="D125" i="4"/>
  <c r="D124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94" i="4"/>
  <c r="D92" i="4"/>
  <c r="D91" i="4"/>
  <c r="D89" i="4"/>
  <c r="D75" i="4"/>
  <c r="D73" i="4"/>
  <c r="D72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D60" i="4" l="1"/>
  <c r="E160" i="4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25" i="4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<sst xmlns="http://schemas.openxmlformats.org/spreadsheetml/2006/main" count="391" uniqueCount="265">
  <si>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</si>
  <si>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</si>
  <si>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</si>
  <si>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</si>
  <si>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</si>
  <si>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</si>
  <si>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</si>
  <si>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</si>
  <si>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</si>
  <si>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</si>
  <si>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</si>
  <si>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</si>
  <si>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</si>
  <si>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</si>
  <si>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</si>
  <si>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</si>
  <si>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</si>
  <si>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</si>
  <si>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</si>
  <si>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</si>
  <si>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</si>
  <si>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</si>
  <si>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</si>
  <si>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</si>
  <si>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</si>
  <si>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</si>
  <si>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</si>
  <si>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</si>
  <si>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</si>
  <si>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</si>
  <si>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</si>
  <si>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</si>
  <si>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</si>
  <si>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</si>
  <si>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</si>
  <si>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</si>
  <si>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</si>
  <si>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</si>
  <si>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</si>
  <si>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</si>
  <si>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</si>
  <si>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</si>
  <si>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</si>
  <si>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</si>
  <si>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</si>
  <si>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</si>
  <si>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</si>
  <si>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</si>
  <si>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</si>
  <si>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</si>
  <si>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</si>
  <si>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</si>
  <si>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</si>
  <si>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</si>
  <si>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</si>
  <si>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</si>
  <si>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</si>
  <si>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</si>
  <si>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</si>
  <si>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</si>
  <si>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</si>
  <si>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</si>
  <si>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</si>
  <si>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</si>
  <si>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</si>
  <si>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</si>
  <si>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</si>
  <si>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</si>
  <si>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</si>
  <si>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</si>
  <si>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</si>
  <si>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</si>
  <si>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</si>
  <si>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</si>
  <si>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</si>
  <si>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</si>
  <si>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</si>
  <si>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</si>
  <si>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</si>
  <si>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</si>
  <si>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</si>
  <si>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</si>
  <si>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</si>
  <si>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</si>
  <si>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</si>
  <si>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</si>
  <si>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</si>
  <si>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</si>
  <si>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</si>
  <si>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</si>
  <si>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</si>
  <si>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</si>
  <si>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</si>
  <si>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</si>
  <si>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</si>
  <si>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</si>
  <si>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</si>
  <si>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</si>
  <si>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</si>
  <si>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</si>
  <si>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</si>
  <si>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</si>
  <si>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</si>
  <si>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</si>
  <si>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</si>
  <si>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</si>
  <si>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</si>
  <si>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</si>
  <si>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</si>
  <si>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</si>
  <si>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</si>
  <si>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</si>
  <si>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</si>
  <si>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</si>
  <si>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</si>
  <si>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</si>
  <si>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</si>
  <si>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</si>
  <si>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</si>
  <si>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</si>
  <si>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</si>
  <si>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</si>
  <si>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</si>
  <si>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</si>
  <si>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</si>
  <si>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</si>
  <si>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</si>
  <si>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</si>
  <si>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</si>
  <si>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</si>
  <si>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</si>
  <si>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</si>
  <si>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</si>
  <si>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</si>
  <si>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</si>
  <si>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</si>
  <si>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</si>
  <si>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</si>
  <si>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</si>
  <si>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</si>
  <si>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</si>
  <si>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</si>
  <si>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</si>
  <si>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</si>
  <si>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</si>
  <si>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</si>
  <si>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</si>
  <si>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</si>
  <si>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</si>
  <si>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</si>
  <si>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</si>
  <si>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</si>
  <si>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</si>
  <si>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</si>
  <si>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</si>
  <si>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</si>
  <si>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</si>
  <si>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</si>
  <si>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</si>
  <si>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</si>
  <si>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</si>
  <si>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</si>
  <si>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</si>
  <si>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</si>
  <si>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</si>
  <si>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</si>
  <si>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</si>
  <si>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</si>
  <si>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</si>
  <si>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</si>
  <si>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</si>
  <si>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</si>
  <si>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</si>
  <si>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</si>
  <si>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</si>
  <si>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</si>
  <si>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</si>
  <si>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</si>
  <si>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</si>
  <si>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</si>
  <si>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</si>
  <si>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</si>
  <si>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</si>
  <si>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</si>
  <si>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</si>
  <si>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</si>
  <si>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</si>
  <si>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</si>
  <si>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</si>
  <si>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</si>
  <si>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</si>
  <si>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</si>
  <si>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</si>
  <si>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</si>
  <si>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</si>
  <si>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</si>
  <si>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</si>
  <si>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</si>
  <si>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</si>
  <si>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</si>
  <si>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</si>
  <si>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</si>
  <si>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</si>
  <si>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</si>
  <si>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</si>
  <si>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</si>
  <si>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</si>
  <si>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</si>
  <si>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</si>
  <si>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</si>
  <si>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</si>
  <si>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</si>
  <si>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</si>
  <si>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</si>
  <si>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</si>
  <si>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</si>
  <si>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</si>
  <si>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</si>
  <si>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</si>
  <si>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</si>
  <si>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</si>
  <si>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</si>
  <si>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</si>
  <si>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</si>
  <si>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</si>
  <si>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</si>
  <si>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</si>
  <si>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</si>
  <si>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</si>
  <si>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</si>
  <si>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</si>
  <si>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</si>
  <si>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</si>
  <si>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</si>
  <si>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</si>
  <si>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</si>
  <si>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</si>
  <si>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</si>
  <si>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</si>
  <si>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</si>
  <si>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</si>
  <si>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</si>
  <si>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</si>
  <si>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</si>
  <si>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</si>
  <si>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</si>
  <si>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</si>
  <si>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</si>
  <si>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</si>
  <si>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</si>
  <si>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</si>
  <si>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</si>
  <si>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난방배관공사,바닥난방공사,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</si>
  <si>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</si>
  <si>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</si>
  <si>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교육연구</t>
  </si>
  <si>
    <t>대구동천초등학교 개축공사(장기계속)</t>
    <phoneticPr fontId="2" type="noConversion"/>
  </si>
  <si>
    <t>대구시</t>
  </si>
  <si>
    <t>기초공사, 해체및철거공사, 골재비및운반비, 작업부산물, 기타공사</t>
    <phoneticPr fontId="2" type="noConversion"/>
  </si>
  <si>
    <t>CCTV설비공사, 기타공사</t>
    <phoneticPr fontId="2" type="noConversion"/>
  </si>
  <si>
    <t>옥외소화배관공사, 펌프실배관공사, 기타공사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</si>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</sst>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11295.27</v>
      </c>
      <c r="D7" s="36">
        <f>+C7/3.3058</f>
        <v>3416.803799382903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900670</v>
      </c>
      <c r="E25" s="59">
        <f t="shared" si="0"/>
        <v>2977430</v>
      </c>
    </row>
    <row r="26" spans="1:5" x14ac:dyDescent="0.3">
      <c r="B26" s="2">
        <v>3</v>
      </c>
      <c r="C26" s="35" t="s">
        <v>95</v>
      </c>
      <c r="D26" s="45">
        <f>+D66</f>
        <v>21540</v>
      </c>
      <c r="E26" s="59">
        <f t="shared" si="0"/>
        <v>71200</v>
      </c>
    </row>
    <row r="27" spans="1:5" x14ac:dyDescent="0.3">
      <c r="B27" s="2">
        <v>4</v>
      </c>
      <c r="C27" s="35" t="s">
        <v>96</v>
      </c>
      <c r="D27" s="45">
        <f>+D95</f>
        <v>54580</v>
      </c>
      <c r="E27" s="59">
        <f t="shared" si="0"/>
        <v>180430</v>
      </c>
    </row>
    <row r="28" spans="1:5" x14ac:dyDescent="0.3">
      <c r="B28" s="2">
        <v>5</v>
      </c>
      <c r="C28" s="35" t="s">
        <v>97</v>
      </c>
      <c r="D28" s="45">
        <f>+D119</f>
        <v>204810</v>
      </c>
      <c r="E28" s="59">
        <f t="shared" si="0"/>
        <v>677060</v>
      </c>
    </row>
    <row r="29" spans="1:5" x14ac:dyDescent="0.3">
      <c r="B29" s="2">
        <v>6</v>
      </c>
      <c r="C29" s="35" t="s">
        <v>98</v>
      </c>
      <c r="D29" s="45">
        <f>+D133</f>
        <v>64340</v>
      </c>
      <c r="E29" s="59">
        <f t="shared" si="0"/>
        <v>212690</v>
      </c>
    </row>
    <row r="30" spans="1:5" x14ac:dyDescent="0.3">
      <c r="B30" s="2">
        <v>7</v>
      </c>
      <c r="C30" s="35" t="s">
        <v>99</v>
      </c>
      <c r="D30" s="45">
        <f>+D146</f>
        <v>44820</v>
      </c>
      <c r="E30" s="59">
        <f t="shared" si="0"/>
        <v>148160</v>
      </c>
    </row>
    <row r="31" spans="1:5" x14ac:dyDescent="0.3">
      <c r="B31" s="2">
        <v>8</v>
      </c>
      <c r="C31" s="35" t="s">
        <v>100</v>
      </c>
      <c r="D31" s="45">
        <f>+D154</f>
        <v>41710</v>
      </c>
      <c r="E31" s="59">
        <f t="shared" si="0"/>
        <v>137880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366420</v>
      </c>
      <c r="E33" s="60">
        <f t="shared" si="0"/>
        <v>1211310</v>
      </c>
    </row>
    <row r="34" spans="1:7" x14ac:dyDescent="0.3">
      <c r="C34" s="35" t="s">
        <v>112</v>
      </c>
      <c r="D34" s="44">
        <f>SUM(D24:D33)</f>
        <v>1698890</v>
      </c>
      <c r="E34" s="44">
        <f>SUM(E24:E33)</f>
        <v>5616160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TRUNC(47206,-1)</f>
        <v>47200</v>
      </c>
      <c r="E40" s="62">
        <f t="shared" ref="E40:E59" si="1">TRUNC(+D40*3.3058,-1)</f>
        <v>156030</v>
      </c>
    </row>
    <row r="41" spans="1:7" x14ac:dyDescent="0.3">
      <c r="A41" s="2">
        <v>2</v>
      </c>
      <c r="C41" s="38" t="s">
        <v>13</v>
      </c>
      <c r="D41" s="42">
        <f>TRUNC(158587,-1)</f>
        <v>158580</v>
      </c>
      <c r="E41" s="63">
        <f t="shared" si="1"/>
        <v>524230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TRUNC(48277,-1)</f>
        <v>48270</v>
      </c>
      <c r="E43" s="63">
        <f t="shared" si="1"/>
        <v>159570</v>
      </c>
    </row>
    <row r="44" spans="1:7" x14ac:dyDescent="0.3">
      <c r="A44" s="2">
        <v>5</v>
      </c>
      <c r="C44" s="38" t="s">
        <v>17</v>
      </c>
      <c r="D44" s="42">
        <f>TRUNC(23441,-1)</f>
        <v>23440</v>
      </c>
      <c r="E44" s="63">
        <f t="shared" si="1"/>
        <v>77480</v>
      </c>
    </row>
    <row r="45" spans="1:7" x14ac:dyDescent="0.3">
      <c r="A45" s="2">
        <v>6</v>
      </c>
      <c r="C45" s="38" t="s">
        <v>18</v>
      </c>
      <c r="D45" s="42">
        <f>TRUNC(10166,-1)</f>
        <v>10160</v>
      </c>
      <c r="E45" s="63">
        <f t="shared" si="1"/>
        <v>33580</v>
      </c>
    </row>
    <row r="46" spans="1:7" x14ac:dyDescent="0.3">
      <c r="A46" s="2">
        <v>7</v>
      </c>
      <c r="C46" s="38" t="s">
        <v>19</v>
      </c>
      <c r="D46" s="42">
        <f>TRUNC(41498,-1)</f>
        <v>41490</v>
      </c>
      <c r="E46" s="63">
        <f t="shared" si="1"/>
        <v>137150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TRUNC(29563,-1)</f>
        <v>29560</v>
      </c>
      <c r="E48" s="63">
        <f t="shared" si="1"/>
        <v>97710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TRUNC(13462,-1)</f>
        <v>13460</v>
      </c>
      <c r="E49" s="63">
        <f t="shared" si="1"/>
        <v>44490</v>
      </c>
    </row>
    <row r="50" spans="1:7" x14ac:dyDescent="0.3">
      <c r="A50" s="2">
        <v>11</v>
      </c>
      <c r="C50" s="38" t="s">
        <v>156</v>
      </c>
      <c r="D50" s="42">
        <f>TRUNC(49601,-1)</f>
        <v>49600</v>
      </c>
      <c r="E50" s="63">
        <f t="shared" si="1"/>
        <v>163960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TRUNC(5926,-1)</f>
        <v>5920</v>
      </c>
      <c r="E52" s="63">
        <f t="shared" si="1"/>
        <v>19570</v>
      </c>
    </row>
    <row r="53" spans="1:7" x14ac:dyDescent="0.3">
      <c r="A53" s="2">
        <v>14</v>
      </c>
      <c r="C53" s="38" t="s">
        <v>25</v>
      </c>
      <c r="D53" s="42">
        <f>TRUNC(63747,-1)</f>
        <v>63740</v>
      </c>
      <c r="E53" s="63">
        <f t="shared" si="1"/>
        <v>210710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TRUNC(25237+23894+3430-752+20328,-1)</f>
        <v>72130</v>
      </c>
      <c r="E58" s="63">
        <f t="shared" si="1"/>
        <v>238440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TRUNC(337123,-1)</f>
        <v>337120</v>
      </c>
      <c r="E59" s="64">
        <f t="shared" si="1"/>
        <v>1114450</v>
      </c>
    </row>
    <row r="60" spans="1:7" x14ac:dyDescent="0.3">
      <c r="A60" s="2">
        <v>21</v>
      </c>
      <c r="C60" s="27" t="s">
        <v>112</v>
      </c>
      <c r="D60" s="39">
        <f>SUM(D40:D59)</f>
        <v>900670</v>
      </c>
      <c r="E60" s="39">
        <f>SUM(E40:E59)</f>
        <v>2977370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TRUNC(21542,-1)</f>
        <v>21540</v>
      </c>
      <c r="E63" s="62">
        <f>TRUNC(+D63*3.3058,-1)</f>
        <v>71200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21540</v>
      </c>
      <c r="E66" s="65">
        <f>SUM(E63:E65)</f>
        <v>71200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TRUNC(5402,-1)</f>
        <v>5400</v>
      </c>
      <c r="E69" s="62">
        <f t="shared" ref="E69:E94" si="2">TRUNC(+D69*3.3058,-1)</f>
        <v>17850</v>
      </c>
    </row>
    <row r="70" spans="1:7" ht="16.5" customHeight="1" x14ac:dyDescent="0.3">
      <c r="A70" s="2">
        <v>2</v>
      </c>
      <c r="C70" s="38" t="s">
        <v>31</v>
      </c>
      <c r="D70" s="42">
        <f>TRUNC(2019,-1)</f>
        <v>2010</v>
      </c>
      <c r="E70" s="63">
        <f t="shared" si="2"/>
        <v>6640</v>
      </c>
    </row>
    <row r="71" spans="1:7" x14ac:dyDescent="0.3">
      <c r="A71" s="2">
        <v>3</v>
      </c>
      <c r="C71" s="38" t="s">
        <v>32</v>
      </c>
      <c r="D71" s="42">
        <v>4590</v>
      </c>
      <c r="E71" s="63">
        <f t="shared" si="2"/>
        <v>15170</v>
      </c>
    </row>
    <row r="72" spans="1:7" x14ac:dyDescent="0.3">
      <c r="A72" s="2">
        <v>4</v>
      </c>
      <c r="C72" s="38" t="s">
        <v>33</v>
      </c>
      <c r="D72" s="42">
        <f>TRUNC(2086,-1)</f>
        <v>2080</v>
      </c>
      <c r="E72" s="63">
        <f t="shared" si="2"/>
        <v>6870</v>
      </c>
    </row>
    <row r="73" spans="1:7" x14ac:dyDescent="0.3">
      <c r="A73" s="2">
        <v>5</v>
      </c>
      <c r="C73" s="38" t="s">
        <v>34</v>
      </c>
      <c r="D73" s="42">
        <f>TRUNC(16329,-1)</f>
        <v>16320</v>
      </c>
      <c r="E73" s="63">
        <f t="shared" si="2"/>
        <v>53950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TRUNC(48,-1)</f>
        <v>40</v>
      </c>
      <c r="E75" s="63">
        <f t="shared" si="2"/>
        <v>130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TRUNC(4689,-1)</f>
        <v>4680</v>
      </c>
      <c r="E89" s="63">
        <f t="shared" si="2"/>
        <v>15470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TRUNC(797,-1)</f>
        <v>790</v>
      </c>
      <c r="E91" s="63">
        <f t="shared" si="2"/>
        <v>2610</v>
      </c>
    </row>
    <row r="92" spans="1:7" x14ac:dyDescent="0.3">
      <c r="A92" s="2">
        <v>24</v>
      </c>
      <c r="C92" s="38" t="s">
        <v>38</v>
      </c>
      <c r="D92" s="42">
        <f>TRUNC(12345,-1)</f>
        <v>12340</v>
      </c>
      <c r="E92" s="63">
        <f t="shared" si="2"/>
        <v>40790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TRUNC(460+814+761+4304,-1)</f>
        <v>6330</v>
      </c>
      <c r="E94" s="64">
        <f t="shared" si="2"/>
        <v>20920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54580</v>
      </c>
      <c r="E95" s="39">
        <f>SUM(E69:E94)</f>
        <v>180400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TRUNC(12693,-1)</f>
        <v>12690</v>
      </c>
      <c r="E98" s="62">
        <f t="shared" ref="E98:E118" si="3">TRUNC(+D98*3.3058,-1)</f>
        <v>41950</v>
      </c>
    </row>
    <row r="99" spans="1:7" x14ac:dyDescent="0.3">
      <c r="A99" s="2">
        <v>2</v>
      </c>
      <c r="C99" s="38" t="s">
        <v>40</v>
      </c>
      <c r="D99" s="42">
        <f>TRUNC(942,-1)</f>
        <v>940</v>
      </c>
      <c r="E99" s="63">
        <f t="shared" si="3"/>
        <v>3100</v>
      </c>
    </row>
    <row r="100" spans="1:7" x14ac:dyDescent="0.3">
      <c r="A100" s="2">
        <v>3</v>
      </c>
      <c r="C100" s="38" t="s">
        <v>41</v>
      </c>
      <c r="D100" s="42">
        <f>TRUNC(24629,-1)</f>
        <v>24620</v>
      </c>
      <c r="E100" s="63">
        <f t="shared" si="3"/>
        <v>81380</v>
      </c>
    </row>
    <row r="101" spans="1:7" x14ac:dyDescent="0.3">
      <c r="A101" s="2">
        <v>4</v>
      </c>
      <c r="C101" s="38" t="s">
        <v>42</v>
      </c>
      <c r="D101" s="42">
        <f>TRUNC(2058,-1)</f>
        <v>2050</v>
      </c>
      <c r="E101" s="63">
        <f t="shared" si="3"/>
        <v>6770</v>
      </c>
    </row>
    <row r="102" spans="1:7" x14ac:dyDescent="0.3">
      <c r="A102" s="2">
        <v>5</v>
      </c>
      <c r="C102" s="38" t="s">
        <v>43</v>
      </c>
      <c r="D102" s="42">
        <f>TRUNC(10703,-1)</f>
        <v>10700</v>
      </c>
      <c r="E102" s="63">
        <f t="shared" si="3"/>
        <v>35370</v>
      </c>
    </row>
    <row r="103" spans="1:7" x14ac:dyDescent="0.3">
      <c r="A103" s="2">
        <v>6</v>
      </c>
      <c r="C103" s="38" t="s">
        <v>44</v>
      </c>
      <c r="D103" s="42">
        <f>TRUNC(7773,-1)</f>
        <v>7770</v>
      </c>
      <c r="E103" s="63">
        <f t="shared" si="3"/>
        <v>25680</v>
      </c>
    </row>
    <row r="104" spans="1:7" x14ac:dyDescent="0.3">
      <c r="A104" s="2">
        <v>7</v>
      </c>
      <c r="C104" s="38" t="s">
        <v>45</v>
      </c>
      <c r="D104" s="42">
        <f>TRUNC(2589,-1)</f>
        <v>2580</v>
      </c>
      <c r="E104" s="63">
        <f t="shared" si="3"/>
        <v>8520</v>
      </c>
    </row>
    <row r="105" spans="1:7" x14ac:dyDescent="0.3">
      <c r="A105" s="2">
        <v>8</v>
      </c>
      <c r="C105" s="38" t="s">
        <v>46</v>
      </c>
      <c r="D105" s="42">
        <f>TRUNC(3691,-1)</f>
        <v>3690</v>
      </c>
      <c r="E105" s="63">
        <f t="shared" si="3"/>
        <v>12190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TRUNC(3561,-1)</f>
        <v>3560</v>
      </c>
      <c r="E114" s="63">
        <f t="shared" si="3"/>
        <v>11760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TRUNC(4875,-1)</f>
        <v>4870</v>
      </c>
      <c r="E116" s="63">
        <f t="shared" si="3"/>
        <v>16090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TRUNC(120967,-1)</f>
        <v>120960</v>
      </c>
      <c r="E117" s="63">
        <f t="shared" si="3"/>
        <v>399860</v>
      </c>
    </row>
    <row r="118" spans="1:7" ht="17.25" thickBot="1" x14ac:dyDescent="0.35">
      <c r="A118" s="2">
        <v>21</v>
      </c>
      <c r="C118" s="38" t="s">
        <v>47</v>
      </c>
      <c r="D118" s="43">
        <f>TRUNC(10386,-1)</f>
        <v>10380</v>
      </c>
      <c r="E118" s="64">
        <f t="shared" si="3"/>
        <v>34310</v>
      </c>
    </row>
    <row r="119" spans="1:7" x14ac:dyDescent="0.3">
      <c r="A119" s="2">
        <v>22</v>
      </c>
      <c r="C119" s="27" t="s">
        <v>112</v>
      </c>
      <c r="D119" s="39">
        <f>SUM(D98:D118)</f>
        <v>204810</v>
      </c>
      <c r="E119" s="39">
        <f>SUM(E98:E118)</f>
        <v>676980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TRUNC(895,-1)</f>
        <v>890</v>
      </c>
      <c r="E124" s="63">
        <f t="shared" si="4"/>
        <v>2940</v>
      </c>
    </row>
    <row r="125" spans="1:7" x14ac:dyDescent="0.3">
      <c r="A125" s="2">
        <v>4</v>
      </c>
      <c r="C125" s="38" t="s">
        <v>138</v>
      </c>
      <c r="D125" s="42">
        <f>TRUNC(11857,-1)</f>
        <v>11850</v>
      </c>
      <c r="E125" s="63">
        <f t="shared" si="4"/>
        <v>39170</v>
      </c>
    </row>
    <row r="126" spans="1:7" x14ac:dyDescent="0.3">
      <c r="A126" s="2">
        <v>5</v>
      </c>
      <c r="C126" s="38" t="s">
        <v>53</v>
      </c>
      <c r="D126" s="42">
        <f>TRUNC(898,-1)</f>
        <v>890</v>
      </c>
      <c r="E126" s="63">
        <f t="shared" si="4"/>
        <v>2940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TRUNC(5696,-1)</f>
        <v>5690</v>
      </c>
      <c r="E128" s="63">
        <f t="shared" si="4"/>
        <v>18810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TRUNC(19226,-1)</f>
        <v>19220</v>
      </c>
      <c r="E130" s="63">
        <f t="shared" si="4"/>
        <v>63530</v>
      </c>
    </row>
    <row r="131" spans="1:7" x14ac:dyDescent="0.3">
      <c r="A131" s="2">
        <v>10</v>
      </c>
      <c r="C131" s="38" t="s">
        <v>149</v>
      </c>
      <c r="D131" s="42">
        <f>TRUNC(18277,-1)</f>
        <v>18270</v>
      </c>
      <c r="E131" s="63">
        <f t="shared" si="4"/>
        <v>60390</v>
      </c>
    </row>
    <row r="132" spans="1:7" ht="18" thickBot="1" x14ac:dyDescent="0.35">
      <c r="A132" s="2">
        <v>11</v>
      </c>
      <c r="C132" s="38" t="s">
        <v>47</v>
      </c>
      <c r="D132" s="43">
        <f>TRUNC(2638+4894,-1)</f>
        <v>7530</v>
      </c>
      <c r="E132" s="64">
        <f t="shared" si="4"/>
        <v>24890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64340</v>
      </c>
      <c r="E133" s="39">
        <f>SUM(E122:E132)</f>
        <v>212670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TRUNC(117+2708+8509,-1)</f>
        <v>11330</v>
      </c>
      <c r="E137" s="63">
        <f t="shared" si="5"/>
        <v>37450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TRUNC(2242,-1)</f>
        <v>2240</v>
      </c>
      <c r="E139" s="63">
        <f t="shared" si="5"/>
        <v>7400</v>
      </c>
    </row>
    <row r="140" spans="1:7" x14ac:dyDescent="0.3">
      <c r="A140" s="2">
        <v>5</v>
      </c>
      <c r="C140" s="38" t="s">
        <v>57</v>
      </c>
      <c r="D140" s="42">
        <f>TRUNC(4111,-1)</f>
        <v>4110</v>
      </c>
      <c r="E140" s="63">
        <f t="shared" si="5"/>
        <v>13580</v>
      </c>
    </row>
    <row r="141" spans="1:7" x14ac:dyDescent="0.3">
      <c r="A141" s="2">
        <v>6</v>
      </c>
      <c r="C141" s="38" t="s">
        <v>59</v>
      </c>
      <c r="D141" s="42">
        <f>TRUNC(10552,-1)</f>
        <v>10550</v>
      </c>
      <c r="E141" s="63">
        <f t="shared" si="5"/>
        <v>34870</v>
      </c>
    </row>
    <row r="142" spans="1:7" x14ac:dyDescent="0.3">
      <c r="A142" s="2">
        <v>7</v>
      </c>
      <c r="C142" s="38" t="s">
        <v>58</v>
      </c>
      <c r="D142" s="42">
        <f>TRUNC(7666,-1)</f>
        <v>7660</v>
      </c>
      <c r="E142" s="63">
        <f t="shared" si="5"/>
        <v>25320</v>
      </c>
    </row>
    <row r="143" spans="1:7" x14ac:dyDescent="0.3">
      <c r="A143" s="2">
        <v>8</v>
      </c>
      <c r="C143" s="38" t="s">
        <v>62</v>
      </c>
      <c r="D143" s="42">
        <f>TRUNC(4049,-1)</f>
        <v>4040</v>
      </c>
      <c r="E143" s="63">
        <f t="shared" si="5"/>
        <v>13350</v>
      </c>
    </row>
    <row r="144" spans="1:7" x14ac:dyDescent="0.3">
      <c r="A144" s="2">
        <v>9</v>
      </c>
      <c r="C144" s="38" t="s">
        <v>63</v>
      </c>
      <c r="D144" s="42">
        <f>TRUNC(4898,-1)</f>
        <v>4890</v>
      </c>
      <c r="E144" s="63">
        <f t="shared" si="5"/>
        <v>16160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44820</v>
      </c>
      <c r="E146" s="39">
        <f>SUM(E136:E145)</f>
        <v>148130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TRUNC(7972+1274,-1)</f>
        <v>9240</v>
      </c>
      <c r="E149" s="62">
        <f>TRUNC(+D149*3.3058,-1)</f>
        <v>30540</v>
      </c>
    </row>
    <row r="150" spans="1:7" x14ac:dyDescent="0.3">
      <c r="A150" s="2">
        <v>2</v>
      </c>
      <c r="C150" s="38" t="s">
        <v>49</v>
      </c>
      <c r="D150" s="42">
        <f>TRUNC(6109,-1)</f>
        <v>6100</v>
      </c>
      <c r="E150" s="63">
        <f>TRUNC(+D150*3.3058,-1)</f>
        <v>20160</v>
      </c>
    </row>
    <row r="151" spans="1:7" x14ac:dyDescent="0.3">
      <c r="A151" s="2">
        <v>3</v>
      </c>
      <c r="C151" s="38" t="s">
        <v>50</v>
      </c>
      <c r="D151" s="42">
        <f>TRUNC(19486,-1)</f>
        <v>19480</v>
      </c>
      <c r="E151" s="63">
        <f>TRUNC(+D151*3.3058,-1)</f>
        <v>64390</v>
      </c>
    </row>
    <row r="152" spans="1:7" x14ac:dyDescent="0.3">
      <c r="A152" s="2">
        <v>4</v>
      </c>
      <c r="C152" s="38" t="s">
        <v>47</v>
      </c>
      <c r="D152" s="42">
        <f>TRUNC(186+6713,-1)</f>
        <v>6890</v>
      </c>
      <c r="E152" s="63">
        <f>TRUNC(+D152*3.3058,-1)</f>
        <v>22770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41710</v>
      </c>
      <c r="E154" s="39">
        <f>SUM(E149:E153)</f>
        <v>137860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2020-12-08T01:16:14Z</dcterms:modified>
</cp:coreProperties>
</file>