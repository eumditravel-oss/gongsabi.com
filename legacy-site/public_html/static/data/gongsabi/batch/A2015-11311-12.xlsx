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5" i="4"/>
  <c r="D144" i="4"/>
  <c r="D143" i="4"/>
  <c r="D142" i="4"/>
  <c r="D141" i="4"/>
  <c r="D140" i="4"/>
  <c r="D132" i="4"/>
  <c r="D128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4" i="4"/>
  <c r="D92" i="4"/>
  <c r="D91" i="4"/>
  <c r="D90" i="4"/>
  <c r="D89" i="4"/>
  <c r="D75" i="4"/>
  <c r="D73" i="4"/>
  <c r="D71" i="4"/>
  <c r="D70" i="4"/>
  <c r="D69" i="4"/>
  <c r="D63" i="4"/>
  <c r="D59" i="4"/>
  <c r="D58" i="4"/>
  <c r="D53" i="4"/>
  <c r="D50" i="4"/>
  <c r="D49" i="4"/>
  <c r="D48" i="4"/>
  <c r="D46" i="4"/>
  <c r="D44" i="4"/>
  <c r="D43" i="4"/>
  <c r="D42" i="4"/>
  <c r="D41" i="4"/>
  <c r="D40" i="4"/>
  <c r="D13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<sst xmlns="http://schemas.openxmlformats.org/spreadsheetml/2006/main" count="391" uniqueCount="267">
  <si>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</si>
  <si>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</si>
  <si>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</si>
  <si>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</si>
  <si>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</si>
  <si>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</si>
  <si>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</si>
  <si>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</si>
  <si>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</si>
  <si>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</si>
  <si>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</si>
  <si>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</si>
  <si>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</si>
  <si>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</si>
  <si>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</si>
  <si>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</si>
  <si>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</si>
  <si>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</si>
  <si>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</si>
  <si>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</si>
  <si>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</si>
  <si>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</si>
  <si>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</si>
  <si>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</si>
  <si>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</si>
  <si>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</si>
  <si>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</si>
  <si>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</si>
  <si>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</si>
  <si>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</si>
  <si>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</si>
  <si>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</si>
  <si>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</si>
  <si>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</si>
  <si>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</si>
  <si>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</si>
  <si>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</si>
  <si>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</si>
  <si>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</si>
  <si>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</si>
  <si>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</si>
  <si>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</si>
  <si>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</si>
  <si>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</si>
  <si>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</si>
  <si>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</si>
  <si>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</si>
  <si>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</si>
  <si>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</si>
  <si>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</si>
  <si>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</si>
  <si>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</si>
  <si>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</si>
  <si>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</si>
  <si>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</si>
  <si>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</si>
  <si>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</si>
  <si>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</si>
  <si>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</si>
  <si>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</si>
  <si>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</si>
  <si>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</si>
  <si>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</si>
  <si>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</si>
  <si>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</si>
  <si>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</si>
  <si>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</si>
  <si>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</si>
  <si>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</si>
  <si>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</si>
  <si>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</si>
  <si>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</si>
  <si>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</si>
  <si>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</si>
  <si>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</si>
  <si>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</si>
  <si>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</si>
  <si>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</si>
  <si>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</si>
  <si>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</si>
  <si>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</si>
  <si>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</si>
  <si>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</si>
  <si>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</si>
  <si>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</si>
  <si>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</si>
  <si>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</si>
  <si>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</si>
  <si>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</si>
  <si>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</si>
  <si>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</si>
  <si>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</si>
  <si>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</si>
  <si>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</si>
  <si>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</si>
  <si>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</si>
  <si>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</si>
  <si>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</si>
  <si>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</si>
  <si>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</si>
  <si>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</si>
  <si>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</si>
  <si>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</si>
  <si>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</si>
  <si>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</si>
  <si>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</si>
  <si>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</si>
  <si>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</si>
  <si>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</si>
  <si>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</si>
  <si>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</si>
  <si>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</si>
  <si>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</si>
  <si>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</si>
  <si>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</si>
  <si>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</si>
  <si>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</si>
  <si>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</si>
  <si>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</si>
  <si>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</si>
  <si>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</si>
  <si>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</si>
  <si>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</si>
  <si>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</si>
  <si>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</si>
  <si>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</si>
  <si>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</si>
  <si>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</si>
  <si>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</si>
  <si>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</si>
  <si>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</si>
  <si>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</si>
  <si>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</si>
  <si>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</si>
  <si>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</si>
  <si>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</si>
  <si>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</si>
  <si>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</si>
  <si>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</si>
  <si>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</si>
  <si>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</si>
  <si>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</si>
  <si>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</si>
  <si>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</si>
  <si>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</si>
  <si>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</si>
  <si>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</si>
  <si>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</si>
  <si>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</si>
  <si>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</si>
  <si>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</si>
  <si>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</si>
  <si>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</si>
  <si>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</si>
  <si>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</si>
  <si>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</si>
  <si>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</si>
  <si>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</si>
  <si>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</si>
  <si>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</si>
  <si>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</si>
  <si>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</si>
  <si>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</si>
  <si>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</si>
  <si>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</si>
  <si>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</si>
  <si>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</si>
  <si>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</si>
  <si>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</si>
  <si>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</si>
  <si>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</si>
  <si>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</si>
  <si>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</si>
  <si>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</si>
  <si>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</si>
  <si>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</si>
  <si>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</si>
  <si>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</si>
  <si>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</si>
  <si>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</si>
  <si>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</si>
  <si>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</si>
  <si>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</si>
  <si>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</si>
  <si>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</si>
  <si>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</si>
  <si>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</si>
  <si>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</si>
  <si>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</si>
  <si>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</si>
  <si>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</si>
  <si>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</si>
  <si>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</si>
  <si>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</si>
  <si>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</si>
  <si>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</si>
  <si>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</si>
  <si>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</si>
  <si>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</si>
  <si>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</si>
  <si>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</si>
  <si>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</si>
  <si>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</si>
  <si>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</si>
  <si>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</si>
  <si>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</si>
  <si>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</si>
  <si>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</si>
  <si>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</si>
  <si>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</si>
  <si>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</si>
  <si>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</si>
  <si>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</si>
  <si>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</si>
  <si>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</si>
  <si>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</si>
  <si>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</si>
  <si>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</si>
  <si>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</si>
  <si>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</si>
  <si>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</si>
  <si>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</si>
  <si>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</si>
  <si>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</si>
  <si>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</si>
  <si>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</si>
  <si>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</si>
  <si>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</si>
  <si>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</si>
  <si>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</si>
  <si>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</si>
  <si>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</si>
  <si>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</si>
  <si>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</si>
  <si>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</si>
  <si>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</si>
  <si>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</si>
  <si>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</si>
  <si>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</si>
  <si>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</si>
  <si>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</si>
  <si>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</si>
  <si>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</si>
  <si>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</si>
  <si>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</si>
  <si>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</si>
  <si>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</si>
  <si>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</si>
  <si>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</si>
  <si>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</si>
  <si>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</si>
  <si>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</si>
  <si>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</si>
  <si>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공조배관공사,바닥난방공사,기타공사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</si>
  <si>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</si>
  <si>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</si>
  <si>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</si>
  <si>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</si>
  <si>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</si>
  <si>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</si>
  <si>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중앙경찰학교 강의동 증축공사</t>
    <phoneticPr fontId="2" type="noConversion"/>
  </si>
  <si>
    <t>충청도</t>
  </si>
  <si>
    <t>기초공사, 골재비및운반비, 작업부산물, 품질시험비,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</si>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</sst>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8983.7000000000007</v>
      </c>
      <c r="D7" s="36">
        <f>+C7/3.3058</f>
        <v>2717.5570209934058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1031620</v>
      </c>
      <c r="E25" s="59">
        <f t="shared" si="0"/>
        <v>3410320</v>
      </c>
    </row>
    <row r="26" spans="1:5" x14ac:dyDescent="0.3">
      <c r="B26" s="2">
        <v>3</v>
      </c>
      <c r="C26" s="35" t="s">
        <v>95</v>
      </c>
      <c r="D26" s="45">
        <f>+D66</f>
        <v>10540</v>
      </c>
      <c r="E26" s="59">
        <f t="shared" si="0"/>
        <v>34840</v>
      </c>
    </row>
    <row r="27" spans="1:5" x14ac:dyDescent="0.3">
      <c r="B27" s="2">
        <v>4</v>
      </c>
      <c r="C27" s="35" t="s">
        <v>96</v>
      </c>
      <c r="D27" s="45">
        <f>+D95</f>
        <v>125910</v>
      </c>
      <c r="E27" s="59">
        <f t="shared" si="0"/>
        <v>416230</v>
      </c>
    </row>
    <row r="28" spans="1:5" x14ac:dyDescent="0.3">
      <c r="B28" s="2">
        <v>5</v>
      </c>
      <c r="C28" s="35" t="s">
        <v>97</v>
      </c>
      <c r="D28" s="45">
        <f>+D119</f>
        <v>198320</v>
      </c>
      <c r="E28" s="59">
        <f t="shared" si="0"/>
        <v>655600</v>
      </c>
    </row>
    <row r="29" spans="1:5" x14ac:dyDescent="0.3">
      <c r="B29" s="2">
        <v>6</v>
      </c>
      <c r="C29" s="35" t="s">
        <v>98</v>
      </c>
      <c r="D29" s="45">
        <f>+D133</f>
        <v>85160</v>
      </c>
      <c r="E29" s="59">
        <f t="shared" si="0"/>
        <v>281520</v>
      </c>
    </row>
    <row r="30" spans="1:5" x14ac:dyDescent="0.3">
      <c r="B30" s="2">
        <v>7</v>
      </c>
      <c r="C30" s="35" t="s">
        <v>99</v>
      </c>
      <c r="D30" s="45">
        <f>+D146</f>
        <v>34790</v>
      </c>
      <c r="E30" s="59">
        <f t="shared" si="0"/>
        <v>115000</v>
      </c>
    </row>
    <row r="31" spans="1:5" x14ac:dyDescent="0.3">
      <c r="B31" s="2">
        <v>8</v>
      </c>
      <c r="C31" s="35" t="s">
        <v>100</v>
      </c>
      <c r="D31" s="45">
        <f>+D154</f>
        <v>20350</v>
      </c>
      <c r="E31" s="59">
        <f t="shared" si="0"/>
        <v>67270</v>
      </c>
    </row>
    <row r="32" spans="1:5" x14ac:dyDescent="0.3">
      <c r="B32" s="2">
        <v>9</v>
      </c>
      <c r="C32" s="35" t="s">
        <v>101</v>
      </c>
      <c r="D32" s="45">
        <f>+D161</f>
        <v>36180</v>
      </c>
      <c r="E32" s="59">
        <f t="shared" si="0"/>
        <v>119600</v>
      </c>
    </row>
    <row r="33" spans="1:7" x14ac:dyDescent="0.3">
      <c r="B33" s="2">
        <v>10</v>
      </c>
      <c r="C33" s="35" t="s">
        <v>154</v>
      </c>
      <c r="D33" s="53">
        <f>TRUNC(SUM(D24:D32)*0.275,-1)</f>
        <v>424280</v>
      </c>
      <c r="E33" s="60">
        <f t="shared" si="0"/>
        <v>1402580</v>
      </c>
    </row>
    <row r="34" spans="1:7" x14ac:dyDescent="0.3">
      <c r="C34" s="35" t="s">
        <v>112</v>
      </c>
      <c r="D34" s="44">
        <f>SUM(D24:D33)</f>
        <v>1967150</v>
      </c>
      <c r="E34" s="44">
        <f>SUM(E24:E33)</f>
        <v>6502960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TRUNC(53851,-1)</f>
        <v>53850</v>
      </c>
      <c r="E40" s="62">
        <f t="shared" ref="E40:E59" si="1">TRUNC(+D40*3.3058,-1)</f>
        <v>178010</v>
      </c>
    </row>
    <row r="41" spans="1:7" x14ac:dyDescent="0.3">
      <c r="A41" s="2">
        <v>2</v>
      </c>
      <c r="C41" s="38" t="s">
        <v>13</v>
      </c>
      <c r="D41" s="42">
        <f>TRUNC(130178,-1)</f>
        <v>130170</v>
      </c>
      <c r="E41" s="63">
        <f t="shared" si="1"/>
        <v>430310</v>
      </c>
    </row>
    <row r="42" spans="1:7" x14ac:dyDescent="0.3">
      <c r="A42" s="2">
        <v>3</v>
      </c>
      <c r="C42" s="38" t="s">
        <v>14</v>
      </c>
      <c r="D42" s="42">
        <f>TRUNC(8769,-1)</f>
        <v>8760</v>
      </c>
      <c r="E42" s="63">
        <f t="shared" si="1"/>
        <v>28950</v>
      </c>
    </row>
    <row r="43" spans="1:7" x14ac:dyDescent="0.3">
      <c r="A43" s="2">
        <v>4</v>
      </c>
      <c r="C43" s="38" t="s">
        <v>16</v>
      </c>
      <c r="D43" s="42">
        <f>TRUNC(77579,-1)</f>
        <v>77570</v>
      </c>
      <c r="E43" s="63">
        <f t="shared" si="1"/>
        <v>256430</v>
      </c>
    </row>
    <row r="44" spans="1:7" x14ac:dyDescent="0.3">
      <c r="A44" s="2">
        <v>5</v>
      </c>
      <c r="C44" s="38" t="s">
        <v>17</v>
      </c>
      <c r="D44" s="42">
        <f>TRUNC(27659,-1)</f>
        <v>27650</v>
      </c>
      <c r="E44" s="63">
        <f t="shared" si="1"/>
        <v>91400</v>
      </c>
    </row>
    <row r="45" spans="1:7" x14ac:dyDescent="0.3">
      <c r="A45" s="2">
        <v>6</v>
      </c>
      <c r="C45" s="38" t="s">
        <v>18</v>
      </c>
      <c r="D45" s="42">
        <v>6140</v>
      </c>
      <c r="E45" s="63">
        <f t="shared" si="1"/>
        <v>20290</v>
      </c>
    </row>
    <row r="46" spans="1:7" x14ac:dyDescent="0.3">
      <c r="A46" s="2">
        <v>7</v>
      </c>
      <c r="C46" s="38" t="s">
        <v>19</v>
      </c>
      <c r="D46" s="42">
        <f>TRUNC(13806,-1)</f>
        <v>13800</v>
      </c>
      <c r="E46" s="63">
        <f t="shared" si="1"/>
        <v>45620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TRUNC(61155,-1)</f>
        <v>61150</v>
      </c>
      <c r="E48" s="63">
        <f t="shared" si="1"/>
        <v>202140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TRUNC(26224,-1)</f>
        <v>26220</v>
      </c>
      <c r="E49" s="63">
        <f t="shared" si="1"/>
        <v>86670</v>
      </c>
    </row>
    <row r="50" spans="1:7" x14ac:dyDescent="0.3">
      <c r="A50" s="2">
        <v>11</v>
      </c>
      <c r="C50" s="38" t="s">
        <v>155</v>
      </c>
      <c r="D50" s="42">
        <f>TRUNC(49943,-1)</f>
        <v>49940</v>
      </c>
      <c r="E50" s="63">
        <f t="shared" si="1"/>
        <v>165090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20910</v>
      </c>
      <c r="E52" s="63">
        <f t="shared" si="1"/>
        <v>69120</v>
      </c>
    </row>
    <row r="53" spans="1:7" x14ac:dyDescent="0.3">
      <c r="A53" s="2">
        <v>14</v>
      </c>
      <c r="C53" s="38" t="s">
        <v>25</v>
      </c>
      <c r="D53" s="42">
        <f>TRUNC(140465,-1)</f>
        <v>140460</v>
      </c>
      <c r="E53" s="63">
        <f t="shared" si="1"/>
        <v>464330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TRUNC(12680+3853-364+2536+24069,-1)</f>
        <v>42770</v>
      </c>
      <c r="E58" s="63">
        <f t="shared" si="1"/>
        <v>141380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TRUNC(372236,-1)</f>
        <v>372230</v>
      </c>
      <c r="E59" s="64">
        <f t="shared" si="1"/>
        <v>1230510</v>
      </c>
    </row>
    <row r="60" spans="1:7" x14ac:dyDescent="0.3">
      <c r="A60" s="2">
        <v>21</v>
      </c>
      <c r="C60" s="27" t="s">
        <v>112</v>
      </c>
      <c r="D60" s="39">
        <f>SUM(D40:D59)</f>
        <v>1031620</v>
      </c>
      <c r="E60" s="39">
        <f>SUM(E40:E59)</f>
        <v>3410250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TRUNC(10542,-1)</f>
        <v>10540</v>
      </c>
      <c r="E63" s="62">
        <f>TRUNC(+D63*3.3058,-1)</f>
        <v>34840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10540</v>
      </c>
      <c r="E66" s="65">
        <f>SUM(E63:E65)</f>
        <v>34840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TRUNC(18882,-1)</f>
        <v>18880</v>
      </c>
      <c r="E69" s="62">
        <f t="shared" ref="E69:E94" si="2">TRUNC(+D69*3.3058,-1)</f>
        <v>62410</v>
      </c>
    </row>
    <row r="70" spans="1:7" ht="16.5" customHeight="1" x14ac:dyDescent="0.3">
      <c r="A70" s="2">
        <v>2</v>
      </c>
      <c r="C70" s="38" t="s">
        <v>31</v>
      </c>
      <c r="D70" s="42">
        <f>TRUNC(3998,-1)</f>
        <v>3990</v>
      </c>
      <c r="E70" s="63">
        <f t="shared" si="2"/>
        <v>13190</v>
      </c>
    </row>
    <row r="71" spans="1:7" x14ac:dyDescent="0.3">
      <c r="A71" s="2">
        <v>3</v>
      </c>
      <c r="C71" s="38" t="s">
        <v>32</v>
      </c>
      <c r="D71" s="42">
        <f>TRUNC(26807,-1)</f>
        <v>26800</v>
      </c>
      <c r="E71" s="63">
        <f t="shared" si="2"/>
        <v>88590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TRUNC(7715,-1)</f>
        <v>7710</v>
      </c>
      <c r="E73" s="63">
        <f t="shared" si="2"/>
        <v>25480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TRUNC(405,-1)</f>
        <v>400</v>
      </c>
      <c r="E75" s="63">
        <f t="shared" si="2"/>
        <v>1320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TRUNC(3024,-1)</f>
        <v>3020</v>
      </c>
      <c r="E89" s="63">
        <f t="shared" si="2"/>
        <v>9980</v>
      </c>
    </row>
    <row r="90" spans="1:7" x14ac:dyDescent="0.3">
      <c r="A90" s="2">
        <v>22</v>
      </c>
      <c r="C90" s="38" t="s">
        <v>36</v>
      </c>
      <c r="D90" s="42">
        <f>TRUNC(4761,-1)</f>
        <v>4760</v>
      </c>
      <c r="E90" s="63">
        <f t="shared" si="2"/>
        <v>15730</v>
      </c>
    </row>
    <row r="91" spans="1:7" x14ac:dyDescent="0.3">
      <c r="A91" s="2">
        <v>23</v>
      </c>
      <c r="C91" s="38" t="s">
        <v>37</v>
      </c>
      <c r="D91" s="42">
        <f>TRUNC(8492,-1)</f>
        <v>8490</v>
      </c>
      <c r="E91" s="63">
        <f t="shared" si="2"/>
        <v>28060</v>
      </c>
    </row>
    <row r="92" spans="1:7" x14ac:dyDescent="0.3">
      <c r="A92" s="2">
        <v>24</v>
      </c>
      <c r="C92" s="38" t="s">
        <v>38</v>
      </c>
      <c r="D92" s="42">
        <f>TRUNC(3387,-1)</f>
        <v>3380</v>
      </c>
      <c r="E92" s="63">
        <f t="shared" si="2"/>
        <v>11170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TRUNC(47151+106+1226,-1)</f>
        <v>48480</v>
      </c>
      <c r="E94" s="64">
        <f t="shared" si="2"/>
        <v>160260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125910</v>
      </c>
      <c r="E95" s="39">
        <f>SUM(E69:E94)</f>
        <v>416190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12550</v>
      </c>
      <c r="E98" s="62">
        <f t="shared" ref="E98:E118" si="3">TRUNC(+D98*3.3058,-1)</f>
        <v>41480</v>
      </c>
    </row>
    <row r="99" spans="1:7" x14ac:dyDescent="0.3">
      <c r="A99" s="2">
        <v>2</v>
      </c>
      <c r="C99" s="38" t="s">
        <v>40</v>
      </c>
      <c r="D99" s="42">
        <v>5000</v>
      </c>
      <c r="E99" s="63">
        <f t="shared" si="3"/>
        <v>16520</v>
      </c>
    </row>
    <row r="100" spans="1:7" x14ac:dyDescent="0.3">
      <c r="A100" s="2">
        <v>3</v>
      </c>
      <c r="C100" s="38" t="s">
        <v>41</v>
      </c>
      <c r="D100" s="42">
        <f>TRUNC(26787,-1)</f>
        <v>26780</v>
      </c>
      <c r="E100" s="63">
        <f t="shared" si="3"/>
        <v>88520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TRUNC(13608,-1)</f>
        <v>13600</v>
      </c>
      <c r="E102" s="63">
        <f t="shared" si="3"/>
        <v>44950</v>
      </c>
    </row>
    <row r="103" spans="1:7" x14ac:dyDescent="0.3">
      <c r="A103" s="2">
        <v>6</v>
      </c>
      <c r="C103" s="38" t="s">
        <v>44</v>
      </c>
      <c r="D103" s="42">
        <f>TRUNC(3958,-1)</f>
        <v>3950</v>
      </c>
      <c r="E103" s="63">
        <f t="shared" si="3"/>
        <v>13050</v>
      </c>
    </row>
    <row r="104" spans="1:7" x14ac:dyDescent="0.3">
      <c r="A104" s="2">
        <v>7</v>
      </c>
      <c r="C104" s="38" t="s">
        <v>45</v>
      </c>
      <c r="D104" s="42">
        <f>TRUNC(5912,-1)</f>
        <v>5910</v>
      </c>
      <c r="E104" s="63">
        <f t="shared" si="3"/>
        <v>19530</v>
      </c>
    </row>
    <row r="105" spans="1:7" x14ac:dyDescent="0.3">
      <c r="A105" s="2">
        <v>8</v>
      </c>
      <c r="C105" s="38" t="s">
        <v>46</v>
      </c>
      <c r="D105" s="42">
        <f>TRUNC(3843,-1)</f>
        <v>3840</v>
      </c>
      <c r="E105" s="63">
        <f t="shared" si="3"/>
        <v>12690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TRUNC(2966,-1)</f>
        <v>2960</v>
      </c>
      <c r="E114" s="63">
        <f t="shared" si="3"/>
        <v>9780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TRUNC(7849,-1)</f>
        <v>7840</v>
      </c>
      <c r="E116" s="63">
        <f t="shared" si="3"/>
        <v>25910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TRUNC(108531,-1)</f>
        <v>108530</v>
      </c>
      <c r="E117" s="63">
        <f t="shared" si="3"/>
        <v>358770</v>
      </c>
    </row>
    <row r="118" spans="1:7" ht="17.25" thickBot="1" x14ac:dyDescent="0.35">
      <c r="A118" s="2">
        <v>21</v>
      </c>
      <c r="C118" s="38" t="s">
        <v>47</v>
      </c>
      <c r="D118" s="43">
        <f>TRUNC(7363,-1)</f>
        <v>7360</v>
      </c>
      <c r="E118" s="64">
        <f t="shared" si="3"/>
        <v>24330</v>
      </c>
    </row>
    <row r="119" spans="1:7" x14ac:dyDescent="0.3">
      <c r="A119" s="2">
        <v>22</v>
      </c>
      <c r="C119" s="27" t="s">
        <v>112</v>
      </c>
      <c r="D119" s="39">
        <f>SUM(D98:D118)</f>
        <v>198320</v>
      </c>
      <c r="E119" s="39">
        <f>SUM(E98:E118)</f>
        <v>655530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TRUNC(5646,-1)</f>
        <v>5640</v>
      </c>
      <c r="E122" s="62">
        <f t="shared" ref="E122:E132" si="4">TRUNC(+D122*3.3058,-1)</f>
        <v>18640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TRUNC(10037,-1)</f>
        <v>10030</v>
      </c>
      <c r="E124" s="63">
        <f t="shared" si="4"/>
        <v>33150</v>
      </c>
    </row>
    <row r="125" spans="1:7" x14ac:dyDescent="0.3">
      <c r="A125" s="2">
        <v>4</v>
      </c>
      <c r="C125" s="38" t="s">
        <v>138</v>
      </c>
      <c r="D125" s="42">
        <f>TRUNC(4261,-1)</f>
        <v>4260</v>
      </c>
      <c r="E125" s="63">
        <f t="shared" si="4"/>
        <v>14080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TRUNC(5497,-1)</f>
        <v>5490</v>
      </c>
      <c r="E128" s="63">
        <f t="shared" si="4"/>
        <v>18140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43850</v>
      </c>
      <c r="E130" s="63">
        <f t="shared" si="4"/>
        <v>144950</v>
      </c>
    </row>
    <row r="131" spans="1:7" x14ac:dyDescent="0.3">
      <c r="A131" s="2">
        <v>10</v>
      </c>
      <c r="C131" s="38" t="s">
        <v>148</v>
      </c>
      <c r="D131" s="42">
        <v>14450</v>
      </c>
      <c r="E131" s="63">
        <f t="shared" si="4"/>
        <v>47760</v>
      </c>
    </row>
    <row r="132" spans="1:7" ht="18" thickBot="1" x14ac:dyDescent="0.35">
      <c r="A132" s="2">
        <v>11</v>
      </c>
      <c r="C132" s="38" t="s">
        <v>47</v>
      </c>
      <c r="D132" s="43">
        <f>TRUNC(893+548,-1)</f>
        <v>1440</v>
      </c>
      <c r="E132" s="64">
        <f t="shared" si="4"/>
        <v>4760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85160</v>
      </c>
      <c r="E133" s="39">
        <f>SUM(E122:E132)</f>
        <v>281480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432+2508</f>
        <v>2940</v>
      </c>
      <c r="E137" s="63">
        <f t="shared" si="5"/>
        <v>9710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TRUNC(3621,-1)</f>
        <v>3620</v>
      </c>
      <c r="E140" s="63">
        <f t="shared" si="5"/>
        <v>11960</v>
      </c>
    </row>
    <row r="141" spans="1:7" x14ac:dyDescent="0.3">
      <c r="A141" s="2">
        <v>6</v>
      </c>
      <c r="C141" s="38" t="s">
        <v>59</v>
      </c>
      <c r="D141" s="42">
        <f>TRUNC(5315,-1)</f>
        <v>5310</v>
      </c>
      <c r="E141" s="63">
        <f t="shared" si="5"/>
        <v>17550</v>
      </c>
    </row>
    <row r="142" spans="1:7" x14ac:dyDescent="0.3">
      <c r="A142" s="2">
        <v>7</v>
      </c>
      <c r="C142" s="38" t="s">
        <v>58</v>
      </c>
      <c r="D142" s="42">
        <f>TRUNC(2241,-1)</f>
        <v>2240</v>
      </c>
      <c r="E142" s="63">
        <f t="shared" si="5"/>
        <v>7400</v>
      </c>
    </row>
    <row r="143" spans="1:7" x14ac:dyDescent="0.3">
      <c r="A143" s="2">
        <v>8</v>
      </c>
      <c r="C143" s="38" t="s">
        <v>62</v>
      </c>
      <c r="D143" s="42">
        <f>TRUNC(4872,-1)</f>
        <v>4870</v>
      </c>
      <c r="E143" s="63">
        <f t="shared" si="5"/>
        <v>16090</v>
      </c>
    </row>
    <row r="144" spans="1:7" x14ac:dyDescent="0.3">
      <c r="A144" s="2">
        <v>9</v>
      </c>
      <c r="C144" s="38" t="s">
        <v>63</v>
      </c>
      <c r="D144" s="42">
        <f>TRUNC(13971,-1)</f>
        <v>13970</v>
      </c>
      <c r="E144" s="63">
        <f t="shared" si="5"/>
        <v>46180</v>
      </c>
    </row>
    <row r="145" spans="1:7" ht="17.25" thickBot="1" x14ac:dyDescent="0.35">
      <c r="A145" s="2">
        <v>10</v>
      </c>
      <c r="C145" s="38" t="s">
        <v>148</v>
      </c>
      <c r="D145" s="43">
        <f>TRUNC(1845,-1)</f>
        <v>1840</v>
      </c>
      <c r="E145" s="64">
        <f t="shared" si="5"/>
        <v>6080</v>
      </c>
    </row>
    <row r="146" spans="1:7" x14ac:dyDescent="0.3">
      <c r="A146" s="2">
        <v>11</v>
      </c>
      <c r="C146" s="27" t="s">
        <v>112</v>
      </c>
      <c r="D146" s="39">
        <f>SUM(D136:D145)</f>
        <v>34790</v>
      </c>
      <c r="E146" s="39">
        <f>SUM(E136:E145)</f>
        <v>114970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TRUNC(9010+2129,-1)</f>
        <v>11130</v>
      </c>
      <c r="E149" s="62">
        <f>TRUNC(+D149*3.3058,-1)</f>
        <v>36790</v>
      </c>
    </row>
    <row r="150" spans="1:7" x14ac:dyDescent="0.3">
      <c r="A150" s="2">
        <v>2</v>
      </c>
      <c r="C150" s="38" t="s">
        <v>49</v>
      </c>
      <c r="D150" s="42">
        <f>TRUNC(2258,-1)</f>
        <v>2250</v>
      </c>
      <c r="E150" s="63">
        <f>TRUNC(+D150*3.3058,-1)</f>
        <v>7430</v>
      </c>
    </row>
    <row r="151" spans="1:7" x14ac:dyDescent="0.3">
      <c r="A151" s="2">
        <v>3</v>
      </c>
      <c r="C151" s="38" t="s">
        <v>50</v>
      </c>
      <c r="D151" s="42">
        <f>TRUNC(6344,-1)</f>
        <v>6340</v>
      </c>
      <c r="E151" s="63">
        <f>TRUNC(+D151*3.3058,-1)</f>
        <v>20950</v>
      </c>
    </row>
    <row r="152" spans="1:7" x14ac:dyDescent="0.3">
      <c r="A152" s="2">
        <v>4</v>
      </c>
      <c r="C152" s="38" t="s">
        <v>47</v>
      </c>
      <c r="D152" s="42">
        <f>TRUNC(633,-1)</f>
        <v>630</v>
      </c>
      <c r="E152" s="63">
        <f>TRUNC(+D152*3.3058,-1)</f>
        <v>2080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20350</v>
      </c>
      <c r="E154" s="39">
        <f>SUM(E149:E153)</f>
        <v>67250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TRUNC(4788,-1)</f>
        <v>4780</v>
      </c>
      <c r="E157" s="62">
        <f>TRUNC(+D157*3.3058,-1)</f>
        <v>15800</v>
      </c>
    </row>
    <row r="158" spans="1:7" x14ac:dyDescent="0.3">
      <c r="A158" s="2">
        <v>2</v>
      </c>
      <c r="C158" s="38" t="s">
        <v>52</v>
      </c>
      <c r="D158" s="42">
        <f>TRUNC(12738,-1)</f>
        <v>12730</v>
      </c>
      <c r="E158" s="63">
        <f>TRUNC(+D158*3.3058,-1)</f>
        <v>42080</v>
      </c>
    </row>
    <row r="159" spans="1:7" x14ac:dyDescent="0.3">
      <c r="A159" s="2">
        <v>3</v>
      </c>
      <c r="C159" s="38" t="s">
        <v>47</v>
      </c>
      <c r="D159" s="42">
        <f>TRUNC(16315+2356,-1)</f>
        <v>18670</v>
      </c>
      <c r="E159" s="63">
        <f>TRUNC(+D159*3.3058,-1)</f>
        <v>61710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36180</v>
      </c>
      <c r="E161" s="39">
        <f>SUM(E157:E160)</f>
        <v>119590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2020-12-07T10:08:32Z</dcterms:modified>
</cp:coreProperties>
</file>