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1" i="4"/>
  <c r="D130" i="4"/>
  <c r="D128" i="4"/>
  <c r="D126" i="4"/>
  <c r="D125" i="4"/>
  <c r="D122" i="4"/>
  <c r="D118" i="4"/>
  <c r="D117" i="4"/>
  <c r="D116" i="4"/>
  <c r="D114" i="4"/>
  <c r="D105" i="4"/>
  <c r="D104" i="4"/>
  <c r="D102" i="4"/>
  <c r="D100" i="4"/>
  <c r="D99" i="4"/>
  <c r="D98" i="4"/>
  <c r="D94" i="4"/>
  <c r="D92" i="4"/>
  <c r="D91" i="4"/>
  <c r="D89" i="4"/>
  <c r="D76" i="4"/>
  <c r="D75" i="4"/>
  <c r="D73" i="4"/>
  <c r="D72" i="4"/>
  <c r="D71" i="4"/>
  <c r="D70" i="4"/>
  <c r="D69" i="4"/>
  <c r="D65" i="4"/>
  <c r="D63" i="4"/>
  <c r="D53" i="4" l="1"/>
  <c r="D52" i="4"/>
  <c r="D58" i="4"/>
  <c r="D40" i="4"/>
  <c r="D50" i="4"/>
  <c r="D49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<sst xmlns="http://schemas.openxmlformats.org/spreadsheetml/2006/main" count="392" uniqueCount="268">
  <si>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</si>
  <si>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</si>
  <si>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</si>
  <si>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</si>
  <si>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</si>
  <si>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</si>
  <si>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</si>
  <si>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</si>
  <si>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</si>
  <si>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</si>
  <si>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</si>
  <si>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</si>
  <si>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</si>
  <si>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</si>
  <si>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</si>
  <si>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</si>
  <si>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</si>
  <si>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</si>
  <si>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</si>
  <si>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</si>
  <si>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</si>
  <si>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</si>
  <si>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</si>
  <si>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</si>
  <si>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</si>
  <si>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</si>
  <si>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</si>
  <si>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</si>
  <si>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</si>
  <si>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</si>
  <si>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</si>
  <si>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</si>
  <si>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</si>
  <si>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</si>
  <si>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</si>
  <si>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</si>
  <si>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</si>
  <si>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</si>
  <si>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</si>
  <si>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</si>
  <si>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</si>
  <si>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</si>
  <si>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</si>
  <si>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</si>
  <si>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</si>
  <si>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</si>
  <si>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</si>
  <si>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</si>
  <si>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</si>
  <si>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</si>
  <si>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</si>
  <si>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</si>
  <si>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</si>
  <si>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</si>
  <si>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</si>
  <si>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</si>
  <si>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</si>
  <si>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</si>
  <si>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</si>
  <si>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</si>
  <si>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</si>
  <si>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</si>
  <si>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</si>
  <si>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</si>
  <si>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</si>
  <si>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</si>
  <si>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</si>
  <si>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</si>
  <si>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</si>
  <si>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</si>
  <si>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</si>
  <si>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</si>
  <si>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</si>
  <si>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</si>
  <si>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</si>
  <si>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</si>
  <si>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</si>
  <si>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</si>
  <si>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</si>
  <si>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</si>
  <si>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</si>
  <si>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</si>
  <si>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</si>
  <si>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</si>
  <si>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</si>
  <si>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</si>
  <si>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</si>
  <si>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</si>
  <si>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</si>
  <si>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</si>
  <si>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</si>
  <si>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</si>
  <si>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</si>
  <si>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</si>
  <si>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</si>
  <si>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</si>
  <si>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</si>
  <si>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</si>
  <si>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</si>
  <si>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</si>
  <si>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</si>
  <si>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</si>
  <si>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</si>
  <si>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</si>
  <si>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</si>
  <si>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</si>
  <si>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</si>
  <si>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</si>
  <si>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</si>
  <si>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</si>
  <si>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</si>
  <si>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</si>
  <si>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</si>
  <si>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</si>
  <si>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</si>
  <si>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</si>
  <si>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</si>
  <si>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</si>
  <si>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</si>
  <si>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</si>
  <si>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</si>
  <si>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</si>
  <si>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</si>
  <si>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</si>
  <si>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</si>
  <si>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</si>
  <si>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</si>
  <si>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</si>
  <si>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</si>
  <si>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</si>
  <si>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</si>
  <si>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</si>
  <si>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</si>
  <si>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</si>
  <si>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</si>
  <si>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</si>
  <si>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</si>
  <si>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</si>
  <si>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</si>
  <si>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</si>
  <si>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</si>
  <si>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</si>
  <si>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</si>
  <si>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</si>
  <si>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</si>
  <si>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</si>
  <si>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</si>
  <si>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</si>
  <si>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</si>
  <si>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</si>
  <si>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</si>
  <si>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</si>
  <si>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</si>
  <si>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</si>
  <si>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</si>
  <si>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</si>
  <si>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</si>
  <si>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</si>
  <si>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</si>
  <si>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</si>
  <si>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</si>
  <si>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</si>
  <si>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</si>
  <si>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</si>
  <si>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</si>
  <si>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</si>
  <si>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</si>
  <si>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</si>
  <si>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</si>
  <si>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</si>
  <si>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</si>
  <si>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</si>
  <si>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</si>
  <si>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</si>
  <si>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</si>
  <si>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</si>
  <si>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</si>
  <si>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</si>
  <si>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</si>
  <si>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</si>
  <si>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</si>
  <si>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</si>
  <si>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</si>
  <si>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</si>
  <si>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</si>
  <si>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</si>
  <si>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</si>
  <si>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</si>
  <si>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</si>
  <si>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</si>
  <si>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</si>
  <si>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</si>
  <si>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</si>
  <si>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</si>
  <si>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</si>
  <si>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</si>
  <si>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</si>
  <si>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</si>
  <si>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</si>
  <si>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</si>
  <si>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</si>
  <si>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</si>
  <si>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</si>
  <si>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</si>
  <si>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</si>
  <si>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</si>
  <si>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</si>
  <si>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</si>
  <si>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</si>
  <si>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</si>
  <si>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</si>
  <si>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</si>
  <si>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</si>
  <si>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</si>
  <si>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</si>
  <si>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</si>
  <si>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</si>
  <si>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</si>
  <si>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</si>
  <si>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</si>
  <si>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</si>
  <si>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</si>
  <si>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</si>
  <si>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</si>
  <si>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</si>
  <si>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</si>
  <si>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</si>
  <si>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</si>
  <si>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</si>
  <si>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</si>
  <si>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</si>
  <si>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</si>
  <si>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</si>
  <si>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</si>
  <si>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</si>
  <si>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</si>
  <si>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</si>
  <si>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</si>
  <si>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</si>
  <si>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</si>
  <si>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</si>
  <si>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</si>
  <si>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</si>
  <si>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</si>
  <si>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</si>
  <si>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</si>
  <si>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</si>
  <si>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</si>
  <si>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</si>
  <si>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</si>
  <si>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</si>
  <si>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</si>
  <si>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</si>
  <si>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</si>
  <si>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</si>
  <si>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</si>
  <si>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</si>
  <si>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충북대 오송보건의료융합연구관 신축공사</t>
    <phoneticPr fontId="2" type="noConversion"/>
  </si>
  <si>
    <t>충청도</t>
  </si>
  <si>
    <t>기초공사, 골재비및운반비, 작업부산물, 기타공사</t>
    <phoneticPr fontId="2" type="noConversion"/>
  </si>
  <si>
    <t>공조배관공사, 기타공사</t>
    <phoneticPr fontId="2" type="noConversion"/>
  </si>
  <si>
    <t>옥외보안등설비공사</t>
    <phoneticPr fontId="2" type="noConversion"/>
  </si>
  <si>
    <t>옥외소화배관공사, 펌프실배관공사, 제연덕트설치공사</t>
    <phoneticPr fontId="2" type="noConversion"/>
  </si>
  <si>
    <t>사급자재비, 운반비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</si>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</sst>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9096.93</v>
      </c>
      <c r="D7" s="36">
        <f>+C7/3.3058</f>
        <v>2751.8089418597615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833030</v>
      </c>
      <c r="E25" s="59">
        <f t="shared" si="0"/>
        <v>2753830</v>
      </c>
    </row>
    <row r="26" spans="1:5" x14ac:dyDescent="0.3">
      <c r="B26" s="2">
        <v>3</v>
      </c>
      <c r="C26" s="35" t="s">
        <v>95</v>
      </c>
      <c r="D26" s="45">
        <f>+D66</f>
        <v>11410</v>
      </c>
      <c r="E26" s="59">
        <f t="shared" si="0"/>
        <v>37710</v>
      </c>
    </row>
    <row r="27" spans="1:5" x14ac:dyDescent="0.3">
      <c r="B27" s="2">
        <v>4</v>
      </c>
      <c r="C27" s="35" t="s">
        <v>96</v>
      </c>
      <c r="D27" s="45">
        <f>+D95</f>
        <v>262290</v>
      </c>
      <c r="E27" s="59">
        <f t="shared" si="0"/>
        <v>867070</v>
      </c>
    </row>
    <row r="28" spans="1:5" x14ac:dyDescent="0.3">
      <c r="B28" s="2">
        <v>5</v>
      </c>
      <c r="C28" s="35" t="s">
        <v>97</v>
      </c>
      <c r="D28" s="45">
        <f>+D119</f>
        <v>215440</v>
      </c>
      <c r="E28" s="59">
        <f t="shared" si="0"/>
        <v>712200</v>
      </c>
    </row>
    <row r="29" spans="1:5" x14ac:dyDescent="0.3">
      <c r="B29" s="2">
        <v>6</v>
      </c>
      <c r="C29" s="35" t="s">
        <v>98</v>
      </c>
      <c r="D29" s="45">
        <f>+D133</f>
        <v>51730</v>
      </c>
      <c r="E29" s="59">
        <f t="shared" si="0"/>
        <v>171000</v>
      </c>
    </row>
    <row r="30" spans="1:5" x14ac:dyDescent="0.3">
      <c r="B30" s="2">
        <v>7</v>
      </c>
      <c r="C30" s="35" t="s">
        <v>99</v>
      </c>
      <c r="D30" s="45">
        <f>+D146</f>
        <v>43000</v>
      </c>
      <c r="E30" s="59">
        <f t="shared" si="0"/>
        <v>142140</v>
      </c>
    </row>
    <row r="31" spans="1:5" x14ac:dyDescent="0.3">
      <c r="B31" s="2">
        <v>8</v>
      </c>
      <c r="C31" s="35" t="s">
        <v>100</v>
      </c>
      <c r="D31" s="45">
        <f>+D154</f>
        <v>18030</v>
      </c>
      <c r="E31" s="59">
        <f t="shared" si="0"/>
        <v>59600</v>
      </c>
    </row>
    <row r="32" spans="1:5" x14ac:dyDescent="0.3">
      <c r="B32" s="2">
        <v>9</v>
      </c>
      <c r="C32" s="35" t="s">
        <v>101</v>
      </c>
      <c r="D32" s="45">
        <f>+D161</f>
        <v>24600</v>
      </c>
      <c r="E32" s="59">
        <f t="shared" si="0"/>
        <v>81320</v>
      </c>
    </row>
    <row r="33" spans="1:7" x14ac:dyDescent="0.3">
      <c r="B33" s="2">
        <v>10</v>
      </c>
      <c r="C33" s="35" t="s">
        <v>154</v>
      </c>
      <c r="D33" s="53">
        <f>TRUNC(SUM(D24:D32)*0.275,-1)</f>
        <v>401370</v>
      </c>
      <c r="E33" s="60">
        <f t="shared" si="0"/>
        <v>1326840</v>
      </c>
    </row>
    <row r="34" spans="1:7" x14ac:dyDescent="0.3">
      <c r="C34" s="35" t="s">
        <v>112</v>
      </c>
      <c r="D34" s="44">
        <f>SUM(D24:D33)</f>
        <v>1860900</v>
      </c>
      <c r="E34" s="44">
        <f>SUM(E24:E33)</f>
        <v>6151710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TRUNC(62793,-1)</f>
        <v>62790</v>
      </c>
      <c r="E40" s="62">
        <f t="shared" ref="E40:E59" si="1">TRUNC(+D40*3.3058,-1)</f>
        <v>207570</v>
      </c>
    </row>
    <row r="41" spans="1:7" x14ac:dyDescent="0.3">
      <c r="A41" s="2">
        <v>2</v>
      </c>
      <c r="C41" s="38" t="s">
        <v>13</v>
      </c>
      <c r="D41" s="42">
        <f>TRUNC(102296,-1)</f>
        <v>102290</v>
      </c>
      <c r="E41" s="63">
        <f t="shared" si="1"/>
        <v>338150</v>
      </c>
    </row>
    <row r="42" spans="1:7" x14ac:dyDescent="0.3">
      <c r="A42" s="2">
        <v>3</v>
      </c>
      <c r="C42" s="38" t="s">
        <v>14</v>
      </c>
      <c r="D42" s="42">
        <f>TRUNC(10836,-1)</f>
        <v>10830</v>
      </c>
      <c r="E42" s="63">
        <f t="shared" si="1"/>
        <v>35800</v>
      </c>
    </row>
    <row r="43" spans="1:7" x14ac:dyDescent="0.3">
      <c r="A43" s="2">
        <v>4</v>
      </c>
      <c r="C43" s="38" t="s">
        <v>16</v>
      </c>
      <c r="D43" s="42">
        <f>TRUNC(28719,-1)</f>
        <v>28710</v>
      </c>
      <c r="E43" s="63">
        <f t="shared" si="1"/>
        <v>94900</v>
      </c>
    </row>
    <row r="44" spans="1:7" x14ac:dyDescent="0.3">
      <c r="A44" s="2">
        <v>5</v>
      </c>
      <c r="C44" s="38" t="s">
        <v>17</v>
      </c>
      <c r="D44" s="42">
        <f>TRUNC(16838,-1)</f>
        <v>16830</v>
      </c>
      <c r="E44" s="63">
        <f t="shared" si="1"/>
        <v>55630</v>
      </c>
    </row>
    <row r="45" spans="1:7" x14ac:dyDescent="0.3">
      <c r="A45" s="2">
        <v>6</v>
      </c>
      <c r="C45" s="38" t="s">
        <v>18</v>
      </c>
      <c r="D45" s="42">
        <f>TRUNC(7434,-1)</f>
        <v>7430</v>
      </c>
      <c r="E45" s="63">
        <f t="shared" si="1"/>
        <v>24560</v>
      </c>
    </row>
    <row r="46" spans="1:7" x14ac:dyDescent="0.3">
      <c r="A46" s="2">
        <v>7</v>
      </c>
      <c r="C46" s="38" t="s">
        <v>19</v>
      </c>
      <c r="D46" s="42">
        <f>TRUNC(90103,-1)</f>
        <v>90100</v>
      </c>
      <c r="E46" s="63">
        <f t="shared" si="1"/>
        <v>297850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61390</v>
      </c>
      <c r="E48" s="63">
        <f t="shared" si="1"/>
        <v>202940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TRUNC(24206,-1)</f>
        <v>24200</v>
      </c>
      <c r="E49" s="63">
        <f t="shared" si="1"/>
        <v>80000</v>
      </c>
    </row>
    <row r="50" spans="1:7" x14ac:dyDescent="0.3">
      <c r="A50" s="2">
        <v>11</v>
      </c>
      <c r="C50" s="38" t="s">
        <v>155</v>
      </c>
      <c r="D50" s="42">
        <f>TRUNC(68495,-1)</f>
        <v>68490</v>
      </c>
      <c r="E50" s="63">
        <f t="shared" si="1"/>
        <v>226410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TRUNC(12232,-1)</f>
        <v>12230</v>
      </c>
      <c r="E52" s="63">
        <f t="shared" si="1"/>
        <v>40420</v>
      </c>
    </row>
    <row r="53" spans="1:7" x14ac:dyDescent="0.3">
      <c r="A53" s="2">
        <v>14</v>
      </c>
      <c r="C53" s="38" t="s">
        <v>25</v>
      </c>
      <c r="D53" s="42">
        <f>TRUNC(32216,-1)</f>
        <v>32210</v>
      </c>
      <c r="E53" s="63">
        <f t="shared" si="1"/>
        <v>106470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TRUNC(9790+8726-528+64725,-1)</f>
        <v>82710</v>
      </c>
      <c r="E58" s="63">
        <f t="shared" si="1"/>
        <v>273420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v>232820</v>
      </c>
      <c r="E59" s="64">
        <f t="shared" si="1"/>
        <v>769650</v>
      </c>
    </row>
    <row r="60" spans="1:7" x14ac:dyDescent="0.3">
      <c r="A60" s="2">
        <v>21</v>
      </c>
      <c r="C60" s="27" t="s">
        <v>112</v>
      </c>
      <c r="D60" s="39">
        <f>SUM(D40:D59)</f>
        <v>833030</v>
      </c>
      <c r="E60" s="39">
        <f>SUM(E40:E59)</f>
        <v>2753770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TRUNC(7673,-1)</f>
        <v>7670</v>
      </c>
      <c r="E63" s="62">
        <f>TRUNC(+D63*3.3058,-1)</f>
        <v>25350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TRUNC(3746,-1)</f>
        <v>3740</v>
      </c>
      <c r="E65" s="64">
        <f>TRUNC(+D65*3.3058,-1)</f>
        <v>12360</v>
      </c>
    </row>
    <row r="66" spans="1:7" x14ac:dyDescent="0.3">
      <c r="A66" s="2">
        <v>4</v>
      </c>
      <c r="C66" s="27" t="s">
        <v>112</v>
      </c>
      <c r="D66" s="39">
        <f>SUM(D63:D65)</f>
        <v>11410</v>
      </c>
      <c r="E66" s="65">
        <f>SUM(E63:E65)</f>
        <v>37710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TRUNC(16585,-1)</f>
        <v>16580</v>
      </c>
      <c r="E69" s="62">
        <f t="shared" ref="E69:E94" si="2">TRUNC(+D69*3.3058,-1)</f>
        <v>54810</v>
      </c>
    </row>
    <row r="70" spans="1:7" ht="16.5" customHeight="1" x14ac:dyDescent="0.3">
      <c r="A70" s="2">
        <v>2</v>
      </c>
      <c r="C70" s="38" t="s">
        <v>31</v>
      </c>
      <c r="D70" s="42">
        <f>TRUNC(771,-1)</f>
        <v>770</v>
      </c>
      <c r="E70" s="63">
        <f t="shared" si="2"/>
        <v>2540</v>
      </c>
    </row>
    <row r="71" spans="1:7" x14ac:dyDescent="0.3">
      <c r="A71" s="2">
        <v>3</v>
      </c>
      <c r="C71" s="38" t="s">
        <v>32</v>
      </c>
      <c r="D71" s="42">
        <f>TRUNC(5667,-1)</f>
        <v>5660</v>
      </c>
      <c r="E71" s="63">
        <f t="shared" si="2"/>
        <v>18710</v>
      </c>
    </row>
    <row r="72" spans="1:7" x14ac:dyDescent="0.3">
      <c r="A72" s="2">
        <v>4</v>
      </c>
      <c r="C72" s="38" t="s">
        <v>33</v>
      </c>
      <c r="D72" s="42">
        <f>TRUNC(3946,-1)</f>
        <v>3940</v>
      </c>
      <c r="E72" s="63">
        <f t="shared" si="2"/>
        <v>13020</v>
      </c>
    </row>
    <row r="73" spans="1:7" x14ac:dyDescent="0.3">
      <c r="A73" s="2">
        <v>5</v>
      </c>
      <c r="C73" s="38" t="s">
        <v>34</v>
      </c>
      <c r="D73" s="42">
        <f>TRUNC(13558,-1)</f>
        <v>13550</v>
      </c>
      <c r="E73" s="63">
        <f t="shared" si="2"/>
        <v>44790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TRUNC(1285,-1)</f>
        <v>1280</v>
      </c>
      <c r="E75" s="63">
        <f t="shared" si="2"/>
        <v>4230</v>
      </c>
    </row>
    <row r="76" spans="1:7" x14ac:dyDescent="0.3">
      <c r="A76" s="2">
        <v>8</v>
      </c>
      <c r="C76" s="38" t="s">
        <v>119</v>
      </c>
      <c r="D76" s="42">
        <f>TRUNC(34286,-1)</f>
        <v>34280</v>
      </c>
      <c r="E76" s="63">
        <f t="shared" si="2"/>
        <v>113320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TRUNC(5932,-1)</f>
        <v>5930</v>
      </c>
      <c r="E89" s="63">
        <f t="shared" si="2"/>
        <v>19600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TRUNC(14536,-1)</f>
        <v>14530</v>
      </c>
      <c r="E91" s="63">
        <f t="shared" si="2"/>
        <v>48030</v>
      </c>
    </row>
    <row r="92" spans="1:7" x14ac:dyDescent="0.3">
      <c r="A92" s="2">
        <v>24</v>
      </c>
      <c r="C92" s="38" t="s">
        <v>38</v>
      </c>
      <c r="D92" s="42">
        <f>TRUNC(5485,-1)</f>
        <v>5480</v>
      </c>
      <c r="E92" s="63">
        <f t="shared" si="2"/>
        <v>18110</v>
      </c>
    </row>
    <row r="93" spans="1:7" x14ac:dyDescent="0.3">
      <c r="A93" s="2">
        <v>25</v>
      </c>
      <c r="C93" s="38" t="s">
        <v>148</v>
      </c>
      <c r="D93" s="42">
        <v>149220</v>
      </c>
      <c r="E93" s="63">
        <f t="shared" si="2"/>
        <v>493290</v>
      </c>
    </row>
    <row r="94" spans="1:7" ht="17.25" thickBot="1" x14ac:dyDescent="0.35">
      <c r="A94" s="2">
        <v>26</v>
      </c>
      <c r="C94" s="38" t="s">
        <v>47</v>
      </c>
      <c r="D94" s="43">
        <f>TRUNC(3006+8072,-1)</f>
        <v>11070</v>
      </c>
      <c r="E94" s="64">
        <f t="shared" si="2"/>
        <v>36590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262290</v>
      </c>
      <c r="E95" s="39">
        <f>SUM(E69:E94)</f>
        <v>867040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TRUNC(16043,-1)</f>
        <v>16040</v>
      </c>
      <c r="E98" s="62">
        <f t="shared" ref="E98:E118" si="3">TRUNC(+D98*3.3058,-1)</f>
        <v>53020</v>
      </c>
    </row>
    <row r="99" spans="1:7" x14ac:dyDescent="0.3">
      <c r="A99" s="2">
        <v>2</v>
      </c>
      <c r="C99" s="38" t="s">
        <v>40</v>
      </c>
      <c r="D99" s="42">
        <f>TRUNC(6018,-1)</f>
        <v>6010</v>
      </c>
      <c r="E99" s="63">
        <f t="shared" si="3"/>
        <v>19860</v>
      </c>
    </row>
    <row r="100" spans="1:7" x14ac:dyDescent="0.3">
      <c r="A100" s="2">
        <v>3</v>
      </c>
      <c r="C100" s="38" t="s">
        <v>41</v>
      </c>
      <c r="D100" s="42">
        <f>TRUNC(31921,-1)</f>
        <v>31920</v>
      </c>
      <c r="E100" s="63">
        <f t="shared" si="3"/>
        <v>105520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TRUNC(22213,-1)</f>
        <v>22210</v>
      </c>
      <c r="E102" s="63">
        <f t="shared" si="3"/>
        <v>73420</v>
      </c>
    </row>
    <row r="103" spans="1:7" x14ac:dyDescent="0.3">
      <c r="A103" s="2">
        <v>6</v>
      </c>
      <c r="C103" s="38" t="s">
        <v>44</v>
      </c>
      <c r="D103" s="42">
        <v>4330</v>
      </c>
      <c r="E103" s="63">
        <f t="shared" si="3"/>
        <v>14310</v>
      </c>
    </row>
    <row r="104" spans="1:7" x14ac:dyDescent="0.3">
      <c r="A104" s="2">
        <v>7</v>
      </c>
      <c r="C104" s="38" t="s">
        <v>45</v>
      </c>
      <c r="D104" s="42">
        <f>TRUNC(5542,-1)</f>
        <v>5540</v>
      </c>
      <c r="E104" s="63">
        <f t="shared" si="3"/>
        <v>18310</v>
      </c>
    </row>
    <row r="105" spans="1:7" x14ac:dyDescent="0.3">
      <c r="A105" s="2">
        <v>8</v>
      </c>
      <c r="C105" s="38" t="s">
        <v>46</v>
      </c>
      <c r="D105" s="42">
        <f>TRUNC(9037,-1)</f>
        <v>9030</v>
      </c>
      <c r="E105" s="63">
        <f t="shared" si="3"/>
        <v>29850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TRUNC(1746,-1)</f>
        <v>1740</v>
      </c>
      <c r="E114" s="63">
        <f t="shared" si="3"/>
        <v>5750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TRUNC(6095,-1)</f>
        <v>6090</v>
      </c>
      <c r="E116" s="63">
        <f t="shared" si="3"/>
        <v>20130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TRUNC(112057,-1)</f>
        <v>112050</v>
      </c>
      <c r="E117" s="63">
        <f t="shared" si="3"/>
        <v>370410</v>
      </c>
    </row>
    <row r="118" spans="1:7" ht="17.25" thickBot="1" x14ac:dyDescent="0.35">
      <c r="A118" s="2">
        <v>21</v>
      </c>
      <c r="C118" s="38" t="s">
        <v>47</v>
      </c>
      <c r="D118" s="43">
        <f>TRUNC(482,-1)</f>
        <v>480</v>
      </c>
      <c r="E118" s="64">
        <f t="shared" si="3"/>
        <v>1580</v>
      </c>
    </row>
    <row r="119" spans="1:7" x14ac:dyDescent="0.3">
      <c r="A119" s="2">
        <v>22</v>
      </c>
      <c r="C119" s="27" t="s">
        <v>112</v>
      </c>
      <c r="D119" s="39">
        <f>SUM(D98:D118)</f>
        <v>215440</v>
      </c>
      <c r="E119" s="39">
        <f>SUM(E98:E118)</f>
        <v>712160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TRUNC(3221,-1)</f>
        <v>3220</v>
      </c>
      <c r="E122" s="62">
        <f t="shared" ref="E122:E132" si="4">TRUNC(+D122*3.3058,-1)</f>
        <v>10640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TRUNC(4802,-1)</f>
        <v>4800</v>
      </c>
      <c r="E125" s="63">
        <f t="shared" si="4"/>
        <v>15860</v>
      </c>
    </row>
    <row r="126" spans="1:7" x14ac:dyDescent="0.3">
      <c r="A126" s="2">
        <v>5</v>
      </c>
      <c r="C126" s="38" t="s">
        <v>53</v>
      </c>
      <c r="D126" s="42">
        <f>TRUNC(904,-1)</f>
        <v>900</v>
      </c>
      <c r="E126" s="63">
        <f t="shared" si="4"/>
        <v>2970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TRUNC(3804,-1)</f>
        <v>3800</v>
      </c>
      <c r="E128" s="63">
        <f t="shared" si="4"/>
        <v>12560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TRUNC(12552,-1)</f>
        <v>12550</v>
      </c>
      <c r="E130" s="63">
        <f t="shared" si="4"/>
        <v>41480</v>
      </c>
    </row>
    <row r="131" spans="1:7" x14ac:dyDescent="0.3">
      <c r="A131" s="2">
        <v>10</v>
      </c>
      <c r="C131" s="38" t="s">
        <v>148</v>
      </c>
      <c r="D131" s="42">
        <f>TRUNC(26469,-1)</f>
        <v>26460</v>
      </c>
      <c r="E131" s="63">
        <f t="shared" si="4"/>
        <v>87470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51730</v>
      </c>
      <c r="E133" s="39">
        <f>SUM(E122:E132)</f>
        <v>170980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TRUNC(114+2188+2429,-1)</f>
        <v>4730</v>
      </c>
      <c r="E137" s="63">
        <f t="shared" si="5"/>
        <v>15630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TRUNC(2127,-1)</f>
        <v>2120</v>
      </c>
      <c r="E140" s="63">
        <f t="shared" si="5"/>
        <v>7000</v>
      </c>
    </row>
    <row r="141" spans="1:7" x14ac:dyDescent="0.3">
      <c r="A141" s="2">
        <v>6</v>
      </c>
      <c r="C141" s="38" t="s">
        <v>59</v>
      </c>
      <c r="D141" s="42">
        <f>TRUNC(11513,-1)</f>
        <v>11510</v>
      </c>
      <c r="E141" s="63">
        <f t="shared" si="5"/>
        <v>38040</v>
      </c>
    </row>
    <row r="142" spans="1:7" x14ac:dyDescent="0.3">
      <c r="A142" s="2">
        <v>7</v>
      </c>
      <c r="C142" s="38" t="s">
        <v>58</v>
      </c>
      <c r="D142" s="42">
        <f>TRUNC(4865,-1)</f>
        <v>4860</v>
      </c>
      <c r="E142" s="63">
        <f t="shared" si="5"/>
        <v>16060</v>
      </c>
    </row>
    <row r="143" spans="1:7" x14ac:dyDescent="0.3">
      <c r="A143" s="2">
        <v>8</v>
      </c>
      <c r="C143" s="38" t="s">
        <v>62</v>
      </c>
      <c r="D143" s="42">
        <f>TRUNC(5726,-1)</f>
        <v>5720</v>
      </c>
      <c r="E143" s="63">
        <f t="shared" si="5"/>
        <v>18900</v>
      </c>
    </row>
    <row r="144" spans="1:7" x14ac:dyDescent="0.3">
      <c r="A144" s="2">
        <v>9</v>
      </c>
      <c r="C144" s="38" t="s">
        <v>63</v>
      </c>
      <c r="D144" s="42">
        <f>TRUNC(14065,-1)</f>
        <v>14060</v>
      </c>
      <c r="E144" s="63">
        <f t="shared" si="5"/>
        <v>46470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43000</v>
      </c>
      <c r="E146" s="39">
        <f>SUM(E136:E145)</f>
        <v>142100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TRUNC(5236+791,-1)</f>
        <v>6020</v>
      </c>
      <c r="E149" s="62">
        <f>TRUNC(+D149*3.3058,-1)</f>
        <v>19900</v>
      </c>
    </row>
    <row r="150" spans="1:7" x14ac:dyDescent="0.3">
      <c r="A150" s="2">
        <v>2</v>
      </c>
      <c r="C150" s="38" t="s">
        <v>49</v>
      </c>
      <c r="D150" s="42">
        <f>TRUNC(5374,-1)</f>
        <v>5370</v>
      </c>
      <c r="E150" s="63">
        <f>TRUNC(+D150*3.3058,-1)</f>
        <v>17750</v>
      </c>
    </row>
    <row r="151" spans="1:7" x14ac:dyDescent="0.3">
      <c r="A151" s="2">
        <v>3</v>
      </c>
      <c r="C151" s="38" t="s">
        <v>50</v>
      </c>
      <c r="D151" s="42">
        <f>TRUNC(1129,-1)</f>
        <v>1120</v>
      </c>
      <c r="E151" s="63">
        <f>TRUNC(+D151*3.3058,-1)</f>
        <v>3700</v>
      </c>
    </row>
    <row r="152" spans="1:7" x14ac:dyDescent="0.3">
      <c r="A152" s="2">
        <v>4</v>
      </c>
      <c r="C152" s="38" t="s">
        <v>47</v>
      </c>
      <c r="D152" s="42">
        <f>TRUNC(1357+209,-1)</f>
        <v>1560</v>
      </c>
      <c r="E152" s="63">
        <f>TRUNC(+D152*3.3058,-1)</f>
        <v>5150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TRUNC(3963,-1)</f>
        <v>3960</v>
      </c>
      <c r="E153" s="64">
        <f>TRUNC(+D153*3.3058,-1)</f>
        <v>13090</v>
      </c>
    </row>
    <row r="154" spans="1:7" x14ac:dyDescent="0.3">
      <c r="A154" s="2">
        <v>6</v>
      </c>
      <c r="C154" s="27" t="s">
        <v>112</v>
      </c>
      <c r="D154" s="39">
        <f>SUM(D149:D153)</f>
        <v>18030</v>
      </c>
      <c r="E154" s="39">
        <f>SUM(E149:E153)</f>
        <v>59590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TRUNC(11329,-1)</f>
        <v>11320</v>
      </c>
      <c r="E157" s="62">
        <f>TRUNC(+D157*3.3058,-1)</f>
        <v>37420</v>
      </c>
    </row>
    <row r="158" spans="1:7" x14ac:dyDescent="0.3">
      <c r="A158" s="2">
        <v>2</v>
      </c>
      <c r="C158" s="38" t="s">
        <v>52</v>
      </c>
      <c r="D158" s="42">
        <f>TRUNC(7749,-1)</f>
        <v>7740</v>
      </c>
      <c r="E158" s="63">
        <f>TRUNC(+D158*3.3058,-1)</f>
        <v>25580</v>
      </c>
    </row>
    <row r="159" spans="1:7" x14ac:dyDescent="0.3">
      <c r="A159" s="2">
        <v>3</v>
      </c>
      <c r="C159" s="38" t="s">
        <v>47</v>
      </c>
      <c r="D159" s="42">
        <f>TRUNC(5544,-1)</f>
        <v>5540</v>
      </c>
      <c r="E159" s="63">
        <f>TRUNC(+D159*3.3058,-1)</f>
        <v>18310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24600</v>
      </c>
      <c r="E161" s="39">
        <f>SUM(E157:E160)</f>
        <v>81310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2020-12-07T10:08:12Z</dcterms:modified>
</cp:coreProperties>
</file>