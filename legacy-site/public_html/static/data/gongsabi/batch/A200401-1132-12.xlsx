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29" i="4"/>
  <c r="E128" i="4"/>
  <c r="E127" i="4"/>
  <c r="E126" i="4"/>
  <c r="E124" i="4"/>
  <c r="E123" i="4"/>
  <c r="E122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99" i="4"/>
  <c r="E98" i="4"/>
  <c r="E91" i="4"/>
  <c r="E89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161" i="4" l="1"/>
  <c r="E60" i="4"/>
  <c r="E154" i="4"/>
  <c r="D161" i="4"/>
  <c r="D154" i="4"/>
  <c r="D146" i="4"/>
  <c r="D30" i="4" s="1"/>
  <c r="E30" i="4" s="1"/>
  <c r="D132" i="4"/>
  <c r="E132" i="4" s="1"/>
  <c r="D131" i="4"/>
  <c r="E131" i="4" s="1"/>
  <c r="D130" i="4"/>
  <c r="E130" i="4" s="1"/>
  <c r="D125" i="4"/>
  <c r="D118" i="4"/>
  <c r="E118" i="4" s="1"/>
  <c r="D117" i="4"/>
  <c r="E117" i="4" s="1"/>
  <c r="D116" i="4"/>
  <c r="E116" i="4" s="1"/>
  <c r="D100" i="4"/>
  <c r="D94" i="4"/>
  <c r="E94" i="4" s="1"/>
  <c r="D93" i="4"/>
  <c r="E93" i="4" s="1"/>
  <c r="D92" i="4"/>
  <c r="E92" i="4" s="1"/>
  <c r="D90" i="4"/>
  <c r="E90" i="4" s="1"/>
  <c r="D84" i="4"/>
  <c r="D74" i="4"/>
  <c r="E74" i="4" s="1"/>
  <c r="D63" i="4"/>
  <c r="D60" i="4"/>
  <c r="D25" i="4" s="1"/>
  <c r="E25" i="4" s="1"/>
  <c r="D32" i="4"/>
  <c r="E32" i="4" s="1"/>
  <c r="D31" i="4"/>
  <c r="E31" i="4" s="1"/>
  <c r="D24" i="4"/>
  <c r="E24" i="4" s="1"/>
  <c r="D7" i="4"/>
  <c r="D66" i="4" l="1"/>
  <c r="D26" i="4" s="1"/>
  <c r="E26" i="4" s="1"/>
  <c r="E34" i="4" s="1"/>
  <c r="E63" i="4"/>
  <c r="E66" i="4" s="1"/>
  <c r="D95" i="4"/>
  <c r="D27" i="4" s="1"/>
  <c r="E27" i="4" s="1"/>
  <c r="E84" i="4"/>
  <c r="E95" i="4" s="1"/>
  <c r="D119" i="4"/>
  <c r="D28" i="4" s="1"/>
  <c r="E28" i="4" s="1"/>
  <c r="E100" i="4"/>
  <c r="E119" i="4" s="1"/>
  <c r="D133" i="4"/>
  <c r="D29" i="4" s="1"/>
  <c r="E29" i="4" s="1"/>
  <c r="E125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<sst xmlns="http://schemas.openxmlformats.org/spreadsheetml/2006/main" count="384" uniqueCount="261">
  <si>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</si>
  <si>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</si>
  <si>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</si>
  <si>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</si>
  <si>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</si>
  <si>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</si>
  <si>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</si>
  <si>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</si>
  <si>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</si>
  <si>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</si>
  <si>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</si>
  <si>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</si>
  <si>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</si>
  <si>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</si>
  <si>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</si>
  <si>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</si>
  <si>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</si>
  <si>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</si>
  <si>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</si>
  <si>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</si>
  <si>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</si>
  <si>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</si>
  <si>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</si>
  <si>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</si>
  <si>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</si>
  <si>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</si>
  <si>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</si>
  <si>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</si>
  <si>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</si>
  <si>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</si>
  <si>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</si>
  <si>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</si>
  <si>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</si>
  <si>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</si>
  <si>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</si>
  <si>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</si>
  <si>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</si>
  <si>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</si>
  <si>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</si>
  <si>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</si>
  <si>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</si>
  <si>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</si>
  <si>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</si>
  <si>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</si>
  <si>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</si>
  <si>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</si>
  <si>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</si>
  <si>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</si>
  <si>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</si>
  <si>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</si>
  <si>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</si>
  <si>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</si>
  <si>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</si>
  <si>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</si>
  <si>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</si>
  <si>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</si>
  <si>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</si>
  <si>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</si>
  <si>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</si>
  <si>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</si>
  <si>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</si>
  <si>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</si>
  <si>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</si>
  <si>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</si>
  <si>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</si>
  <si>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</si>
  <si>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</si>
  <si>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</si>
  <si>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</si>
  <si>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</si>
  <si>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</si>
  <si>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</si>
  <si>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</si>
  <si>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</si>
  <si>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</si>
  <si>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</si>
  <si>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</si>
  <si>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</si>
  <si>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</si>
  <si>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</si>
  <si>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</si>
  <si>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</si>
  <si>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</si>
  <si>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</si>
  <si>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</si>
  <si>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</si>
  <si>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</si>
  <si>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</si>
  <si>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</si>
  <si>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</si>
  <si>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</si>
  <si>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</si>
  <si>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</si>
  <si>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</si>
  <si>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</si>
  <si>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</si>
  <si>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</si>
  <si>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</si>
  <si>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</si>
  <si>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</si>
  <si>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</si>
  <si>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</si>
  <si>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</si>
  <si>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</si>
  <si>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</si>
  <si>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</si>
  <si>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</si>
  <si>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</si>
  <si>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</si>
  <si>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</si>
  <si>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</si>
  <si>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</si>
  <si>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</si>
  <si>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</si>
  <si>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</si>
  <si>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</si>
  <si>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</si>
  <si>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</si>
  <si>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</si>
  <si>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</si>
  <si>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</si>
  <si>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</si>
  <si>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</si>
  <si>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</si>
  <si>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</si>
  <si>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</si>
  <si>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</si>
  <si>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</si>
  <si>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</si>
  <si>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</si>
  <si>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</si>
  <si>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</si>
  <si>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</si>
  <si>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</si>
  <si>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</si>
  <si>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</si>
  <si>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</si>
  <si>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</si>
  <si>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</si>
  <si>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</si>
  <si>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</si>
  <si>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</si>
  <si>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</si>
  <si>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</si>
  <si>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</si>
  <si>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</si>
  <si>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</si>
  <si>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</si>
  <si>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</si>
  <si>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</si>
  <si>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</si>
  <si>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</si>
  <si>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</si>
  <si>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</si>
  <si>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</si>
  <si>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</si>
  <si>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</si>
  <si>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</si>
  <si>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</si>
  <si>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</si>
  <si>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</si>
  <si>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</si>
  <si>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</si>
  <si>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</si>
  <si>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</si>
  <si>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</si>
  <si>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</si>
  <si>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</si>
  <si>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</si>
  <si>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</si>
  <si>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</si>
  <si>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</si>
  <si>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</si>
  <si>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</si>
  <si>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</si>
  <si>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</si>
  <si>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</si>
  <si>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</si>
  <si>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</si>
  <si>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</si>
  <si>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</si>
  <si>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</si>
  <si>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</si>
  <si>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</si>
  <si>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</si>
  <si>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</si>
  <si>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</si>
  <si>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</si>
  <si>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</si>
  <si>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</si>
  <si>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</si>
  <si>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</si>
  <si>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</si>
  <si>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</si>
  <si>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</si>
  <si>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</si>
  <si>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</si>
  <si>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</si>
  <si>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</si>
  <si>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</si>
  <si>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</si>
  <si>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</si>
  <si>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</si>
  <si>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</si>
  <si>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</si>
  <si>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</si>
  <si>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</si>
  <si>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</si>
  <si>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</si>
  <si>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</si>
  <si>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</si>
  <si>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</si>
  <si>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</si>
  <si>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</si>
  <si>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</si>
  <si>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</si>
  <si>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</si>
  <si>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</si>
  <si>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</si>
  <si>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</si>
  <si>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</si>
  <si>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</si>
  <si>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</si>
  <si>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</si>
  <si>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</si>
  <si>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</si>
  <si>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</si>
  <si>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</si>
  <si>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</si>
  <si>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</si>
  <si>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</si>
  <si>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</si>
  <si>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</si>
  <si>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</si>
  <si>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</si>
  <si>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</si>
  <si>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</si>
  <si>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</si>
  <si>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</si>
  <si>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</si>
  <si>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</si>
  <si>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</si>
  <si>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</si>
  <si>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</si>
  <si>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</si>
  <si>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</si>
  <si>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</si>
  <si>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</si>
  <si>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</si>
  <si>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</si>
  <si>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</si>
  <si>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</si>
  <si>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원/ m2</t>
    <phoneticPr fontId="2" type="noConversion"/>
  </si>
  <si>
    <t>경기도소재 00 중고등학교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</si>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</sst>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B20" sqref="B20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9996</v>
      </c>
      <c r="D7" s="36">
        <f>+C7/3.3058</f>
        <v>3023.7763930062315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381370</v>
      </c>
      <c r="E25" s="59">
        <f t="shared" si="0"/>
        <v>1260730</v>
      </c>
    </row>
    <row r="26" spans="1:5" x14ac:dyDescent="0.3">
      <c r="B26" s="2">
        <v>3</v>
      </c>
      <c r="C26" s="35" t="s">
        <v>95</v>
      </c>
      <c r="D26" s="45">
        <f>+D66</f>
        <v>18260</v>
      </c>
      <c r="E26" s="59">
        <f t="shared" si="0"/>
        <v>60360</v>
      </c>
    </row>
    <row r="27" spans="1:5" x14ac:dyDescent="0.3">
      <c r="B27" s="2">
        <v>4</v>
      </c>
      <c r="C27" s="35" t="s">
        <v>96</v>
      </c>
      <c r="D27" s="45">
        <f>+D95</f>
        <v>96770</v>
      </c>
      <c r="E27" s="59">
        <f t="shared" si="0"/>
        <v>319900</v>
      </c>
    </row>
    <row r="28" spans="1:5" x14ac:dyDescent="0.3">
      <c r="B28" s="2">
        <v>5</v>
      </c>
      <c r="C28" s="35" t="s">
        <v>97</v>
      </c>
      <c r="D28" s="45">
        <f>+D119</f>
        <v>53030</v>
      </c>
      <c r="E28" s="59">
        <f t="shared" si="0"/>
        <v>175300</v>
      </c>
    </row>
    <row r="29" spans="1:5" x14ac:dyDescent="0.3">
      <c r="B29" s="2">
        <v>6</v>
      </c>
      <c r="C29" s="35" t="s">
        <v>98</v>
      </c>
      <c r="D29" s="45">
        <f>+D133</f>
        <v>22030</v>
      </c>
      <c r="E29" s="59">
        <f t="shared" si="0"/>
        <v>72820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211640</v>
      </c>
      <c r="E33" s="60">
        <f t="shared" si="0"/>
        <v>699630</v>
      </c>
    </row>
    <row r="34" spans="1:7" x14ac:dyDescent="0.3">
      <c r="C34" s="35" t="s">
        <v>112</v>
      </c>
      <c r="D34" s="44">
        <f>SUM(D24:D33)</f>
        <v>783100</v>
      </c>
      <c r="E34" s="44">
        <f>SUM(E24:E33)</f>
        <v>2588740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254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31320</v>
      </c>
      <c r="E40" s="62">
        <f t="shared" ref="E40:E59" si="1">TRUNC(+D40*3.3058,-1)</f>
        <v>103530</v>
      </c>
    </row>
    <row r="41" spans="1:7" x14ac:dyDescent="0.3">
      <c r="A41" s="2">
        <v>2</v>
      </c>
      <c r="C41" s="38" t="s">
        <v>13</v>
      </c>
      <c r="D41" s="42">
        <v>155660</v>
      </c>
      <c r="E41" s="63">
        <f t="shared" si="1"/>
        <v>514580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194390</v>
      </c>
      <c r="E58" s="63">
        <f t="shared" si="1"/>
        <v>642610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381370</v>
      </c>
      <c r="E60" s="39">
        <f>SUM(E40:E59)</f>
        <v>1260720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254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TRUNC(18265.7006802721,-1)</f>
        <v>18260</v>
      </c>
      <c r="E63" s="62">
        <f>TRUNC(+D63*3.3058,-1)</f>
        <v>60360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18260</v>
      </c>
      <c r="E66" s="57">
        <f>SUM(E63:E65)</f>
        <v>60360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254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TRUNC(4140.09673869548,-1)</f>
        <v>4140</v>
      </c>
      <c r="E74" s="63">
        <f>TRUNC(+D74*3.3058,-1)</f>
        <v>13680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TRUNC(4671.26200480192,-1)</f>
        <v>4670</v>
      </c>
      <c r="E84" s="63">
        <f>TRUNC(+D84*3.3058,-1)</f>
        <v>15430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TRUNC(431.84743897559,-1)</f>
        <v>430</v>
      </c>
      <c r="E90" s="63">
        <f>TRUNC(+D90*3.3058,-1)</f>
        <v>1420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TRUNC(19665.3467386955,-1)</f>
        <v>19660</v>
      </c>
      <c r="E92" s="63">
        <f>TRUNC(+D92*3.3058,-1)</f>
        <v>64990</v>
      </c>
    </row>
    <row r="93" spans="1:7" x14ac:dyDescent="0.3">
      <c r="A93" s="2">
        <v>25</v>
      </c>
      <c r="C93" s="38" t="s">
        <v>148</v>
      </c>
      <c r="D93" s="42">
        <f>TRUNC(62257.8031212485,-1)</f>
        <v>62250</v>
      </c>
      <c r="E93" s="63">
        <f>TRUNC(+D93*3.3058,-1)</f>
        <v>205780</v>
      </c>
    </row>
    <row r="94" spans="1:7" ht="17.25" thickBot="1" x14ac:dyDescent="0.35">
      <c r="A94" s="2">
        <v>26</v>
      </c>
      <c r="C94" s="38" t="s">
        <v>47</v>
      </c>
      <c r="D94" s="43">
        <f>TRUNC(5622.07573029212,-1)</f>
        <v>5620</v>
      </c>
      <c r="E94" s="64">
        <f>TRUNC(+D94*3.3058,-1)</f>
        <v>18570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96770</v>
      </c>
      <c r="E95" s="39">
        <f>SUM(E69:E94)</f>
        <v>319870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254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f>TRUNC(27466.0910364146,-1)</f>
        <v>27460</v>
      </c>
      <c r="E100" s="63">
        <f t="shared" si="4"/>
        <v>90770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f>TRUNC(8159.4243697479,-1)</f>
        <v>8150</v>
      </c>
      <c r="E116" s="63">
        <f t="shared" si="4"/>
        <v>26940</v>
      </c>
    </row>
    <row r="117" spans="1:7" x14ac:dyDescent="0.3">
      <c r="A117" s="2">
        <v>20</v>
      </c>
      <c r="C117" s="38" t="s">
        <v>148</v>
      </c>
      <c r="D117" s="42">
        <f>TRUNC(16331.5326130452,-1)</f>
        <v>16330</v>
      </c>
      <c r="E117" s="63">
        <f t="shared" si="4"/>
        <v>53980</v>
      </c>
    </row>
    <row r="118" spans="1:7" ht="17.25" thickBot="1" x14ac:dyDescent="0.35">
      <c r="A118" s="2">
        <v>21</v>
      </c>
      <c r="C118" s="38" t="s">
        <v>47</v>
      </c>
      <c r="D118" s="43">
        <f>TRUNC(1099.81682673069,-1)</f>
        <v>1090</v>
      </c>
      <c r="E118" s="64">
        <f t="shared" si="4"/>
        <v>3600</v>
      </c>
    </row>
    <row r="119" spans="1:7" x14ac:dyDescent="0.3">
      <c r="A119" s="2">
        <v>22</v>
      </c>
      <c r="C119" s="27" t="s">
        <v>112</v>
      </c>
      <c r="D119" s="39">
        <f>SUM(D98:D118)</f>
        <v>53030</v>
      </c>
      <c r="E119" s="39">
        <f>SUM(E98:E118)</f>
        <v>175290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254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TRUNC(2575.64355742297,-1)</f>
        <v>2570</v>
      </c>
      <c r="E125" s="63">
        <f t="shared" si="5"/>
        <v>8490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TRUNC(9637.65846338535,-1)</f>
        <v>9630</v>
      </c>
      <c r="E130" s="63">
        <f t="shared" si="5"/>
        <v>31830</v>
      </c>
    </row>
    <row r="131" spans="1:7" x14ac:dyDescent="0.3">
      <c r="A131" s="2">
        <v>10</v>
      </c>
      <c r="C131" s="38" t="s">
        <v>148</v>
      </c>
      <c r="D131" s="42">
        <f>TRUNC(6959.28371348539,-1)</f>
        <v>6950</v>
      </c>
      <c r="E131" s="63">
        <f t="shared" si="5"/>
        <v>22970</v>
      </c>
    </row>
    <row r="132" spans="1:7" ht="17.25" thickBot="1" x14ac:dyDescent="0.35">
      <c r="A132" s="2">
        <v>11</v>
      </c>
      <c r="C132" s="38" t="s">
        <v>47</v>
      </c>
      <c r="D132" s="43">
        <f>TRUNC(2889.84843937575,-1)</f>
        <v>2880</v>
      </c>
      <c r="E132" s="64">
        <f t="shared" si="5"/>
        <v>9520</v>
      </c>
    </row>
    <row r="133" spans="1:7" x14ac:dyDescent="0.3">
      <c r="A133" s="2">
        <v>12</v>
      </c>
      <c r="C133" s="27" t="s">
        <v>112</v>
      </c>
      <c r="D133" s="39">
        <f>SUM(D122:D132)</f>
        <v>22030</v>
      </c>
      <c r="E133" s="39">
        <f>SUM(E122:E132)</f>
        <v>72810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252</v>
      </c>
      <c r="E135" s="56" t="s">
        <v>254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252</v>
      </c>
      <c r="E148" s="56" t="s">
        <v>254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252</v>
      </c>
      <c r="E156" s="56" t="s">
        <v>254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2020-12-07T08:39:12Z</dcterms:modified>
</cp:coreProperties>
</file>