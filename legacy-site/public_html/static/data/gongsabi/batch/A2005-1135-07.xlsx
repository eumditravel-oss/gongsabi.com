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1" i="4"/>
  <c r="E130" i="4"/>
  <c r="E129" i="4"/>
  <c r="E128" i="4"/>
  <c r="E127" i="4"/>
  <c r="E126" i="4"/>
  <c r="E125" i="4"/>
  <c r="E124" i="4"/>
  <c r="E122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D93" i="4" l="1"/>
  <c r="E93" i="4" s="1"/>
  <c r="D59" i="4"/>
  <c r="E59" i="4" s="1"/>
  <c r="E95" i="4" l="1"/>
  <c r="D159" i="4"/>
  <c r="D152" i="4"/>
  <c r="E152" i="4" s="1"/>
  <c r="E154" i="4" s="1"/>
  <c r="D137" i="4"/>
  <c r="D132" i="4"/>
  <c r="E132" i="4" s="1"/>
  <c r="D123" i="4"/>
  <c r="E123" i="4" s="1"/>
  <c r="E133" i="4" s="1"/>
  <c r="D117" i="4"/>
  <c r="D94" i="4"/>
  <c r="E94" i="4" s="1"/>
  <c r="D66" i="4"/>
  <c r="D26" i="4" s="1"/>
  <c r="E26" i="4" s="1"/>
  <c r="D60" i="4"/>
  <c r="D25" i="4" s="1"/>
  <c r="E25" i="4" s="1"/>
  <c r="D58" i="4"/>
  <c r="E58" i="4" s="1"/>
  <c r="E60" i="4" s="1"/>
  <c r="D24" i="4"/>
  <c r="E24" i="4" s="1"/>
  <c r="D7" i="4"/>
  <c r="D154" i="4" l="1"/>
  <c r="D31" i="4" s="1"/>
  <c r="E31" i="4" s="1"/>
  <c r="D95" i="4"/>
  <c r="D27" i="4" s="1"/>
  <c r="E27" i="4" s="1"/>
  <c r="D133" i="4"/>
  <c r="D29" i="4" s="1"/>
  <c r="E29" i="4" s="1"/>
  <c r="D161" i="4"/>
  <c r="D32" i="4" s="1"/>
  <c r="E32" i="4" s="1"/>
  <c r="E159" i="4"/>
  <c r="E161" i="4" s="1"/>
  <c r="D119" i="4"/>
  <c r="D28" i="4" s="1"/>
  <c r="E28" i="4" s="1"/>
  <c r="E117" i="4"/>
  <c r="E119" i="4" s="1"/>
  <c r="D146" i="4"/>
  <c r="D30" i="4" s="1"/>
  <c r="E30" i="4" s="1"/>
  <c r="E137" i="4"/>
  <c r="E146" i="4" s="1"/>
  <c r="D33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<sst xmlns="http://schemas.openxmlformats.org/spreadsheetml/2006/main" count="397" uniqueCount="272">
  <si>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</si>
  <si>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</si>
  <si>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</si>
  <si>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</si>
  <si>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</si>
  <si>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</si>
  <si>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</si>
  <si>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</si>
  <si>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</si>
  <si>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</si>
  <si>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</si>
  <si>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</si>
  <si>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</si>
  <si>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</si>
  <si>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</si>
  <si>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</si>
  <si>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</si>
  <si>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</si>
  <si>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</si>
  <si>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</si>
  <si>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</si>
  <si>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</si>
  <si>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</si>
  <si>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</si>
  <si>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</si>
  <si>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</si>
  <si>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</si>
  <si>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</si>
  <si>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</si>
  <si>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</si>
  <si>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</si>
  <si>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</si>
  <si>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</si>
  <si>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</si>
  <si>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</si>
  <si>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</si>
  <si>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</si>
  <si>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</si>
  <si>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</si>
  <si>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</si>
  <si>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</si>
  <si>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</si>
  <si>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</si>
  <si>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</si>
  <si>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</si>
  <si>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</si>
  <si>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</si>
  <si>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</si>
  <si>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</si>
  <si>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</si>
  <si>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</si>
  <si>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</si>
  <si>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</si>
  <si>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</si>
  <si>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</si>
  <si>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</si>
  <si>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</si>
  <si>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</si>
  <si>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</si>
  <si>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</si>
  <si>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</si>
  <si>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</si>
  <si>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</si>
  <si>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</si>
  <si>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</si>
  <si>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</si>
  <si>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</si>
  <si>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</si>
  <si>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</si>
  <si>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</si>
  <si>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</si>
  <si>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</si>
  <si>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</si>
  <si>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</si>
  <si>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</si>
  <si>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</si>
  <si>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</si>
  <si>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</si>
  <si>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</si>
  <si>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</si>
  <si>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</si>
  <si>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</si>
  <si>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</si>
  <si>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</si>
  <si>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</si>
  <si>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</si>
  <si>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</si>
  <si>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</si>
  <si>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</si>
  <si>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</si>
  <si>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</si>
  <si>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</si>
  <si>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</si>
  <si>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</si>
  <si>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</si>
  <si>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</si>
  <si>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</si>
  <si>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</si>
  <si>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</si>
  <si>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</si>
  <si>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</si>
  <si>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</si>
  <si>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</si>
  <si>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</si>
  <si>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</si>
  <si>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</si>
  <si>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</si>
  <si>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</si>
  <si>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</si>
  <si>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</si>
  <si>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</si>
  <si>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</si>
  <si>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</si>
  <si>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</si>
  <si>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</si>
  <si>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</si>
  <si>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</si>
  <si>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</si>
  <si>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</si>
  <si>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</si>
  <si>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</si>
  <si>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</si>
  <si>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</si>
  <si>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</si>
  <si>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</si>
  <si>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</si>
  <si>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</si>
  <si>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</si>
  <si>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</si>
  <si>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</si>
  <si>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</si>
  <si>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</si>
  <si>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</si>
  <si>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</si>
  <si>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</si>
  <si>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</si>
  <si>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</si>
  <si>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</si>
  <si>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</si>
  <si>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</si>
  <si>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</si>
  <si>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</si>
  <si>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</si>
  <si>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</si>
  <si>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</si>
  <si>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</si>
  <si>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</si>
  <si>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</si>
  <si>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</si>
  <si>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</si>
  <si>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</si>
  <si>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</si>
  <si>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</si>
  <si>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</si>
  <si>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</si>
  <si>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</si>
  <si>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</si>
  <si>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</si>
  <si>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</si>
  <si>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</si>
  <si>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</si>
  <si>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</si>
  <si>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</si>
  <si>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</si>
  <si>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</si>
  <si>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</si>
  <si>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</si>
  <si>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</si>
  <si>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</si>
  <si>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</si>
  <si>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</si>
  <si>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</si>
  <si>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</si>
  <si>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</si>
  <si>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</si>
  <si>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</si>
  <si>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</si>
  <si>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</si>
  <si>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</si>
  <si>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</si>
  <si>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</si>
  <si>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</si>
  <si>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</si>
  <si>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</si>
  <si>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</si>
  <si>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</si>
  <si>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</si>
  <si>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</si>
  <si>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</si>
  <si>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</si>
  <si>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</si>
  <si>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</si>
  <si>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</si>
  <si>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</si>
  <si>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</si>
  <si>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</si>
  <si>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</si>
  <si>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</si>
  <si>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</si>
  <si>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</si>
  <si>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</si>
  <si>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</si>
  <si>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</si>
  <si>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</si>
  <si>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</si>
  <si>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</si>
  <si>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</si>
  <si>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</si>
  <si>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</si>
  <si>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</si>
  <si>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</si>
  <si>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</si>
  <si>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</si>
  <si>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</si>
  <si>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</si>
  <si>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</si>
  <si>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</si>
  <si>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</si>
  <si>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</si>
  <si>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</si>
  <si>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</si>
  <si>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</si>
  <si>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</si>
  <si>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</si>
  <si>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</si>
  <si>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</si>
  <si>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</si>
  <si>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</si>
  <si>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</si>
  <si>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</si>
  <si>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</si>
  <si>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</si>
  <si>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</si>
  <si>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</si>
  <si>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</si>
  <si>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</si>
  <si>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</si>
  <si>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</si>
  <si>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</si>
  <si>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</si>
  <si>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</si>
  <si>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</si>
  <si>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</si>
  <si>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</si>
  <si>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</si>
  <si>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</si>
  <si>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</si>
  <si>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외국인유학생기숙사 건립공사</t>
  </si>
  <si>
    <t>대전시</t>
  </si>
  <si>
    <t>원/ m2</t>
    <phoneticPr fontId="2" type="noConversion"/>
  </si>
  <si>
    <t>지붕및기타공사</t>
    <phoneticPr fontId="2" type="noConversion"/>
  </si>
  <si>
    <t>기초및토공사,골재대,운반공사,사급자재비,폐기물처리비,품질관리비,작업부산물</t>
    <phoneticPr fontId="2" type="noConversion"/>
  </si>
  <si>
    <t>환기닥트설치공사</t>
    <phoneticPr fontId="2" type="noConversion"/>
  </si>
  <si>
    <t>냉난방드레인공사</t>
    <phoneticPr fontId="2" type="noConversion"/>
  </si>
  <si>
    <t>위생배관공사,초절전온수관공사</t>
    <phoneticPr fontId="2" type="noConversion"/>
  </si>
  <si>
    <t>전기단위세대공사</t>
    <phoneticPr fontId="2" type="noConversion"/>
  </si>
  <si>
    <t>전화설비공사,LAN설비공사</t>
    <phoneticPr fontId="2" type="noConversion"/>
  </si>
  <si>
    <t>전관방송공사</t>
    <phoneticPr fontId="2" type="noConversion"/>
  </si>
  <si>
    <t>정보통신단위세대,인터폰설비공사,객실관리설비공사</t>
    <phoneticPr fontId="2" type="noConversion"/>
  </si>
  <si>
    <t>기계 옥외소화배관공사, 펌프실소화배관공사, 소화배관공사,소방설비공사</t>
    <phoneticPr fontId="2" type="noConversion"/>
  </si>
  <si>
    <t>배수공사,운반대,작업부산물</t>
    <phoneticPr fontId="2" type="noConversion"/>
  </si>
  <si>
    <t>포장공사,골재대,운반공사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</si>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</sst>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3" sqref="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7043</v>
      </c>
      <c r="D7" s="36">
        <f>+C7/3.3058</f>
        <v>2130.4979127593924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512180</v>
      </c>
      <c r="E25" s="60">
        <f t="shared" si="0"/>
        <v>1693160</v>
      </c>
    </row>
    <row r="26" spans="1:5" x14ac:dyDescent="0.3">
      <c r="B26" s="2">
        <v>3</v>
      </c>
      <c r="C26" s="35" t="s">
        <v>95</v>
      </c>
      <c r="D26" s="45">
        <f>+D66</f>
        <v>5530</v>
      </c>
      <c r="E26" s="60">
        <f t="shared" si="0"/>
        <v>18280</v>
      </c>
    </row>
    <row r="27" spans="1:5" x14ac:dyDescent="0.3">
      <c r="B27" s="2">
        <v>4</v>
      </c>
      <c r="C27" s="35" t="s">
        <v>96</v>
      </c>
      <c r="D27" s="45">
        <f>+D95</f>
        <v>89580</v>
      </c>
      <c r="E27" s="60">
        <f t="shared" si="0"/>
        <v>296130</v>
      </c>
    </row>
    <row r="28" spans="1:5" x14ac:dyDescent="0.3">
      <c r="B28" s="2">
        <v>5</v>
      </c>
      <c r="C28" s="35" t="s">
        <v>97</v>
      </c>
      <c r="D28" s="45">
        <f>+D119</f>
        <v>90690</v>
      </c>
      <c r="E28" s="60">
        <f t="shared" si="0"/>
        <v>299800</v>
      </c>
    </row>
    <row r="29" spans="1:5" x14ac:dyDescent="0.3">
      <c r="B29" s="2">
        <v>6</v>
      </c>
      <c r="C29" s="35" t="s">
        <v>98</v>
      </c>
      <c r="D29" s="45">
        <f>+D133</f>
        <v>49570</v>
      </c>
      <c r="E29" s="60">
        <f t="shared" si="0"/>
        <v>163860</v>
      </c>
    </row>
    <row r="30" spans="1:5" x14ac:dyDescent="0.3">
      <c r="B30" s="2">
        <v>7</v>
      </c>
      <c r="C30" s="35" t="s">
        <v>99</v>
      </c>
      <c r="D30" s="45">
        <f>+D146</f>
        <v>9910</v>
      </c>
      <c r="E30" s="60">
        <f t="shared" si="0"/>
        <v>32760</v>
      </c>
    </row>
    <row r="31" spans="1:5" x14ac:dyDescent="0.3">
      <c r="B31" s="2">
        <v>8</v>
      </c>
      <c r="C31" s="35" t="s">
        <v>100</v>
      </c>
      <c r="D31" s="45">
        <f>+D154</f>
        <v>13750</v>
      </c>
      <c r="E31" s="60">
        <f t="shared" si="0"/>
        <v>45450</v>
      </c>
    </row>
    <row r="32" spans="1:5" x14ac:dyDescent="0.3">
      <c r="B32" s="2">
        <v>9</v>
      </c>
      <c r="C32" s="35" t="s">
        <v>101</v>
      </c>
      <c r="D32" s="45">
        <f>+D161</f>
        <v>22920</v>
      </c>
      <c r="E32" s="60">
        <f t="shared" si="0"/>
        <v>75760</v>
      </c>
    </row>
    <row r="33" spans="1:7" x14ac:dyDescent="0.3">
      <c r="B33" s="2">
        <v>10</v>
      </c>
      <c r="C33" s="35" t="s">
        <v>153</v>
      </c>
      <c r="D33" s="53">
        <f>TRUNC(SUM(D24:D32)*0.275,-1)</f>
        <v>218380</v>
      </c>
      <c r="E33" s="61">
        <f t="shared" si="0"/>
        <v>721920</v>
      </c>
    </row>
    <row r="34" spans="1:7" x14ac:dyDescent="0.3">
      <c r="C34" s="35" t="s">
        <v>112</v>
      </c>
      <c r="D34" s="44">
        <f>SUM(D24:D33)</f>
        <v>1012510</v>
      </c>
      <c r="E34" s="44">
        <f>SUM(E24:E33)</f>
        <v>3347120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234</v>
      </c>
      <c r="E36" s="56" t="s">
        <v>265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v>24250</v>
      </c>
      <c r="E40" s="63">
        <f t="shared" ref="E40:E59" si="1">TRUNC(+D40*3.3058,-1)</f>
        <v>80160</v>
      </c>
    </row>
    <row r="41" spans="1:7" x14ac:dyDescent="0.3">
      <c r="A41" s="2">
        <v>2</v>
      </c>
      <c r="C41" s="38" t="s">
        <v>13</v>
      </c>
      <c r="D41" s="42">
        <v>101480</v>
      </c>
      <c r="E41" s="64">
        <f t="shared" si="1"/>
        <v>335470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5690</v>
      </c>
      <c r="E43" s="64">
        <f t="shared" si="1"/>
        <v>18810</v>
      </c>
    </row>
    <row r="44" spans="1:7" x14ac:dyDescent="0.3">
      <c r="A44" s="2">
        <v>5</v>
      </c>
      <c r="C44" s="38" t="s">
        <v>17</v>
      </c>
      <c r="D44" s="42">
        <v>9150</v>
      </c>
      <c r="E44" s="64">
        <f t="shared" si="1"/>
        <v>30240</v>
      </c>
    </row>
    <row r="45" spans="1:7" x14ac:dyDescent="0.3">
      <c r="A45" s="2">
        <v>6</v>
      </c>
      <c r="C45" s="38" t="s">
        <v>18</v>
      </c>
      <c r="D45" s="42">
        <v>3000</v>
      </c>
      <c r="E45" s="64">
        <f t="shared" si="1"/>
        <v>9910</v>
      </c>
    </row>
    <row r="46" spans="1:7" x14ac:dyDescent="0.3">
      <c r="A46" s="2">
        <v>7</v>
      </c>
      <c r="C46" s="38" t="s">
        <v>19</v>
      </c>
      <c r="D46" s="42">
        <v>11340</v>
      </c>
      <c r="E46" s="64">
        <f t="shared" si="1"/>
        <v>37480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v>33220</v>
      </c>
      <c r="E48" s="64">
        <f t="shared" si="1"/>
        <v>109810</v>
      </c>
    </row>
    <row r="49" spans="1:7" x14ac:dyDescent="0.3">
      <c r="A49" s="2">
        <v>10</v>
      </c>
      <c r="C49" s="38" t="s">
        <v>22</v>
      </c>
      <c r="D49" s="42">
        <v>20260</v>
      </c>
      <c r="E49" s="64">
        <f t="shared" si="1"/>
        <v>66970</v>
      </c>
    </row>
    <row r="50" spans="1:7" x14ac:dyDescent="0.3">
      <c r="A50" s="2">
        <v>11</v>
      </c>
      <c r="C50" s="38" t="s">
        <v>154</v>
      </c>
      <c r="D50" s="42">
        <v>62840</v>
      </c>
      <c r="E50" s="64">
        <f t="shared" si="1"/>
        <v>207730</v>
      </c>
    </row>
    <row r="51" spans="1:7" x14ac:dyDescent="0.3">
      <c r="A51" s="2">
        <v>12</v>
      </c>
      <c r="C51" s="38" t="s">
        <v>23</v>
      </c>
      <c r="D51" s="42">
        <v>10020</v>
      </c>
      <c r="E51" s="64">
        <f t="shared" si="1"/>
        <v>33120</v>
      </c>
    </row>
    <row r="52" spans="1:7" x14ac:dyDescent="0.3">
      <c r="A52" s="2">
        <v>13</v>
      </c>
      <c r="C52" s="38" t="s">
        <v>24</v>
      </c>
      <c r="D52" s="42">
        <v>7510</v>
      </c>
      <c r="E52" s="64">
        <f t="shared" si="1"/>
        <v>24820</v>
      </c>
    </row>
    <row r="53" spans="1:7" x14ac:dyDescent="0.3">
      <c r="A53" s="2">
        <v>14</v>
      </c>
      <c r="C53" s="38" t="s">
        <v>25</v>
      </c>
      <c r="D53" s="42">
        <v>40500</v>
      </c>
      <c r="E53" s="64">
        <f t="shared" si="1"/>
        <v>133880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5210</v>
      </c>
      <c r="E55" s="64">
        <f t="shared" si="1"/>
        <v>17220</v>
      </c>
      <c r="F55" s="2" t="s">
        <v>250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20100+1300+2420+59100+1830+310-310</f>
        <v>84750</v>
      </c>
      <c r="E58" s="64">
        <f t="shared" si="1"/>
        <v>280160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TRUNC(92969.6152207866,-1)</f>
        <v>92960</v>
      </c>
      <c r="E59" s="65">
        <f t="shared" si="1"/>
        <v>307300</v>
      </c>
      <c r="F59" s="2" t="s">
        <v>262</v>
      </c>
    </row>
    <row r="60" spans="1:7" x14ac:dyDescent="0.3">
      <c r="A60" s="2">
        <v>21</v>
      </c>
      <c r="C60" s="27" t="s">
        <v>112</v>
      </c>
      <c r="D60" s="39">
        <f>SUM(D40:D59)</f>
        <v>512180</v>
      </c>
      <c r="E60" s="39">
        <f>SUM(E40:E59)</f>
        <v>1693080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249</v>
      </c>
      <c r="E62" s="56" t="s">
        <v>266</v>
      </c>
      <c r="F62" s="54"/>
      <c r="G62" s="54"/>
    </row>
    <row r="63" spans="1:7" x14ac:dyDescent="0.3">
      <c r="A63" s="2">
        <v>1</v>
      </c>
      <c r="C63" s="38" t="s">
        <v>27</v>
      </c>
      <c r="D63" s="40">
        <v>5530</v>
      </c>
      <c r="E63" s="63">
        <f>TRUNC(+D63*3.3058,-1)</f>
        <v>18280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5530</v>
      </c>
      <c r="E66" s="57">
        <f>SUM(E63:E65)</f>
        <v>18280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249</v>
      </c>
      <c r="E68" s="56" t="s">
        <v>266</v>
      </c>
      <c r="F68" s="54"/>
      <c r="G68" s="54"/>
    </row>
    <row r="69" spans="1:7" x14ac:dyDescent="0.3">
      <c r="A69" s="2">
        <v>1</v>
      </c>
      <c r="C69" s="38" t="s">
        <v>30</v>
      </c>
      <c r="D69" s="40">
        <v>6940</v>
      </c>
      <c r="E69" s="63">
        <f>TRUNC(+D69*3.3058,-1)</f>
        <v>22940</v>
      </c>
    </row>
    <row r="70" spans="1:7" ht="16.5" customHeight="1" x14ac:dyDescent="0.3">
      <c r="A70" s="2">
        <v>2</v>
      </c>
      <c r="C70" s="38" t="s">
        <v>31</v>
      </c>
      <c r="D70" s="42">
        <v>6940</v>
      </c>
      <c r="E70" s="64">
        <f>TRUNC(+D70*3.3058,-1)</f>
        <v>22940</v>
      </c>
    </row>
    <row r="71" spans="1:7" x14ac:dyDescent="0.3">
      <c r="A71" s="2">
        <v>3</v>
      </c>
      <c r="C71" s="38" t="s">
        <v>32</v>
      </c>
      <c r="D71" s="42">
        <v>6140</v>
      </c>
      <c r="E71" s="64">
        <f t="shared" ref="E71:E73" si="2">TRUNC(+D71*3.3058,-1)</f>
        <v>20290</v>
      </c>
    </row>
    <row r="72" spans="1:7" x14ac:dyDescent="0.3">
      <c r="A72" s="2">
        <v>4</v>
      </c>
      <c r="C72" s="38" t="s">
        <v>33</v>
      </c>
      <c r="D72" s="42">
        <v>2510</v>
      </c>
      <c r="E72" s="64">
        <f t="shared" si="2"/>
        <v>8290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110</v>
      </c>
      <c r="E75" s="64">
        <f>TRUNC(+D75*3.3058,-1)</f>
        <v>360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6100</v>
      </c>
      <c r="E79" s="64">
        <f t="shared" si="3"/>
        <v>20160</v>
      </c>
      <c r="F79" s="2" t="s">
        <v>252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2370</v>
      </c>
      <c r="E81" s="64">
        <f t="shared" si="3"/>
        <v>7830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450</v>
      </c>
      <c r="E84" s="64">
        <f>TRUNC(+D84*3.3058,-1)</f>
        <v>1480</v>
      </c>
      <c r="F84" s="2" t="s">
        <v>253</v>
      </c>
    </row>
    <row r="85" spans="1:7" x14ac:dyDescent="0.3">
      <c r="A85" s="2">
        <v>17</v>
      </c>
      <c r="C85" s="38" t="s">
        <v>123</v>
      </c>
      <c r="D85" s="42">
        <v>1690</v>
      </c>
      <c r="E85" s="64">
        <f t="shared" si="3"/>
        <v>5580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1120</v>
      </c>
      <c r="E90" s="64">
        <f>TRUNC(+D90*3.3058,-1)</f>
        <v>3700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TRUNC(11401.2494675564,-1)</f>
        <v>11400</v>
      </c>
      <c r="E93" s="64">
        <f>TRUNC(+D93*3.3058,-1)</f>
        <v>37680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19740+24070</f>
        <v>43810</v>
      </c>
      <c r="E94" s="65">
        <f>TRUNC(+D94*3.3058,-1)</f>
        <v>144820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89580</v>
      </c>
      <c r="E95" s="39">
        <f>SUM(E69:E94)</f>
        <v>296070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249</v>
      </c>
      <c r="E97" s="56" t="s">
        <v>266</v>
      </c>
      <c r="F97" s="54"/>
      <c r="G97" s="54"/>
    </row>
    <row r="98" spans="1:7" x14ac:dyDescent="0.3">
      <c r="A98" s="2">
        <v>1</v>
      </c>
      <c r="C98" s="38" t="s">
        <v>39</v>
      </c>
      <c r="D98" s="40">
        <v>4400</v>
      </c>
      <c r="E98" s="63">
        <f t="shared" ref="E98:E118" si="4">TRUNC(+D98*3.3058,-1)</f>
        <v>14540</v>
      </c>
    </row>
    <row r="99" spans="1:7" x14ac:dyDescent="0.3">
      <c r="A99" s="2">
        <v>2</v>
      </c>
      <c r="C99" s="38" t="s">
        <v>40</v>
      </c>
      <c r="D99" s="42">
        <v>8170</v>
      </c>
      <c r="E99" s="64">
        <f t="shared" si="4"/>
        <v>27000</v>
      </c>
    </row>
    <row r="100" spans="1:7" x14ac:dyDescent="0.3">
      <c r="A100" s="2">
        <v>3</v>
      </c>
      <c r="C100" s="38" t="s">
        <v>41</v>
      </c>
      <c r="D100" s="42">
        <v>5960</v>
      </c>
      <c r="E100" s="64">
        <f t="shared" si="4"/>
        <v>19700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3460</v>
      </c>
      <c r="E102" s="64">
        <f t="shared" si="4"/>
        <v>11430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640</v>
      </c>
      <c r="E104" s="64">
        <f t="shared" si="4"/>
        <v>2110</v>
      </c>
    </row>
    <row r="105" spans="1:7" x14ac:dyDescent="0.3">
      <c r="A105" s="2">
        <v>8</v>
      </c>
      <c r="C105" s="38" t="s">
        <v>46</v>
      </c>
      <c r="D105" s="42">
        <v>5400</v>
      </c>
      <c r="E105" s="64">
        <f t="shared" si="4"/>
        <v>17850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400</v>
      </c>
      <c r="E114" s="64">
        <f t="shared" si="4"/>
        <v>1320</v>
      </c>
    </row>
    <row r="115" spans="1:7" x14ac:dyDescent="0.3">
      <c r="A115" s="2">
        <v>18</v>
      </c>
      <c r="C115" s="38" t="s">
        <v>116</v>
      </c>
      <c r="D115" s="42">
        <v>6040</v>
      </c>
      <c r="E115" s="64">
        <f t="shared" si="4"/>
        <v>19960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18100+25370</f>
        <v>43470</v>
      </c>
      <c r="E117" s="64">
        <f t="shared" si="4"/>
        <v>143700</v>
      </c>
      <c r="F117" s="2" t="s">
        <v>264</v>
      </c>
    </row>
    <row r="118" spans="1:7" ht="17.25" thickBot="1" x14ac:dyDescent="0.35">
      <c r="A118" s="2">
        <v>21</v>
      </c>
      <c r="C118" s="38" t="s">
        <v>47</v>
      </c>
      <c r="D118" s="43">
        <v>12750</v>
      </c>
      <c r="E118" s="65">
        <f t="shared" si="4"/>
        <v>42140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90690</v>
      </c>
      <c r="E119" s="39">
        <f>SUM(E98:E118)</f>
        <v>299750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249</v>
      </c>
      <c r="E121" s="56" t="s">
        <v>266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650</v>
      </c>
      <c r="E122" s="63">
        <f t="shared" ref="E122:E132" si="5">TRUNC(+D122*3.3058,-1)</f>
        <v>2140</v>
      </c>
    </row>
    <row r="123" spans="1:7" x14ac:dyDescent="0.3">
      <c r="A123" s="2">
        <v>2</v>
      </c>
      <c r="C123" s="38" t="s">
        <v>124</v>
      </c>
      <c r="D123" s="42">
        <f>5130+6510</f>
        <v>11640</v>
      </c>
      <c r="E123" s="64">
        <f t="shared" si="5"/>
        <v>38470</v>
      </c>
      <c r="F123" s="2" t="s">
        <v>256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4090</v>
      </c>
      <c r="E125" s="64">
        <f t="shared" si="5"/>
        <v>13520</v>
      </c>
      <c r="F125" s="2" t="s">
        <v>257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5840</v>
      </c>
      <c r="E128" s="64">
        <f t="shared" si="5"/>
        <v>19300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20330</v>
      </c>
      <c r="E131" s="64">
        <f t="shared" si="5"/>
        <v>67200</v>
      </c>
      <c r="F131" s="2" t="s">
        <v>263</v>
      </c>
    </row>
    <row r="132" spans="1:7" ht="17.25" thickBot="1" x14ac:dyDescent="0.35">
      <c r="A132" s="2">
        <v>11</v>
      </c>
      <c r="C132" s="38" t="s">
        <v>47</v>
      </c>
      <c r="D132" s="43">
        <f>1930+110+4980</f>
        <v>7020</v>
      </c>
      <c r="E132" s="65">
        <f t="shared" si="5"/>
        <v>23200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49570</v>
      </c>
      <c r="E133" s="39">
        <f>SUM(E122:E132)</f>
        <v>163830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249</v>
      </c>
      <c r="E135" s="56" t="s">
        <v>266</v>
      </c>
      <c r="F135" s="54"/>
      <c r="G135" s="54"/>
    </row>
    <row r="136" spans="1:7" x14ac:dyDescent="0.3">
      <c r="A136" s="2">
        <v>1</v>
      </c>
      <c r="C136" s="38" t="s">
        <v>131</v>
      </c>
      <c r="D136" s="40"/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TRUNC(475.766860712764+958.448246485872+3245.32471957972+4896.18003691609,-1)</f>
        <v>9570</v>
      </c>
      <c r="E137" s="64">
        <f t="shared" si="6"/>
        <v>31630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340</v>
      </c>
      <c r="E140" s="64">
        <f t="shared" si="6"/>
        <v>1120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9910</v>
      </c>
      <c r="E146" s="39">
        <f>SUM(E136:E145)</f>
        <v>32750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249</v>
      </c>
      <c r="E148" s="56" t="s">
        <v>266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7450</v>
      </c>
      <c r="E150" s="64">
        <f>TRUNC(+D150*3.3058,-1)</f>
        <v>24620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TRUNC(5950+360-2,-1)</f>
        <v>6300</v>
      </c>
      <c r="E152" s="64">
        <f>TRUNC(+D152*3.3058,-1)</f>
        <v>20820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13750</v>
      </c>
      <c r="E154" s="39">
        <f>SUM(E149:E153)</f>
        <v>45440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249</v>
      </c>
      <c r="E156" s="56" t="s">
        <v>266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11270</v>
      </c>
      <c r="E157" s="63">
        <f>TRUNC(+D157*3.3058,-1)</f>
        <v>37250</v>
      </c>
    </row>
    <row r="158" spans="1:7" x14ac:dyDescent="0.3">
      <c r="A158" s="2">
        <v>2</v>
      </c>
      <c r="C158" s="38" t="s">
        <v>52</v>
      </c>
      <c r="D158" s="42">
        <v>9920</v>
      </c>
      <c r="E158" s="64">
        <f>TRUNC(+D158*3.3058,-1)</f>
        <v>32790</v>
      </c>
    </row>
    <row r="159" spans="1:7" x14ac:dyDescent="0.3">
      <c r="A159" s="2">
        <v>3</v>
      </c>
      <c r="C159" s="38" t="s">
        <v>47</v>
      </c>
      <c r="D159" s="42">
        <f>1540+180+10</f>
        <v>1730</v>
      </c>
      <c r="E159" s="64">
        <f>TRUNC(+D159*3.3058,-1)</f>
        <v>5710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22920</v>
      </c>
      <c r="E161" s="39">
        <f>SUM(E157:E160)</f>
        <v>75750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2020-12-07T09:00:34Z</dcterms:modified>
</cp:coreProperties>
</file>