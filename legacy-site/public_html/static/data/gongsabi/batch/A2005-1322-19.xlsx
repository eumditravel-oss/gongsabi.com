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84" i="4"/>
  <c r="E160" i="4" l="1"/>
  <c r="E158" i="4"/>
  <c r="E157" i="4"/>
  <c r="E153" i="4"/>
  <c r="E151" i="4"/>
  <c r="E145" i="4"/>
  <c r="E144" i="4"/>
  <c r="E143" i="4"/>
  <c r="E142" i="4"/>
  <c r="E141" i="4"/>
  <c r="E140" i="4"/>
  <c r="E139" i="4"/>
  <c r="E138" i="4"/>
  <c r="E136" i="4"/>
  <c r="E129" i="4"/>
  <c r="E127" i="4"/>
  <c r="E126" i="4"/>
  <c r="E124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2" i="4"/>
  <c r="E89" i="4"/>
  <c r="E88" i="4"/>
  <c r="E87" i="4"/>
  <c r="E86" i="4"/>
  <c r="E85" i="4"/>
  <c r="E84" i="4"/>
  <c r="E83" i="4"/>
  <c r="E82" i="4"/>
  <c r="E80" i="4"/>
  <c r="E79" i="4"/>
  <c r="E78" i="4"/>
  <c r="E77" i="4"/>
  <c r="E76" i="4"/>
  <c r="E75" i="4"/>
  <c r="E73" i="4"/>
  <c r="E72" i="4"/>
  <c r="E64" i="4"/>
  <c r="E57" i="4"/>
  <c r="E56" i="4"/>
  <c r="D59" i="4" l="1"/>
  <c r="E59" i="4" s="1"/>
  <c r="D159" i="4" l="1"/>
  <c r="D152" i="4"/>
  <c r="E152" i="4" s="1"/>
  <c r="D150" i="4"/>
  <c r="E150" i="4" s="1"/>
  <c r="D149" i="4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3" i="4"/>
  <c r="E123" i="4" s="1"/>
  <c r="D122" i="4"/>
  <c r="D118" i="4"/>
  <c r="E118" i="4" s="1"/>
  <c r="D117" i="4"/>
  <c r="E117" i="4" s="1"/>
  <c r="D115" i="4"/>
  <c r="E115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1" i="4"/>
  <c r="E91" i="4" s="1"/>
  <c r="D90" i="4"/>
  <c r="E90" i="4" s="1"/>
  <c r="D81" i="4"/>
  <c r="E81" i="4" s="1"/>
  <c r="D74" i="4"/>
  <c r="E74" i="4" s="1"/>
  <c r="D71" i="4"/>
  <c r="E71" i="4" s="1"/>
  <c r="D70" i="4"/>
  <c r="E70" i="4" s="1"/>
  <c r="D69" i="4"/>
  <c r="D65" i="4"/>
  <c r="E65" i="4" s="1"/>
  <c r="D63" i="4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37" i="4"/>
  <c r="E37" i="4" s="1"/>
  <c r="D7" i="4"/>
  <c r="D95" i="4" l="1"/>
  <c r="D27" i="4" s="1"/>
  <c r="E27" i="4" s="1"/>
  <c r="E69" i="4"/>
  <c r="E95" i="4" s="1"/>
  <c r="D133" i="4"/>
  <c r="D29" i="4" s="1"/>
  <c r="E29" i="4" s="1"/>
  <c r="E122" i="4"/>
  <c r="D154" i="4"/>
  <c r="D31" i="4" s="1"/>
  <c r="E31" i="4" s="1"/>
  <c r="E149" i="4"/>
  <c r="E154" i="4" s="1"/>
  <c r="E60" i="4"/>
  <c r="D60" i="4"/>
  <c r="D25" i="4" s="1"/>
  <c r="E25" i="4" s="1"/>
  <c r="E41" i="4"/>
  <c r="D66" i="4"/>
  <c r="D26" i="4" s="1"/>
  <c r="E26" i="4" s="1"/>
  <c r="E63" i="4"/>
  <c r="E66" i="4" s="1"/>
  <c r="E133" i="4"/>
  <c r="D24" i="4"/>
  <c r="E24" i="4" s="1"/>
  <c r="D119" i="4"/>
  <c r="D28" i="4" s="1"/>
  <c r="E28" i="4" s="1"/>
  <c r="E98" i="4"/>
  <c r="E119" i="4" s="1"/>
  <c r="D146" i="4"/>
  <c r="D30" i="4" s="1"/>
  <c r="E30" i="4" s="1"/>
  <c r="E137" i="4"/>
  <c r="E146" i="4" s="1"/>
  <c r="D161" i="4"/>
  <c r="D32" i="4" s="1"/>
  <c r="E32" i="4" s="1"/>
  <c r="E159" i="4"/>
  <c r="E161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l="1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<sst xmlns="http://schemas.openxmlformats.org/spreadsheetml/2006/main" count="395" uniqueCount="269">
  <si>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</si>
  <si>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</si>
  <si>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</si>
  <si>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</si>
  <si>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</si>
  <si>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</si>
  <si>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</si>
  <si>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</si>
  <si>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</si>
  <si>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</si>
  <si>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</si>
  <si>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</si>
  <si>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</si>
  <si>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</si>
  <si>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</si>
  <si>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</si>
  <si>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</si>
  <si>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</si>
  <si>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</si>
  <si>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</si>
  <si>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</si>
  <si>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</si>
  <si>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</si>
  <si>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</si>
  <si>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</si>
  <si>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</si>
  <si>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</si>
  <si>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</si>
  <si>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</si>
  <si>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</si>
  <si>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</si>
  <si>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</si>
  <si>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</si>
  <si>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</si>
  <si>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</si>
  <si>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</si>
  <si>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</si>
  <si>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</si>
  <si>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</si>
  <si>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</si>
  <si>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</si>
  <si>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</si>
  <si>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</si>
  <si>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</si>
  <si>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</si>
  <si>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</si>
  <si>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</si>
  <si>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</si>
  <si>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</si>
  <si>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</si>
  <si>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</si>
  <si>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</si>
  <si>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</si>
  <si>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</si>
  <si>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</si>
  <si>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</si>
  <si>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</si>
  <si>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</si>
  <si>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</si>
  <si>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</si>
  <si>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</si>
  <si>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</si>
  <si>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</si>
  <si>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</si>
  <si>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</si>
  <si>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</si>
  <si>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</si>
  <si>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</si>
  <si>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</si>
  <si>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</si>
  <si>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</si>
  <si>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</si>
  <si>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</si>
  <si>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</si>
  <si>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</si>
  <si>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</si>
  <si>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</si>
  <si>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</si>
  <si>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</si>
  <si>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</si>
  <si>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</si>
  <si>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</si>
  <si>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</si>
  <si>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</si>
  <si>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</si>
  <si>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</si>
  <si>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</si>
  <si>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</si>
  <si>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</si>
  <si>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</si>
  <si>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</si>
  <si>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</si>
  <si>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</si>
  <si>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</si>
  <si>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</si>
  <si>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</si>
  <si>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</si>
  <si>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</si>
  <si>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</si>
  <si>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</si>
  <si>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</si>
  <si>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</si>
  <si>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</si>
  <si>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</si>
  <si>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</si>
  <si>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</si>
  <si>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</si>
  <si>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</si>
  <si>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</si>
  <si>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</si>
  <si>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</si>
  <si>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</si>
  <si>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</si>
  <si>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</si>
  <si>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</si>
  <si>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</si>
  <si>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</si>
  <si>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</si>
  <si>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</si>
  <si>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</si>
  <si>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</si>
  <si>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</si>
  <si>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</si>
  <si>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</si>
  <si>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</si>
  <si>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</si>
  <si>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</si>
  <si>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</si>
  <si>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</si>
  <si>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</si>
  <si>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</si>
  <si>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</si>
  <si>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</si>
  <si>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</si>
  <si>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</si>
  <si>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</si>
  <si>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</si>
  <si>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</si>
  <si>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</si>
  <si>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</si>
  <si>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</si>
  <si>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</si>
  <si>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</si>
  <si>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</si>
  <si>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</si>
  <si>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</si>
  <si>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</si>
  <si>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</si>
  <si>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</si>
  <si>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</si>
  <si>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</si>
  <si>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</si>
  <si>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</si>
  <si>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</si>
  <si>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</si>
  <si>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</si>
  <si>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</si>
  <si>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</si>
  <si>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</si>
  <si>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</si>
  <si>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</si>
  <si>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</si>
  <si>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</si>
  <si>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</si>
  <si>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</si>
  <si>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</si>
  <si>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</si>
  <si>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</si>
  <si>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</si>
  <si>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</si>
  <si>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</si>
  <si>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</si>
  <si>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</si>
  <si>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</si>
  <si>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</si>
  <si>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</si>
  <si>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</si>
  <si>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</si>
  <si>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</si>
  <si>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</si>
  <si>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</si>
  <si>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</si>
  <si>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</si>
  <si>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</si>
  <si>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</si>
  <si>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</si>
  <si>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</si>
  <si>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</si>
  <si>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</si>
  <si>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</si>
  <si>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</si>
  <si>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</si>
  <si>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</si>
  <si>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</si>
  <si>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</si>
  <si>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</si>
  <si>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</si>
  <si>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</si>
  <si>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</si>
  <si>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</si>
  <si>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</si>
  <si>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</si>
  <si>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</si>
  <si>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</si>
  <si>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</si>
  <si>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</si>
  <si>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</si>
  <si>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</si>
  <si>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</si>
  <si>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</si>
  <si>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</si>
  <si>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</si>
  <si>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</si>
  <si>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</si>
  <si>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</si>
  <si>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</si>
  <si>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</si>
  <si>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</si>
  <si>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</si>
  <si>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</si>
  <si>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</si>
  <si>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</si>
  <si>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</si>
  <si>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</si>
  <si>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</si>
  <si>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</si>
  <si>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</si>
  <si>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</si>
  <si>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</si>
  <si>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</si>
  <si>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</si>
  <si>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</si>
  <si>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</si>
  <si>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</si>
  <si>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</si>
  <si>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</si>
  <si>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</si>
  <si>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</si>
  <si>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</si>
  <si>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</si>
  <si>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</si>
  <si>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</si>
  <si>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</si>
  <si>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</si>
  <si>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</si>
  <si>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</si>
  <si>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</si>
  <si>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</si>
  <si>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00우체국청사 신축공사</t>
  </si>
  <si>
    <t>지붕공사</t>
    <phoneticPr fontId="2" type="noConversion"/>
  </si>
  <si>
    <t>토공사,기타공사,주요자재비,운반공사,작업부산물,폐기물처리비,국기게양대공사,담장공사</t>
    <phoneticPr fontId="2" type="noConversion"/>
  </si>
  <si>
    <t>공조닥트설치공사</t>
  </si>
  <si>
    <t>옥외외등공사,가설창고</t>
    <phoneticPr fontId="2" type="noConversion"/>
  </si>
  <si>
    <t>LAN장비공사</t>
    <phoneticPr fontId="2" type="noConversion"/>
  </si>
  <si>
    <t>관급자설치관급자재</t>
  </si>
  <si>
    <t>현업실간이방송설비공사,CCTV설비공사,가설창고</t>
    <phoneticPr fontId="2" type="noConversion"/>
  </si>
  <si>
    <t>전기 소방설비공사</t>
    <phoneticPr fontId="2" type="noConversion"/>
  </si>
  <si>
    <t>운반비,자재대,폐기물처리비</t>
    <phoneticPr fontId="2" type="noConversion"/>
  </si>
  <si>
    <t>조경공사</t>
    <phoneticPr fontId="2" type="noConversion"/>
  </si>
  <si>
    <t>도급자설치</t>
    <phoneticPr fontId="2" type="noConversion"/>
  </si>
  <si>
    <t>도급자,관급자 설치</t>
    <phoneticPr fontId="2" type="noConversion"/>
  </si>
  <si>
    <t>원 /평</t>
    <phoneticPr fontId="2" type="noConversion"/>
  </si>
  <si>
    <t>냉난방기설치공사</t>
    <phoneticPr fontId="2" type="noConversion"/>
  </si>
  <si>
    <t>난방배관공사,위생배관공사,옥외배관공사,도시가스공사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</si>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</sst>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1991</v>
      </c>
      <c r="D7" s="36">
        <f>+C7/3.3058</f>
        <v>602.27478976344605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D37</f>
        <v>16000</v>
      </c>
      <c r="E24" s="59">
        <f t="shared" ref="E24:E33" si="0">TRUNC(+D24*3.3058,-1)</f>
        <v>52890</v>
      </c>
    </row>
    <row r="25" spans="1:5" x14ac:dyDescent="0.3">
      <c r="B25" s="2">
        <v>2</v>
      </c>
      <c r="C25" s="35" t="s">
        <v>111</v>
      </c>
      <c r="D25" s="45">
        <f>+D60</f>
        <v>652060</v>
      </c>
      <c r="E25" s="60">
        <f t="shared" si="0"/>
        <v>2155570</v>
      </c>
    </row>
    <row r="26" spans="1:5" x14ac:dyDescent="0.3">
      <c r="B26" s="2">
        <v>3</v>
      </c>
      <c r="C26" s="35" t="s">
        <v>95</v>
      </c>
      <c r="D26" s="45">
        <f>+D66</f>
        <v>106570</v>
      </c>
      <c r="E26" s="60">
        <f t="shared" si="0"/>
        <v>352290</v>
      </c>
    </row>
    <row r="27" spans="1:5" x14ac:dyDescent="0.3">
      <c r="B27" s="2">
        <v>4</v>
      </c>
      <c r="C27" s="35" t="s">
        <v>96</v>
      </c>
      <c r="D27" s="45">
        <f>+D95</f>
        <v>102530</v>
      </c>
      <c r="E27" s="60">
        <f t="shared" si="0"/>
        <v>338940</v>
      </c>
    </row>
    <row r="28" spans="1:5" x14ac:dyDescent="0.3">
      <c r="B28" s="2">
        <v>5</v>
      </c>
      <c r="C28" s="35" t="s">
        <v>97</v>
      </c>
      <c r="D28" s="45">
        <f>+D119</f>
        <v>176330</v>
      </c>
      <c r="E28" s="60">
        <f t="shared" si="0"/>
        <v>582910</v>
      </c>
    </row>
    <row r="29" spans="1:5" x14ac:dyDescent="0.3">
      <c r="B29" s="2">
        <v>6</v>
      </c>
      <c r="C29" s="35" t="s">
        <v>98</v>
      </c>
      <c r="D29" s="45">
        <f>+D133</f>
        <v>49460</v>
      </c>
      <c r="E29" s="60">
        <f t="shared" si="0"/>
        <v>163500</v>
      </c>
    </row>
    <row r="30" spans="1:5" x14ac:dyDescent="0.3">
      <c r="B30" s="2">
        <v>7</v>
      </c>
      <c r="C30" s="35" t="s">
        <v>99</v>
      </c>
      <c r="D30" s="45">
        <f>+D146</f>
        <v>14370</v>
      </c>
      <c r="E30" s="60">
        <f t="shared" si="0"/>
        <v>47500</v>
      </c>
    </row>
    <row r="31" spans="1:5" x14ac:dyDescent="0.3">
      <c r="B31" s="2">
        <v>8</v>
      </c>
      <c r="C31" s="35" t="s">
        <v>100</v>
      </c>
      <c r="D31" s="45">
        <f>+D154</f>
        <v>5520</v>
      </c>
      <c r="E31" s="60">
        <f t="shared" si="0"/>
        <v>18240</v>
      </c>
    </row>
    <row r="32" spans="1:5" x14ac:dyDescent="0.3">
      <c r="B32" s="2">
        <v>9</v>
      </c>
      <c r="C32" s="35" t="s">
        <v>101</v>
      </c>
      <c r="D32" s="45">
        <f>+D161</f>
        <v>6310</v>
      </c>
      <c r="E32" s="60">
        <f t="shared" si="0"/>
        <v>20850</v>
      </c>
    </row>
    <row r="33" spans="1:7" x14ac:dyDescent="0.3">
      <c r="B33" s="2">
        <v>10</v>
      </c>
      <c r="C33" s="35" t="s">
        <v>153</v>
      </c>
      <c r="D33" s="53">
        <f>TRUNC(SUM(D24:D32)*0.275,-1)</f>
        <v>310510</v>
      </c>
      <c r="E33" s="61">
        <f t="shared" si="0"/>
        <v>1026480</v>
      </c>
    </row>
    <row r="34" spans="1:7" x14ac:dyDescent="0.3">
      <c r="C34" s="35" t="s">
        <v>112</v>
      </c>
      <c r="D34" s="44">
        <f>SUM(D24:D33)</f>
        <v>1439660</v>
      </c>
      <c r="E34" s="44">
        <f>SUM(E24:E33)</f>
        <v>4759170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261</v>
      </c>
      <c r="F36" s="54"/>
      <c r="G36" s="54"/>
    </row>
    <row r="37" spans="1:7" ht="17.25" thickBot="1" x14ac:dyDescent="0.35">
      <c r="C37" s="38" t="s">
        <v>143</v>
      </c>
      <c r="D37" s="52">
        <f>TRUNC(16009.2333340029,-1)</f>
        <v>16000</v>
      </c>
      <c r="E37" s="62">
        <f>TRUNC(+D37*3.3058,-1)</f>
        <v>52890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TRUNC(31848.8937875349,-1)</f>
        <v>31840</v>
      </c>
      <c r="E40" s="63">
        <f t="shared" ref="E40:E59" si="1">TRUNC(+D40*3.3058,-1)</f>
        <v>105250</v>
      </c>
    </row>
    <row r="41" spans="1:7" x14ac:dyDescent="0.3">
      <c r="A41" s="2">
        <v>2</v>
      </c>
      <c r="C41" s="38" t="s">
        <v>13</v>
      </c>
      <c r="D41" s="42">
        <f>TRUNC(120543.931648824,-1)</f>
        <v>120540</v>
      </c>
      <c r="E41" s="64">
        <f t="shared" si="1"/>
        <v>398480</v>
      </c>
    </row>
    <row r="42" spans="1:7" x14ac:dyDescent="0.3">
      <c r="A42" s="2">
        <v>3</v>
      </c>
      <c r="C42" s="38" t="s">
        <v>14</v>
      </c>
      <c r="D42" s="42">
        <f>TRUNC(8338.0114286862,-1)</f>
        <v>8330</v>
      </c>
      <c r="E42" s="64">
        <f t="shared" si="1"/>
        <v>27530</v>
      </c>
    </row>
    <row r="43" spans="1:7" x14ac:dyDescent="0.3">
      <c r="A43" s="2">
        <v>4</v>
      </c>
      <c r="C43" s="38" t="s">
        <v>16</v>
      </c>
      <c r="D43" s="42">
        <f>TRUNC(11752.5403217707,-1)</f>
        <v>11750</v>
      </c>
      <c r="E43" s="64">
        <f t="shared" si="1"/>
        <v>38840</v>
      </c>
    </row>
    <row r="44" spans="1:7" x14ac:dyDescent="0.3">
      <c r="A44" s="2">
        <v>5</v>
      </c>
      <c r="C44" s="38" t="s">
        <v>17</v>
      </c>
      <c r="D44" s="42">
        <f>TRUNC(21848.6040532669,-1)</f>
        <v>21840</v>
      </c>
      <c r="E44" s="64">
        <f t="shared" si="1"/>
        <v>72190</v>
      </c>
    </row>
    <row r="45" spans="1:7" x14ac:dyDescent="0.3">
      <c r="A45" s="2">
        <v>6</v>
      </c>
      <c r="C45" s="38" t="s">
        <v>18</v>
      </c>
      <c r="D45" s="42">
        <f>TRUNC(9736.82386968486,-1)</f>
        <v>9730</v>
      </c>
      <c r="E45" s="64">
        <f t="shared" si="1"/>
        <v>32160</v>
      </c>
    </row>
    <row r="46" spans="1:7" x14ac:dyDescent="0.3">
      <c r="A46" s="2">
        <v>7</v>
      </c>
      <c r="C46" s="38" t="s">
        <v>19</v>
      </c>
      <c r="D46" s="42">
        <f>TRUNC(18678.7565027015,-1)</f>
        <v>18670</v>
      </c>
      <c r="E46" s="64">
        <f t="shared" si="1"/>
        <v>61710</v>
      </c>
    </row>
    <row r="47" spans="1:7" x14ac:dyDescent="0.3">
      <c r="A47" s="2">
        <v>8</v>
      </c>
      <c r="C47" s="38" t="s">
        <v>20</v>
      </c>
      <c r="D47" s="42">
        <f>TRUNC(297.169943961275,-1)</f>
        <v>290</v>
      </c>
      <c r="E47" s="64">
        <f t="shared" si="1"/>
        <v>950</v>
      </c>
    </row>
    <row r="48" spans="1:7" x14ac:dyDescent="0.3">
      <c r="A48" s="2">
        <v>9</v>
      </c>
      <c r="C48" s="38" t="s">
        <v>21</v>
      </c>
      <c r="D48" s="42">
        <f>TRUNC(109612.866310483,-1)</f>
        <v>109610</v>
      </c>
      <c r="E48" s="64">
        <f t="shared" si="1"/>
        <v>362340</v>
      </c>
    </row>
    <row r="49" spans="1:7" x14ac:dyDescent="0.3">
      <c r="A49" s="2">
        <v>10</v>
      </c>
      <c r="C49" s="38" t="s">
        <v>22</v>
      </c>
      <c r="D49" s="42">
        <f>TRUNC(14043.8452808966,-1)</f>
        <v>14040</v>
      </c>
      <c r="E49" s="64">
        <f t="shared" si="1"/>
        <v>46410</v>
      </c>
    </row>
    <row r="50" spans="1:7" x14ac:dyDescent="0.3">
      <c r="A50" s="2">
        <v>11</v>
      </c>
      <c r="C50" s="38" t="s">
        <v>154</v>
      </c>
      <c r="D50" s="42">
        <f>TRUNC(76957.0831743226,-1)</f>
        <v>76950</v>
      </c>
      <c r="E50" s="64">
        <f t="shared" si="1"/>
        <v>254380</v>
      </c>
    </row>
    <row r="51" spans="1:7" x14ac:dyDescent="0.3">
      <c r="A51" s="2">
        <v>12</v>
      </c>
      <c r="C51" s="38" t="s">
        <v>23</v>
      </c>
      <c r="D51" s="42">
        <f>TRUNC(16874.6585454034,-1)</f>
        <v>16870</v>
      </c>
      <c r="E51" s="64">
        <f t="shared" si="1"/>
        <v>55760</v>
      </c>
    </row>
    <row r="52" spans="1:7" x14ac:dyDescent="0.3">
      <c r="A52" s="2">
        <v>13</v>
      </c>
      <c r="C52" s="38" t="s">
        <v>24</v>
      </c>
      <c r="D52" s="42">
        <f>TRUNC(14819.7129772832,-1)</f>
        <v>14810</v>
      </c>
      <c r="E52" s="64">
        <f t="shared" si="1"/>
        <v>48950</v>
      </c>
    </row>
    <row r="53" spans="1:7" x14ac:dyDescent="0.3">
      <c r="A53" s="2">
        <v>14</v>
      </c>
      <c r="C53" s="38" t="s">
        <v>25</v>
      </c>
      <c r="D53" s="42">
        <f>TRUNC(20258.1376664591,-1)</f>
        <v>20250</v>
      </c>
      <c r="E53" s="64">
        <f t="shared" si="1"/>
        <v>66940</v>
      </c>
    </row>
    <row r="54" spans="1:7" x14ac:dyDescent="0.3">
      <c r="A54" s="2">
        <v>15</v>
      </c>
      <c r="C54" s="38" t="s">
        <v>147</v>
      </c>
      <c r="D54" s="42">
        <f>TRUNC(19869.2284130395,-1)</f>
        <v>19860</v>
      </c>
      <c r="E54" s="64">
        <f t="shared" si="1"/>
        <v>65650</v>
      </c>
    </row>
    <row r="55" spans="1:7" x14ac:dyDescent="0.3">
      <c r="A55" s="2">
        <v>16</v>
      </c>
      <c r="C55" s="38" t="s">
        <v>144</v>
      </c>
      <c r="D55" s="42">
        <f>TRUNC(1861.28658083435,-1)</f>
        <v>1860</v>
      </c>
      <c r="E55" s="64">
        <f t="shared" si="1"/>
        <v>6140</v>
      </c>
      <c r="F55" s="2" t="s">
        <v>249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TRUNC(14038.4407576275+3569.20481250126+1990.47944242473+1762.26575210396-286.060618233675+4355.79016610762+747.833269729046+3662.32199168458,-1)</f>
        <v>29840</v>
      </c>
      <c r="E58" s="64">
        <f t="shared" si="1"/>
        <v>98640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TRUNC(124988.950276243,-1)</f>
        <v>124980</v>
      </c>
      <c r="E59" s="65">
        <f t="shared" si="1"/>
        <v>413150</v>
      </c>
      <c r="F59" s="2" t="s">
        <v>259</v>
      </c>
    </row>
    <row r="60" spans="1:7" x14ac:dyDescent="0.3">
      <c r="A60" s="2">
        <v>21</v>
      </c>
      <c r="C60" s="27" t="s">
        <v>112</v>
      </c>
      <c r="D60" s="39">
        <f>SUM(D40:D59)</f>
        <v>652060</v>
      </c>
      <c r="E60" s="39">
        <f>SUM(E40:E59)</f>
        <v>2155470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261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TRUNC(162.20198043666,-1)</f>
        <v>160</v>
      </c>
      <c r="E63" s="63">
        <f>TRUNC(+D63*3.3058,-1)</f>
        <v>520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TRUNC(106417.069214855,-1)</f>
        <v>106410</v>
      </c>
      <c r="E65" s="65">
        <f>TRUNC(+D65*3.3058,-1)</f>
        <v>351770</v>
      </c>
    </row>
    <row r="66" spans="1:7" x14ac:dyDescent="0.3">
      <c r="A66" s="2">
        <v>4</v>
      </c>
      <c r="C66" s="27" t="s">
        <v>112</v>
      </c>
      <c r="D66" s="57">
        <f>SUM(D63:D65)</f>
        <v>106570</v>
      </c>
      <c r="E66" s="57">
        <f>SUM(E63:E65)</f>
        <v>352290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235</v>
      </c>
      <c r="E68" s="56" t="s">
        <v>261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TRUNC(25232.6495872416,-1)</f>
        <v>25230</v>
      </c>
      <c r="E69" s="63">
        <f>TRUNC(+D69*3.3058,-1)</f>
        <v>83400</v>
      </c>
    </row>
    <row r="70" spans="1:7" ht="16.5" customHeight="1" x14ac:dyDescent="0.3">
      <c r="A70" s="2">
        <v>2</v>
      </c>
      <c r="C70" s="38" t="s">
        <v>31</v>
      </c>
      <c r="D70" s="42">
        <f>TRUNC(2979.30082149959,-1)</f>
        <v>2970</v>
      </c>
      <c r="E70" s="64">
        <f>TRUNC(+D70*3.3058,-1)</f>
        <v>9810</v>
      </c>
    </row>
    <row r="71" spans="1:7" x14ac:dyDescent="0.3">
      <c r="A71" s="2">
        <v>3</v>
      </c>
      <c r="C71" s="38" t="s">
        <v>32</v>
      </c>
      <c r="D71" s="42">
        <f>TRUNC(3359.04603611384,-1)</f>
        <v>3350</v>
      </c>
      <c r="E71" s="64">
        <f t="shared" ref="E71:E73" si="2">TRUNC(+D71*3.3058,-1)</f>
        <v>11070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f>TRUNC(27641.2888906743,-1)</f>
        <v>27640</v>
      </c>
      <c r="E74" s="64">
        <f>TRUNC(+D74*3.3058,-1)</f>
        <v>91370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TRUNC(6648.19983128126,-1)</f>
        <v>6640</v>
      </c>
      <c r="E81" s="64">
        <f t="shared" si="3"/>
        <v>21950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TRUNC(15424.9111213771,-1)</f>
        <v>15420</v>
      </c>
      <c r="E84" s="64">
        <f>TRUNC(+D84*3.3058,-1)</f>
        <v>50970</v>
      </c>
      <c r="F84" s="2" t="s">
        <v>262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TRUNC(3655.57273987185,-1)</f>
        <v>3650</v>
      </c>
      <c r="E90" s="64">
        <f>TRUNC(+D90*3.3058,-1)</f>
        <v>12060</v>
      </c>
    </row>
    <row r="91" spans="1:7" x14ac:dyDescent="0.3">
      <c r="A91" s="2">
        <v>23</v>
      </c>
      <c r="C91" s="38" t="s">
        <v>37</v>
      </c>
      <c r="D91" s="42">
        <f>TRUNC(2682.41257758049,-1)</f>
        <v>2680</v>
      </c>
      <c r="E91" s="64">
        <f>TRUNC(+D91*3.3058,-1)</f>
        <v>8850</v>
      </c>
      <c r="F91" s="2" t="s">
        <v>251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TRUNC(3059.86100789363+
4893.37678510454+2979.30082149959+4020.03183561974,-1)</f>
        <v>14950</v>
      </c>
      <c r="E94" s="65">
        <f>TRUNC(+D94*3.3058,-1)</f>
        <v>49420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102530</v>
      </c>
      <c r="E95" s="39">
        <f>SUM(E69:E94)</f>
        <v>338900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235</v>
      </c>
      <c r="E97" s="56" t="s">
        <v>261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TRUNC(14734.6907827344,-1)</f>
        <v>14730</v>
      </c>
      <c r="E98" s="63">
        <f t="shared" ref="E98:E118" si="4">TRUNC(+D98*3.3058,-1)</f>
        <v>48690</v>
      </c>
    </row>
    <row r="99" spans="1:7" x14ac:dyDescent="0.3">
      <c r="A99" s="2">
        <v>2</v>
      </c>
      <c r="C99" s="38" t="s">
        <v>40</v>
      </c>
      <c r="D99" s="42">
        <f>TRUNC(5771.14156305863,-1)</f>
        <v>5770</v>
      </c>
      <c r="E99" s="64">
        <f t="shared" si="4"/>
        <v>19070</v>
      </c>
    </row>
    <row r="100" spans="1:7" x14ac:dyDescent="0.3">
      <c r="A100" s="2">
        <v>3</v>
      </c>
      <c r="C100" s="38" t="s">
        <v>41</v>
      </c>
      <c r="D100" s="42">
        <f>TRUNC(19545.5118806114,-1)</f>
        <v>19540</v>
      </c>
      <c r="E100" s="64">
        <f t="shared" si="4"/>
        <v>64590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TRUNC(9613.10884367405,-1)</f>
        <v>9610</v>
      </c>
      <c r="E102" s="64">
        <f t="shared" si="4"/>
        <v>31760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TRUNC(741.212565529154,-1)</f>
        <v>740</v>
      </c>
      <c r="E104" s="64">
        <f t="shared" si="4"/>
        <v>2440</v>
      </c>
    </row>
    <row r="105" spans="1:7" x14ac:dyDescent="0.3">
      <c r="A105" s="2">
        <v>8</v>
      </c>
      <c r="C105" s="38" t="s">
        <v>46</v>
      </c>
      <c r="D105" s="42">
        <f>TRUNC(1493.7569044128,-1)</f>
        <v>1490</v>
      </c>
      <c r="E105" s="64">
        <f t="shared" si="4"/>
        <v>4920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TRUNC(11079.4107899653,-1)</f>
        <v>11070</v>
      </c>
      <c r="E115" s="64">
        <f t="shared" si="4"/>
        <v>36590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TRUNC(15064.1733785928+97625.8862755338,-1)</f>
        <v>112690</v>
      </c>
      <c r="E117" s="64">
        <f t="shared" si="4"/>
        <v>372530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f>TRUNC(425.278185068391+267.497539518348,-1)</f>
        <v>690</v>
      </c>
      <c r="E118" s="65">
        <f t="shared" si="4"/>
        <v>2280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176330</v>
      </c>
      <c r="E119" s="39">
        <f>SUM(E98:E118)</f>
        <v>582870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235</v>
      </c>
      <c r="E121" s="56" t="s">
        <v>261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TRUNC(4967.973065258,-1)</f>
        <v>4960</v>
      </c>
      <c r="E122" s="63">
        <f t="shared" ref="E122:E132" si="5">TRUNC(+D122*3.3058,-1)</f>
        <v>16390</v>
      </c>
    </row>
    <row r="123" spans="1:7" x14ac:dyDescent="0.3">
      <c r="A123" s="2">
        <v>2</v>
      </c>
      <c r="C123" s="38" t="s">
        <v>124</v>
      </c>
      <c r="D123" s="42">
        <f>TRUNC(538.112860786952,-1)</f>
        <v>530</v>
      </c>
      <c r="E123" s="64">
        <f t="shared" si="5"/>
        <v>1750</v>
      </c>
      <c r="F123" s="2" t="s">
        <v>253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TRUNC(6410.0749191556,-1)</f>
        <v>6410</v>
      </c>
      <c r="E125" s="64">
        <f t="shared" si="5"/>
        <v>21190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TRUNC(1810.35310422399,-1)</f>
        <v>1810</v>
      </c>
      <c r="E128" s="64">
        <f t="shared" si="5"/>
        <v>5980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TRUNC(16362.662944142,-1)</f>
        <v>16360</v>
      </c>
      <c r="E130" s="64">
        <f t="shared" si="5"/>
        <v>54080</v>
      </c>
    </row>
    <row r="131" spans="1:7" x14ac:dyDescent="0.3">
      <c r="A131" s="2">
        <v>10</v>
      </c>
      <c r="C131" s="38" t="s">
        <v>148</v>
      </c>
      <c r="D131" s="42">
        <f>TRUNC(15633.5991323036,-1)</f>
        <v>15630</v>
      </c>
      <c r="E131" s="64">
        <f t="shared" si="5"/>
        <v>51660</v>
      </c>
      <c r="F131" s="2" t="s">
        <v>254</v>
      </c>
    </row>
    <row r="132" spans="1:7" ht="17.25" thickBot="1" x14ac:dyDescent="0.35">
      <c r="A132" s="2">
        <v>11</v>
      </c>
      <c r="C132" s="38" t="s">
        <v>47</v>
      </c>
      <c r="D132" s="43">
        <f>TRUNC(1596.69190752606+1896.59599895555+267.497539518348,-1)</f>
        <v>3760</v>
      </c>
      <c r="E132" s="65">
        <f t="shared" si="5"/>
        <v>12420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49460</v>
      </c>
      <c r="E133" s="39">
        <f>SUM(E122:E132)</f>
        <v>163470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235</v>
      </c>
      <c r="E135" s="56" t="s">
        <v>261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TRUNC(14376.9894751642,-1)</f>
        <v>14370</v>
      </c>
      <c r="E137" s="64">
        <f t="shared" si="6"/>
        <v>47500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14370</v>
      </c>
      <c r="E146" s="39">
        <f>SUM(E136:E145)</f>
        <v>47500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235</v>
      </c>
      <c r="E148" s="56" t="s">
        <v>261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TRUNC(1384.81732179083+351.098680378412,-1)</f>
        <v>1730</v>
      </c>
      <c r="E149" s="63">
        <f>TRUNC(+D149*3.3058,-1)</f>
        <v>5710</v>
      </c>
    </row>
    <row r="150" spans="1:7" x14ac:dyDescent="0.3">
      <c r="A150" s="2">
        <v>2</v>
      </c>
      <c r="C150" s="38" t="s">
        <v>49</v>
      </c>
      <c r="D150" s="42">
        <f>TRUNC(1957.94333862253,-1)</f>
        <v>1950</v>
      </c>
      <c r="E150" s="64">
        <f>TRUNC(+D150*3.3058,-1)</f>
        <v>6440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TRUNC(1.69070239219073+1032.65310221544+815.608492176673,-1)</f>
        <v>1840</v>
      </c>
      <c r="E152" s="64">
        <f>TRUNC(+D152*3.3058,-1)</f>
        <v>6080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5520</v>
      </c>
      <c r="E154" s="39">
        <f>SUM(E149:E153)</f>
        <v>18230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235</v>
      </c>
      <c r="E156" s="56" t="s">
        <v>261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TRUNC(6316.11113342841,-1)</f>
        <v>6310</v>
      </c>
      <c r="E159" s="64">
        <f>TRUNC(+D159*3.3058,-1)</f>
        <v>20850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6310</v>
      </c>
      <c r="E161" s="39">
        <f>SUM(E157:E160)</f>
        <v>20850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2020-12-07T09:01:39Z</dcterms:modified>
</cp:coreProperties>
</file>