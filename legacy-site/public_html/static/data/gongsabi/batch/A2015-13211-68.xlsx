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45" i="4"/>
  <c r="E141" i="4"/>
  <c r="E139" i="4"/>
  <c r="E138" i="4"/>
  <c r="E136" i="4"/>
  <c r="E131" i="4"/>
  <c r="E129" i="4"/>
  <c r="E128" i="4"/>
  <c r="E127" i="4"/>
  <c r="E123" i="4"/>
  <c r="E115" i="4"/>
  <c r="E114" i="4"/>
  <c r="E113" i="4"/>
  <c r="E112" i="4"/>
  <c r="E111" i="4"/>
  <c r="E110" i="4"/>
  <c r="E109" i="4"/>
  <c r="E108" i="4"/>
  <c r="E107" i="4"/>
  <c r="E106" i="4"/>
  <c r="E101" i="4"/>
  <c r="E91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2" i="4"/>
  <c r="E71" i="4"/>
  <c r="E65" i="4"/>
  <c r="E64" i="4"/>
  <c r="E57" i="4"/>
  <c r="E56" i="4"/>
  <c r="E55" i="4"/>
  <c r="E54" i="4"/>
  <c r="E51" i="4"/>
  <c r="E47" i="4"/>
  <c r="E37" i="4"/>
  <c r="D161" i="4" l="1"/>
  <c r="D152" i="4"/>
  <c r="E152" i="4" s="1"/>
  <c r="D151" i="4"/>
  <c r="E151" i="4" s="1"/>
  <c r="D150" i="4"/>
  <c r="E150" i="4" s="1"/>
  <c r="D149" i="4"/>
  <c r="D144" i="4"/>
  <c r="E144" i="4" s="1"/>
  <c r="D143" i="4"/>
  <c r="E143" i="4" s="1"/>
  <c r="D142" i="4"/>
  <c r="E142" i="4" s="1"/>
  <c r="D140" i="4"/>
  <c r="E140" i="4" s="1"/>
  <c r="D137" i="4"/>
  <c r="D132" i="4"/>
  <c r="E132" i="4" s="1"/>
  <c r="D130" i="4"/>
  <c r="E130" i="4" s="1"/>
  <c r="D126" i="4"/>
  <c r="E126" i="4" s="1"/>
  <c r="D125" i="4"/>
  <c r="E125" i="4" s="1"/>
  <c r="D124" i="4"/>
  <c r="E124" i="4" s="1"/>
  <c r="D122" i="4"/>
  <c r="D118" i="4"/>
  <c r="E118" i="4" s="1"/>
  <c r="D117" i="4"/>
  <c r="E117" i="4" s="1"/>
  <c r="D116" i="4"/>
  <c r="E116" i="4" s="1"/>
  <c r="D105" i="4"/>
  <c r="E105" i="4" s="1"/>
  <c r="D104" i="4"/>
  <c r="E104" i="4" s="1"/>
  <c r="D103" i="4"/>
  <c r="E103" i="4" s="1"/>
  <c r="D102" i="4"/>
  <c r="E102" i="4" s="1"/>
  <c r="D100" i="4"/>
  <c r="D99" i="4"/>
  <c r="E99" i="4" s="1"/>
  <c r="D98" i="4"/>
  <c r="E98" i="4" s="1"/>
  <c r="D94" i="4"/>
  <c r="E94" i="4" s="1"/>
  <c r="D93" i="4"/>
  <c r="E93" i="4" s="1"/>
  <c r="D92" i="4"/>
  <c r="E92" i="4" s="1"/>
  <c r="D89" i="4"/>
  <c r="E89" i="4" s="1"/>
  <c r="D73" i="4"/>
  <c r="E73" i="4" s="1"/>
  <c r="D70" i="4"/>
  <c r="E70" i="4" s="1"/>
  <c r="D69" i="4"/>
  <c r="D63" i="4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D32" i="4"/>
  <c r="E32" i="4" s="1"/>
  <c r="D24" i="4"/>
  <c r="D7" i="4"/>
  <c r="E24" i="4" l="1"/>
  <c r="E133" i="4"/>
  <c r="D95" i="4"/>
  <c r="D27" i="4" s="1"/>
  <c r="E27" i="4" s="1"/>
  <c r="E69" i="4"/>
  <c r="E95" i="4" s="1"/>
  <c r="D154" i="4"/>
  <c r="D31" i="4" s="1"/>
  <c r="E31" i="4" s="1"/>
  <c r="E149" i="4"/>
  <c r="E154" i="4" s="1"/>
  <c r="D66" i="4"/>
  <c r="D26" i="4" s="1"/>
  <c r="E26" i="4" s="1"/>
  <c r="E63" i="4"/>
  <c r="E66" i="4" s="1"/>
  <c r="D146" i="4"/>
  <c r="D30" i="4" s="1"/>
  <c r="E30" i="4" s="1"/>
  <c r="E137" i="4"/>
  <c r="E146" i="4" s="1"/>
  <c r="D60" i="4"/>
  <c r="D25" i="4" s="1"/>
  <c r="E25" i="4" s="1"/>
  <c r="E40" i="4"/>
  <c r="E60" i="4" s="1"/>
  <c r="D119" i="4"/>
  <c r="D28" i="4" s="1"/>
  <c r="E28" i="4" s="1"/>
  <c r="E100" i="4"/>
  <c r="E119" i="4" s="1"/>
  <c r="D133" i="4"/>
  <c r="D29" i="4" s="1"/>
  <c r="E29" i="4" s="1"/>
  <c r="E122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<sst xmlns="http://schemas.openxmlformats.org/spreadsheetml/2006/main" count="392" uniqueCount="264">
  <si>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</si>
  <si>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</si>
  <si>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</si>
  <si>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</si>
  <si>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</si>
  <si>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</si>
  <si>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</si>
  <si>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</si>
  <si>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</si>
  <si>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</si>
  <si>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</si>
  <si>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</si>
  <si>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</si>
  <si>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</si>
  <si>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</si>
  <si>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</si>
  <si>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</si>
  <si>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</si>
  <si>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</si>
  <si>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</si>
  <si>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</si>
  <si>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</si>
  <si>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</si>
  <si>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</si>
  <si>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</si>
  <si>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</si>
  <si>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</si>
  <si>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</si>
  <si>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</si>
  <si>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</si>
  <si>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</si>
  <si>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</si>
  <si>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</si>
  <si>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</si>
  <si>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</si>
  <si>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</si>
  <si>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</si>
  <si>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</si>
  <si>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</si>
  <si>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</si>
  <si>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</si>
  <si>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</si>
  <si>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</si>
  <si>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</si>
  <si>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</si>
  <si>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</si>
  <si>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</si>
  <si>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</si>
  <si>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</si>
  <si>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</si>
  <si>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</si>
  <si>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</si>
  <si>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</si>
  <si>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</si>
  <si>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</si>
  <si>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</si>
  <si>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</si>
  <si>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</si>
  <si>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</si>
  <si>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</si>
  <si>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</si>
  <si>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</si>
  <si>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</si>
  <si>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</si>
  <si>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</si>
  <si>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</si>
  <si>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</si>
  <si>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</si>
  <si>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</si>
  <si>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</si>
  <si>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</si>
  <si>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</si>
  <si>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</si>
  <si>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</si>
  <si>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</si>
  <si>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</si>
  <si>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</si>
  <si>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</si>
  <si>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</si>
  <si>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</si>
  <si>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</si>
  <si>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</si>
  <si>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</si>
  <si>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</si>
  <si>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</si>
  <si>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</si>
  <si>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</si>
  <si>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</si>
  <si>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</si>
  <si>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</si>
  <si>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</si>
  <si>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</si>
  <si>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</si>
  <si>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</si>
  <si>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</si>
  <si>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</si>
  <si>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</si>
  <si>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</si>
  <si>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</si>
  <si>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</si>
  <si>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</si>
  <si>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</si>
  <si>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</si>
  <si>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</si>
  <si>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</si>
  <si>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</si>
  <si>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</si>
  <si>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</si>
  <si>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</si>
  <si>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</si>
  <si>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</si>
  <si>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</si>
  <si>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</si>
  <si>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</si>
  <si>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</si>
  <si>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</si>
  <si>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</si>
  <si>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</si>
  <si>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</si>
  <si>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</si>
  <si>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</si>
  <si>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</si>
  <si>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</si>
  <si>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</si>
  <si>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</si>
  <si>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</si>
  <si>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</si>
  <si>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</si>
  <si>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</si>
  <si>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</si>
  <si>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</si>
  <si>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</si>
  <si>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</si>
  <si>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</si>
  <si>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</si>
  <si>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</si>
  <si>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</si>
  <si>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</si>
  <si>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</si>
  <si>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</si>
  <si>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</si>
  <si>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</si>
  <si>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</si>
  <si>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</si>
  <si>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</si>
  <si>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</si>
  <si>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</si>
  <si>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</si>
  <si>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</si>
  <si>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</si>
  <si>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</si>
  <si>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</si>
  <si>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</si>
  <si>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</si>
  <si>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</si>
  <si>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</si>
  <si>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</si>
  <si>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</si>
  <si>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</si>
  <si>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</si>
  <si>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</si>
  <si>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</si>
  <si>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</si>
  <si>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</si>
  <si>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</si>
  <si>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</si>
  <si>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</si>
  <si>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</si>
  <si>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</si>
  <si>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</si>
  <si>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</si>
  <si>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</si>
  <si>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</si>
  <si>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</si>
  <si>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</si>
  <si>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</si>
  <si>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</si>
  <si>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</si>
  <si>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</si>
  <si>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</si>
  <si>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</si>
  <si>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</si>
  <si>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</si>
  <si>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</si>
  <si>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</si>
  <si>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</si>
  <si>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</si>
  <si>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</si>
  <si>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</si>
  <si>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</si>
  <si>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</si>
  <si>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</si>
  <si>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</si>
  <si>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</si>
  <si>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</si>
  <si>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</si>
  <si>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</si>
  <si>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</si>
  <si>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</si>
  <si>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</si>
  <si>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</si>
  <si>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</si>
  <si>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</si>
  <si>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</si>
  <si>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</si>
  <si>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</si>
  <si>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</si>
  <si>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</si>
  <si>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</si>
  <si>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</si>
  <si>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</si>
  <si>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</si>
  <si>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</si>
  <si>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</si>
  <si>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</si>
  <si>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</si>
  <si>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</si>
  <si>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</si>
  <si>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</si>
  <si>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</si>
  <si>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</si>
  <si>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</si>
  <si>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</si>
  <si>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</si>
  <si>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</si>
  <si>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</si>
  <si>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</si>
  <si>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</si>
  <si>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</si>
  <si>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</si>
  <si>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</si>
  <si>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</si>
  <si>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</si>
  <si>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</si>
  <si>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</si>
  <si>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</si>
  <si>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</si>
  <si>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</si>
  <si>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</si>
  <si>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</si>
  <si>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</si>
  <si>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</si>
  <si>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</si>
  <si>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</si>
  <si>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</si>
  <si>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</si>
  <si>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국민건강보험공단 논산지사 사옥 신축공사</t>
  </si>
  <si>
    <t>업무</t>
  </si>
  <si>
    <t>충청도</t>
  </si>
  <si>
    <t>평</t>
    <phoneticPr fontId="2" type="noConversion"/>
  </si>
  <si>
    <t xml:space="preserve">창호및유리공사 </t>
    <phoneticPr fontId="2" type="noConversion"/>
  </si>
  <si>
    <t>목공사, 인테리어공사 포함</t>
    <phoneticPr fontId="2" type="noConversion"/>
  </si>
  <si>
    <t>기초공사,폐기물처리비,골재비및운반비,작업부산물,기타공사</t>
    <phoneticPr fontId="2" type="noConversion"/>
  </si>
  <si>
    <t>바닥난방공사, 기타공사</t>
    <phoneticPr fontId="2" type="noConversion"/>
  </si>
  <si>
    <t>전기인입 및 수변전 설비공사</t>
    <phoneticPr fontId="2" type="noConversion"/>
  </si>
  <si>
    <t>CCTV설비공사</t>
    <phoneticPr fontId="2" type="noConversion"/>
  </si>
  <si>
    <t>펌프실배관공사</t>
    <phoneticPr fontId="2" type="noConversion"/>
  </si>
  <si>
    <t>토목</t>
    <phoneticPr fontId="2" type="noConversion"/>
  </si>
  <si>
    <t>원/ m2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</si>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</sst>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18" xfId="0" applyFill="1" applyBorder="1">
      <alignment vertical="center"/>
    </xf>
    <xf numFmtId="0" fontId="0" fillId="0" borderId="16" xfId="0" applyFill="1" applyBorder="1">
      <alignment vertical="center"/>
    </xf>
    <xf numFmtId="0" fontId="0" fillId="0" borderId="24" xfId="0" applyFill="1" applyBorder="1">
      <alignment vertical="center"/>
    </xf>
    <xf numFmtId="0" fontId="0" fillId="0" borderId="26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3" t="s">
        <v>156</v>
      </c>
      <c r="B2" s="76" t="s">
        <v>0</v>
      </c>
      <c r="C2" s="77"/>
      <c r="D2" s="76" t="s">
        <v>1</v>
      </c>
      <c r="E2" s="77"/>
      <c r="F2" s="76" t="s">
        <v>157</v>
      </c>
      <c r="G2" s="77"/>
      <c r="H2" s="76" t="s">
        <v>2</v>
      </c>
      <c r="I2" s="77"/>
      <c r="J2" s="76" t="s">
        <v>3</v>
      </c>
      <c r="K2" s="77"/>
      <c r="L2" s="76" t="s">
        <v>158</v>
      </c>
      <c r="M2" s="77"/>
      <c r="N2" s="76" t="s">
        <v>159</v>
      </c>
      <c r="O2" s="77"/>
      <c r="P2" s="76" t="s">
        <v>5</v>
      </c>
      <c r="Q2" s="77"/>
      <c r="R2" s="70" t="s">
        <v>94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4"/>
      <c r="B3" s="78"/>
      <c r="C3" s="79"/>
      <c r="D3" s="78"/>
      <c r="E3" s="79"/>
      <c r="F3" s="78"/>
      <c r="G3" s="79"/>
      <c r="H3" s="78"/>
      <c r="I3" s="79"/>
      <c r="J3" s="78"/>
      <c r="K3" s="79"/>
      <c r="L3" s="78"/>
      <c r="M3" s="79"/>
      <c r="N3" s="78"/>
      <c r="O3" s="79"/>
      <c r="P3" s="78"/>
      <c r="Q3" s="79"/>
      <c r="R3" s="45" t="s">
        <v>6</v>
      </c>
      <c r="S3" s="46"/>
      <c r="T3" s="45" t="s">
        <v>95</v>
      </c>
      <c r="U3" s="46"/>
      <c r="V3" s="45" t="s">
        <v>96</v>
      </c>
      <c r="W3" s="46"/>
      <c r="X3" s="45" t="s">
        <v>97</v>
      </c>
      <c r="Y3" s="46"/>
      <c r="Z3" s="45" t="s">
        <v>98</v>
      </c>
      <c r="AA3" s="46"/>
      <c r="AB3" s="45" t="s">
        <v>99</v>
      </c>
      <c r="AC3" s="46"/>
      <c r="AD3" s="45" t="s">
        <v>100</v>
      </c>
      <c r="AE3" s="46"/>
      <c r="AF3" s="45" t="s">
        <v>101</v>
      </c>
      <c r="AG3" s="46"/>
    </row>
    <row r="4" spans="1:33" x14ac:dyDescent="0.3">
      <c r="A4" s="75"/>
      <c r="B4" s="80"/>
      <c r="C4" s="81"/>
      <c r="D4" s="80"/>
      <c r="E4" s="81"/>
      <c r="F4" s="80"/>
      <c r="G4" s="81"/>
      <c r="H4" s="80"/>
      <c r="I4" s="81"/>
      <c r="J4" s="80"/>
      <c r="K4" s="81"/>
      <c r="L4" s="80"/>
      <c r="M4" s="81"/>
      <c r="N4" s="80"/>
      <c r="O4" s="81"/>
      <c r="P4" s="80"/>
      <c r="Q4" s="81"/>
      <c r="R4" s="47"/>
      <c r="S4" s="48"/>
      <c r="T4" s="47"/>
      <c r="U4" s="48"/>
      <c r="V4" s="47"/>
      <c r="W4" s="48"/>
      <c r="X4" s="47"/>
      <c r="Y4" s="48"/>
      <c r="Z4" s="47"/>
      <c r="AA4" s="48"/>
      <c r="AB4" s="47"/>
      <c r="AC4" s="48"/>
      <c r="AD4" s="47"/>
      <c r="AE4" s="48"/>
      <c r="AF4" s="47"/>
      <c r="AG4" s="48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49"/>
      <c r="U25" s="29"/>
      <c r="V25" s="28">
        <v>21</v>
      </c>
      <c r="W25" s="29" t="s">
        <v>35</v>
      </c>
      <c r="X25" s="28">
        <v>21</v>
      </c>
      <c r="Y25" s="29" t="s">
        <v>47</v>
      </c>
      <c r="Z25" s="49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0"/>
      <c r="U26" s="29"/>
      <c r="V26" s="28">
        <v>22</v>
      </c>
      <c r="W26" s="29" t="s">
        <v>211</v>
      </c>
      <c r="X26" s="50"/>
      <c r="Y26" s="29"/>
      <c r="Z26" s="50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0"/>
      <c r="U27" s="29"/>
      <c r="V27" s="28">
        <v>23</v>
      </c>
      <c r="W27" s="29" t="s">
        <v>37</v>
      </c>
      <c r="X27" s="50"/>
      <c r="Y27" s="29"/>
      <c r="Z27" s="50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0"/>
      <c r="Y28" s="29"/>
      <c r="Z28" s="50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49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1838.16</v>
      </c>
      <c r="D7" s="36">
        <f>+C7/3.3058</f>
        <v>556.04089781595985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60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55">
        <f>+D60</f>
        <v>1087600</v>
      </c>
      <c r="E25" s="61">
        <f t="shared" si="0"/>
        <v>3595380</v>
      </c>
    </row>
    <row r="26" spans="1:5" x14ac:dyDescent="0.3">
      <c r="B26" s="2">
        <v>3</v>
      </c>
      <c r="C26" s="35" t="s">
        <v>95</v>
      </c>
      <c r="D26" s="55">
        <f>+D66</f>
        <v>4920</v>
      </c>
      <c r="E26" s="61">
        <f t="shared" si="0"/>
        <v>16260</v>
      </c>
    </row>
    <row r="27" spans="1:5" x14ac:dyDescent="0.3">
      <c r="B27" s="2">
        <v>4</v>
      </c>
      <c r="C27" s="35" t="s">
        <v>96</v>
      </c>
      <c r="D27" s="55">
        <f>+D95</f>
        <v>236230</v>
      </c>
      <c r="E27" s="61">
        <f t="shared" si="0"/>
        <v>780920</v>
      </c>
    </row>
    <row r="28" spans="1:5" x14ac:dyDescent="0.3">
      <c r="B28" s="2">
        <v>5</v>
      </c>
      <c r="C28" s="35" t="s">
        <v>97</v>
      </c>
      <c r="D28" s="55">
        <f>+D119</f>
        <v>216550</v>
      </c>
      <c r="E28" s="61">
        <f t="shared" si="0"/>
        <v>715870</v>
      </c>
    </row>
    <row r="29" spans="1:5" x14ac:dyDescent="0.3">
      <c r="B29" s="2">
        <v>6</v>
      </c>
      <c r="C29" s="35" t="s">
        <v>98</v>
      </c>
      <c r="D29" s="55">
        <f>+D133</f>
        <v>75810</v>
      </c>
      <c r="E29" s="61">
        <f t="shared" si="0"/>
        <v>250610</v>
      </c>
    </row>
    <row r="30" spans="1:5" x14ac:dyDescent="0.3">
      <c r="B30" s="2">
        <v>7</v>
      </c>
      <c r="C30" s="35" t="s">
        <v>99</v>
      </c>
      <c r="D30" s="55">
        <f>+D146</f>
        <v>35440</v>
      </c>
      <c r="E30" s="61">
        <f t="shared" si="0"/>
        <v>117150</v>
      </c>
    </row>
    <row r="31" spans="1:5" x14ac:dyDescent="0.3">
      <c r="B31" s="2">
        <v>8</v>
      </c>
      <c r="C31" s="35" t="s">
        <v>100</v>
      </c>
      <c r="D31" s="55">
        <f>+D154</f>
        <v>73230</v>
      </c>
      <c r="E31" s="61">
        <f t="shared" si="0"/>
        <v>242080</v>
      </c>
    </row>
    <row r="32" spans="1:5" x14ac:dyDescent="0.3">
      <c r="B32" s="2">
        <v>9</v>
      </c>
      <c r="C32" s="35" t="s">
        <v>101</v>
      </c>
      <c r="D32" s="55">
        <f>+D161</f>
        <v>0</v>
      </c>
      <c r="E32" s="61">
        <f t="shared" si="0"/>
        <v>0</v>
      </c>
    </row>
    <row r="33" spans="1:7" x14ac:dyDescent="0.3">
      <c r="B33" s="2">
        <v>10</v>
      </c>
      <c r="C33" s="35" t="s">
        <v>154</v>
      </c>
      <c r="D33" s="56">
        <f>TRUNC(SUM(D24:D32)*0.275,-1)</f>
        <v>475680</v>
      </c>
      <c r="E33" s="62">
        <f t="shared" si="0"/>
        <v>1572500</v>
      </c>
    </row>
    <row r="34" spans="1:7" x14ac:dyDescent="0.3">
      <c r="C34" s="35" t="s">
        <v>112</v>
      </c>
      <c r="D34" s="44">
        <f>SUM(D24:D33)</f>
        <v>2205460</v>
      </c>
      <c r="E34" s="44">
        <f>SUM(E24:E33)</f>
        <v>7290770</v>
      </c>
    </row>
    <row r="35" spans="1:7" s="52" customFormat="1" x14ac:dyDescent="0.3">
      <c r="C35" s="53"/>
      <c r="D35" s="53"/>
      <c r="E35" s="53"/>
      <c r="F35" s="51"/>
      <c r="G35" s="51"/>
    </row>
    <row r="36" spans="1:7" s="52" customFormat="1" ht="17.25" thickBot="1" x14ac:dyDescent="0.35">
      <c r="B36" s="52" t="s">
        <v>12</v>
      </c>
      <c r="C36" s="52" t="s">
        <v>236</v>
      </c>
      <c r="D36" s="53" t="s">
        <v>258</v>
      </c>
      <c r="E36" s="53" t="s">
        <v>153</v>
      </c>
      <c r="F36" s="51"/>
      <c r="G36" s="51"/>
    </row>
    <row r="37" spans="1:7" ht="17.25" thickBot="1" x14ac:dyDescent="0.35">
      <c r="C37" s="38" t="s">
        <v>143</v>
      </c>
      <c r="D37" s="57">
        <v>0</v>
      </c>
      <c r="E37" s="63">
        <f>TRUNC(+D37*3.3058,-1)</f>
        <v>0</v>
      </c>
    </row>
    <row r="38" spans="1:7" s="67" customFormat="1" x14ac:dyDescent="0.3">
      <c r="C38" s="68"/>
      <c r="D38" s="68"/>
      <c r="E38" s="68"/>
      <c r="G38" s="69"/>
    </row>
    <row r="39" spans="1:7" s="67" customFormat="1" ht="17.25" thickBot="1" x14ac:dyDescent="0.35">
      <c r="B39" s="67" t="s">
        <v>111</v>
      </c>
      <c r="C39" s="67" t="s">
        <v>240</v>
      </c>
      <c r="D39" s="68" t="s">
        <v>259</v>
      </c>
      <c r="E39" s="68" t="s">
        <v>260</v>
      </c>
      <c r="G39" s="69"/>
    </row>
    <row r="40" spans="1:7" x14ac:dyDescent="0.3">
      <c r="A40" s="2">
        <v>1</v>
      </c>
      <c r="C40" s="38" t="s">
        <v>15</v>
      </c>
      <c r="D40" s="40">
        <f>TRUNC(55742,-1)</f>
        <v>55740</v>
      </c>
      <c r="E40" s="64">
        <f t="shared" ref="E40:E59" si="1">TRUNC(+D40*3.3058,-1)</f>
        <v>184260</v>
      </c>
    </row>
    <row r="41" spans="1:7" x14ac:dyDescent="0.3">
      <c r="A41" s="2">
        <v>2</v>
      </c>
      <c r="C41" s="38" t="s">
        <v>13</v>
      </c>
      <c r="D41" s="42">
        <f>TRUNC(155658,-1)</f>
        <v>155650</v>
      </c>
      <c r="E41" s="65">
        <f t="shared" si="1"/>
        <v>514540</v>
      </c>
    </row>
    <row r="42" spans="1:7" x14ac:dyDescent="0.3">
      <c r="A42" s="2">
        <v>3</v>
      </c>
      <c r="C42" s="38" t="s">
        <v>14</v>
      </c>
      <c r="D42" s="42">
        <f>TRUNC(9985,-1)</f>
        <v>9980</v>
      </c>
      <c r="E42" s="65">
        <f t="shared" si="1"/>
        <v>32990</v>
      </c>
    </row>
    <row r="43" spans="1:7" x14ac:dyDescent="0.3">
      <c r="A43" s="2">
        <v>4</v>
      </c>
      <c r="C43" s="38" t="s">
        <v>16</v>
      </c>
      <c r="D43" s="42">
        <f>TRUNC(8413,-1)</f>
        <v>8410</v>
      </c>
      <c r="E43" s="65">
        <f t="shared" si="1"/>
        <v>27800</v>
      </c>
    </row>
    <row r="44" spans="1:7" x14ac:dyDescent="0.3">
      <c r="A44" s="2">
        <v>5</v>
      </c>
      <c r="C44" s="38" t="s">
        <v>17</v>
      </c>
      <c r="D44" s="42">
        <f>TRUNC(29698,-1)</f>
        <v>29690</v>
      </c>
      <c r="E44" s="65">
        <f t="shared" si="1"/>
        <v>98140</v>
      </c>
    </row>
    <row r="45" spans="1:7" x14ac:dyDescent="0.3">
      <c r="A45" s="2">
        <v>6</v>
      </c>
      <c r="C45" s="38" t="s">
        <v>18</v>
      </c>
      <c r="D45" s="42">
        <f>TRUNC(13568,-1)</f>
        <v>13560</v>
      </c>
      <c r="E45" s="65">
        <f t="shared" si="1"/>
        <v>44820</v>
      </c>
    </row>
    <row r="46" spans="1:7" x14ac:dyDescent="0.3">
      <c r="A46" s="2">
        <v>7</v>
      </c>
      <c r="C46" s="38" t="s">
        <v>19</v>
      </c>
      <c r="D46" s="42">
        <f>TRUNC(183230,-1)</f>
        <v>183230</v>
      </c>
      <c r="E46" s="65">
        <f t="shared" si="1"/>
        <v>605720</v>
      </c>
    </row>
    <row r="47" spans="1:7" x14ac:dyDescent="0.3">
      <c r="A47" s="2">
        <v>8</v>
      </c>
      <c r="C47" s="38" t="s">
        <v>20</v>
      </c>
      <c r="D47" s="4">
        <v>0</v>
      </c>
      <c r="E47" s="65">
        <f t="shared" si="1"/>
        <v>0</v>
      </c>
    </row>
    <row r="48" spans="1:7" x14ac:dyDescent="0.3">
      <c r="A48" s="2">
        <v>9</v>
      </c>
      <c r="C48" s="38" t="s">
        <v>21</v>
      </c>
      <c r="D48" s="42">
        <f>TRUNC(69701,-1)</f>
        <v>69700</v>
      </c>
      <c r="E48" s="65">
        <f t="shared" si="1"/>
        <v>230410</v>
      </c>
    </row>
    <row r="49" spans="1:7" x14ac:dyDescent="0.3">
      <c r="A49" s="2">
        <v>10</v>
      </c>
      <c r="C49" s="38" t="s">
        <v>22</v>
      </c>
      <c r="D49" s="42">
        <f>TRUNC(11633,-1)</f>
        <v>11630</v>
      </c>
      <c r="E49" s="65">
        <f t="shared" si="1"/>
        <v>38440</v>
      </c>
    </row>
    <row r="50" spans="1:7" x14ac:dyDescent="0.3">
      <c r="A50" s="2">
        <v>11</v>
      </c>
      <c r="C50" s="38" t="s">
        <v>155</v>
      </c>
      <c r="D50" s="42">
        <f>TRUNC(62867,-1)</f>
        <v>62860</v>
      </c>
      <c r="E50" s="65">
        <f t="shared" si="1"/>
        <v>207800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5">
        <f t="shared" si="1"/>
        <v>0</v>
      </c>
    </row>
    <row r="52" spans="1:7" x14ac:dyDescent="0.3">
      <c r="A52" s="2">
        <v>13</v>
      </c>
      <c r="C52" s="38" t="s">
        <v>24</v>
      </c>
      <c r="D52" s="42">
        <f>TRUNC(5969,-1)</f>
        <v>5960</v>
      </c>
      <c r="E52" s="65">
        <f t="shared" si="1"/>
        <v>19700</v>
      </c>
    </row>
    <row r="53" spans="1:7" x14ac:dyDescent="0.3">
      <c r="A53" s="2">
        <v>14</v>
      </c>
      <c r="C53" s="38" t="s">
        <v>25</v>
      </c>
      <c r="D53" s="42">
        <f>TRUNC(144174,-1)</f>
        <v>144170</v>
      </c>
      <c r="E53" s="65">
        <f t="shared" si="1"/>
        <v>476590</v>
      </c>
      <c r="F53" s="2" t="s">
        <v>251</v>
      </c>
    </row>
    <row r="54" spans="1:7" x14ac:dyDescent="0.3">
      <c r="A54" s="2">
        <v>15</v>
      </c>
      <c r="C54" s="38" t="s">
        <v>147</v>
      </c>
      <c r="D54" s="4">
        <v>0</v>
      </c>
      <c r="E54" s="65">
        <f t="shared" si="1"/>
        <v>0</v>
      </c>
    </row>
    <row r="55" spans="1:7" x14ac:dyDescent="0.3">
      <c r="A55" s="2">
        <v>16</v>
      </c>
      <c r="C55" s="38" t="s">
        <v>144</v>
      </c>
      <c r="D55" s="4">
        <v>0</v>
      </c>
      <c r="E55" s="65">
        <f t="shared" si="1"/>
        <v>0</v>
      </c>
    </row>
    <row r="56" spans="1:7" x14ac:dyDescent="0.3">
      <c r="A56" s="2">
        <v>17</v>
      </c>
      <c r="C56" s="38" t="s">
        <v>145</v>
      </c>
      <c r="D56" s="4">
        <v>0</v>
      </c>
      <c r="E56" s="65">
        <f t="shared" si="1"/>
        <v>0</v>
      </c>
    </row>
    <row r="57" spans="1:7" x14ac:dyDescent="0.3">
      <c r="A57" s="2">
        <v>18</v>
      </c>
      <c r="C57" s="38" t="s">
        <v>146</v>
      </c>
      <c r="D57" s="4">
        <v>0</v>
      </c>
      <c r="E57" s="65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TRUNC(39457+1046+8218-450+51306,-1)</f>
        <v>99570</v>
      </c>
      <c r="E58" s="65">
        <f t="shared" si="1"/>
        <v>329150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TRUNC(237459,-1)</f>
        <v>237450</v>
      </c>
      <c r="E59" s="66">
        <f t="shared" si="1"/>
        <v>784960</v>
      </c>
    </row>
    <row r="60" spans="1:7" x14ac:dyDescent="0.3">
      <c r="A60" s="2">
        <v>21</v>
      </c>
      <c r="C60" s="27" t="s">
        <v>112</v>
      </c>
      <c r="D60" s="39">
        <f>SUM(D40:D59)</f>
        <v>1087600</v>
      </c>
      <c r="E60" s="39">
        <f>SUM(E40:E59)</f>
        <v>3595320</v>
      </c>
    </row>
    <row r="61" spans="1:7" s="52" customFormat="1" x14ac:dyDescent="0.3">
      <c r="C61" s="53"/>
      <c r="D61" s="53"/>
      <c r="E61" s="53"/>
      <c r="F61" s="51"/>
      <c r="G61" s="51"/>
    </row>
    <row r="62" spans="1:7" s="52" customFormat="1" ht="17.25" thickBot="1" x14ac:dyDescent="0.35">
      <c r="B62" s="52" t="s">
        <v>237</v>
      </c>
      <c r="C62" s="52" t="s">
        <v>238</v>
      </c>
      <c r="D62" s="53" t="s">
        <v>258</v>
      </c>
      <c r="E62" s="53" t="s">
        <v>153</v>
      </c>
      <c r="F62" s="51"/>
      <c r="G62" s="51"/>
    </row>
    <row r="63" spans="1:7" x14ac:dyDescent="0.3">
      <c r="A63" s="2">
        <v>1</v>
      </c>
      <c r="C63" s="38" t="s">
        <v>27</v>
      </c>
      <c r="D63" s="40">
        <f>TRUNC(4928,-1)</f>
        <v>4920</v>
      </c>
      <c r="E63" s="64">
        <f>TRUNC(+D63*3.3058,-1)</f>
        <v>16260</v>
      </c>
    </row>
    <row r="64" spans="1:7" x14ac:dyDescent="0.3">
      <c r="A64" s="2">
        <v>2</v>
      </c>
      <c r="C64" s="38" t="s">
        <v>29</v>
      </c>
      <c r="D64" s="4">
        <v>0</v>
      </c>
      <c r="E64" s="65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6">
        <f>TRUNC(+D65*3.3058,-1)</f>
        <v>0</v>
      </c>
    </row>
    <row r="66" spans="1:7" x14ac:dyDescent="0.3">
      <c r="A66" s="2">
        <v>4</v>
      </c>
      <c r="C66" s="27" t="s">
        <v>112</v>
      </c>
      <c r="D66" s="54">
        <f>SUM(D63:D65)</f>
        <v>4920</v>
      </c>
      <c r="E66" s="54">
        <f>SUM(E63:E65)</f>
        <v>16260</v>
      </c>
    </row>
    <row r="67" spans="1:7" s="52" customFormat="1" x14ac:dyDescent="0.3">
      <c r="C67" s="53"/>
      <c r="D67" s="53"/>
      <c r="E67" s="53"/>
      <c r="F67" s="51"/>
      <c r="G67" s="51"/>
    </row>
    <row r="68" spans="1:7" s="52" customFormat="1" ht="17.25" thickBot="1" x14ac:dyDescent="0.35">
      <c r="B68" s="52" t="s">
        <v>239</v>
      </c>
      <c r="C68" s="52" t="s">
        <v>240</v>
      </c>
      <c r="D68" s="53" t="s">
        <v>258</v>
      </c>
      <c r="E68" s="53" t="s">
        <v>153</v>
      </c>
      <c r="F68" s="51"/>
      <c r="G68" s="51"/>
    </row>
    <row r="69" spans="1:7" x14ac:dyDescent="0.3">
      <c r="A69" s="2">
        <v>1</v>
      </c>
      <c r="C69" s="38" t="s">
        <v>30</v>
      </c>
      <c r="D69" s="40">
        <f>TRUNC(9629,-1)</f>
        <v>9620</v>
      </c>
      <c r="E69" s="64">
        <f t="shared" ref="E69:E94" si="2">TRUNC(+D69*3.3058,-1)</f>
        <v>31800</v>
      </c>
    </row>
    <row r="70" spans="1:7" ht="16.5" customHeight="1" x14ac:dyDescent="0.3">
      <c r="A70" s="2">
        <v>2</v>
      </c>
      <c r="C70" s="38" t="s">
        <v>31</v>
      </c>
      <c r="D70" s="42">
        <f>TRUNC(719,-1)</f>
        <v>710</v>
      </c>
      <c r="E70" s="65">
        <f t="shared" si="2"/>
        <v>2340</v>
      </c>
    </row>
    <row r="71" spans="1:7" x14ac:dyDescent="0.3">
      <c r="A71" s="2">
        <v>3</v>
      </c>
      <c r="C71" s="38" t="s">
        <v>32</v>
      </c>
      <c r="D71" s="42">
        <v>0</v>
      </c>
      <c r="E71" s="65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5">
        <f t="shared" si="2"/>
        <v>0</v>
      </c>
    </row>
    <row r="73" spans="1:7" x14ac:dyDescent="0.3">
      <c r="A73" s="2">
        <v>5</v>
      </c>
      <c r="C73" s="38" t="s">
        <v>34</v>
      </c>
      <c r="D73" s="42">
        <f>TRUNC(10092,-1)</f>
        <v>10090</v>
      </c>
      <c r="E73" s="65">
        <f t="shared" si="2"/>
        <v>33350</v>
      </c>
    </row>
    <row r="74" spans="1:7" x14ac:dyDescent="0.3">
      <c r="A74" s="2">
        <v>6</v>
      </c>
      <c r="C74" s="38" t="s">
        <v>176</v>
      </c>
      <c r="D74" s="42">
        <v>0</v>
      </c>
      <c r="E74" s="65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5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5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5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5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5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5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5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5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5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5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5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5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5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5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TRUNC(9256,-1)</f>
        <v>9250</v>
      </c>
      <c r="E89" s="65">
        <f t="shared" si="2"/>
        <v>30570</v>
      </c>
    </row>
    <row r="90" spans="1:7" x14ac:dyDescent="0.3">
      <c r="A90" s="2">
        <v>22</v>
      </c>
      <c r="C90" s="38" t="s">
        <v>36</v>
      </c>
      <c r="D90" s="4">
        <v>0</v>
      </c>
      <c r="E90" s="65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5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TRUNC(12341,-1)</f>
        <v>12340</v>
      </c>
      <c r="E92" s="65">
        <f t="shared" si="2"/>
        <v>40790</v>
      </c>
    </row>
    <row r="93" spans="1:7" x14ac:dyDescent="0.3">
      <c r="A93" s="2">
        <v>25</v>
      </c>
      <c r="C93" s="38" t="s">
        <v>148</v>
      </c>
      <c r="D93" s="42">
        <f>TRUNC(170880,-1)</f>
        <v>170880</v>
      </c>
      <c r="E93" s="65">
        <f t="shared" si="2"/>
        <v>564890</v>
      </c>
    </row>
    <row r="94" spans="1:7" ht="17.25" thickBot="1" x14ac:dyDescent="0.35">
      <c r="A94" s="2">
        <v>26</v>
      </c>
      <c r="C94" s="38" t="s">
        <v>47</v>
      </c>
      <c r="D94" s="43">
        <f>TRUNC(329+23012,-1)</f>
        <v>23340</v>
      </c>
      <c r="E94" s="66">
        <f t="shared" si="2"/>
        <v>77150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236230</v>
      </c>
      <c r="E95" s="39">
        <f>SUM(E69:E94)</f>
        <v>780890</v>
      </c>
    </row>
    <row r="96" spans="1:7" s="52" customFormat="1" x14ac:dyDescent="0.3">
      <c r="C96" s="53"/>
      <c r="D96" s="53"/>
      <c r="E96" s="53"/>
      <c r="F96" s="51"/>
      <c r="G96" s="51"/>
    </row>
    <row r="97" spans="1:7" s="52" customFormat="1" ht="17.25" thickBot="1" x14ac:dyDescent="0.35">
      <c r="B97" s="52" t="s">
        <v>241</v>
      </c>
      <c r="C97" s="52" t="s">
        <v>240</v>
      </c>
      <c r="D97" s="53" t="s">
        <v>258</v>
      </c>
      <c r="E97" s="53" t="s">
        <v>153</v>
      </c>
      <c r="F97" s="51"/>
      <c r="G97" s="51"/>
    </row>
    <row r="98" spans="1:7" x14ac:dyDescent="0.3">
      <c r="A98" s="2">
        <v>1</v>
      </c>
      <c r="C98" s="38" t="s">
        <v>39</v>
      </c>
      <c r="D98" s="40">
        <f>TRUNC(18070,-1)</f>
        <v>18070</v>
      </c>
      <c r="E98" s="64">
        <f t="shared" ref="E98:E118" si="3">TRUNC(+D98*3.3058,-1)</f>
        <v>59730</v>
      </c>
    </row>
    <row r="99" spans="1:7" x14ac:dyDescent="0.3">
      <c r="A99" s="2">
        <v>2</v>
      </c>
      <c r="C99" s="38" t="s">
        <v>40</v>
      </c>
      <c r="D99" s="42">
        <f>TRUNC(2312,-1)</f>
        <v>2310</v>
      </c>
      <c r="E99" s="65">
        <f t="shared" si="3"/>
        <v>7630</v>
      </c>
    </row>
    <row r="100" spans="1:7" x14ac:dyDescent="0.3">
      <c r="A100" s="2">
        <v>3</v>
      </c>
      <c r="C100" s="38" t="s">
        <v>41</v>
      </c>
      <c r="D100" s="42">
        <f>TRUNC(52317,-1)</f>
        <v>52310</v>
      </c>
      <c r="E100" s="65">
        <f t="shared" si="3"/>
        <v>172920</v>
      </c>
    </row>
    <row r="101" spans="1:7" x14ac:dyDescent="0.3">
      <c r="A101" s="2">
        <v>4</v>
      </c>
      <c r="C101" s="38" t="s">
        <v>42</v>
      </c>
      <c r="D101" s="42">
        <v>0</v>
      </c>
      <c r="E101" s="65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TRUNC(21469,-1)</f>
        <v>21460</v>
      </c>
      <c r="E102" s="65">
        <f t="shared" si="3"/>
        <v>70940</v>
      </c>
    </row>
    <row r="103" spans="1:7" x14ac:dyDescent="0.3">
      <c r="A103" s="2">
        <v>6</v>
      </c>
      <c r="C103" s="38" t="s">
        <v>44</v>
      </c>
      <c r="D103" s="42">
        <f>TRUNC(7024,-1)</f>
        <v>7020</v>
      </c>
      <c r="E103" s="65">
        <f t="shared" si="3"/>
        <v>23200</v>
      </c>
    </row>
    <row r="104" spans="1:7" x14ac:dyDescent="0.3">
      <c r="A104" s="2">
        <v>7</v>
      </c>
      <c r="C104" s="38" t="s">
        <v>45</v>
      </c>
      <c r="D104" s="42">
        <f>TRUNC(6826,-1)</f>
        <v>6820</v>
      </c>
      <c r="E104" s="65">
        <f t="shared" si="3"/>
        <v>22540</v>
      </c>
    </row>
    <row r="105" spans="1:7" x14ac:dyDescent="0.3">
      <c r="A105" s="2">
        <v>8</v>
      </c>
      <c r="C105" s="38" t="s">
        <v>46</v>
      </c>
      <c r="D105" s="42">
        <f>TRUNC(1576,-1)</f>
        <v>1570</v>
      </c>
      <c r="E105" s="65">
        <f t="shared" si="3"/>
        <v>5190</v>
      </c>
    </row>
    <row r="106" spans="1:7" x14ac:dyDescent="0.3">
      <c r="A106" s="2">
        <v>9</v>
      </c>
      <c r="C106" s="38" t="s">
        <v>135</v>
      </c>
      <c r="D106" s="4">
        <v>0</v>
      </c>
      <c r="E106" s="65">
        <f t="shared" si="3"/>
        <v>0</v>
      </c>
    </row>
    <row r="107" spans="1:7" x14ac:dyDescent="0.3">
      <c r="A107" s="2">
        <v>10</v>
      </c>
      <c r="C107" s="38" t="s">
        <v>117</v>
      </c>
      <c r="D107" s="4">
        <v>0</v>
      </c>
      <c r="E107" s="65">
        <f t="shared" si="3"/>
        <v>0</v>
      </c>
    </row>
    <row r="108" spans="1:7" x14ac:dyDescent="0.3">
      <c r="A108" s="2">
        <v>11</v>
      </c>
      <c r="C108" s="38" t="s">
        <v>120</v>
      </c>
      <c r="D108" s="4">
        <v>0</v>
      </c>
      <c r="E108" s="65">
        <f t="shared" si="3"/>
        <v>0</v>
      </c>
    </row>
    <row r="109" spans="1:7" x14ac:dyDescent="0.3">
      <c r="A109" s="2">
        <v>12</v>
      </c>
      <c r="C109" s="38" t="s">
        <v>125</v>
      </c>
      <c r="D109" s="4">
        <v>0</v>
      </c>
      <c r="E109" s="65">
        <f t="shared" si="3"/>
        <v>0</v>
      </c>
    </row>
    <row r="110" spans="1:7" x14ac:dyDescent="0.3">
      <c r="A110" s="2">
        <v>13</v>
      </c>
      <c r="C110" s="38" t="s">
        <v>127</v>
      </c>
      <c r="D110" s="4">
        <v>0</v>
      </c>
      <c r="E110" s="65">
        <f t="shared" si="3"/>
        <v>0</v>
      </c>
    </row>
    <row r="111" spans="1:7" x14ac:dyDescent="0.3">
      <c r="A111" s="2">
        <v>14</v>
      </c>
      <c r="C111" s="38" t="s">
        <v>129</v>
      </c>
      <c r="D111" s="4">
        <v>0</v>
      </c>
      <c r="E111" s="65">
        <f t="shared" si="3"/>
        <v>0</v>
      </c>
    </row>
    <row r="112" spans="1:7" x14ac:dyDescent="0.3">
      <c r="A112" s="2">
        <v>15</v>
      </c>
      <c r="C112" s="38" t="s">
        <v>132</v>
      </c>
      <c r="D112" s="4">
        <v>0</v>
      </c>
      <c r="E112" s="65">
        <f t="shared" si="3"/>
        <v>0</v>
      </c>
    </row>
    <row r="113" spans="1:7" x14ac:dyDescent="0.3">
      <c r="A113" s="2">
        <v>16</v>
      </c>
      <c r="C113" s="38" t="s">
        <v>118</v>
      </c>
      <c r="D113" s="4">
        <v>0</v>
      </c>
      <c r="E113" s="65">
        <f t="shared" si="3"/>
        <v>0</v>
      </c>
    </row>
    <row r="114" spans="1:7" x14ac:dyDescent="0.3">
      <c r="A114" s="2">
        <v>17</v>
      </c>
      <c r="C114" s="38" t="s">
        <v>130</v>
      </c>
      <c r="D114" s="4">
        <v>0</v>
      </c>
      <c r="E114" s="65">
        <f t="shared" si="3"/>
        <v>0</v>
      </c>
    </row>
    <row r="115" spans="1:7" x14ac:dyDescent="0.3">
      <c r="A115" s="2">
        <v>18</v>
      </c>
      <c r="C115" s="38" t="s">
        <v>116</v>
      </c>
      <c r="D115" s="4">
        <v>0</v>
      </c>
      <c r="E115" s="65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TRUNC(23816,-1)</f>
        <v>23810</v>
      </c>
      <c r="E116" s="65">
        <f t="shared" si="3"/>
        <v>78710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f>TRUNC(80078,-1)</f>
        <v>80070</v>
      </c>
      <c r="E117" s="65">
        <f t="shared" si="3"/>
        <v>264690</v>
      </c>
    </row>
    <row r="118" spans="1:7" ht="17.25" thickBot="1" x14ac:dyDescent="0.35">
      <c r="A118" s="2">
        <v>21</v>
      </c>
      <c r="C118" s="38" t="s">
        <v>47</v>
      </c>
      <c r="D118" s="43">
        <f>TRUNC(3114,-1)</f>
        <v>3110</v>
      </c>
      <c r="E118" s="66">
        <f t="shared" si="3"/>
        <v>10280</v>
      </c>
    </row>
    <row r="119" spans="1:7" x14ac:dyDescent="0.3">
      <c r="A119" s="2">
        <v>22</v>
      </c>
      <c r="C119" s="27" t="s">
        <v>112</v>
      </c>
      <c r="D119" s="54">
        <f>SUM(D98:D118)</f>
        <v>216550</v>
      </c>
      <c r="E119" s="39">
        <f>SUM(E98:E118)</f>
        <v>715830</v>
      </c>
    </row>
    <row r="120" spans="1:7" s="52" customFormat="1" x14ac:dyDescent="0.3">
      <c r="C120" s="53"/>
      <c r="D120" s="53"/>
      <c r="E120" s="53"/>
      <c r="F120" s="51"/>
      <c r="G120" s="51"/>
    </row>
    <row r="121" spans="1:7" s="52" customFormat="1" ht="17.25" thickBot="1" x14ac:dyDescent="0.35">
      <c r="B121" s="52" t="s">
        <v>242</v>
      </c>
      <c r="C121" s="52" t="s">
        <v>240</v>
      </c>
      <c r="D121" s="53" t="s">
        <v>258</v>
      </c>
      <c r="E121" s="53" t="s">
        <v>153</v>
      </c>
      <c r="F121" s="51"/>
      <c r="G121" s="51"/>
    </row>
    <row r="122" spans="1:7" x14ac:dyDescent="0.3">
      <c r="A122" s="2">
        <v>1</v>
      </c>
      <c r="C122" s="38" t="s">
        <v>55</v>
      </c>
      <c r="D122" s="40">
        <f>TRUNC(2257,-1)</f>
        <v>2250</v>
      </c>
      <c r="E122" s="64">
        <f t="shared" ref="E122:E132" si="4">TRUNC(+D122*3.3058,-1)</f>
        <v>7430</v>
      </c>
    </row>
    <row r="123" spans="1:7" x14ac:dyDescent="0.3">
      <c r="A123" s="2">
        <v>2</v>
      </c>
      <c r="C123" s="38" t="s">
        <v>124</v>
      </c>
      <c r="D123" s="42">
        <v>0</v>
      </c>
      <c r="E123" s="65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TRUNC(26772,-1)</f>
        <v>26770</v>
      </c>
      <c r="E124" s="65">
        <f t="shared" si="4"/>
        <v>88490</v>
      </c>
    </row>
    <row r="125" spans="1:7" x14ac:dyDescent="0.3">
      <c r="A125" s="2">
        <v>4</v>
      </c>
      <c r="C125" s="38" t="s">
        <v>138</v>
      </c>
      <c r="D125" s="42">
        <f>TRUNC(9019,-1)</f>
        <v>9010</v>
      </c>
      <c r="E125" s="65">
        <f t="shared" si="4"/>
        <v>29780</v>
      </c>
    </row>
    <row r="126" spans="1:7" x14ac:dyDescent="0.3">
      <c r="A126" s="2">
        <v>5</v>
      </c>
      <c r="C126" s="38" t="s">
        <v>53</v>
      </c>
      <c r="D126" s="42">
        <f>TRUNC(12875,-1)</f>
        <v>12870</v>
      </c>
      <c r="E126" s="65">
        <f t="shared" si="4"/>
        <v>42540</v>
      </c>
    </row>
    <row r="127" spans="1:7" x14ac:dyDescent="0.3">
      <c r="A127" s="2">
        <v>6</v>
      </c>
      <c r="C127" s="38" t="s">
        <v>56</v>
      </c>
      <c r="D127" s="42">
        <v>0</v>
      </c>
      <c r="E127" s="65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5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5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TRUNC(20475,-1)</f>
        <v>20470</v>
      </c>
      <c r="E130" s="65">
        <f t="shared" si="4"/>
        <v>67660</v>
      </c>
    </row>
    <row r="131" spans="1:7" x14ac:dyDescent="0.3">
      <c r="A131" s="2">
        <v>10</v>
      </c>
      <c r="C131" s="38" t="s">
        <v>148</v>
      </c>
      <c r="D131" s="42">
        <v>0</v>
      </c>
      <c r="E131" s="65">
        <f t="shared" si="4"/>
        <v>0</v>
      </c>
    </row>
    <row r="132" spans="1:7" ht="17.25" thickBot="1" x14ac:dyDescent="0.35">
      <c r="A132" s="2">
        <v>11</v>
      </c>
      <c r="C132" s="38" t="s">
        <v>47</v>
      </c>
      <c r="D132" s="43">
        <f>TRUNC(4441,-1)</f>
        <v>4440</v>
      </c>
      <c r="E132" s="66">
        <f t="shared" si="4"/>
        <v>14670</v>
      </c>
      <c r="F132" s="2" t="s">
        <v>255</v>
      </c>
    </row>
    <row r="133" spans="1:7" x14ac:dyDescent="0.3">
      <c r="A133" s="2">
        <v>12</v>
      </c>
      <c r="C133" s="27" t="s">
        <v>112</v>
      </c>
      <c r="D133" s="54">
        <f>SUM(D122:D132)</f>
        <v>75810</v>
      </c>
      <c r="E133" s="39">
        <f>SUM(E122:E132)</f>
        <v>250570</v>
      </c>
    </row>
    <row r="134" spans="1:7" s="52" customFormat="1" x14ac:dyDescent="0.3">
      <c r="C134" s="53"/>
      <c r="D134" s="53"/>
      <c r="E134" s="53"/>
      <c r="F134" s="51"/>
      <c r="G134" s="51"/>
    </row>
    <row r="135" spans="1:7" s="52" customFormat="1" ht="17.25" thickBot="1" x14ac:dyDescent="0.35">
      <c r="B135" s="52" t="s">
        <v>243</v>
      </c>
      <c r="C135" s="52" t="s">
        <v>240</v>
      </c>
      <c r="D135" s="53" t="s">
        <v>258</v>
      </c>
      <c r="E135" s="53" t="s">
        <v>153</v>
      </c>
      <c r="F135" s="51"/>
      <c r="G135" s="51"/>
    </row>
    <row r="136" spans="1:7" x14ac:dyDescent="0.3">
      <c r="A136" s="2">
        <v>1</v>
      </c>
      <c r="C136" s="38" t="s">
        <v>131</v>
      </c>
      <c r="D136" s="58">
        <v>0</v>
      </c>
      <c r="E136" s="64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TRUNC(2822,-1)</f>
        <v>2820</v>
      </c>
      <c r="E137" s="65">
        <f t="shared" si="5"/>
        <v>9320</v>
      </c>
      <c r="F137" s="2" t="s">
        <v>256</v>
      </c>
    </row>
    <row r="138" spans="1:7" x14ac:dyDescent="0.3">
      <c r="A138" s="2">
        <v>3</v>
      </c>
      <c r="C138" s="38" t="s">
        <v>60</v>
      </c>
      <c r="D138" s="4">
        <v>0</v>
      </c>
      <c r="E138" s="65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5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TRUNC(1936,-1)</f>
        <v>1930</v>
      </c>
      <c r="E140" s="65">
        <f t="shared" si="5"/>
        <v>6380</v>
      </c>
    </row>
    <row r="141" spans="1:7" x14ac:dyDescent="0.3">
      <c r="A141" s="2">
        <v>6</v>
      </c>
      <c r="C141" s="38" t="s">
        <v>59</v>
      </c>
      <c r="D141" s="42">
        <v>0</v>
      </c>
      <c r="E141" s="65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TRUNC(5290,-1)</f>
        <v>5290</v>
      </c>
      <c r="E142" s="65">
        <f t="shared" si="5"/>
        <v>17480</v>
      </c>
    </row>
    <row r="143" spans="1:7" x14ac:dyDescent="0.3">
      <c r="A143" s="2">
        <v>8</v>
      </c>
      <c r="C143" s="38" t="s">
        <v>62</v>
      </c>
      <c r="D143" s="42">
        <f>TRUNC(6226,-1)</f>
        <v>6220</v>
      </c>
      <c r="E143" s="65">
        <f t="shared" si="5"/>
        <v>20560</v>
      </c>
    </row>
    <row r="144" spans="1:7" x14ac:dyDescent="0.3">
      <c r="A144" s="2">
        <v>9</v>
      </c>
      <c r="C144" s="38" t="s">
        <v>63</v>
      </c>
      <c r="D144" s="42">
        <f>TRUNC(19185,-1)</f>
        <v>19180</v>
      </c>
      <c r="E144" s="65">
        <f t="shared" si="5"/>
        <v>63400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6">
        <f t="shared" si="5"/>
        <v>0</v>
      </c>
    </row>
    <row r="146" spans="1:7" x14ac:dyDescent="0.3">
      <c r="A146" s="2">
        <v>11</v>
      </c>
      <c r="C146" s="27" t="s">
        <v>112</v>
      </c>
      <c r="D146" s="54">
        <f>SUM(D136:D145)</f>
        <v>35440</v>
      </c>
      <c r="E146" s="39">
        <f>SUM(E136:E145)</f>
        <v>117140</v>
      </c>
    </row>
    <row r="147" spans="1:7" s="52" customFormat="1" x14ac:dyDescent="0.3">
      <c r="C147" s="53"/>
      <c r="D147" s="53"/>
      <c r="E147" s="53"/>
      <c r="F147" s="51"/>
      <c r="G147" s="51"/>
    </row>
    <row r="148" spans="1:7" s="52" customFormat="1" ht="17.25" thickBot="1" x14ac:dyDescent="0.35">
      <c r="B148" s="52" t="s">
        <v>244</v>
      </c>
      <c r="C148" s="52" t="s">
        <v>240</v>
      </c>
      <c r="D148" s="53" t="s">
        <v>258</v>
      </c>
      <c r="E148" s="53" t="s">
        <v>153</v>
      </c>
      <c r="F148" s="51"/>
      <c r="G148" s="51"/>
    </row>
    <row r="149" spans="1:7" x14ac:dyDescent="0.3">
      <c r="A149" s="2">
        <v>1</v>
      </c>
      <c r="C149" s="38" t="s">
        <v>48</v>
      </c>
      <c r="D149" s="40">
        <f>TRUNC(1787,-1)</f>
        <v>1780</v>
      </c>
      <c r="E149" s="64">
        <f>TRUNC(+D149*3.3058,-1)</f>
        <v>5880</v>
      </c>
      <c r="F149" s="2" t="s">
        <v>257</v>
      </c>
    </row>
    <row r="150" spans="1:7" x14ac:dyDescent="0.3">
      <c r="A150" s="2">
        <v>2</v>
      </c>
      <c r="C150" s="38" t="s">
        <v>49</v>
      </c>
      <c r="D150" s="42">
        <f>TRUNC(7421,-1)</f>
        <v>7420</v>
      </c>
      <c r="E150" s="65">
        <f>TRUNC(+D150*3.3058,-1)</f>
        <v>24520</v>
      </c>
      <c r="F150" s="2" t="s">
        <v>257</v>
      </c>
    </row>
    <row r="151" spans="1:7" x14ac:dyDescent="0.3">
      <c r="A151" s="2">
        <v>3</v>
      </c>
      <c r="C151" s="38" t="s">
        <v>50</v>
      </c>
      <c r="D151" s="42">
        <f>TRUNC(911,-1)</f>
        <v>910</v>
      </c>
      <c r="E151" s="65">
        <f>TRUNC(+D151*3.3058,-1)</f>
        <v>3000</v>
      </c>
      <c r="F151" s="2" t="s">
        <v>257</v>
      </c>
    </row>
    <row r="152" spans="1:7" x14ac:dyDescent="0.3">
      <c r="A152" s="2">
        <v>4</v>
      </c>
      <c r="C152" s="38" t="s">
        <v>47</v>
      </c>
      <c r="D152" s="42">
        <f>TRUNC(24239+38886,-1)</f>
        <v>63120</v>
      </c>
      <c r="E152" s="65">
        <f>TRUNC(+D152*3.3058,-1)</f>
        <v>208660</v>
      </c>
      <c r="F152" s="59" t="s">
        <v>257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6">
        <f>TRUNC(+D153*3.3058,-1)</f>
        <v>0</v>
      </c>
      <c r="F153" s="59"/>
    </row>
    <row r="154" spans="1:7" x14ac:dyDescent="0.3">
      <c r="A154" s="2">
        <v>6</v>
      </c>
      <c r="C154" s="27" t="s">
        <v>112</v>
      </c>
      <c r="D154" s="54">
        <f>SUM(D149:D153)</f>
        <v>73230</v>
      </c>
      <c r="E154" s="39">
        <f>SUM(E149:E153)</f>
        <v>242060</v>
      </c>
    </row>
    <row r="155" spans="1:7" s="52" customFormat="1" x14ac:dyDescent="0.3">
      <c r="C155" s="53"/>
      <c r="D155" s="53"/>
      <c r="E155" s="53"/>
      <c r="F155" s="51"/>
      <c r="G155" s="51"/>
    </row>
    <row r="156" spans="1:7" s="52" customFormat="1" ht="17.25" thickBot="1" x14ac:dyDescent="0.35">
      <c r="B156" s="52" t="s">
        <v>245</v>
      </c>
      <c r="C156" s="52" t="s">
        <v>240</v>
      </c>
      <c r="D156" s="53" t="s">
        <v>258</v>
      </c>
      <c r="E156" s="53" t="s">
        <v>153</v>
      </c>
      <c r="F156" s="51"/>
      <c r="G156" s="51"/>
    </row>
    <row r="157" spans="1:7" x14ac:dyDescent="0.3">
      <c r="A157" s="2">
        <v>1</v>
      </c>
      <c r="C157" s="38" t="s">
        <v>51</v>
      </c>
      <c r="D157" s="40">
        <v>0</v>
      </c>
      <c r="E157" s="64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5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5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6">
        <f>TRUNC(+D160*3.3058,-1)</f>
        <v>0</v>
      </c>
    </row>
    <row r="161" spans="1:5" x14ac:dyDescent="0.3">
      <c r="A161" s="2">
        <v>5</v>
      </c>
      <c r="C161" s="27" t="s">
        <v>112</v>
      </c>
      <c r="D161" s="54">
        <f>SUM(D157:D160)</f>
        <v>0</v>
      </c>
      <c r="E161" s="54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2020-12-07T10:18:10Z</dcterms:modified>
</cp:coreProperties>
</file>