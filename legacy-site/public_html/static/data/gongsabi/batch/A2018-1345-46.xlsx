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45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75" i="4"/>
  <c r="D92" i="4"/>
  <c r="D91" i="4"/>
  <c r="D90" i="4"/>
  <c r="D89" i="4"/>
  <c r="D73" i="4"/>
  <c r="D72" i="4"/>
  <c r="D71" i="4"/>
  <c r="D70" i="4"/>
  <c r="D69" i="4"/>
  <c r="D105" i="4"/>
  <c r="D104" i="4"/>
  <c r="D102" i="4"/>
  <c r="D101" i="4"/>
  <c r="D100" i="4"/>
  <c r="D99" i="4"/>
  <c r="D114" i="4"/>
  <c r="D98" i="4"/>
  <c r="D116" i="4"/>
  <c r="D118" i="4"/>
  <c r="D128" i="4"/>
  <c r="D127" i="4"/>
  <c r="D124" i="4"/>
  <c r="D125" i="4"/>
  <c r="D130" i="4"/>
  <c r="D126" i="4"/>
  <c r="D122" i="4"/>
  <c r="D132" i="4"/>
  <c r="D144" i="4"/>
  <c r="D143" i="4"/>
  <c r="D139" i="4"/>
  <c r="D138" i="4"/>
  <c r="D141" i="4"/>
  <c r="D142" i="4"/>
  <c r="D140" i="4"/>
  <c r="D137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66" i="4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8" i="4"/>
  <c r="E28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<sst xmlns="http://schemas.openxmlformats.org/spreadsheetml/2006/main" count="395" uniqueCount="270">
  <si>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</si>
  <si>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</si>
  <si>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</si>
  <si>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</si>
  <si>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</si>
  <si>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</si>
  <si>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</si>
  <si>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</si>
  <si>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</si>
  <si>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</si>
  <si>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</si>
  <si>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</si>
  <si>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</si>
  <si>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</si>
  <si>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</si>
  <si>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</si>
  <si>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</si>
  <si>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</si>
  <si>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</si>
  <si>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</si>
  <si>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</si>
  <si>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</si>
  <si>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</si>
  <si>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</si>
  <si>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</si>
  <si>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</si>
  <si>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</si>
  <si>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</si>
  <si>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</si>
  <si>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</si>
  <si>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</si>
  <si>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</si>
  <si>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</si>
  <si>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</si>
  <si>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</si>
  <si>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</si>
  <si>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</si>
  <si>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</si>
  <si>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</si>
  <si>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</si>
  <si>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</si>
  <si>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</si>
  <si>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</si>
  <si>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</si>
  <si>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</si>
  <si>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</si>
  <si>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</si>
  <si>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</si>
  <si>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</si>
  <si>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</si>
  <si>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</si>
  <si>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</si>
  <si>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</si>
  <si>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</si>
  <si>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</si>
  <si>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</si>
  <si>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</si>
  <si>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</si>
  <si>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</si>
  <si>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</si>
  <si>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</si>
  <si>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</si>
  <si>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</si>
  <si>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</si>
  <si>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</si>
  <si>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</si>
  <si>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</si>
  <si>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</si>
  <si>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</si>
  <si>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</si>
  <si>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</si>
  <si>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</si>
  <si>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</si>
  <si>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</si>
  <si>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</si>
  <si>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</si>
  <si>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</si>
  <si>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</si>
  <si>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</si>
  <si>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</si>
  <si>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</si>
  <si>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</si>
  <si>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</si>
  <si>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</si>
  <si>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</si>
  <si>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</si>
  <si>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</si>
  <si>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</si>
  <si>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</si>
  <si>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</si>
  <si>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</si>
  <si>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</si>
  <si>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</si>
  <si>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</si>
  <si>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</si>
  <si>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</si>
  <si>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</si>
  <si>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</si>
  <si>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</si>
  <si>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</si>
  <si>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</si>
  <si>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</si>
  <si>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</si>
  <si>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</si>
  <si>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</si>
  <si>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</si>
  <si>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</si>
  <si>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</si>
  <si>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</si>
  <si>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</si>
  <si>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</si>
  <si>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</si>
  <si>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</si>
  <si>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</si>
  <si>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</si>
  <si>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</si>
  <si>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</si>
  <si>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</si>
  <si>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</si>
  <si>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</si>
  <si>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</si>
  <si>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</si>
  <si>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</si>
  <si>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</si>
  <si>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</si>
  <si>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</si>
  <si>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</si>
  <si>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</si>
  <si>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</si>
  <si>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</si>
  <si>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</si>
  <si>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</si>
  <si>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</si>
  <si>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</si>
  <si>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</si>
  <si>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</si>
  <si>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</si>
  <si>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</si>
  <si>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</si>
  <si>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</si>
  <si>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</si>
  <si>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</si>
  <si>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</si>
  <si>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</si>
  <si>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</si>
  <si>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</si>
  <si>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</si>
  <si>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</si>
  <si>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</si>
  <si>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</si>
  <si>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</si>
  <si>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</si>
  <si>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</si>
  <si>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</si>
  <si>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</si>
  <si>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</si>
  <si>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</si>
  <si>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</si>
  <si>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</si>
  <si>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</si>
  <si>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</si>
  <si>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</si>
  <si>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</si>
  <si>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</si>
  <si>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</si>
  <si>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</si>
  <si>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</si>
  <si>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</si>
  <si>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</si>
  <si>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</si>
  <si>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</si>
  <si>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</si>
  <si>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</si>
  <si>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</si>
  <si>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</si>
  <si>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</si>
  <si>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</si>
  <si>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</si>
  <si>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</si>
  <si>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</si>
  <si>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</si>
  <si>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</si>
  <si>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</si>
  <si>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</si>
  <si>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</si>
  <si>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</si>
  <si>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</si>
  <si>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</si>
  <si>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</si>
  <si>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</si>
  <si>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</si>
  <si>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</si>
  <si>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</si>
  <si>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</si>
  <si>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</si>
  <si>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</si>
  <si>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</si>
  <si>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</si>
  <si>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</si>
  <si>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</si>
  <si>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</si>
  <si>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</si>
  <si>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</si>
  <si>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</si>
  <si>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</si>
  <si>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</si>
  <si>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</si>
  <si>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</si>
  <si>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</si>
  <si>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</si>
  <si>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</si>
  <si>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</si>
  <si>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</si>
  <si>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</si>
  <si>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</si>
  <si>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</si>
  <si>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</si>
  <si>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</si>
  <si>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</si>
  <si>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</si>
  <si>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</si>
  <si>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</si>
  <si>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</si>
  <si>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</si>
  <si>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</si>
  <si>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</si>
  <si>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</si>
  <si>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</si>
  <si>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</si>
  <si>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</si>
  <si>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</si>
  <si>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</si>
  <si>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</si>
  <si>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</si>
  <si>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</si>
  <si>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</si>
  <si>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</si>
  <si>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</si>
  <si>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</si>
  <si>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</si>
  <si>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</si>
  <si>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</si>
  <si>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</si>
  <si>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</si>
  <si>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</si>
  <si>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</si>
  <si>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</si>
  <si>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</si>
  <si>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대전지방국세청 청사 신축공사</t>
    <phoneticPr fontId="2" type="noConversion"/>
  </si>
  <si>
    <t>업무</t>
  </si>
  <si>
    <t>대전시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</si>
  <si>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</si>
  <si>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</si>
  <si>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</si>
  <si>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</si>
  <si>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</si>
  <si>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</si>
  <si>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</si>
  <si>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</si>
  <si>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</si>
  <si>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</si>
  <si>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</si>
  <si>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</si>
  <si>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</si>
  <si>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</si>
  <si>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</si>
  <si>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바닥난방공사, 난방배관공사,우수처리시설공사,기타공사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</si>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</sst>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20761.759999999998</v>
      </c>
      <c r="D7" s="36">
        <f>+C7/3.3058</f>
        <v>6280.4041381813777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791890</v>
      </c>
      <c r="E25" s="59">
        <f t="shared" si="0"/>
        <v>2617820</v>
      </c>
    </row>
    <row r="26" spans="1:5" x14ac:dyDescent="0.3">
      <c r="B26" s="2">
        <v>3</v>
      </c>
      <c r="C26" s="35" t="s">
        <v>95</v>
      </c>
      <c r="D26" s="45">
        <f>+D66</f>
        <v>32530</v>
      </c>
      <c r="E26" s="59">
        <f t="shared" si="0"/>
        <v>107530</v>
      </c>
    </row>
    <row r="27" spans="1:5" x14ac:dyDescent="0.3">
      <c r="B27" s="2">
        <v>4</v>
      </c>
      <c r="C27" s="35" t="s">
        <v>96</v>
      </c>
      <c r="D27" s="45">
        <f>+D95</f>
        <v>284190</v>
      </c>
      <c r="E27" s="59">
        <f t="shared" si="0"/>
        <v>939470</v>
      </c>
    </row>
    <row r="28" spans="1:5" x14ac:dyDescent="0.3">
      <c r="B28" s="2">
        <v>5</v>
      </c>
      <c r="C28" s="35" t="s">
        <v>97</v>
      </c>
      <c r="D28" s="45">
        <f>+D119</f>
        <v>236820</v>
      </c>
      <c r="E28" s="59">
        <f t="shared" si="0"/>
        <v>782870</v>
      </c>
    </row>
    <row r="29" spans="1:5" x14ac:dyDescent="0.3">
      <c r="B29" s="2">
        <v>6</v>
      </c>
      <c r="C29" s="35" t="s">
        <v>98</v>
      </c>
      <c r="D29" s="45">
        <f>+D133</f>
        <v>112940</v>
      </c>
      <c r="E29" s="59">
        <f t="shared" si="0"/>
        <v>373350</v>
      </c>
    </row>
    <row r="30" spans="1:5" x14ac:dyDescent="0.3">
      <c r="B30" s="2">
        <v>7</v>
      </c>
      <c r="C30" s="35" t="s">
        <v>99</v>
      </c>
      <c r="D30" s="45">
        <f>+D146</f>
        <v>85380</v>
      </c>
      <c r="E30" s="59">
        <f t="shared" si="0"/>
        <v>282240</v>
      </c>
    </row>
    <row r="31" spans="1:5" x14ac:dyDescent="0.3">
      <c r="B31" s="2">
        <v>8</v>
      </c>
      <c r="C31" s="35" t="s">
        <v>100</v>
      </c>
      <c r="D31" s="45">
        <f>+D154</f>
        <v>32440</v>
      </c>
      <c r="E31" s="59">
        <f t="shared" si="0"/>
        <v>107240</v>
      </c>
    </row>
    <row r="32" spans="1:5" x14ac:dyDescent="0.3">
      <c r="B32" s="2">
        <v>9</v>
      </c>
      <c r="C32" s="35" t="s">
        <v>101</v>
      </c>
      <c r="D32" s="45">
        <f>+D161</f>
        <v>43670</v>
      </c>
      <c r="E32" s="59">
        <f t="shared" si="0"/>
        <v>144360</v>
      </c>
    </row>
    <row r="33" spans="1:7" x14ac:dyDescent="0.3">
      <c r="B33" s="2">
        <v>10</v>
      </c>
      <c r="C33" s="35" t="s">
        <v>154</v>
      </c>
      <c r="D33" s="53">
        <f>TRUNC(SUM(D24:D32)*0.275,-1)</f>
        <v>445460</v>
      </c>
      <c r="E33" s="60">
        <f t="shared" si="0"/>
        <v>1472600</v>
      </c>
    </row>
    <row r="34" spans="1:7" x14ac:dyDescent="0.3">
      <c r="C34" s="35" t="s">
        <v>112</v>
      </c>
      <c r="D34" s="44">
        <f>SUM(D24:D33)</f>
        <v>2065320</v>
      </c>
      <c r="E34" s="44">
        <f>SUM(E24:E33)</f>
        <v>6827480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TRUNC(50553,-1)</f>
        <v>50550</v>
      </c>
      <c r="E40" s="62">
        <f t="shared" ref="E40:E59" si="1">TRUNC(+D40*3.3058,-1)</f>
        <v>167100</v>
      </c>
    </row>
    <row r="41" spans="1:7" x14ac:dyDescent="0.3">
      <c r="A41" s="2">
        <v>2</v>
      </c>
      <c r="C41" s="38" t="s">
        <v>13</v>
      </c>
      <c r="D41" s="42">
        <f>TRUNC(148024,-1)</f>
        <v>148020</v>
      </c>
      <c r="E41" s="63">
        <f t="shared" si="1"/>
        <v>489320</v>
      </c>
    </row>
    <row r="42" spans="1:7" x14ac:dyDescent="0.3">
      <c r="A42" s="2">
        <v>3</v>
      </c>
      <c r="C42" s="38" t="s">
        <v>14</v>
      </c>
      <c r="D42" s="42">
        <f>TRUNC(6364,-1)</f>
        <v>6360</v>
      </c>
      <c r="E42" s="63">
        <f t="shared" si="1"/>
        <v>21020</v>
      </c>
    </row>
    <row r="43" spans="1:7" x14ac:dyDescent="0.3">
      <c r="A43" s="2">
        <v>4</v>
      </c>
      <c r="C43" s="38" t="s">
        <v>16</v>
      </c>
      <c r="D43" s="42">
        <f>TRUNC(5769,-1)</f>
        <v>5760</v>
      </c>
      <c r="E43" s="63">
        <f t="shared" si="1"/>
        <v>19040</v>
      </c>
    </row>
    <row r="44" spans="1:7" x14ac:dyDescent="0.3">
      <c r="A44" s="2">
        <v>5</v>
      </c>
      <c r="C44" s="38" t="s">
        <v>17</v>
      </c>
      <c r="D44" s="42">
        <f>TRUNC(22214,-1)</f>
        <v>22210</v>
      </c>
      <c r="E44" s="63">
        <f t="shared" si="1"/>
        <v>73420</v>
      </c>
    </row>
    <row r="45" spans="1:7" x14ac:dyDescent="0.3">
      <c r="A45" s="2">
        <v>6</v>
      </c>
      <c r="C45" s="38" t="s">
        <v>18</v>
      </c>
      <c r="D45" s="42">
        <f>TRUNC(4947,-1)</f>
        <v>4940</v>
      </c>
      <c r="E45" s="63">
        <f t="shared" si="1"/>
        <v>16330</v>
      </c>
    </row>
    <row r="46" spans="1:7" x14ac:dyDescent="0.3">
      <c r="A46" s="2">
        <v>7</v>
      </c>
      <c r="C46" s="38" t="s">
        <v>19</v>
      </c>
      <c r="D46" s="42">
        <f>TRUNC(4579,-1)</f>
        <v>4570</v>
      </c>
      <c r="E46" s="63">
        <f t="shared" si="1"/>
        <v>15100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TRUNC(34414,-1)</f>
        <v>34410</v>
      </c>
      <c r="E48" s="63">
        <f t="shared" si="1"/>
        <v>113750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TRUNC(5198,-1)</f>
        <v>5190</v>
      </c>
      <c r="E49" s="63">
        <f t="shared" si="1"/>
        <v>17150</v>
      </c>
    </row>
    <row r="50" spans="1:7" x14ac:dyDescent="0.3">
      <c r="A50" s="2">
        <v>11</v>
      </c>
      <c r="C50" s="38" t="s">
        <v>155</v>
      </c>
      <c r="D50" s="42">
        <f>TRUNC(30794,-1)</f>
        <v>30790</v>
      </c>
      <c r="E50" s="63">
        <f t="shared" si="1"/>
        <v>101780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TRUNC(10486,-1)</f>
        <v>10480</v>
      </c>
      <c r="E52" s="63">
        <f t="shared" si="1"/>
        <v>34640</v>
      </c>
    </row>
    <row r="53" spans="1:7" x14ac:dyDescent="0.3">
      <c r="A53" s="2">
        <v>14</v>
      </c>
      <c r="C53" s="38" t="s">
        <v>25</v>
      </c>
      <c r="D53" s="42">
        <f>TRUNC(91334,-1)</f>
        <v>91330</v>
      </c>
      <c r="E53" s="63">
        <f t="shared" si="1"/>
        <v>301910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TRUNC(29112+25834+4183-1325+899+18392,-1)</f>
        <v>77090</v>
      </c>
      <c r="E58" s="63">
        <f t="shared" si="1"/>
        <v>254840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TRUNC(300194,-1)</f>
        <v>300190</v>
      </c>
      <c r="E59" s="64">
        <f t="shared" si="1"/>
        <v>992360</v>
      </c>
    </row>
    <row r="60" spans="1:7" x14ac:dyDescent="0.3">
      <c r="A60" s="2">
        <v>21</v>
      </c>
      <c r="C60" s="27" t="s">
        <v>112</v>
      </c>
      <c r="D60" s="39">
        <f>SUM(D40:D59)</f>
        <v>791890</v>
      </c>
      <c r="E60" s="39">
        <f>SUM(E40:E59)</f>
        <v>2617760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TRUNC(2826,-1)</f>
        <v>2820</v>
      </c>
      <c r="E63" s="62">
        <f>TRUNC(+D63*3.3058,-1)</f>
        <v>9320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TRUNC(29710,-1)</f>
        <v>29710</v>
      </c>
      <c r="E65" s="64">
        <f>TRUNC(+D65*3.3058,-1)</f>
        <v>98210</v>
      </c>
    </row>
    <row r="66" spans="1:7" x14ac:dyDescent="0.3">
      <c r="A66" s="2">
        <v>4</v>
      </c>
      <c r="C66" s="27" t="s">
        <v>112</v>
      </c>
      <c r="D66" s="39">
        <f>SUM(D63:D65)</f>
        <v>32530</v>
      </c>
      <c r="E66" s="65">
        <f>SUM(E63:E65)</f>
        <v>107530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TRUNC(3864,-1)</f>
        <v>3860</v>
      </c>
      <c r="E69" s="62">
        <f t="shared" ref="E69:E94" si="2">TRUNC(+D69*3.3058,-1)</f>
        <v>12760</v>
      </c>
    </row>
    <row r="70" spans="1:7" ht="16.5" customHeight="1" x14ac:dyDescent="0.3">
      <c r="A70" s="2">
        <v>2</v>
      </c>
      <c r="C70" s="38" t="s">
        <v>31</v>
      </c>
      <c r="D70" s="42">
        <f>TRUNC(71,-1)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TRUNC(5958,-1)</f>
        <v>5950</v>
      </c>
      <c r="E71" s="63">
        <f t="shared" si="2"/>
        <v>19660</v>
      </c>
    </row>
    <row r="72" spans="1:7" x14ac:dyDescent="0.3">
      <c r="A72" s="2">
        <v>4</v>
      </c>
      <c r="C72" s="38" t="s">
        <v>33</v>
      </c>
      <c r="D72" s="42">
        <f>TRUNC(883,-1)</f>
        <v>880</v>
      </c>
      <c r="E72" s="63">
        <f t="shared" si="2"/>
        <v>2900</v>
      </c>
    </row>
    <row r="73" spans="1:7" x14ac:dyDescent="0.3">
      <c r="A73" s="2">
        <v>5</v>
      </c>
      <c r="C73" s="38" t="s">
        <v>34</v>
      </c>
      <c r="D73" s="42">
        <f>TRUNC(6214,-1)</f>
        <v>6210</v>
      </c>
      <c r="E73" s="63">
        <f t="shared" si="2"/>
        <v>20520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TRUNC(1173,-1)</f>
        <v>1170</v>
      </c>
      <c r="E75" s="63">
        <f t="shared" si="2"/>
        <v>3860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TRUNC(7008,-1)</f>
        <v>7000</v>
      </c>
      <c r="E89" s="63">
        <f t="shared" si="2"/>
        <v>23140</v>
      </c>
    </row>
    <row r="90" spans="1:7" x14ac:dyDescent="0.3">
      <c r="A90" s="2">
        <v>22</v>
      </c>
      <c r="C90" s="38" t="s">
        <v>36</v>
      </c>
      <c r="D90" s="42">
        <f>TRUNC(1809,-1)</f>
        <v>1800</v>
      </c>
      <c r="E90" s="63">
        <f t="shared" si="2"/>
        <v>5950</v>
      </c>
    </row>
    <row r="91" spans="1:7" x14ac:dyDescent="0.3">
      <c r="A91" s="2">
        <v>23</v>
      </c>
      <c r="C91" s="38" t="s">
        <v>37</v>
      </c>
      <c r="D91" s="42">
        <f>TRUNC(35117,-1)</f>
        <v>35110</v>
      </c>
      <c r="E91" s="63">
        <f t="shared" si="2"/>
        <v>116060</v>
      </c>
    </row>
    <row r="92" spans="1:7" x14ac:dyDescent="0.3">
      <c r="A92" s="2">
        <v>24</v>
      </c>
      <c r="C92" s="38" t="s">
        <v>38</v>
      </c>
      <c r="D92" s="42">
        <f>TRUNC(4546,-1)</f>
        <v>4540</v>
      </c>
      <c r="E92" s="63">
        <f t="shared" si="2"/>
        <v>15000</v>
      </c>
    </row>
    <row r="93" spans="1:7" x14ac:dyDescent="0.3">
      <c r="A93" s="2">
        <v>25</v>
      </c>
      <c r="C93" s="38" t="s">
        <v>148</v>
      </c>
      <c r="D93" s="42">
        <f>TRUNC(201131,-1)</f>
        <v>201130</v>
      </c>
      <c r="E93" s="63">
        <f t="shared" si="2"/>
        <v>664890</v>
      </c>
    </row>
    <row r="94" spans="1:7" ht="17.25" thickBot="1" x14ac:dyDescent="0.35">
      <c r="A94" s="2">
        <v>26</v>
      </c>
      <c r="C94" s="38" t="s">
        <v>47</v>
      </c>
      <c r="D94" s="43">
        <f>TRUNC(502+1081+1389+13504,-1)</f>
        <v>16470</v>
      </c>
      <c r="E94" s="64">
        <f t="shared" si="2"/>
        <v>54440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284190</v>
      </c>
      <c r="E95" s="39">
        <f>SUM(E69:E94)</f>
        <v>939410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TRUNC(12879,-1)</f>
        <v>12870</v>
      </c>
      <c r="E98" s="62">
        <f t="shared" ref="E98:E118" si="3">TRUNC(+D98*3.3058,-1)</f>
        <v>42540</v>
      </c>
    </row>
    <row r="99" spans="1:7" x14ac:dyDescent="0.3">
      <c r="A99" s="2">
        <v>2</v>
      </c>
      <c r="C99" s="38" t="s">
        <v>40</v>
      </c>
      <c r="D99" s="42">
        <f>TRUNC(11520,-1)</f>
        <v>11520</v>
      </c>
      <c r="E99" s="63">
        <f t="shared" si="3"/>
        <v>38080</v>
      </c>
    </row>
    <row r="100" spans="1:7" x14ac:dyDescent="0.3">
      <c r="A100" s="2">
        <v>3</v>
      </c>
      <c r="C100" s="38" t="s">
        <v>41</v>
      </c>
      <c r="D100" s="42">
        <f>TRUNC(37853,-1)</f>
        <v>37850</v>
      </c>
      <c r="E100" s="63">
        <f t="shared" si="3"/>
        <v>125120</v>
      </c>
    </row>
    <row r="101" spans="1:7" x14ac:dyDescent="0.3">
      <c r="A101" s="2">
        <v>4</v>
      </c>
      <c r="C101" s="38" t="s">
        <v>42</v>
      </c>
      <c r="D101" s="42">
        <f>TRUNC(394,-1)</f>
        <v>390</v>
      </c>
      <c r="E101" s="63">
        <f t="shared" si="3"/>
        <v>1280</v>
      </c>
    </row>
    <row r="102" spans="1:7" x14ac:dyDescent="0.3">
      <c r="A102" s="2">
        <v>5</v>
      </c>
      <c r="C102" s="38" t="s">
        <v>43</v>
      </c>
      <c r="D102" s="42">
        <f>TRUNC(19044,-1)</f>
        <v>19040</v>
      </c>
      <c r="E102" s="63">
        <f t="shared" si="3"/>
        <v>62940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TRUNC(3133,-1)</f>
        <v>3130</v>
      </c>
      <c r="E104" s="63">
        <f t="shared" si="3"/>
        <v>10340</v>
      </c>
    </row>
    <row r="105" spans="1:7" x14ac:dyDescent="0.3">
      <c r="A105" s="2">
        <v>8</v>
      </c>
      <c r="C105" s="38" t="s">
        <v>46</v>
      </c>
      <c r="D105" s="42">
        <f>TRUNC(11840,-1)</f>
        <v>11840</v>
      </c>
      <c r="E105" s="63">
        <f t="shared" si="3"/>
        <v>39140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TRUNC(1801,-1)</f>
        <v>1800</v>
      </c>
      <c r="E114" s="63">
        <f t="shared" si="3"/>
        <v>5950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TRUNC(7575,-1)</f>
        <v>7570</v>
      </c>
      <c r="E116" s="63">
        <f t="shared" si="3"/>
        <v>25020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TRUNC(129895,-1)</f>
        <v>129890</v>
      </c>
      <c r="E117" s="63">
        <f t="shared" si="3"/>
        <v>429390</v>
      </c>
    </row>
    <row r="118" spans="1:7" ht="17.25" thickBot="1" x14ac:dyDescent="0.35">
      <c r="A118" s="2">
        <v>21</v>
      </c>
      <c r="C118" s="38" t="s">
        <v>47</v>
      </c>
      <c r="D118" s="43">
        <f>TRUNC(925,-1)</f>
        <v>920</v>
      </c>
      <c r="E118" s="64">
        <f t="shared" si="3"/>
        <v>3040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236820</v>
      </c>
      <c r="E119" s="39">
        <f>SUM(E98:E118)</f>
        <v>782840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TRUNC(2481,-1)</f>
        <v>2480</v>
      </c>
      <c r="E122" s="62">
        <f t="shared" ref="E122:E132" si="4">TRUNC(+D122*3.3058,-1)</f>
        <v>8190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TRUNC(905,-1)</f>
        <v>900</v>
      </c>
      <c r="E124" s="63">
        <f t="shared" si="4"/>
        <v>2970</v>
      </c>
    </row>
    <row r="125" spans="1:7" x14ac:dyDescent="0.3">
      <c r="A125" s="2">
        <v>4</v>
      </c>
      <c r="C125" s="38" t="s">
        <v>138</v>
      </c>
      <c r="D125" s="42">
        <f>TRUNC(5614,-1)</f>
        <v>5610</v>
      </c>
      <c r="E125" s="63">
        <f t="shared" si="4"/>
        <v>18540</v>
      </c>
    </row>
    <row r="126" spans="1:7" x14ac:dyDescent="0.3">
      <c r="A126" s="2">
        <v>5</v>
      </c>
      <c r="C126" s="38" t="s">
        <v>53</v>
      </c>
      <c r="D126" s="42">
        <f>TRUNC(1907,-1)</f>
        <v>1900</v>
      </c>
      <c r="E126" s="63">
        <f t="shared" si="4"/>
        <v>6280</v>
      </c>
    </row>
    <row r="127" spans="1:7" x14ac:dyDescent="0.3">
      <c r="A127" s="2">
        <v>6</v>
      </c>
      <c r="C127" s="38" t="s">
        <v>56</v>
      </c>
      <c r="D127" s="42">
        <f>TRUNC(6766,-1)</f>
        <v>6760</v>
      </c>
      <c r="E127" s="63">
        <f t="shared" si="4"/>
        <v>22340</v>
      </c>
    </row>
    <row r="128" spans="1:7" x14ac:dyDescent="0.3">
      <c r="A128" s="2">
        <v>7</v>
      </c>
      <c r="C128" s="38" t="s">
        <v>46</v>
      </c>
      <c r="D128" s="42">
        <f>TRUNC(7506,-1)</f>
        <v>7500</v>
      </c>
      <c r="E128" s="63">
        <f t="shared" si="4"/>
        <v>24790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TRUNC(60039,-1)</f>
        <v>60030</v>
      </c>
      <c r="E130" s="63">
        <f t="shared" si="4"/>
        <v>198440</v>
      </c>
    </row>
    <row r="131" spans="1:7" x14ac:dyDescent="0.3">
      <c r="A131" s="2">
        <v>10</v>
      </c>
      <c r="C131" s="38" t="s">
        <v>148</v>
      </c>
      <c r="D131" s="42">
        <f>TRUNC(24857,-1)</f>
        <v>24850</v>
      </c>
      <c r="E131" s="63">
        <f t="shared" si="4"/>
        <v>82140</v>
      </c>
    </row>
    <row r="132" spans="1:7" ht="18" thickBot="1" x14ac:dyDescent="0.35">
      <c r="A132" s="2">
        <v>11</v>
      </c>
      <c r="C132" s="38" t="s">
        <v>47</v>
      </c>
      <c r="D132" s="43">
        <f>TRUNC(1567+577+771,-1)</f>
        <v>2910</v>
      </c>
      <c r="E132" s="64">
        <f t="shared" si="4"/>
        <v>9610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112940</v>
      </c>
      <c r="E133" s="39">
        <f>SUM(E122:E132)</f>
        <v>373300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TRUNC(129+1574+2479+2326+1589,-1)</f>
        <v>8090</v>
      </c>
      <c r="E137" s="63">
        <f t="shared" si="5"/>
        <v>26740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TRUNC(7087,-1)</f>
        <v>7080</v>
      </c>
      <c r="E138" s="63">
        <f t="shared" si="5"/>
        <v>23400</v>
      </c>
    </row>
    <row r="139" spans="1:7" x14ac:dyDescent="0.3">
      <c r="A139" s="2">
        <v>4</v>
      </c>
      <c r="C139" s="38" t="s">
        <v>61</v>
      </c>
      <c r="D139" s="42">
        <f>TRUNC(4387,-1)</f>
        <v>4380</v>
      </c>
      <c r="E139" s="63">
        <f t="shared" si="5"/>
        <v>14470</v>
      </c>
    </row>
    <row r="140" spans="1:7" x14ac:dyDescent="0.3">
      <c r="A140" s="2">
        <v>5</v>
      </c>
      <c r="C140" s="38" t="s">
        <v>57</v>
      </c>
      <c r="D140" s="42">
        <f>TRUNC(1456,-1)</f>
        <v>1450</v>
      </c>
      <c r="E140" s="63">
        <f t="shared" si="5"/>
        <v>4790</v>
      </c>
    </row>
    <row r="141" spans="1:7" x14ac:dyDescent="0.3">
      <c r="A141" s="2">
        <v>6</v>
      </c>
      <c r="C141" s="38" t="s">
        <v>59</v>
      </c>
      <c r="D141" s="42">
        <f>TRUNC(34371,-1)</f>
        <v>34370</v>
      </c>
      <c r="E141" s="63">
        <f t="shared" si="5"/>
        <v>113620</v>
      </c>
    </row>
    <row r="142" spans="1:7" x14ac:dyDescent="0.3">
      <c r="A142" s="2">
        <v>7</v>
      </c>
      <c r="C142" s="38" t="s">
        <v>58</v>
      </c>
      <c r="D142" s="42">
        <f>TRUNC(5669,-1)</f>
        <v>5660</v>
      </c>
      <c r="E142" s="63">
        <f t="shared" si="5"/>
        <v>18710</v>
      </c>
    </row>
    <row r="143" spans="1:7" x14ac:dyDescent="0.3">
      <c r="A143" s="2">
        <v>8</v>
      </c>
      <c r="C143" s="38" t="s">
        <v>62</v>
      </c>
      <c r="D143" s="42">
        <f>TRUNC(4782,-1)</f>
        <v>4780</v>
      </c>
      <c r="E143" s="63">
        <f t="shared" si="5"/>
        <v>15800</v>
      </c>
    </row>
    <row r="144" spans="1:7" x14ac:dyDescent="0.3">
      <c r="A144" s="2">
        <v>9</v>
      </c>
      <c r="C144" s="38" t="s">
        <v>63</v>
      </c>
      <c r="D144" s="42">
        <f>TRUNC(18100,-1)</f>
        <v>18100</v>
      </c>
      <c r="E144" s="63">
        <f t="shared" si="5"/>
        <v>59830</v>
      </c>
    </row>
    <row r="145" spans="1:7" ht="17.25" thickBot="1" x14ac:dyDescent="0.35">
      <c r="A145" s="2">
        <v>10</v>
      </c>
      <c r="C145" s="38" t="s">
        <v>148</v>
      </c>
      <c r="D145" s="43">
        <f>TRUNC(1470,-1)</f>
        <v>1470</v>
      </c>
      <c r="E145" s="64">
        <f t="shared" si="5"/>
        <v>4850</v>
      </c>
    </row>
    <row r="146" spans="1:7" x14ac:dyDescent="0.3">
      <c r="A146" s="2">
        <v>11</v>
      </c>
      <c r="C146" s="27" t="s">
        <v>112</v>
      </c>
      <c r="D146" s="39">
        <f>SUM(D136:D145)</f>
        <v>85380</v>
      </c>
      <c r="E146" s="39">
        <f>SUM(E136:E145)</f>
        <v>282210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TRUNC(2722+297,-1)</f>
        <v>3010</v>
      </c>
      <c r="E149" s="62">
        <f>TRUNC(+D149*3.3058,-1)</f>
        <v>9950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TRUNC(10549,-1)</f>
        <v>10540</v>
      </c>
      <c r="E150" s="63">
        <f>TRUNC(+D150*3.3058,-1)</f>
        <v>34840</v>
      </c>
    </row>
    <row r="151" spans="1:7" x14ac:dyDescent="0.3">
      <c r="A151" s="2">
        <v>3</v>
      </c>
      <c r="C151" s="38" t="s">
        <v>50</v>
      </c>
      <c r="D151" s="42">
        <f>TRUNC(1488,-1)</f>
        <v>1480</v>
      </c>
      <c r="E151" s="63">
        <f>TRUNC(+D151*3.3058,-1)</f>
        <v>4890</v>
      </c>
    </row>
    <row r="152" spans="1:7" x14ac:dyDescent="0.3">
      <c r="A152" s="2">
        <v>4</v>
      </c>
      <c r="C152" s="38" t="s">
        <v>47</v>
      </c>
      <c r="D152" s="42">
        <f>TRUNC(146+3427+128+4789,-1)</f>
        <v>8490</v>
      </c>
      <c r="E152" s="63">
        <f>TRUNC(+D152*3.3058,-1)</f>
        <v>28060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TRUNC(8924,-1)</f>
        <v>8920</v>
      </c>
      <c r="E153" s="64">
        <f>TRUNC(+D153*3.3058,-1)</f>
        <v>29480</v>
      </c>
    </row>
    <row r="154" spans="1:7" x14ac:dyDescent="0.3">
      <c r="A154" s="2">
        <v>6</v>
      </c>
      <c r="C154" s="27" t="s">
        <v>112</v>
      </c>
      <c r="D154" s="39">
        <f>SUM(D149:D153)</f>
        <v>32440</v>
      </c>
      <c r="E154" s="39">
        <f>SUM(E149:E153)</f>
        <v>107220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TRUNC(13354,-1)</f>
        <v>13350</v>
      </c>
      <c r="E157" s="62">
        <f>TRUNC(+D157*3.3058,-1)</f>
        <v>44130</v>
      </c>
    </row>
    <row r="158" spans="1:7" x14ac:dyDescent="0.3">
      <c r="A158" s="2">
        <v>2</v>
      </c>
      <c r="C158" s="38" t="s">
        <v>52</v>
      </c>
      <c r="D158" s="42">
        <f>TRUNC(9501,-1)</f>
        <v>9500</v>
      </c>
      <c r="E158" s="63">
        <f>TRUNC(+D158*3.3058,-1)</f>
        <v>31400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TRUNC(4569+7862,-1)</f>
        <v>12430</v>
      </c>
      <c r="E159" s="63">
        <f>TRUNC(+D159*3.3058,-1)</f>
        <v>41090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TRUNC(8393,-1)</f>
        <v>8390</v>
      </c>
      <c r="E160" s="64">
        <f>TRUNC(+D160*3.3058,-1)</f>
        <v>27730</v>
      </c>
    </row>
    <row r="161" spans="1:5" x14ac:dyDescent="0.3">
      <c r="A161" s="2">
        <v>5</v>
      </c>
      <c r="C161" s="27" t="s">
        <v>112</v>
      </c>
      <c r="D161" s="39">
        <f>SUM(D157:D160)</f>
        <v>43670</v>
      </c>
      <c r="E161" s="39">
        <f>SUM(E157:E160)</f>
        <v>144350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2020-12-08T02:21:49Z</dcterms:modified>
</cp:coreProperties>
</file>