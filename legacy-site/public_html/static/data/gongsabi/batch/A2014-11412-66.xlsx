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5" i="4" l="1"/>
  <c r="D126" i="4"/>
  <c r="D128" i="4"/>
  <c r="D123" i="4"/>
  <c r="D132" i="4"/>
  <c r="D118" i="4"/>
  <c r="D104" i="4"/>
  <c r="D102" i="4"/>
  <c r="D100" i="4"/>
  <c r="D108" i="4"/>
  <c r="D99" i="4"/>
  <c r="D101" i="4"/>
  <c r="D98" i="4"/>
  <c r="D115" i="4"/>
  <c r="D114" i="4"/>
  <c r="D116" i="4"/>
  <c r="D94" i="4"/>
  <c r="D72" i="4"/>
  <c r="D76" i="4"/>
  <c r="D85" i="4"/>
  <c r="D84" i="4"/>
  <c r="D79" i="4"/>
  <c r="D71" i="4"/>
  <c r="D69" i="4"/>
  <c r="D92" i="4"/>
  <c r="D70" i="4"/>
  <c r="D58" i="4"/>
  <c r="D55" i="4"/>
  <c r="D53" i="4"/>
  <c r="D52" i="4"/>
  <c r="D50" i="4"/>
  <c r="D49" i="4"/>
  <c r="D48" i="4"/>
  <c r="D47" i="4"/>
  <c r="D46" i="4"/>
  <c r="D45" i="4"/>
  <c r="D44" i="4"/>
  <c r="D43" i="4"/>
  <c r="D42" i="4"/>
  <c r="D41" i="4"/>
  <c r="D40" i="4"/>
  <c r="D37" i="4"/>
  <c r="D159" i="4"/>
  <c r="D152" i="4"/>
  <c r="D137" i="4"/>
  <c r="D13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19" i="4"/>
  <c r="E95" i="4"/>
  <c r="E60" i="4"/>
  <c r="E154" i="4"/>
  <c r="D161" i="4"/>
  <c r="D32" i="4" s="1"/>
  <c r="E32" i="4" s="1"/>
  <c r="D154" i="4"/>
  <c r="D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<sst xmlns="http://schemas.openxmlformats.org/spreadsheetml/2006/main" count="396" uniqueCount="271">
  <si>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</si>
  <si>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</si>
  <si>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</si>
  <si>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</si>
  <si>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</si>
  <si>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</si>
  <si>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</si>
  <si>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</si>
  <si>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</si>
  <si>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</si>
  <si>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</si>
  <si>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</si>
  <si>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</si>
  <si>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</si>
  <si>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</si>
  <si>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</si>
  <si>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</si>
  <si>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</si>
  <si>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</si>
  <si>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</si>
  <si>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</si>
  <si>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</si>
  <si>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</si>
  <si>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</si>
  <si>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</si>
  <si>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</si>
  <si>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</si>
  <si>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</si>
  <si>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</si>
  <si>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</si>
  <si>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</si>
  <si>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</si>
  <si>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</si>
  <si>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</si>
  <si>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</si>
  <si>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</si>
  <si>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</si>
  <si>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</si>
  <si>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</si>
  <si>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</si>
  <si>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</si>
  <si>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</si>
  <si>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</si>
  <si>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</si>
  <si>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</si>
  <si>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</si>
  <si>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</si>
  <si>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</si>
  <si>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</si>
  <si>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</si>
  <si>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</si>
  <si>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</si>
  <si>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</si>
  <si>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</si>
  <si>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</si>
  <si>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</si>
  <si>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</si>
  <si>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</si>
  <si>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</si>
  <si>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</si>
  <si>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</si>
  <si>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</si>
  <si>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</si>
  <si>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</si>
  <si>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</si>
  <si>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</si>
  <si>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</si>
  <si>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</si>
  <si>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</si>
  <si>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</si>
  <si>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</si>
  <si>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</si>
  <si>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</si>
  <si>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</si>
  <si>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</si>
  <si>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</si>
  <si>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</si>
  <si>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</si>
  <si>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</si>
  <si>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</si>
  <si>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</si>
  <si>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</si>
  <si>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</si>
  <si>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</si>
  <si>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</si>
  <si>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</si>
  <si>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</si>
  <si>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</si>
  <si>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</si>
  <si>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</si>
  <si>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</si>
  <si>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</si>
  <si>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</si>
  <si>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</si>
  <si>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</si>
  <si>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</si>
  <si>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</si>
  <si>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</si>
  <si>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</si>
  <si>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</si>
  <si>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</si>
  <si>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</si>
  <si>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</si>
  <si>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</si>
  <si>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</si>
  <si>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</si>
  <si>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</si>
  <si>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</si>
  <si>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</si>
  <si>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</si>
  <si>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</si>
  <si>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</si>
  <si>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</si>
  <si>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</si>
  <si>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</si>
  <si>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</si>
  <si>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</si>
  <si>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</si>
  <si>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</si>
  <si>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</si>
  <si>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</si>
  <si>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</si>
  <si>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</si>
  <si>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</si>
  <si>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</si>
  <si>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</si>
  <si>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</si>
  <si>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</si>
  <si>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</si>
  <si>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</si>
  <si>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</si>
  <si>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</si>
  <si>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</si>
  <si>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</si>
  <si>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</si>
  <si>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</si>
  <si>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</si>
  <si>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</si>
  <si>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</si>
  <si>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</si>
  <si>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</si>
  <si>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</si>
  <si>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</si>
  <si>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</si>
  <si>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</si>
  <si>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</si>
  <si>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</si>
  <si>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</si>
  <si>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</si>
  <si>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</si>
  <si>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</si>
  <si>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</si>
  <si>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</si>
  <si>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</si>
  <si>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</si>
  <si>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</si>
  <si>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</si>
  <si>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</si>
  <si>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</si>
  <si>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</si>
  <si>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</si>
  <si>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</si>
  <si>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</si>
  <si>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</si>
  <si>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</si>
  <si>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</si>
  <si>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</si>
  <si>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</si>
  <si>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</si>
  <si>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</si>
  <si>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</si>
  <si>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</si>
  <si>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</si>
  <si>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</si>
  <si>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</si>
  <si>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</si>
  <si>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</si>
  <si>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</si>
  <si>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</si>
  <si>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</si>
  <si>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</si>
  <si>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</si>
  <si>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</si>
  <si>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</si>
  <si>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</si>
  <si>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</si>
  <si>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</si>
  <si>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</si>
  <si>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</si>
  <si>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</si>
  <si>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</si>
  <si>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</si>
  <si>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</si>
  <si>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</si>
  <si>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</si>
  <si>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</si>
  <si>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</si>
  <si>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</si>
  <si>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</si>
  <si>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</si>
  <si>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</si>
  <si>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</si>
  <si>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</si>
  <si>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</si>
  <si>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</si>
  <si>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</si>
  <si>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</si>
  <si>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</si>
  <si>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</si>
  <si>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</si>
  <si>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</si>
  <si>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</si>
  <si>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</si>
  <si>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</si>
  <si>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</si>
  <si>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</si>
  <si>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</si>
  <si>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</si>
  <si>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</si>
  <si>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</si>
  <si>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</si>
  <si>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</si>
  <si>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</si>
  <si>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</si>
  <si>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</si>
  <si>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</si>
  <si>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</si>
  <si>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</si>
  <si>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</si>
  <si>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</si>
  <si>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</si>
  <si>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</si>
  <si>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</si>
  <si>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</si>
  <si>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</si>
  <si>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</si>
  <si>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</si>
  <si>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</si>
  <si>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</si>
  <si>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</si>
  <si>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</si>
  <si>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</si>
  <si>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</si>
  <si>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</si>
  <si>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</si>
  <si>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</si>
  <si>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</si>
  <si>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</si>
  <si>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00초등학교 신축공사</t>
    <phoneticPr fontId="2" type="noConversion"/>
  </si>
  <si>
    <t>교육연구</t>
  </si>
  <si>
    <t>경상도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</si>
  <si>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</si>
  <si>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</si>
  <si>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</si>
  <si>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</si>
  <si>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창호및유리공사</t>
    <phoneticPr fontId="2" type="noConversion"/>
  </si>
  <si>
    <t>기타공사,골재비,부대공사,운반비,작업부산물</t>
    <phoneticPr fontId="2" type="noConversion"/>
  </si>
  <si>
    <t>위생배관공사,화장실배관공사,자연환기장치및배기장치설치공사,조리실설비공사,전기식난방보일러설치공사,우수처리시설설치공사,무대막제작설치공사</t>
    <phoneticPr fontId="2" type="noConversion"/>
  </si>
  <si>
    <t>환기덕트공사</t>
    <phoneticPr fontId="2" type="noConversion"/>
  </si>
  <si>
    <t>냉난방,환기기타공사</t>
    <phoneticPr fontId="2" type="noConversion"/>
  </si>
  <si>
    <t>지열냉난방시스템설치공사</t>
    <phoneticPr fontId="2" type="noConversion"/>
  </si>
  <si>
    <t>옥외인입설비공사</t>
    <phoneticPr fontId="2" type="noConversion"/>
  </si>
  <si>
    <t>태양광발전설비공사,무대장치설비공사,단위세대설비공사</t>
    <phoneticPr fontId="2" type="noConversion"/>
  </si>
  <si>
    <t>구내통신선로-LAN공사,무선LAN공사</t>
    <phoneticPr fontId="2" type="noConversion"/>
  </si>
  <si>
    <t>방송공사,자체방송공사</t>
    <phoneticPr fontId="2" type="noConversion"/>
  </si>
  <si>
    <t>통신인입공사,종합유선방송전송선로공사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</si>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</sst>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10066</v>
      </c>
      <c r="D7" s="36">
        <f>+C7/3.3058</f>
        <v>3044.9512977191603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4240</v>
      </c>
      <c r="E24" s="58">
        <f t="shared" ref="E24:E33" si="0">TRUNC(+D24*3.3058,-1)</f>
        <v>14010</v>
      </c>
    </row>
    <row r="25" spans="1:5" x14ac:dyDescent="0.3">
      <c r="B25" s="2">
        <v>2</v>
      </c>
      <c r="C25" s="35" t="s">
        <v>111</v>
      </c>
      <c r="D25" s="45">
        <f>+D60</f>
        <v>482970</v>
      </c>
      <c r="E25" s="59">
        <f t="shared" si="0"/>
        <v>1596600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127070</v>
      </c>
      <c r="E27" s="59">
        <f t="shared" si="0"/>
        <v>420060</v>
      </c>
    </row>
    <row r="28" spans="1:5" x14ac:dyDescent="0.3">
      <c r="B28" s="2">
        <v>5</v>
      </c>
      <c r="C28" s="35" t="s">
        <v>97</v>
      </c>
      <c r="D28" s="45">
        <f>+D119</f>
        <v>35290</v>
      </c>
      <c r="E28" s="59">
        <f t="shared" si="0"/>
        <v>116660</v>
      </c>
    </row>
    <row r="29" spans="1:5" x14ac:dyDescent="0.3">
      <c r="B29" s="2">
        <v>6</v>
      </c>
      <c r="C29" s="35" t="s">
        <v>98</v>
      </c>
      <c r="D29" s="45">
        <f>+D133</f>
        <v>24500</v>
      </c>
      <c r="E29" s="59">
        <f t="shared" si="0"/>
        <v>80990</v>
      </c>
    </row>
    <row r="30" spans="1:5" x14ac:dyDescent="0.3">
      <c r="B30" s="2">
        <v>7</v>
      </c>
      <c r="C30" s="35" t="s">
        <v>99</v>
      </c>
      <c r="D30" s="45">
        <f>+D146</f>
        <v>32130</v>
      </c>
      <c r="E30" s="59">
        <f t="shared" si="0"/>
        <v>106210</v>
      </c>
    </row>
    <row r="31" spans="1:5" x14ac:dyDescent="0.3">
      <c r="B31" s="2">
        <v>8</v>
      </c>
      <c r="C31" s="35" t="s">
        <v>100</v>
      </c>
      <c r="D31" s="45">
        <f>+D154</f>
        <v>58410</v>
      </c>
      <c r="E31" s="59">
        <f t="shared" si="0"/>
        <v>193090</v>
      </c>
    </row>
    <row r="32" spans="1:5" x14ac:dyDescent="0.3">
      <c r="B32" s="2">
        <v>9</v>
      </c>
      <c r="C32" s="35" t="s">
        <v>101</v>
      </c>
      <c r="D32" s="45">
        <f>+D161</f>
        <v>29060</v>
      </c>
      <c r="E32" s="59">
        <f t="shared" si="0"/>
        <v>96060</v>
      </c>
    </row>
    <row r="33" spans="1:7" x14ac:dyDescent="0.3">
      <c r="B33" s="2">
        <v>10</v>
      </c>
      <c r="C33" s="35" t="s">
        <v>154</v>
      </c>
      <c r="D33" s="53">
        <f>TRUNC(SUM(D24:D32)*0.275,-1)</f>
        <v>218250</v>
      </c>
      <c r="E33" s="60">
        <f t="shared" si="0"/>
        <v>721490</v>
      </c>
    </row>
    <row r="34" spans="1:7" x14ac:dyDescent="0.3">
      <c r="C34" s="35" t="s">
        <v>112</v>
      </c>
      <c r="D34" s="44">
        <f>SUM(D24:D33)</f>
        <v>1011920</v>
      </c>
      <c r="E34" s="44">
        <f>SUM(E24:E33)</f>
        <v>3345170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TRUNC(4240,-1)</f>
        <v>4240</v>
      </c>
      <c r="E37" s="61">
        <f>TRUNC(+D37*3.3058,-1)</f>
        <v>14010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TRUNC(28997,-1)</f>
        <v>28990</v>
      </c>
      <c r="E40" s="62">
        <f t="shared" ref="E40:E59" si="1">TRUNC(+D40*3.3058,-1)</f>
        <v>95830</v>
      </c>
    </row>
    <row r="41" spans="1:7" x14ac:dyDescent="0.3">
      <c r="A41" s="2">
        <v>2</v>
      </c>
      <c r="C41" s="38" t="s">
        <v>13</v>
      </c>
      <c r="D41" s="42">
        <f>TRUNC(118930,-1)</f>
        <v>118930</v>
      </c>
      <c r="E41" s="63">
        <f t="shared" si="1"/>
        <v>393150</v>
      </c>
    </row>
    <row r="42" spans="1:7" x14ac:dyDescent="0.3">
      <c r="A42" s="2">
        <v>3</v>
      </c>
      <c r="C42" s="38" t="s">
        <v>14</v>
      </c>
      <c r="D42" s="42">
        <f>TRUNC(11610,-1)</f>
        <v>11610</v>
      </c>
      <c r="E42" s="63">
        <f t="shared" si="1"/>
        <v>38380</v>
      </c>
    </row>
    <row r="43" spans="1:7" x14ac:dyDescent="0.3">
      <c r="A43" s="2">
        <v>4</v>
      </c>
      <c r="C43" s="38" t="s">
        <v>16</v>
      </c>
      <c r="D43" s="42">
        <f>TRUNC(33673,-1)</f>
        <v>33670</v>
      </c>
      <c r="E43" s="63">
        <f t="shared" si="1"/>
        <v>111300</v>
      </c>
    </row>
    <row r="44" spans="1:7" x14ac:dyDescent="0.3">
      <c r="A44" s="2">
        <v>5</v>
      </c>
      <c r="C44" s="38" t="s">
        <v>17</v>
      </c>
      <c r="D44" s="42">
        <f>TRUNC(16705,-1)</f>
        <v>16700</v>
      </c>
      <c r="E44" s="63">
        <f t="shared" si="1"/>
        <v>55200</v>
      </c>
    </row>
    <row r="45" spans="1:7" x14ac:dyDescent="0.3">
      <c r="A45" s="2">
        <v>6</v>
      </c>
      <c r="C45" s="38" t="s">
        <v>18</v>
      </c>
      <c r="D45" s="42">
        <f>TRUNC(11297,-1)</f>
        <v>11290</v>
      </c>
      <c r="E45" s="63">
        <f t="shared" si="1"/>
        <v>37320</v>
      </c>
    </row>
    <row r="46" spans="1:7" x14ac:dyDescent="0.3">
      <c r="A46" s="2">
        <v>7</v>
      </c>
      <c r="C46" s="38" t="s">
        <v>19</v>
      </c>
      <c r="D46" s="42">
        <f>TRUNC(42339,-1)</f>
        <v>42330</v>
      </c>
      <c r="E46" s="63">
        <f t="shared" si="1"/>
        <v>139930</v>
      </c>
    </row>
    <row r="47" spans="1:7" x14ac:dyDescent="0.3">
      <c r="A47" s="2">
        <v>8</v>
      </c>
      <c r="C47" s="38" t="s">
        <v>20</v>
      </c>
      <c r="D47" s="42">
        <f>TRUNC(21654,-1)</f>
        <v>21650</v>
      </c>
      <c r="E47" s="63">
        <f t="shared" si="1"/>
        <v>71570</v>
      </c>
    </row>
    <row r="48" spans="1:7" x14ac:dyDescent="0.3">
      <c r="A48" s="2">
        <v>9</v>
      </c>
      <c r="C48" s="38" t="s">
        <v>21</v>
      </c>
      <c r="D48" s="42">
        <f>TRUNC(65414,-1)</f>
        <v>65410</v>
      </c>
      <c r="E48" s="63">
        <f t="shared" si="1"/>
        <v>216230</v>
      </c>
    </row>
    <row r="49" spans="1:7" x14ac:dyDescent="0.3">
      <c r="A49" s="2">
        <v>10</v>
      </c>
      <c r="C49" s="38" t="s">
        <v>22</v>
      </c>
      <c r="D49" s="42">
        <f>TRUNC(16990,-1)</f>
        <v>16990</v>
      </c>
      <c r="E49" s="63">
        <f t="shared" si="1"/>
        <v>56160</v>
      </c>
    </row>
    <row r="50" spans="1:7" x14ac:dyDescent="0.3">
      <c r="A50" s="2">
        <v>11</v>
      </c>
      <c r="C50" s="38" t="s">
        <v>155</v>
      </c>
      <c r="D50" s="42">
        <f>TRUNC(45210,-1)</f>
        <v>45210</v>
      </c>
      <c r="E50" s="63">
        <f t="shared" si="1"/>
        <v>149450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TRUNC(8955,-1)</f>
        <v>8950</v>
      </c>
      <c r="E52" s="63">
        <f t="shared" si="1"/>
        <v>29580</v>
      </c>
    </row>
    <row r="53" spans="1:7" x14ac:dyDescent="0.3">
      <c r="A53" s="2">
        <v>14</v>
      </c>
      <c r="C53" s="38" t="s">
        <v>25</v>
      </c>
      <c r="D53" s="42">
        <f>TRUNC(29082,-1)</f>
        <v>29080</v>
      </c>
      <c r="E53" s="63">
        <f t="shared" si="1"/>
        <v>96130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TRUNC(14383,-1)</f>
        <v>14380</v>
      </c>
      <c r="E55" s="63">
        <f t="shared" si="1"/>
        <v>47530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TRUNC(8543+5385+3882+1070-1096,-1)</f>
        <v>17780</v>
      </c>
      <c r="E58" s="63">
        <f t="shared" si="1"/>
        <v>58770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482970</v>
      </c>
      <c r="E60" s="39">
        <f>SUM(E40:E59)</f>
        <v>1596530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TRUNC(20718,-1)</f>
        <v>20710</v>
      </c>
      <c r="E69" s="62">
        <f t="shared" ref="E69:E94" si="2">TRUNC(+D69*3.3058,-1)</f>
        <v>68460</v>
      </c>
    </row>
    <row r="70" spans="1:7" ht="16.5" customHeight="1" x14ac:dyDescent="0.3">
      <c r="A70" s="2">
        <v>2</v>
      </c>
      <c r="C70" s="38" t="s">
        <v>31</v>
      </c>
      <c r="D70" s="42">
        <f>TRUNC(1730,-1)</f>
        <v>1730</v>
      </c>
      <c r="E70" s="63">
        <f t="shared" si="2"/>
        <v>5710</v>
      </c>
    </row>
    <row r="71" spans="1:7" x14ac:dyDescent="0.3">
      <c r="A71" s="2">
        <v>3</v>
      </c>
      <c r="C71" s="38" t="s">
        <v>32</v>
      </c>
      <c r="D71" s="42">
        <f>TRUNC(5023,-1)</f>
        <v>5020</v>
      </c>
      <c r="E71" s="63">
        <f t="shared" si="2"/>
        <v>16590</v>
      </c>
    </row>
    <row r="72" spans="1:7" x14ac:dyDescent="0.3">
      <c r="A72" s="2">
        <v>4</v>
      </c>
      <c r="C72" s="38" t="s">
        <v>33</v>
      </c>
      <c r="D72" s="42">
        <f>TRUNC(4415,-1)</f>
        <v>4410</v>
      </c>
      <c r="E72" s="63">
        <f t="shared" si="2"/>
        <v>14570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TRUNC(42099,-1)</f>
        <v>42090</v>
      </c>
      <c r="E76" s="63">
        <f t="shared" si="2"/>
        <v>139140</v>
      </c>
      <c r="F76" s="2" t="s">
        <v>260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TRUNC(3031,-1)</f>
        <v>3030</v>
      </c>
      <c r="E79" s="63">
        <f t="shared" si="2"/>
        <v>10010</v>
      </c>
      <c r="F79" s="2" t="s">
        <v>258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TRUNC(1396,-1)</f>
        <v>1390</v>
      </c>
      <c r="E84" s="63">
        <f t="shared" si="2"/>
        <v>4590</v>
      </c>
      <c r="F84" s="2" t="s">
        <v>259</v>
      </c>
    </row>
    <row r="85" spans="1:7" x14ac:dyDescent="0.3">
      <c r="A85" s="2">
        <v>17</v>
      </c>
      <c r="C85" s="38" t="s">
        <v>123</v>
      </c>
      <c r="D85" s="42">
        <f>TRUNC(288,-1)</f>
        <v>280</v>
      </c>
      <c r="E85" s="63">
        <f t="shared" si="2"/>
        <v>920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TRUNC(9196,-1)</f>
        <v>9190</v>
      </c>
      <c r="E92" s="63">
        <f t="shared" si="2"/>
        <v>30380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TRUNC(6436+8319+9328+6383+1019+5272+2469,-1)</f>
        <v>39220</v>
      </c>
      <c r="E94" s="64">
        <f t="shared" si="2"/>
        <v>129650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127070</v>
      </c>
      <c r="E95" s="39">
        <f>SUM(E69:E94)</f>
        <v>420020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TRUNC(1262,-1)</f>
        <v>1260</v>
      </c>
      <c r="E98" s="62">
        <f t="shared" ref="E98:E118" si="3">TRUNC(+D98*3.3058,-1)</f>
        <v>4160</v>
      </c>
    </row>
    <row r="99" spans="1:7" x14ac:dyDescent="0.3">
      <c r="A99" s="2">
        <v>2</v>
      </c>
      <c r="C99" s="38" t="s">
        <v>40</v>
      </c>
      <c r="D99" s="42">
        <f>TRUNC(6769,-1)</f>
        <v>6760</v>
      </c>
      <c r="E99" s="63">
        <f t="shared" si="3"/>
        <v>22340</v>
      </c>
    </row>
    <row r="100" spans="1:7" x14ac:dyDescent="0.3">
      <c r="A100" s="2">
        <v>3</v>
      </c>
      <c r="C100" s="38" t="s">
        <v>41</v>
      </c>
      <c r="D100" s="42">
        <f>TRUNC(4299,-1)</f>
        <v>4290</v>
      </c>
      <c r="E100" s="63">
        <f t="shared" si="3"/>
        <v>14180</v>
      </c>
    </row>
    <row r="101" spans="1:7" x14ac:dyDescent="0.3">
      <c r="A101" s="2">
        <v>4</v>
      </c>
      <c r="C101" s="38" t="s">
        <v>42</v>
      </c>
      <c r="D101" s="42">
        <f>TRUNC(146,-1)</f>
        <v>140</v>
      </c>
      <c r="E101" s="63">
        <f t="shared" si="3"/>
        <v>460</v>
      </c>
    </row>
    <row r="102" spans="1:7" x14ac:dyDescent="0.3">
      <c r="A102" s="2">
        <v>5</v>
      </c>
      <c r="C102" s="38" t="s">
        <v>43</v>
      </c>
      <c r="D102" s="42">
        <f>TRUNC(2000,-1)</f>
        <v>2000</v>
      </c>
      <c r="E102" s="63">
        <f t="shared" si="3"/>
        <v>6610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TRUNC(9026,-1)</f>
        <v>9020</v>
      </c>
      <c r="E104" s="63">
        <f t="shared" si="3"/>
        <v>29810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TRUNC(1470,-1)</f>
        <v>1470</v>
      </c>
      <c r="E108" s="63">
        <f t="shared" si="3"/>
        <v>4850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TRUNC(1688,-1)</f>
        <v>1680</v>
      </c>
      <c r="E114" s="63">
        <f t="shared" si="3"/>
        <v>5550</v>
      </c>
    </row>
    <row r="115" spans="1:7" x14ac:dyDescent="0.3">
      <c r="A115" s="2">
        <v>18</v>
      </c>
      <c r="C115" s="38" t="s">
        <v>116</v>
      </c>
      <c r="D115" s="42">
        <f>TRUNC(797,-1)</f>
        <v>790</v>
      </c>
      <c r="E115" s="63">
        <f t="shared" si="3"/>
        <v>2610</v>
      </c>
    </row>
    <row r="116" spans="1:7" x14ac:dyDescent="0.3">
      <c r="A116" s="2">
        <v>19</v>
      </c>
      <c r="C116" s="38" t="s">
        <v>115</v>
      </c>
      <c r="D116" s="42">
        <f>TRUNC(864,-1)</f>
        <v>860</v>
      </c>
      <c r="E116" s="63">
        <f t="shared" si="3"/>
        <v>2840</v>
      </c>
      <c r="F116" s="2" t="s">
        <v>261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TRUNC(5767+414+845,-1)</f>
        <v>7020</v>
      </c>
      <c r="E118" s="64">
        <f t="shared" si="3"/>
        <v>23200</v>
      </c>
      <c r="F118" s="2" t="s">
        <v>262</v>
      </c>
    </row>
    <row r="119" spans="1:7" x14ac:dyDescent="0.3">
      <c r="A119" s="2">
        <v>22</v>
      </c>
      <c r="C119" s="27" t="s">
        <v>112</v>
      </c>
      <c r="D119" s="39">
        <f>SUM(D98:D118)</f>
        <v>35290</v>
      </c>
      <c r="E119" s="39">
        <f>SUM(E98:E118)</f>
        <v>116610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f>TRUNC(9568+939,-1)</f>
        <v>10500</v>
      </c>
      <c r="E123" s="63">
        <f t="shared" si="4"/>
        <v>34710</v>
      </c>
      <c r="F123" s="2" t="s">
        <v>263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TRUNC(5347+801,-1)</f>
        <v>6140</v>
      </c>
      <c r="E125" s="63">
        <f t="shared" si="4"/>
        <v>20290</v>
      </c>
      <c r="F125" s="2" t="s">
        <v>264</v>
      </c>
    </row>
    <row r="126" spans="1:7" x14ac:dyDescent="0.3">
      <c r="A126" s="2">
        <v>5</v>
      </c>
      <c r="C126" s="38" t="s">
        <v>53</v>
      </c>
      <c r="D126" s="42">
        <f>TRUNC(734,-1)</f>
        <v>730</v>
      </c>
      <c r="E126" s="63">
        <f t="shared" si="4"/>
        <v>2410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TRUNC(4438,-1)</f>
        <v>4430</v>
      </c>
      <c r="E128" s="63">
        <f t="shared" si="4"/>
        <v>14640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TRUNC(179+2524,-1)</f>
        <v>2700</v>
      </c>
      <c r="E132" s="64">
        <f t="shared" si="4"/>
        <v>8920</v>
      </c>
      <c r="F132" s="54" t="s">
        <v>265</v>
      </c>
    </row>
    <row r="133" spans="1:7" x14ac:dyDescent="0.3">
      <c r="A133" s="2">
        <v>12</v>
      </c>
      <c r="C133" s="27" t="s">
        <v>112</v>
      </c>
      <c r="D133" s="39">
        <f>SUM(D122:D132)</f>
        <v>24500</v>
      </c>
      <c r="E133" s="39">
        <f>SUM(E122:E132)</f>
        <v>80970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TRUNC(18798,-1)</f>
        <v>18790</v>
      </c>
      <c r="E136" s="62">
        <f t="shared" ref="E136:E145" si="5">TRUNC(+D136*3.3058,-1)</f>
        <v>62110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TRUNC(13343,-1)</f>
        <v>13340</v>
      </c>
      <c r="E137" s="63">
        <f t="shared" si="5"/>
        <v>44090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32130</v>
      </c>
      <c r="E146" s="39">
        <f>SUM(E136:E145)</f>
        <v>106200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TRUNC(58414,-1)</f>
        <v>58410</v>
      </c>
      <c r="E152" s="63">
        <f>TRUNC(+D152*3.3058,-1)</f>
        <v>193090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58410</v>
      </c>
      <c r="E154" s="39">
        <f>SUM(E149:E153)</f>
        <v>193090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TRUNC(29069,-1)</f>
        <v>29060</v>
      </c>
      <c r="E159" s="63">
        <f>TRUNC(+D159*3.3058,-1)</f>
        <v>96060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29060</v>
      </c>
      <c r="E161" s="39">
        <f>SUM(E157:E160)</f>
        <v>96060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2020-12-07T09:50:47Z</dcterms:modified>
</cp:coreProperties>
</file>