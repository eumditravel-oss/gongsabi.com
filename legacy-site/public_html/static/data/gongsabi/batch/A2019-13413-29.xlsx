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9" i="4"/>
  <c r="D158" i="4"/>
  <c r="D157" i="4"/>
  <c r="D153" i="4"/>
  <c r="D152" i="4"/>
  <c r="D150" i="4"/>
  <c r="D145" i="4"/>
  <c r="D144" i="4"/>
  <c r="D143" i="4"/>
  <c r="D142" i="4"/>
  <c r="D141" i="4"/>
  <c r="D139" i="4"/>
  <c r="D137" i="4"/>
  <c r="D132" i="4"/>
  <c r="D131" i="4"/>
  <c r="D130" i="4"/>
  <c r="D127" i="4"/>
  <c r="D126" i="4"/>
  <c r="D125" i="4"/>
  <c r="D124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3" i="4"/>
  <c r="D92" i="4"/>
  <c r="D91" i="4"/>
  <c r="D90" i="4"/>
  <c r="D89" i="4"/>
  <c r="D75" i="4"/>
  <c r="D73" i="4"/>
  <c r="D72" i="4"/>
  <c r="D71" i="4"/>
  <c r="D70" i="4"/>
  <c r="D69" i="4"/>
  <c r="D65" i="4"/>
  <c r="D63" i="4"/>
  <c r="D59" i="4"/>
  <c r="D53" i="4"/>
  <c r="D52" i="4"/>
  <c r="D50" i="4"/>
  <c r="D49" i="4"/>
  <c r="D48" i="4"/>
  <c r="D46" i="4"/>
  <c r="D45" i="4"/>
  <c r="D43" i="4"/>
  <c r="D42" i="4"/>
  <c r="D41" i="4"/>
  <c r="D149" i="4" l="1"/>
  <c r="D5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<sst xmlns="http://schemas.openxmlformats.org/spreadsheetml/2006/main" count="395" uniqueCount="271">
  <si>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</si>
  <si>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</si>
  <si>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</si>
  <si>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</si>
  <si>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</si>
  <si>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</si>
  <si>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</si>
  <si>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</si>
  <si>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</si>
  <si>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</si>
  <si>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</si>
  <si>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</si>
  <si>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</si>
  <si>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</si>
  <si>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</si>
  <si>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</si>
  <si>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</si>
  <si>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</si>
  <si>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</si>
  <si>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</si>
  <si>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</si>
  <si>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</si>
  <si>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</si>
  <si>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</si>
  <si>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</si>
  <si>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</si>
  <si>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</si>
  <si>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</si>
  <si>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</si>
  <si>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</si>
  <si>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</si>
  <si>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</si>
  <si>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</si>
  <si>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</si>
  <si>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</si>
  <si>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</si>
  <si>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</si>
  <si>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</si>
  <si>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</si>
  <si>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</si>
  <si>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</si>
  <si>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</si>
  <si>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</si>
  <si>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</si>
  <si>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</si>
  <si>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</si>
  <si>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</si>
  <si>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</si>
  <si>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</si>
  <si>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</si>
  <si>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</si>
  <si>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</si>
  <si>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</si>
  <si>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</si>
  <si>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</si>
  <si>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</si>
  <si>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</si>
  <si>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</si>
  <si>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</si>
  <si>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</si>
  <si>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</si>
  <si>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</si>
  <si>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</si>
  <si>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</si>
  <si>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</si>
  <si>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</si>
  <si>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</si>
  <si>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</si>
  <si>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</si>
  <si>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</si>
  <si>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</si>
  <si>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</si>
  <si>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</si>
  <si>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</si>
  <si>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</si>
  <si>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</si>
  <si>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</si>
  <si>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</si>
  <si>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</si>
  <si>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</si>
  <si>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</si>
  <si>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</si>
  <si>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</si>
  <si>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</si>
  <si>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</si>
  <si>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</si>
  <si>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</si>
  <si>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</si>
  <si>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</si>
  <si>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</si>
  <si>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</si>
  <si>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</si>
  <si>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</si>
  <si>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</si>
  <si>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</si>
  <si>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</si>
  <si>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</si>
  <si>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</si>
  <si>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</si>
  <si>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</si>
  <si>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</si>
  <si>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</si>
  <si>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</si>
  <si>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</si>
  <si>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</si>
  <si>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</si>
  <si>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</si>
  <si>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</si>
  <si>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</si>
  <si>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</si>
  <si>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</si>
  <si>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</si>
  <si>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</si>
  <si>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</si>
  <si>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</si>
  <si>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</si>
  <si>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</si>
  <si>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</si>
  <si>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</si>
  <si>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</si>
  <si>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</si>
  <si>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</si>
  <si>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</si>
  <si>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</si>
  <si>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</si>
  <si>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</si>
  <si>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</si>
  <si>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</si>
  <si>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</si>
  <si>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</si>
  <si>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</si>
  <si>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</si>
  <si>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</si>
  <si>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</si>
  <si>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</si>
  <si>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</si>
  <si>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</si>
  <si>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</si>
  <si>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</si>
  <si>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</si>
  <si>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</si>
  <si>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</si>
  <si>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</si>
  <si>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</si>
  <si>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</si>
  <si>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</si>
  <si>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</si>
  <si>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</si>
  <si>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</si>
  <si>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</si>
  <si>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</si>
  <si>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</si>
  <si>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</si>
  <si>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</si>
  <si>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</si>
  <si>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</si>
  <si>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</si>
  <si>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</si>
  <si>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</si>
  <si>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</si>
  <si>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</si>
  <si>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</si>
  <si>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</si>
  <si>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</si>
  <si>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</si>
  <si>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</si>
  <si>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</si>
  <si>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</si>
  <si>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</si>
  <si>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</si>
  <si>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</si>
  <si>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</si>
  <si>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</si>
  <si>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</si>
  <si>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</si>
  <si>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</si>
  <si>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</si>
  <si>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</si>
  <si>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</si>
  <si>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</si>
  <si>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</si>
  <si>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</si>
  <si>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</si>
  <si>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</si>
  <si>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</si>
  <si>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</si>
  <si>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</si>
  <si>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</si>
  <si>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</si>
  <si>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</si>
  <si>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</si>
  <si>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</si>
  <si>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</si>
  <si>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</si>
  <si>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</si>
  <si>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</si>
  <si>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</si>
  <si>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</si>
  <si>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</si>
  <si>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</si>
  <si>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</si>
  <si>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</si>
  <si>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</si>
  <si>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</si>
  <si>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</si>
  <si>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</si>
  <si>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</si>
  <si>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</si>
  <si>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</si>
  <si>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</si>
  <si>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</si>
  <si>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</si>
  <si>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</si>
  <si>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</si>
  <si>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</si>
  <si>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</si>
  <si>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</si>
  <si>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</si>
  <si>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</si>
  <si>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</si>
  <si>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</si>
  <si>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</si>
  <si>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</si>
  <si>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</si>
  <si>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</si>
  <si>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</si>
  <si>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</si>
  <si>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</si>
  <si>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</si>
  <si>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</si>
  <si>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</si>
  <si>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</si>
  <si>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</si>
  <si>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</si>
  <si>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</si>
  <si>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</si>
  <si>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</si>
  <si>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</si>
  <si>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</si>
  <si>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</si>
  <si>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</si>
  <si>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</si>
  <si>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</si>
  <si>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</si>
  <si>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</si>
  <si>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</si>
  <si>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</si>
  <si>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</si>
  <si>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</si>
  <si>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순천경찰서 청사 신축 [건축공사]</t>
    <phoneticPr fontId="2" type="noConversion"/>
  </si>
  <si>
    <t>전라도</t>
  </si>
  <si>
    <t xml:space="preserve">(지붕및홈통공사 포함)  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</si>
  <si>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</si>
  <si>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</si>
  <si>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기초공사,해체및철거공사,골재비및운반비,품질시험비,기타공사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</si>
  <si>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</si>
  <si>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</si>
  <si>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</si>
  <si>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</si>
  <si>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</si>
  <si>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</si>
  <si>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</si>
  <si>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</si>
  <si>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</si>
  <si>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바닥난방공사, 공조배관공사,난방배관공사,우수처리시설공사  ,기타공사</t>
    <phoneticPr fontId="2" type="noConversion"/>
  </si>
  <si>
    <t>건축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</si>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</sst>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14341</v>
      </c>
      <c r="D7" s="36">
        <f>+C7/3.3058</f>
        <v>4338.132978401597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811060</v>
      </c>
      <c r="E25" s="59">
        <f t="shared" si="0"/>
        <v>2681200</v>
      </c>
    </row>
    <row r="26" spans="1:5" x14ac:dyDescent="0.3">
      <c r="B26" s="2">
        <v>3</v>
      </c>
      <c r="C26" s="35" t="s">
        <v>95</v>
      </c>
      <c r="D26" s="45">
        <f>+D66</f>
        <v>67790</v>
      </c>
      <c r="E26" s="59">
        <f t="shared" si="0"/>
        <v>224100</v>
      </c>
    </row>
    <row r="27" spans="1:5" x14ac:dyDescent="0.3">
      <c r="B27" s="2">
        <v>4</v>
      </c>
      <c r="C27" s="35" t="s">
        <v>96</v>
      </c>
      <c r="D27" s="45">
        <f>+D95</f>
        <v>324920</v>
      </c>
      <c r="E27" s="59">
        <f t="shared" si="0"/>
        <v>1074120</v>
      </c>
    </row>
    <row r="28" spans="1:5" x14ac:dyDescent="0.3">
      <c r="B28" s="2">
        <v>5</v>
      </c>
      <c r="C28" s="35" t="s">
        <v>97</v>
      </c>
      <c r="D28" s="45">
        <f>+D119</f>
        <v>208820</v>
      </c>
      <c r="E28" s="59">
        <f t="shared" si="0"/>
        <v>690310</v>
      </c>
    </row>
    <row r="29" spans="1:5" x14ac:dyDescent="0.3">
      <c r="B29" s="2">
        <v>6</v>
      </c>
      <c r="C29" s="35" t="s">
        <v>98</v>
      </c>
      <c r="D29" s="45">
        <f>+D133</f>
        <v>132010</v>
      </c>
      <c r="E29" s="59">
        <f t="shared" si="0"/>
        <v>436390</v>
      </c>
    </row>
    <row r="30" spans="1:5" x14ac:dyDescent="0.3">
      <c r="B30" s="2">
        <v>7</v>
      </c>
      <c r="C30" s="35" t="s">
        <v>99</v>
      </c>
      <c r="D30" s="45">
        <f>+D146</f>
        <v>42750</v>
      </c>
      <c r="E30" s="59">
        <f t="shared" si="0"/>
        <v>141320</v>
      </c>
    </row>
    <row r="31" spans="1:5" x14ac:dyDescent="0.3">
      <c r="B31" s="2">
        <v>8</v>
      </c>
      <c r="C31" s="35" t="s">
        <v>100</v>
      </c>
      <c r="D31" s="45">
        <f>+D154</f>
        <v>40970</v>
      </c>
      <c r="E31" s="59">
        <f t="shared" si="0"/>
        <v>135430</v>
      </c>
    </row>
    <row r="32" spans="1:5" x14ac:dyDescent="0.3">
      <c r="B32" s="2">
        <v>9</v>
      </c>
      <c r="C32" s="35" t="s">
        <v>101</v>
      </c>
      <c r="D32" s="45">
        <f>+D161</f>
        <v>29600</v>
      </c>
      <c r="E32" s="59">
        <f t="shared" si="0"/>
        <v>97850</v>
      </c>
    </row>
    <row r="33" spans="1:7" x14ac:dyDescent="0.3">
      <c r="B33" s="2">
        <v>10</v>
      </c>
      <c r="C33" s="35" t="s">
        <v>154</v>
      </c>
      <c r="D33" s="53">
        <f>TRUNC(SUM(D24:D32)*0.275,-1)</f>
        <v>455920</v>
      </c>
      <c r="E33" s="60">
        <f t="shared" si="0"/>
        <v>1507180</v>
      </c>
    </row>
    <row r="34" spans="1:7" x14ac:dyDescent="0.3">
      <c r="C34" s="35" t="s">
        <v>112</v>
      </c>
      <c r="D34" s="44">
        <f>SUM(D24:D33)</f>
        <v>2113840</v>
      </c>
      <c r="E34" s="44">
        <f>SUM(E24:E33)</f>
        <v>6987900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265</v>
      </c>
      <c r="C39" s="56" t="s">
        <v>238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v>55190</v>
      </c>
      <c r="E40" s="62">
        <f t="shared" ref="E40:E59" si="1">TRUNC(+D40*3.3058,-1)</f>
        <v>182440</v>
      </c>
    </row>
    <row r="41" spans="1:7" x14ac:dyDescent="0.3">
      <c r="A41" s="2">
        <v>2</v>
      </c>
      <c r="C41" s="38" t="s">
        <v>13</v>
      </c>
      <c r="D41" s="42">
        <f>TRUNC(146199,-1)</f>
        <v>146190</v>
      </c>
      <c r="E41" s="63">
        <f t="shared" si="1"/>
        <v>483270</v>
      </c>
    </row>
    <row r="42" spans="1:7" x14ac:dyDescent="0.3">
      <c r="A42" s="2">
        <v>3</v>
      </c>
      <c r="C42" s="38" t="s">
        <v>14</v>
      </c>
      <c r="D42" s="42">
        <f>TRUNC(7034,-1)</f>
        <v>7030</v>
      </c>
      <c r="E42" s="63">
        <f t="shared" si="1"/>
        <v>23230</v>
      </c>
    </row>
    <row r="43" spans="1:7" x14ac:dyDescent="0.3">
      <c r="A43" s="2">
        <v>4</v>
      </c>
      <c r="C43" s="38" t="s">
        <v>16</v>
      </c>
      <c r="D43" s="42">
        <f>TRUNC(17465,-1)</f>
        <v>17460</v>
      </c>
      <c r="E43" s="63">
        <f t="shared" si="1"/>
        <v>57710</v>
      </c>
    </row>
    <row r="44" spans="1:7" x14ac:dyDescent="0.3">
      <c r="A44" s="2">
        <v>5</v>
      </c>
      <c r="C44" s="38" t="s">
        <v>17</v>
      </c>
      <c r="D44" s="42">
        <v>22540</v>
      </c>
      <c r="E44" s="63">
        <f t="shared" si="1"/>
        <v>74510</v>
      </c>
    </row>
    <row r="45" spans="1:7" x14ac:dyDescent="0.3">
      <c r="A45" s="2">
        <v>6</v>
      </c>
      <c r="C45" s="38" t="s">
        <v>18</v>
      </c>
      <c r="D45" s="42">
        <f>TRUNC(10774,-1)</f>
        <v>10770</v>
      </c>
      <c r="E45" s="63">
        <f t="shared" si="1"/>
        <v>35600</v>
      </c>
    </row>
    <row r="46" spans="1:7" x14ac:dyDescent="0.3">
      <c r="A46" s="2">
        <v>7</v>
      </c>
      <c r="C46" s="38" t="s">
        <v>19</v>
      </c>
      <c r="D46" s="42">
        <f>TRUNC(38653,-1)</f>
        <v>38650</v>
      </c>
      <c r="E46" s="63">
        <f t="shared" si="1"/>
        <v>127760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TRUNC(30044,-1)</f>
        <v>30040</v>
      </c>
      <c r="E48" s="63">
        <f t="shared" si="1"/>
        <v>99300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TRUNC(7388,-1)</f>
        <v>7380</v>
      </c>
      <c r="E49" s="63">
        <f t="shared" si="1"/>
        <v>24390</v>
      </c>
    </row>
    <row r="50" spans="1:7" x14ac:dyDescent="0.3">
      <c r="A50" s="2">
        <v>11</v>
      </c>
      <c r="C50" s="38" t="s">
        <v>155</v>
      </c>
      <c r="D50" s="42">
        <f>TRUNC(55373,-1)</f>
        <v>55370</v>
      </c>
      <c r="E50" s="63">
        <f t="shared" si="1"/>
        <v>183040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TRUNC(14294,-1)</f>
        <v>14290</v>
      </c>
      <c r="E52" s="63">
        <f t="shared" si="1"/>
        <v>47230</v>
      </c>
    </row>
    <row r="53" spans="1:7" x14ac:dyDescent="0.3">
      <c r="A53" s="2">
        <v>14</v>
      </c>
      <c r="C53" s="38" t="s">
        <v>25</v>
      </c>
      <c r="D53" s="42">
        <f>TRUNC(82231,-1)</f>
        <v>82230</v>
      </c>
      <c r="E53" s="63">
        <f t="shared" si="1"/>
        <v>271830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11373+14335+3300+877+39105</f>
        <v>68990</v>
      </c>
      <c r="E58" s="63">
        <f t="shared" si="1"/>
        <v>228060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TRUNC(254937,-1)</f>
        <v>254930</v>
      </c>
      <c r="E59" s="64">
        <f t="shared" si="1"/>
        <v>842740</v>
      </c>
    </row>
    <row r="60" spans="1:7" x14ac:dyDescent="0.3">
      <c r="A60" s="2">
        <v>21</v>
      </c>
      <c r="C60" s="27" t="s">
        <v>112</v>
      </c>
      <c r="D60" s="39">
        <f>SUM(D40:D59)</f>
        <v>811060</v>
      </c>
      <c r="E60" s="39">
        <f>SUM(E40:E59)</f>
        <v>2681110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TRUNC(30079,-1)</f>
        <v>30070</v>
      </c>
      <c r="E63" s="62">
        <f>TRUNC(+D63*3.3058,-1)</f>
        <v>99400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TRUNC(37729,-1)</f>
        <v>37720</v>
      </c>
      <c r="E65" s="64">
        <f>TRUNC(+D65*3.3058,-1)</f>
        <v>124690</v>
      </c>
    </row>
    <row r="66" spans="1:7" x14ac:dyDescent="0.3">
      <c r="A66" s="2">
        <v>4</v>
      </c>
      <c r="C66" s="27" t="s">
        <v>112</v>
      </c>
      <c r="D66" s="39">
        <f>SUM(D63:D65)</f>
        <v>67790</v>
      </c>
      <c r="E66" s="65">
        <f>SUM(E63:E65)</f>
        <v>224090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TRUNC(8535,-1)</f>
        <v>8530</v>
      </c>
      <c r="E69" s="62">
        <f t="shared" ref="E69:E94" si="2">TRUNC(+D69*3.3058,-1)</f>
        <v>28190</v>
      </c>
    </row>
    <row r="70" spans="1:7" ht="16.5" customHeight="1" x14ac:dyDescent="0.3">
      <c r="A70" s="2">
        <v>2</v>
      </c>
      <c r="C70" s="38" t="s">
        <v>31</v>
      </c>
      <c r="D70" s="42">
        <f>TRUNC(553,-1)</f>
        <v>550</v>
      </c>
      <c r="E70" s="63">
        <f t="shared" si="2"/>
        <v>1810</v>
      </c>
    </row>
    <row r="71" spans="1:7" x14ac:dyDescent="0.3">
      <c r="A71" s="2">
        <v>3</v>
      </c>
      <c r="C71" s="38" t="s">
        <v>32</v>
      </c>
      <c r="D71" s="42">
        <f>TRUNC(13717,-1)</f>
        <v>13710</v>
      </c>
      <c r="E71" s="63">
        <f t="shared" si="2"/>
        <v>45320</v>
      </c>
    </row>
    <row r="72" spans="1:7" x14ac:dyDescent="0.3">
      <c r="A72" s="2">
        <v>4</v>
      </c>
      <c r="C72" s="38" t="s">
        <v>33</v>
      </c>
      <c r="D72" s="42">
        <f>TRUNC(3493,-1)</f>
        <v>3490</v>
      </c>
      <c r="E72" s="63">
        <f t="shared" si="2"/>
        <v>11530</v>
      </c>
    </row>
    <row r="73" spans="1:7" x14ac:dyDescent="0.3">
      <c r="A73" s="2">
        <v>5</v>
      </c>
      <c r="C73" s="38" t="s">
        <v>34</v>
      </c>
      <c r="D73" s="42">
        <f>TRUNC(9151,-1)</f>
        <v>9150</v>
      </c>
      <c r="E73" s="63">
        <f t="shared" si="2"/>
        <v>30240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TRUNC(107,-1)</f>
        <v>100</v>
      </c>
      <c r="E75" s="63">
        <f t="shared" si="2"/>
        <v>330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TRUNC(15983,-1)</f>
        <v>15980</v>
      </c>
      <c r="E89" s="63">
        <f t="shared" si="2"/>
        <v>52820</v>
      </c>
    </row>
    <row r="90" spans="1:7" x14ac:dyDescent="0.3">
      <c r="A90" s="2">
        <v>22</v>
      </c>
      <c r="C90" s="38" t="s">
        <v>36</v>
      </c>
      <c r="D90" s="42">
        <f>TRUNC(1139,-1)</f>
        <v>1130</v>
      </c>
      <c r="E90" s="63">
        <f t="shared" si="2"/>
        <v>3730</v>
      </c>
    </row>
    <row r="91" spans="1:7" x14ac:dyDescent="0.3">
      <c r="A91" s="2">
        <v>23</v>
      </c>
      <c r="C91" s="38" t="s">
        <v>37</v>
      </c>
      <c r="D91" s="42">
        <f>TRUNC(44409,-1)</f>
        <v>44400</v>
      </c>
      <c r="E91" s="63">
        <f t="shared" si="2"/>
        <v>146770</v>
      </c>
    </row>
    <row r="92" spans="1:7" x14ac:dyDescent="0.3">
      <c r="A92" s="2">
        <v>24</v>
      </c>
      <c r="C92" s="38" t="s">
        <v>38</v>
      </c>
      <c r="D92" s="42">
        <f>TRUNC(8368,-1)</f>
        <v>8360</v>
      </c>
      <c r="E92" s="63">
        <f t="shared" si="2"/>
        <v>27630</v>
      </c>
    </row>
    <row r="93" spans="1:7" x14ac:dyDescent="0.3">
      <c r="A93" s="2">
        <v>25</v>
      </c>
      <c r="C93" s="38" t="s">
        <v>148</v>
      </c>
      <c r="D93" s="42">
        <f>TRUNC(185407,-1)</f>
        <v>185400</v>
      </c>
      <c r="E93" s="63">
        <f t="shared" si="2"/>
        <v>612890</v>
      </c>
    </row>
    <row r="94" spans="1:7" ht="17.25" thickBot="1" x14ac:dyDescent="0.35">
      <c r="A94" s="2">
        <v>26</v>
      </c>
      <c r="C94" s="38" t="s">
        <v>47</v>
      </c>
      <c r="D94" s="43">
        <f>TRUNC(2157+3121+1224+5540+22081,-1)</f>
        <v>34120</v>
      </c>
      <c r="E94" s="64">
        <f t="shared" si="2"/>
        <v>112790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324920</v>
      </c>
      <c r="E95" s="39">
        <f>SUM(E69:E94)</f>
        <v>1074050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TRUNC(10973,-1)</f>
        <v>10970</v>
      </c>
      <c r="E98" s="62">
        <f t="shared" ref="E98:E118" si="3">TRUNC(+D98*3.3058,-1)</f>
        <v>36260</v>
      </c>
    </row>
    <row r="99" spans="1:7" x14ac:dyDescent="0.3">
      <c r="A99" s="2">
        <v>2</v>
      </c>
      <c r="C99" s="38" t="s">
        <v>40</v>
      </c>
      <c r="D99" s="42">
        <f>TRUNC(6663,-1)</f>
        <v>6660</v>
      </c>
      <c r="E99" s="63">
        <f t="shared" si="3"/>
        <v>22010</v>
      </c>
    </row>
    <row r="100" spans="1:7" x14ac:dyDescent="0.3">
      <c r="A100" s="2">
        <v>3</v>
      </c>
      <c r="C100" s="38" t="s">
        <v>41</v>
      </c>
      <c r="D100" s="42">
        <f>TRUNC(33564,-1)</f>
        <v>33560</v>
      </c>
      <c r="E100" s="63">
        <f t="shared" si="3"/>
        <v>110940</v>
      </c>
    </row>
    <row r="101" spans="1:7" x14ac:dyDescent="0.3">
      <c r="A101" s="2">
        <v>4</v>
      </c>
      <c r="C101" s="38" t="s">
        <v>42</v>
      </c>
      <c r="D101" s="42">
        <f>TRUNC(432,-1)</f>
        <v>430</v>
      </c>
      <c r="E101" s="63">
        <f t="shared" si="3"/>
        <v>1420</v>
      </c>
    </row>
    <row r="102" spans="1:7" x14ac:dyDescent="0.3">
      <c r="A102" s="2">
        <v>5</v>
      </c>
      <c r="C102" s="38" t="s">
        <v>43</v>
      </c>
      <c r="D102" s="42">
        <f>TRUNC(11227,-1)</f>
        <v>11220</v>
      </c>
      <c r="E102" s="63">
        <f t="shared" si="3"/>
        <v>37090</v>
      </c>
    </row>
    <row r="103" spans="1:7" x14ac:dyDescent="0.3">
      <c r="A103" s="2">
        <v>6</v>
      </c>
      <c r="C103" s="38" t="s">
        <v>44</v>
      </c>
      <c r="D103" s="42">
        <f>TRUNC(9801,-1)</f>
        <v>9800</v>
      </c>
      <c r="E103" s="63">
        <f t="shared" si="3"/>
        <v>32390</v>
      </c>
    </row>
    <row r="104" spans="1:7" x14ac:dyDescent="0.3">
      <c r="A104" s="2">
        <v>7</v>
      </c>
      <c r="C104" s="38" t="s">
        <v>45</v>
      </c>
      <c r="D104" s="42">
        <f>TRUNC(1949,-1)</f>
        <v>1940</v>
      </c>
      <c r="E104" s="63">
        <f t="shared" si="3"/>
        <v>6410</v>
      </c>
    </row>
    <row r="105" spans="1:7" x14ac:dyDescent="0.3">
      <c r="A105" s="2">
        <v>8</v>
      </c>
      <c r="C105" s="38" t="s">
        <v>46</v>
      </c>
      <c r="D105" s="42">
        <f>TRUNC(8101,-1)</f>
        <v>8100</v>
      </c>
      <c r="E105" s="63">
        <f t="shared" si="3"/>
        <v>26770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TRUNC(1692,-1)</f>
        <v>1690</v>
      </c>
      <c r="E114" s="63">
        <f t="shared" si="3"/>
        <v>5580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TRUNC(2797,-1)</f>
        <v>2790</v>
      </c>
      <c r="E116" s="63">
        <f t="shared" si="3"/>
        <v>9220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TRUNC(116864,-1)</f>
        <v>116860</v>
      </c>
      <c r="E117" s="63">
        <f t="shared" si="3"/>
        <v>386310</v>
      </c>
    </row>
    <row r="118" spans="1:7" ht="17.25" thickBot="1" x14ac:dyDescent="0.35">
      <c r="A118" s="2">
        <v>21</v>
      </c>
      <c r="C118" s="38" t="s">
        <v>47</v>
      </c>
      <c r="D118" s="43">
        <f>TRUNC(4808,-1)</f>
        <v>4800</v>
      </c>
      <c r="E118" s="64">
        <f t="shared" si="3"/>
        <v>15860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208820</v>
      </c>
      <c r="E119" s="39">
        <f>SUM(E98:E118)</f>
        <v>690260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TRUNC(4447,-1)</f>
        <v>4440</v>
      </c>
      <c r="E122" s="62">
        <f t="shared" ref="E122:E132" si="4">TRUNC(+D122*3.3058,-1)</f>
        <v>14670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TRUNC(369,-1)</f>
        <v>360</v>
      </c>
      <c r="E124" s="63">
        <f t="shared" si="4"/>
        <v>1190</v>
      </c>
    </row>
    <row r="125" spans="1:7" x14ac:dyDescent="0.3">
      <c r="A125" s="2">
        <v>4</v>
      </c>
      <c r="C125" s="38" t="s">
        <v>138</v>
      </c>
      <c r="D125" s="42">
        <f>TRUNC(7465,-1)</f>
        <v>7460</v>
      </c>
      <c r="E125" s="63">
        <f t="shared" si="4"/>
        <v>24660</v>
      </c>
    </row>
    <row r="126" spans="1:7" x14ac:dyDescent="0.3">
      <c r="A126" s="2">
        <v>5</v>
      </c>
      <c r="C126" s="38" t="s">
        <v>53</v>
      </c>
      <c r="D126" s="42">
        <f>TRUNC(9244,-1)</f>
        <v>9240</v>
      </c>
      <c r="E126" s="63">
        <f t="shared" si="4"/>
        <v>30540</v>
      </c>
    </row>
    <row r="127" spans="1:7" x14ac:dyDescent="0.3">
      <c r="A127" s="2">
        <v>6</v>
      </c>
      <c r="C127" s="38" t="s">
        <v>56</v>
      </c>
      <c r="D127" s="42">
        <f>TRUNC(6834,-1)</f>
        <v>6830</v>
      </c>
      <c r="E127" s="63">
        <f t="shared" si="4"/>
        <v>22570</v>
      </c>
    </row>
    <row r="128" spans="1:7" x14ac:dyDescent="0.3">
      <c r="A128" s="2">
        <v>7</v>
      </c>
      <c r="C128" s="38" t="s">
        <v>46</v>
      </c>
      <c r="D128" s="42">
        <v>10010</v>
      </c>
      <c r="E128" s="63">
        <f t="shared" si="4"/>
        <v>33090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TRUNC(33868,-1)</f>
        <v>33860</v>
      </c>
      <c r="E130" s="63">
        <f t="shared" si="4"/>
        <v>111930</v>
      </c>
    </row>
    <row r="131" spans="1:7" x14ac:dyDescent="0.3">
      <c r="A131" s="2">
        <v>10</v>
      </c>
      <c r="C131" s="38" t="s">
        <v>148</v>
      </c>
      <c r="D131" s="42">
        <f>TRUNC(51048,-1)</f>
        <v>51040</v>
      </c>
      <c r="E131" s="63">
        <f t="shared" si="4"/>
        <v>168720</v>
      </c>
    </row>
    <row r="132" spans="1:7" ht="18" thickBot="1" x14ac:dyDescent="0.35">
      <c r="A132" s="2">
        <v>11</v>
      </c>
      <c r="C132" s="38" t="s">
        <v>47</v>
      </c>
      <c r="D132" s="43">
        <f>TRUNC(3914+117+4739,-1)</f>
        <v>8770</v>
      </c>
      <c r="E132" s="64">
        <f t="shared" si="4"/>
        <v>28990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132010</v>
      </c>
      <c r="E133" s="39">
        <f>SUM(E122:E132)</f>
        <v>436360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TRUNC(510+2189+336,-1)</f>
        <v>3030</v>
      </c>
      <c r="E137" s="63">
        <f t="shared" si="5"/>
        <v>10010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TRUNC(1519,-1)</f>
        <v>1510</v>
      </c>
      <c r="E139" s="63">
        <f t="shared" si="5"/>
        <v>4990</v>
      </c>
    </row>
    <row r="140" spans="1:7" x14ac:dyDescent="0.3">
      <c r="A140" s="2">
        <v>5</v>
      </c>
      <c r="C140" s="38" t="s">
        <v>57</v>
      </c>
      <c r="D140" s="42">
        <v>400</v>
      </c>
      <c r="E140" s="63">
        <f t="shared" si="5"/>
        <v>1320</v>
      </c>
    </row>
    <row r="141" spans="1:7" x14ac:dyDescent="0.3">
      <c r="A141" s="2">
        <v>6</v>
      </c>
      <c r="C141" s="38" t="s">
        <v>59</v>
      </c>
      <c r="D141" s="42">
        <f>TRUNC(12156,-1)</f>
        <v>12150</v>
      </c>
      <c r="E141" s="63">
        <f t="shared" si="5"/>
        <v>40160</v>
      </c>
    </row>
    <row r="142" spans="1:7" x14ac:dyDescent="0.3">
      <c r="A142" s="2">
        <v>7</v>
      </c>
      <c r="C142" s="38" t="s">
        <v>58</v>
      </c>
      <c r="D142" s="42">
        <f>TRUNC(5412,-1)</f>
        <v>5410</v>
      </c>
      <c r="E142" s="63">
        <f t="shared" si="5"/>
        <v>17880</v>
      </c>
    </row>
    <row r="143" spans="1:7" x14ac:dyDescent="0.3">
      <c r="A143" s="2">
        <v>8</v>
      </c>
      <c r="C143" s="38" t="s">
        <v>62</v>
      </c>
      <c r="D143" s="42">
        <f>TRUNC(4806,-1)</f>
        <v>4800</v>
      </c>
      <c r="E143" s="63">
        <f t="shared" si="5"/>
        <v>15860</v>
      </c>
    </row>
    <row r="144" spans="1:7" x14ac:dyDescent="0.3">
      <c r="A144" s="2">
        <v>9</v>
      </c>
      <c r="C144" s="38" t="s">
        <v>63</v>
      </c>
      <c r="D144" s="42">
        <f>TRUNC(12508,-1)</f>
        <v>12500</v>
      </c>
      <c r="E144" s="63">
        <f t="shared" si="5"/>
        <v>41320</v>
      </c>
    </row>
    <row r="145" spans="1:7" ht="17.25" thickBot="1" x14ac:dyDescent="0.35">
      <c r="A145" s="2">
        <v>10</v>
      </c>
      <c r="C145" s="38" t="s">
        <v>148</v>
      </c>
      <c r="D145" s="43">
        <f>TRUNC(2956,-1)</f>
        <v>2950</v>
      </c>
      <c r="E145" s="64">
        <f t="shared" si="5"/>
        <v>9750</v>
      </c>
    </row>
    <row r="146" spans="1:7" x14ac:dyDescent="0.3">
      <c r="A146" s="2">
        <v>11</v>
      </c>
      <c r="C146" s="27" t="s">
        <v>112</v>
      </c>
      <c r="D146" s="39">
        <f>SUM(D136:D145)</f>
        <v>42750</v>
      </c>
      <c r="E146" s="39">
        <f>SUM(E136:E145)</f>
        <v>141290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6188+2312</f>
        <v>8500</v>
      </c>
      <c r="E149" s="62">
        <f>TRUNC(+D149*3.3058,-1)</f>
        <v>28090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TRUNC(4252,-1)</f>
        <v>4250</v>
      </c>
      <c r="E150" s="63">
        <f>TRUNC(+D150*3.3058,-1)</f>
        <v>14040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TRUNC(367+8453+2144,-1)</f>
        <v>10960</v>
      </c>
      <c r="E152" s="63">
        <f>TRUNC(+D152*3.3058,-1)</f>
        <v>36230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TRUNC(17267,-1)</f>
        <v>17260</v>
      </c>
      <c r="E153" s="64">
        <f>TRUNC(+D153*3.3058,-1)</f>
        <v>57050</v>
      </c>
    </row>
    <row r="154" spans="1:7" x14ac:dyDescent="0.3">
      <c r="A154" s="2">
        <v>6</v>
      </c>
      <c r="C154" s="27" t="s">
        <v>112</v>
      </c>
      <c r="D154" s="39">
        <f>SUM(D149:D153)</f>
        <v>40970</v>
      </c>
      <c r="E154" s="39">
        <f>SUM(E149:E153)</f>
        <v>135410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TRUNC(14419,-1)</f>
        <v>14410</v>
      </c>
      <c r="E157" s="62">
        <f>TRUNC(+D157*3.3058,-1)</f>
        <v>47630</v>
      </c>
    </row>
    <row r="158" spans="1:7" x14ac:dyDescent="0.3">
      <c r="A158" s="2">
        <v>2</v>
      </c>
      <c r="C158" s="38" t="s">
        <v>52</v>
      </c>
      <c r="D158" s="42">
        <f>TRUNC(6613,-1)</f>
        <v>6610</v>
      </c>
      <c r="E158" s="63">
        <f>TRUNC(+D158*3.3058,-1)</f>
        <v>21850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TRUNC(4978+357,-1)</f>
        <v>5330</v>
      </c>
      <c r="E159" s="63">
        <f>TRUNC(+D159*3.3058,-1)</f>
        <v>17610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TRUNC(3255,-1)</f>
        <v>3250</v>
      </c>
      <c r="E160" s="64">
        <f>TRUNC(+D160*3.3058,-1)</f>
        <v>10740</v>
      </c>
    </row>
    <row r="161" spans="1:5" x14ac:dyDescent="0.3">
      <c r="A161" s="2">
        <v>5</v>
      </c>
      <c r="C161" s="27" t="s">
        <v>112</v>
      </c>
      <c r="D161" s="39">
        <f>SUM(D157:D160)</f>
        <v>29600</v>
      </c>
      <c r="E161" s="39">
        <f>SUM(E157:E160)</f>
        <v>97830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2020-12-08T04:49:20Z</dcterms:modified>
</cp:coreProperties>
</file>