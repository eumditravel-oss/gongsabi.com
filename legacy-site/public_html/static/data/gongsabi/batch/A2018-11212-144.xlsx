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0" i="4"/>
  <c r="D149" i="4"/>
  <c r="D144" i="4"/>
  <c r="D143" i="4"/>
  <c r="D139" i="4"/>
  <c r="D137" i="4"/>
  <c r="D142" i="4"/>
  <c r="D140" i="4"/>
  <c r="D128" i="4"/>
  <c r="D132" i="4"/>
  <c r="D125" i="4"/>
  <c r="D122" i="4"/>
  <c r="D130" i="4"/>
  <c r="D103" i="4"/>
  <c r="D102" i="4"/>
  <c r="D100" i="4"/>
  <c r="D98" i="4"/>
  <c r="D94" i="4"/>
  <c r="D92" i="4"/>
  <c r="D73" i="4"/>
  <c r="D69" i="4"/>
  <c r="D63" i="4"/>
  <c r="D58" i="4"/>
  <c r="D53" i="4"/>
  <c r="D52" i="4"/>
  <c r="D50" i="4"/>
  <c r="D49" i="4"/>
  <c r="D48" i="4"/>
  <c r="D46" i="4"/>
  <c r="D44" i="4"/>
  <c r="D43" i="4"/>
  <c r="D42" i="4"/>
  <c r="D41" i="4"/>
  <c r="D40" i="4"/>
  <c r="D59" i="4"/>
  <c r="D131" i="4"/>
  <c r="D11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<sst xmlns="http://schemas.openxmlformats.org/spreadsheetml/2006/main" count="391" uniqueCount="266">
  <si>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</si>
  <si>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</si>
  <si>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</si>
  <si>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</si>
  <si>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</si>
  <si>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</si>
  <si>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</si>
  <si>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</si>
  <si>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</si>
  <si>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</si>
  <si>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</si>
  <si>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</si>
  <si>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</si>
  <si>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</si>
  <si>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</si>
  <si>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</si>
  <si>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</si>
  <si>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</si>
  <si>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</si>
  <si>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</si>
  <si>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</si>
  <si>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</si>
  <si>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</si>
  <si>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</si>
  <si>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</si>
  <si>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</si>
  <si>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</si>
  <si>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</si>
  <si>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</si>
  <si>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</si>
  <si>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</si>
  <si>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</si>
  <si>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</si>
  <si>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</si>
  <si>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</si>
  <si>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</si>
  <si>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</si>
  <si>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</si>
  <si>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</si>
  <si>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</si>
  <si>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</si>
  <si>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</si>
  <si>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</si>
  <si>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</si>
  <si>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</si>
  <si>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</si>
  <si>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</si>
  <si>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</si>
  <si>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</si>
  <si>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</si>
  <si>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</si>
  <si>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</si>
  <si>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</si>
  <si>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</si>
  <si>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</si>
  <si>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</si>
  <si>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</si>
  <si>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</si>
  <si>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</si>
  <si>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</si>
  <si>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</si>
  <si>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</si>
  <si>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</si>
  <si>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</si>
  <si>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</si>
  <si>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</si>
  <si>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</si>
  <si>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</si>
  <si>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</si>
  <si>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</si>
  <si>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</si>
  <si>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</si>
  <si>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</si>
  <si>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</si>
  <si>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</si>
  <si>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</si>
  <si>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</si>
  <si>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</si>
  <si>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</si>
  <si>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</si>
  <si>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</si>
  <si>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</si>
  <si>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</si>
  <si>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</si>
  <si>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</si>
  <si>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</si>
  <si>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</si>
  <si>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</si>
  <si>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</si>
  <si>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</si>
  <si>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</si>
  <si>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</si>
  <si>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</si>
  <si>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</si>
  <si>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</si>
  <si>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</si>
  <si>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</si>
  <si>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</si>
  <si>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</si>
  <si>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</si>
  <si>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</si>
  <si>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</si>
  <si>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</si>
  <si>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</si>
  <si>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</si>
  <si>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</si>
  <si>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</si>
  <si>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</si>
  <si>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</si>
  <si>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</si>
  <si>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</si>
  <si>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</si>
  <si>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</si>
  <si>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</si>
  <si>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</si>
  <si>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</si>
  <si>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</si>
  <si>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</si>
  <si>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</si>
  <si>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</si>
  <si>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</si>
  <si>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</si>
  <si>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</si>
  <si>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</si>
  <si>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</si>
  <si>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</si>
  <si>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</si>
  <si>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</si>
  <si>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</si>
  <si>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</si>
  <si>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</si>
  <si>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</si>
  <si>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</si>
  <si>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</si>
  <si>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</si>
  <si>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</si>
  <si>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</si>
  <si>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</si>
  <si>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</si>
  <si>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</si>
  <si>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</si>
  <si>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</si>
  <si>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</si>
  <si>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</si>
  <si>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</si>
  <si>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</si>
  <si>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</si>
  <si>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</si>
  <si>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</si>
  <si>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</si>
  <si>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</si>
  <si>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</si>
  <si>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</si>
  <si>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</si>
  <si>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</si>
  <si>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</si>
  <si>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</si>
  <si>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</si>
  <si>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</si>
  <si>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</si>
  <si>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</si>
  <si>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</si>
  <si>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</si>
  <si>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</si>
  <si>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</si>
  <si>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</si>
  <si>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</si>
  <si>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</si>
  <si>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</si>
  <si>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</si>
  <si>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</si>
  <si>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</si>
  <si>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</si>
  <si>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</si>
  <si>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</si>
  <si>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</si>
  <si>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</si>
  <si>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</si>
  <si>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</si>
  <si>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</si>
  <si>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</si>
  <si>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</si>
  <si>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</si>
  <si>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</si>
  <si>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</si>
  <si>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</si>
  <si>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</si>
  <si>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</si>
  <si>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</si>
  <si>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</si>
  <si>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</si>
  <si>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</si>
  <si>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</si>
  <si>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</si>
  <si>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</si>
  <si>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</si>
  <si>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</si>
  <si>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</si>
  <si>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</si>
  <si>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</si>
  <si>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</si>
  <si>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</si>
  <si>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</si>
  <si>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</si>
  <si>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</si>
  <si>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</si>
  <si>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</si>
  <si>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</si>
  <si>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</si>
  <si>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</si>
  <si>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</si>
  <si>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</si>
  <si>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</si>
  <si>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</si>
  <si>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</si>
  <si>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</si>
  <si>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</si>
  <si>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</si>
  <si>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</si>
  <si>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</si>
  <si>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</si>
  <si>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</si>
  <si>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</si>
  <si>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</si>
  <si>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</si>
  <si>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</si>
  <si>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</si>
  <si>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</si>
  <si>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</si>
  <si>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</si>
  <si>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</si>
  <si>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</si>
  <si>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</si>
  <si>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</si>
  <si>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</si>
  <si>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</si>
  <si>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</si>
  <si>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</si>
  <si>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</si>
  <si>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</si>
  <si>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</si>
  <si>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</si>
  <si>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</si>
  <si>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</si>
  <si>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</si>
  <si>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</si>
  <si>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</si>
  <si>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</si>
  <si>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포항제철공업고등학교 행정동 개축공사</t>
    <phoneticPr fontId="2" type="noConversion"/>
  </si>
  <si>
    <t>교육연구</t>
  </si>
  <si>
    <t>경상도</t>
  </si>
  <si>
    <t>우수공사,오수공사</t>
    <phoneticPr fontId="2" type="noConversion"/>
  </si>
  <si>
    <t>운반비,기타공사</t>
    <phoneticPr fontId="2" type="noConversion"/>
  </si>
  <si>
    <t>펌프실배관공사,기타공사</t>
    <phoneticPr fontId="2" type="noConversion"/>
  </si>
  <si>
    <t>CATV 및 TV 설비공사</t>
    <phoneticPr fontId="2" type="noConversion"/>
  </si>
  <si>
    <t>CCTV설비공사</t>
    <phoneticPr fontId="2" type="noConversion"/>
  </si>
  <si>
    <t>공조배관공사,난방배관공사,기타공사</t>
    <phoneticPr fontId="2" type="noConversion"/>
  </si>
  <si>
    <t>기초공사,해체및철거공사,골재비및운반비,기타공사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</si>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</sst>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3648.69</v>
      </c>
      <c r="D7" s="36">
        <f>+C7/3.3058</f>
        <v>1103.7237582430878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1168580</v>
      </c>
      <c r="E25" s="59">
        <f t="shared" si="0"/>
        <v>3863090</v>
      </c>
    </row>
    <row r="26" spans="1:5" x14ac:dyDescent="0.3">
      <c r="B26" s="2">
        <v>3</v>
      </c>
      <c r="C26" s="35" t="s">
        <v>95</v>
      </c>
      <c r="D26" s="45">
        <f>+D66</f>
        <v>1520</v>
      </c>
      <c r="E26" s="59">
        <f t="shared" si="0"/>
        <v>5020</v>
      </c>
    </row>
    <row r="27" spans="1:5" x14ac:dyDescent="0.3">
      <c r="B27" s="2">
        <v>4</v>
      </c>
      <c r="C27" s="35" t="s">
        <v>96</v>
      </c>
      <c r="D27" s="45">
        <f>+D95</f>
        <v>35110</v>
      </c>
      <c r="E27" s="59">
        <f t="shared" si="0"/>
        <v>116060</v>
      </c>
    </row>
    <row r="28" spans="1:5" x14ac:dyDescent="0.3">
      <c r="B28" s="2">
        <v>5</v>
      </c>
      <c r="C28" s="35" t="s">
        <v>97</v>
      </c>
      <c r="D28" s="45">
        <f>+D119</f>
        <v>86060</v>
      </c>
      <c r="E28" s="59">
        <f t="shared" si="0"/>
        <v>284490</v>
      </c>
    </row>
    <row r="29" spans="1:5" x14ac:dyDescent="0.3">
      <c r="B29" s="2">
        <v>6</v>
      </c>
      <c r="C29" s="35" t="s">
        <v>98</v>
      </c>
      <c r="D29" s="45">
        <f>+D133</f>
        <v>63560</v>
      </c>
      <c r="E29" s="59">
        <f t="shared" si="0"/>
        <v>210110</v>
      </c>
    </row>
    <row r="30" spans="1:5" x14ac:dyDescent="0.3">
      <c r="B30" s="2">
        <v>7</v>
      </c>
      <c r="C30" s="35" t="s">
        <v>99</v>
      </c>
      <c r="D30" s="45">
        <f>+D146</f>
        <v>29200</v>
      </c>
      <c r="E30" s="59">
        <f t="shared" si="0"/>
        <v>96520</v>
      </c>
    </row>
    <row r="31" spans="1:5" x14ac:dyDescent="0.3">
      <c r="B31" s="2">
        <v>8</v>
      </c>
      <c r="C31" s="35" t="s">
        <v>100</v>
      </c>
      <c r="D31" s="45">
        <f>+D154</f>
        <v>10010</v>
      </c>
      <c r="E31" s="59">
        <f t="shared" si="0"/>
        <v>33090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383360</v>
      </c>
      <c r="E33" s="60">
        <f t="shared" si="0"/>
        <v>1267310</v>
      </c>
    </row>
    <row r="34" spans="1:7" x14ac:dyDescent="0.3">
      <c r="C34" s="35" t="s">
        <v>112</v>
      </c>
      <c r="D34" s="44">
        <f>SUM(D24:D33)</f>
        <v>1777400</v>
      </c>
      <c r="E34" s="44">
        <f>SUM(E24:E33)</f>
        <v>5875690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TRUNC(39521,-1)</f>
        <v>39520</v>
      </c>
      <c r="E40" s="62">
        <f t="shared" ref="E40:E59" si="1">TRUNC(+D40*3.3058,-1)</f>
        <v>130640</v>
      </c>
    </row>
    <row r="41" spans="1:7" x14ac:dyDescent="0.3">
      <c r="A41" s="2">
        <v>2</v>
      </c>
      <c r="C41" s="38" t="s">
        <v>13</v>
      </c>
      <c r="D41" s="42">
        <f>TRUNC(168949,-1)</f>
        <v>168940</v>
      </c>
      <c r="E41" s="63">
        <f t="shared" si="1"/>
        <v>558480</v>
      </c>
    </row>
    <row r="42" spans="1:7" x14ac:dyDescent="0.3">
      <c r="A42" s="2">
        <v>3</v>
      </c>
      <c r="C42" s="38" t="s">
        <v>14</v>
      </c>
      <c r="D42" s="42">
        <f>TRUNC(168949,-1)</f>
        <v>168940</v>
      </c>
      <c r="E42" s="63">
        <f t="shared" si="1"/>
        <v>558480</v>
      </c>
    </row>
    <row r="43" spans="1:7" x14ac:dyDescent="0.3">
      <c r="A43" s="2">
        <v>4</v>
      </c>
      <c r="C43" s="38" t="s">
        <v>16</v>
      </c>
      <c r="D43" s="42">
        <f>TRUNC(22977,-1)</f>
        <v>22970</v>
      </c>
      <c r="E43" s="63">
        <f t="shared" si="1"/>
        <v>75930</v>
      </c>
    </row>
    <row r="44" spans="1:7" x14ac:dyDescent="0.3">
      <c r="A44" s="2">
        <v>5</v>
      </c>
      <c r="C44" s="38" t="s">
        <v>17</v>
      </c>
      <c r="D44" s="42">
        <f>TRUNC(15891,-1)</f>
        <v>15890</v>
      </c>
      <c r="E44" s="63">
        <f t="shared" si="1"/>
        <v>52520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f>TRUNC(53424,-1)</f>
        <v>53420</v>
      </c>
      <c r="E46" s="63">
        <f t="shared" si="1"/>
        <v>176590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TRUNC(37447,-1)</f>
        <v>37440</v>
      </c>
      <c r="E48" s="63">
        <f t="shared" si="1"/>
        <v>123760</v>
      </c>
      <c r="F48" s="2" t="s">
        <v>258</v>
      </c>
    </row>
    <row r="49" spans="1:7" x14ac:dyDescent="0.3">
      <c r="A49" s="2">
        <v>10</v>
      </c>
      <c r="C49" s="38" t="s">
        <v>22</v>
      </c>
      <c r="D49" s="42">
        <f>TRUNC(29441,-1)</f>
        <v>29440</v>
      </c>
      <c r="E49" s="63">
        <f t="shared" si="1"/>
        <v>97320</v>
      </c>
    </row>
    <row r="50" spans="1:7" x14ac:dyDescent="0.3">
      <c r="A50" s="2">
        <v>11</v>
      </c>
      <c r="C50" s="38" t="s">
        <v>155</v>
      </c>
      <c r="D50" s="42">
        <f>TRUNC(45431,-1)</f>
        <v>45430</v>
      </c>
      <c r="E50" s="63">
        <f t="shared" si="1"/>
        <v>150180</v>
      </c>
      <c r="F50" s="2" t="s">
        <v>259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TRUNC(5276,-1)</f>
        <v>5270</v>
      </c>
      <c r="E52" s="63">
        <f t="shared" si="1"/>
        <v>17420</v>
      </c>
    </row>
    <row r="53" spans="1:7" x14ac:dyDescent="0.3">
      <c r="A53" s="2">
        <v>14</v>
      </c>
      <c r="C53" s="38" t="s">
        <v>25</v>
      </c>
      <c r="D53" s="42">
        <f>TRUNC(113467,-1)</f>
        <v>113460</v>
      </c>
      <c r="E53" s="63">
        <f t="shared" si="1"/>
        <v>375070</v>
      </c>
      <c r="F53" s="2" t="s">
        <v>260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TRUNC(71155+20194+12649-20352,-1)</f>
        <v>83640</v>
      </c>
      <c r="E58" s="63">
        <f t="shared" si="1"/>
        <v>276490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TRUNC(384223,-1)</f>
        <v>384220</v>
      </c>
      <c r="E59" s="64">
        <f t="shared" si="1"/>
        <v>1270150</v>
      </c>
    </row>
    <row r="60" spans="1:7" x14ac:dyDescent="0.3">
      <c r="A60" s="2">
        <v>21</v>
      </c>
      <c r="C60" s="27" t="s">
        <v>112</v>
      </c>
      <c r="D60" s="39">
        <f>SUM(D40:D59)</f>
        <v>1168580</v>
      </c>
      <c r="E60" s="39">
        <f>SUM(E40:E59)</f>
        <v>3863030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TRUNC(1527,-1)</f>
        <v>1520</v>
      </c>
      <c r="E63" s="62">
        <f>TRUNC(+D63*3.3058,-1)</f>
        <v>5020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1520</v>
      </c>
      <c r="E66" s="65">
        <f>SUM(E63:E65)</f>
        <v>5020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TRUNC(9175,-1)</f>
        <v>9170</v>
      </c>
      <c r="E69" s="62">
        <f t="shared" ref="E69:E94" si="2">TRUNC(+D69*3.3058,-1)</f>
        <v>30310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TRUNC(10898,-1)</f>
        <v>10890</v>
      </c>
      <c r="E73" s="63">
        <f t="shared" si="2"/>
        <v>36000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TRUNC(8217,-1)</f>
        <v>8210</v>
      </c>
      <c r="E92" s="63">
        <f t="shared" si="2"/>
        <v>27140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TRUNC(1421+868+4554,-1)</f>
        <v>6840</v>
      </c>
      <c r="E94" s="64">
        <f t="shared" si="2"/>
        <v>22610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35110</v>
      </c>
      <c r="E95" s="39">
        <f>SUM(E69:E94)</f>
        <v>116060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TRUNC(24435,-1)</f>
        <v>24430</v>
      </c>
      <c r="E98" s="62">
        <f t="shared" ref="E98:E118" si="3">TRUNC(+D98*3.3058,-1)</f>
        <v>80760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TRUNC(24880,-1)</f>
        <v>24880</v>
      </c>
      <c r="E100" s="63">
        <f t="shared" si="3"/>
        <v>82240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TRUNC(16453,-1)</f>
        <v>16450</v>
      </c>
      <c r="E102" s="63">
        <f t="shared" si="3"/>
        <v>54380</v>
      </c>
    </row>
    <row r="103" spans="1:7" x14ac:dyDescent="0.3">
      <c r="A103" s="2">
        <v>6</v>
      </c>
      <c r="C103" s="38" t="s">
        <v>44</v>
      </c>
      <c r="D103" s="42">
        <f>TRUNC(4543,-1)</f>
        <v>4540</v>
      </c>
      <c r="E103" s="63">
        <f t="shared" si="3"/>
        <v>15000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TRUNC(15769,-1)</f>
        <v>15760</v>
      </c>
      <c r="E117" s="63">
        <f t="shared" si="3"/>
        <v>52090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86060</v>
      </c>
      <c r="E119" s="39">
        <f>SUM(E98:E118)</f>
        <v>284470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TRUNC(2831,-1)</f>
        <v>2830</v>
      </c>
      <c r="E122" s="62">
        <f t="shared" ref="E122:E132" si="4">TRUNC(+D122*3.3058,-1)</f>
        <v>9350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TRUNC(14428,-1)</f>
        <v>14420</v>
      </c>
      <c r="E125" s="63">
        <f t="shared" si="4"/>
        <v>47660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TRUNC(4996,-1)</f>
        <v>4990</v>
      </c>
      <c r="E128" s="63">
        <f t="shared" si="4"/>
        <v>16490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TRUNC(11624,-1)</f>
        <v>11620</v>
      </c>
      <c r="E130" s="63">
        <f t="shared" si="4"/>
        <v>38410</v>
      </c>
    </row>
    <row r="131" spans="1:7" x14ac:dyDescent="0.3">
      <c r="A131" s="2">
        <v>10</v>
      </c>
      <c r="C131" s="38" t="s">
        <v>148</v>
      </c>
      <c r="D131" s="42">
        <f>TRUNC(29310,-1)</f>
        <v>29310</v>
      </c>
      <c r="E131" s="63">
        <f t="shared" si="4"/>
        <v>96890</v>
      </c>
    </row>
    <row r="132" spans="1:7" ht="18" thickBot="1" x14ac:dyDescent="0.35">
      <c r="A132" s="2">
        <v>11</v>
      </c>
      <c r="C132" s="38" t="s">
        <v>47</v>
      </c>
      <c r="D132" s="43">
        <f>TRUNC(393,-1)</f>
        <v>390</v>
      </c>
      <c r="E132" s="64">
        <f t="shared" si="4"/>
        <v>1280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63560</v>
      </c>
      <c r="E133" s="39">
        <f>SUM(E122:E132)</f>
        <v>210080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TRUNC(1734+346,-1)</f>
        <v>2080</v>
      </c>
      <c r="E137" s="63">
        <f t="shared" si="5"/>
        <v>6870</v>
      </c>
      <c r="F137" s="2" t="s">
        <v>253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TRUNC(1816,-1)</f>
        <v>1810</v>
      </c>
      <c r="E139" s="63">
        <f t="shared" si="5"/>
        <v>5980</v>
      </c>
    </row>
    <row r="140" spans="1:7" x14ac:dyDescent="0.3">
      <c r="A140" s="2">
        <v>5</v>
      </c>
      <c r="C140" s="38" t="s">
        <v>57</v>
      </c>
      <c r="D140" s="42">
        <f>TRUNC(1001,-1)</f>
        <v>1000</v>
      </c>
      <c r="E140" s="63">
        <f t="shared" si="5"/>
        <v>3300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TRUNC(6974,-1)</f>
        <v>6970</v>
      </c>
      <c r="E142" s="63">
        <f t="shared" si="5"/>
        <v>23040</v>
      </c>
    </row>
    <row r="143" spans="1:7" x14ac:dyDescent="0.3">
      <c r="A143" s="2">
        <v>8</v>
      </c>
      <c r="C143" s="38" t="s">
        <v>62</v>
      </c>
      <c r="D143" s="42">
        <f>TRUNC(2738,-1)</f>
        <v>2730</v>
      </c>
      <c r="E143" s="63">
        <f t="shared" si="5"/>
        <v>9020</v>
      </c>
    </row>
    <row r="144" spans="1:7" x14ac:dyDescent="0.3">
      <c r="A144" s="2">
        <v>9</v>
      </c>
      <c r="C144" s="38" t="s">
        <v>63</v>
      </c>
      <c r="D144" s="42">
        <f>TRUNC(14617,-1)</f>
        <v>14610</v>
      </c>
      <c r="E144" s="63">
        <f t="shared" si="5"/>
        <v>48290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29200</v>
      </c>
      <c r="E146" s="39">
        <f>SUM(E136:E145)</f>
        <v>96500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TRUNC(1256+1890,-1)</f>
        <v>3140</v>
      </c>
      <c r="E149" s="62">
        <f>TRUNC(+D149*3.3058,-1)</f>
        <v>10380</v>
      </c>
      <c r="F149" s="2" t="s">
        <v>251</v>
      </c>
    </row>
    <row r="150" spans="1:7" x14ac:dyDescent="0.3">
      <c r="A150" s="2">
        <v>2</v>
      </c>
      <c r="C150" s="38" t="s">
        <v>49</v>
      </c>
      <c r="D150" s="42">
        <f>TRUNC(5873,-1)</f>
        <v>5870</v>
      </c>
      <c r="E150" s="63">
        <f>TRUNC(+D150*3.3058,-1)</f>
        <v>19400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TRUNC(142+860,-1)</f>
        <v>1000</v>
      </c>
      <c r="E152" s="63">
        <f>TRUNC(+D152*3.3058,-1)</f>
        <v>3300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10010</v>
      </c>
      <c r="E154" s="39">
        <f>SUM(E149:E153)</f>
        <v>33080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2020-12-08T02:32:41Z</dcterms:modified>
</cp:coreProperties>
</file>