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45" i="4"/>
  <c r="E142" i="4"/>
  <c r="E139" i="4"/>
  <c r="E138" i="4"/>
  <c r="E136" i="4"/>
  <c r="E130" i="4"/>
  <c r="E129" i="4"/>
  <c r="E128" i="4"/>
  <c r="E127" i="4"/>
  <c r="E126" i="4"/>
  <c r="E124" i="4"/>
  <c r="E118" i="4"/>
  <c r="E116" i="4"/>
  <c r="E114" i="4"/>
  <c r="E113" i="4"/>
  <c r="E112" i="4"/>
  <c r="E111" i="4"/>
  <c r="E110" i="4"/>
  <c r="E109" i="4"/>
  <c r="E107" i="4"/>
  <c r="E106" i="4"/>
  <c r="E104" i="4"/>
  <c r="E103" i="4"/>
  <c r="E102" i="4"/>
  <c r="E101" i="4"/>
  <c r="E94" i="4"/>
  <c r="E93" i="4"/>
  <c r="E91" i="4"/>
  <c r="E88" i="4"/>
  <c r="E87" i="4"/>
  <c r="E85" i="4"/>
  <c r="E84" i="4"/>
  <c r="E83" i="4"/>
  <c r="E81" i="4"/>
  <c r="E80" i="4"/>
  <c r="E79" i="4"/>
  <c r="E78" i="4"/>
  <c r="E77" i="4"/>
  <c r="E76" i="4"/>
  <c r="E75" i="4"/>
  <c r="E74" i="4"/>
  <c r="E65" i="4"/>
  <c r="E64" i="4"/>
  <c r="E57" i="4"/>
  <c r="E56" i="4"/>
  <c r="E54" i="4"/>
  <c r="E161" i="4" l="1"/>
  <c r="D151" i="4"/>
  <c r="E151" i="4" s="1"/>
  <c r="D150" i="4"/>
  <c r="E150" i="4" s="1"/>
  <c r="D149" i="4"/>
  <c r="E149" i="4" s="1"/>
  <c r="D144" i="4"/>
  <c r="E144" i="4" s="1"/>
  <c r="D143" i="4"/>
  <c r="E143" i="4" s="1"/>
  <c r="D141" i="4"/>
  <c r="E141" i="4" s="1"/>
  <c r="D140" i="4"/>
  <c r="E140" i="4" s="1"/>
  <c r="D137" i="4"/>
  <c r="E137" i="4" s="1"/>
  <c r="E146" i="4" s="1"/>
  <c r="D132" i="4"/>
  <c r="E132" i="4" s="1"/>
  <c r="D131" i="4"/>
  <c r="E131" i="4" s="1"/>
  <c r="D125" i="4"/>
  <c r="E125" i="4" s="1"/>
  <c r="D123" i="4"/>
  <c r="E123" i="4" s="1"/>
  <c r="D122" i="4"/>
  <c r="E122" i="4" s="1"/>
  <c r="D117" i="4"/>
  <c r="E117" i="4" s="1"/>
  <c r="D115" i="4"/>
  <c r="E115" i="4" s="1"/>
  <c r="D108" i="4"/>
  <c r="E108" i="4" s="1"/>
  <c r="D105" i="4"/>
  <c r="E105" i="4" s="1"/>
  <c r="D100" i="4"/>
  <c r="E100" i="4" s="1"/>
  <c r="D99" i="4"/>
  <c r="E99" i="4" s="1"/>
  <c r="D98" i="4"/>
  <c r="E98" i="4" s="1"/>
  <c r="D92" i="4"/>
  <c r="E92" i="4" s="1"/>
  <c r="D90" i="4"/>
  <c r="E90" i="4" s="1"/>
  <c r="D89" i="4"/>
  <c r="E89" i="4" s="1"/>
  <c r="D86" i="4"/>
  <c r="E86" i="4" s="1"/>
  <c r="D82" i="4"/>
  <c r="E82" i="4" s="1"/>
  <c r="D73" i="4"/>
  <c r="E73" i="4" s="1"/>
  <c r="D72" i="4"/>
  <c r="E72" i="4" s="1"/>
  <c r="D71" i="4"/>
  <c r="E71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61" i="4"/>
  <c r="D133" i="4"/>
  <c r="D29" i="4" s="1"/>
  <c r="E29" i="4" s="1"/>
  <c r="D66" i="4"/>
  <c r="D60" i="4"/>
  <c r="D25" i="4" s="1"/>
  <c r="E25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24" i="4" l="1"/>
  <c r="D119" i="4"/>
  <c r="D28" i="4" s="1"/>
  <c r="E28" i="4" s="1"/>
  <c r="E95" i="4"/>
  <c r="D146" i="4"/>
  <c r="D30" i="4" s="1"/>
  <c r="E30" i="4" s="1"/>
  <c r="E60" i="4"/>
  <c r="D95" i="4"/>
  <c r="D27" i="4" s="1"/>
  <c r="E27" i="4" s="1"/>
  <c r="D154" i="4"/>
  <c r="D31" i="4" s="1"/>
  <c r="E31" i="4" s="1"/>
  <c r="E119" i="4"/>
  <c r="E133" i="4"/>
  <c r="E154" i="4"/>
  <c r="E24" i="4" l="1"/>
  <c r="D33" i="4"/>
  <c r="E33" i="4" s="1"/>
  <c r="D34" i="4"/>
  <c r="E34" i="4" l="1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<sst xmlns="http://schemas.openxmlformats.org/spreadsheetml/2006/main" count="391" uniqueCount="265">
  <si>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</si>
  <si>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</si>
  <si>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</si>
  <si>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</si>
  <si>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</si>
  <si>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</si>
  <si>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</si>
  <si>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</si>
  <si>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</si>
  <si>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</si>
  <si>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</si>
  <si>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</si>
  <si>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</si>
  <si>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</si>
  <si>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</si>
  <si>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</si>
  <si>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</si>
  <si>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</si>
  <si>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</si>
  <si>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</si>
  <si>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</si>
  <si>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</si>
  <si>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</si>
  <si>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</si>
  <si>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</si>
  <si>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</si>
  <si>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</si>
  <si>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</si>
  <si>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</si>
  <si>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</si>
  <si>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</si>
  <si>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</si>
  <si>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</si>
  <si>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</si>
  <si>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</si>
  <si>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</si>
  <si>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</si>
  <si>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</si>
  <si>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</si>
  <si>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</si>
  <si>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</si>
  <si>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</si>
  <si>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</si>
  <si>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</si>
  <si>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</si>
  <si>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</si>
  <si>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</si>
  <si>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</si>
  <si>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</si>
  <si>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</si>
  <si>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</si>
  <si>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</si>
  <si>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</si>
  <si>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</si>
  <si>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</si>
  <si>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</si>
  <si>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</si>
  <si>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</si>
  <si>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</si>
  <si>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</si>
  <si>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</si>
  <si>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</si>
  <si>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</si>
  <si>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</si>
  <si>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</si>
  <si>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</si>
  <si>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</si>
  <si>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</si>
  <si>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</si>
  <si>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</si>
  <si>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</si>
  <si>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</si>
  <si>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</si>
  <si>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</si>
  <si>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</si>
  <si>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</si>
  <si>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</si>
  <si>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</si>
  <si>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</si>
  <si>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</si>
  <si>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</si>
  <si>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</si>
  <si>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</si>
  <si>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</si>
  <si>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</si>
  <si>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</si>
  <si>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</si>
  <si>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</si>
  <si>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</si>
  <si>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</si>
  <si>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</si>
  <si>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</si>
  <si>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</si>
  <si>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</si>
  <si>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</si>
  <si>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</si>
  <si>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</si>
  <si>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</si>
  <si>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</si>
  <si>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</si>
  <si>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</si>
  <si>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</si>
  <si>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</si>
  <si>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</si>
  <si>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</si>
  <si>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</si>
  <si>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</si>
  <si>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</si>
  <si>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</si>
  <si>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</si>
  <si>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</si>
  <si>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</si>
  <si>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</si>
  <si>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</si>
  <si>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</si>
  <si>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</si>
  <si>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</si>
  <si>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</si>
  <si>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</si>
  <si>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</si>
  <si>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</si>
  <si>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</si>
  <si>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</si>
  <si>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</si>
  <si>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</si>
  <si>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</si>
  <si>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</si>
  <si>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</si>
  <si>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</si>
  <si>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</si>
  <si>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</si>
  <si>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</si>
  <si>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</si>
  <si>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</si>
  <si>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</si>
  <si>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</si>
  <si>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</si>
  <si>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</si>
  <si>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</si>
  <si>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</si>
  <si>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</si>
  <si>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</si>
  <si>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</si>
  <si>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</si>
  <si>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</si>
  <si>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</si>
  <si>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</si>
  <si>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</si>
  <si>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</si>
  <si>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</si>
  <si>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</si>
  <si>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</si>
  <si>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</si>
  <si>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</si>
  <si>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</si>
  <si>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</si>
  <si>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</si>
  <si>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</si>
  <si>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</si>
  <si>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</si>
  <si>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</si>
  <si>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</si>
  <si>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</si>
  <si>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</si>
  <si>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</si>
  <si>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</si>
  <si>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</si>
  <si>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</si>
  <si>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</si>
  <si>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</si>
  <si>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</si>
  <si>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</si>
  <si>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</si>
  <si>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</si>
  <si>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</si>
  <si>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</si>
  <si>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</si>
  <si>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</si>
  <si>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</si>
  <si>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</si>
  <si>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</si>
  <si>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</si>
  <si>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</si>
  <si>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</si>
  <si>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</si>
  <si>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</si>
  <si>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</si>
  <si>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</si>
  <si>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</si>
  <si>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</si>
  <si>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</si>
  <si>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</si>
  <si>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</si>
  <si>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</si>
  <si>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</si>
  <si>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</si>
  <si>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</si>
  <si>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</si>
  <si>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</si>
  <si>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</si>
  <si>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</si>
  <si>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</si>
  <si>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</si>
  <si>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</si>
  <si>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</si>
  <si>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</si>
  <si>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</si>
  <si>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</si>
  <si>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</si>
  <si>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</si>
  <si>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</si>
  <si>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</si>
  <si>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</si>
  <si>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</si>
  <si>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</si>
  <si>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</si>
  <si>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</si>
  <si>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</si>
  <si>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</si>
  <si>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</si>
  <si>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</si>
  <si>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</si>
  <si>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</si>
  <si>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</si>
  <si>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</si>
  <si>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</si>
  <si>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</si>
  <si>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</si>
  <si>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</si>
  <si>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</si>
  <si>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</si>
  <si>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</si>
  <si>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</si>
  <si>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</si>
  <si>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</si>
  <si>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</si>
  <si>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</si>
  <si>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</si>
  <si>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</si>
  <si>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</si>
  <si>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</si>
  <si>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</si>
  <si>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</si>
  <si>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</si>
  <si>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</si>
  <si>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</si>
  <si>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</si>
  <si>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</si>
  <si>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</si>
  <si>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00중학교 교사 신축공사</t>
  </si>
  <si>
    <t>충청도</t>
  </si>
  <si>
    <t>토공사, 잡공사, 철거공사, 부산물공제, 운반비</t>
    <phoneticPr fontId="2" type="noConversion"/>
  </si>
  <si>
    <t>도급자설치관급</t>
  </si>
  <si>
    <t>도급자설치관급, 관급자설치관급</t>
    <phoneticPr fontId="2" type="noConversion"/>
  </si>
  <si>
    <t>급수배관공사</t>
  </si>
  <si>
    <t>EHP배수배관공사, EHP급배기덕트공사</t>
    <phoneticPr fontId="2" type="noConversion"/>
  </si>
  <si>
    <t>전등설비공사(교육용)</t>
  </si>
  <si>
    <t>옥내소화전설치공사, 전기소방설비, 소방간선설비공사</t>
    <phoneticPr fontId="2" type="noConversion"/>
  </si>
  <si>
    <t>전화 설비공사, LAN 설비공사, 도난경보 설비공사</t>
    <phoneticPr fontId="2" type="noConversion"/>
  </si>
  <si>
    <t>강당 및 시청각실, 영상설치공사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</si>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</sst>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9357</v>
      </c>
      <c r="D7" s="36">
        <f>+C7/3.3058</f>
        <v>2830.479762841067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1680</v>
      </c>
      <c r="E24" s="58">
        <f t="shared" ref="E24:E33" si="0">TRUNC(+D24*3.3058,-1)</f>
        <v>5550</v>
      </c>
    </row>
    <row r="25" spans="1:5" x14ac:dyDescent="0.3">
      <c r="B25" s="2">
        <v>2</v>
      </c>
      <c r="C25" s="35" t="s">
        <v>111</v>
      </c>
      <c r="D25" s="45">
        <f>+D60</f>
        <v>554690</v>
      </c>
      <c r="E25" s="59">
        <f t="shared" si="0"/>
        <v>1833690</v>
      </c>
    </row>
    <row r="26" spans="1:5" x14ac:dyDescent="0.3">
      <c r="B26" s="2">
        <v>3</v>
      </c>
      <c r="C26" s="35" t="s">
        <v>95</v>
      </c>
      <c r="D26" s="45">
        <f>+D66</f>
        <v>8100</v>
      </c>
      <c r="E26" s="59">
        <f t="shared" si="0"/>
        <v>26770</v>
      </c>
    </row>
    <row r="27" spans="1:5" x14ac:dyDescent="0.3">
      <c r="B27" s="2">
        <v>4</v>
      </c>
      <c r="C27" s="35" t="s">
        <v>96</v>
      </c>
      <c r="D27" s="45">
        <f>+D95</f>
        <v>36380</v>
      </c>
      <c r="E27" s="59">
        <f t="shared" si="0"/>
        <v>120260</v>
      </c>
    </row>
    <row r="28" spans="1:5" x14ac:dyDescent="0.3">
      <c r="B28" s="2">
        <v>5</v>
      </c>
      <c r="C28" s="35" t="s">
        <v>97</v>
      </c>
      <c r="D28" s="45">
        <f>+D119</f>
        <v>47490</v>
      </c>
      <c r="E28" s="59">
        <f t="shared" si="0"/>
        <v>156990</v>
      </c>
    </row>
    <row r="29" spans="1:5" x14ac:dyDescent="0.3">
      <c r="B29" s="2">
        <v>6</v>
      </c>
      <c r="C29" s="35" t="s">
        <v>98</v>
      </c>
      <c r="D29" s="45">
        <f>+D133</f>
        <v>19030</v>
      </c>
      <c r="E29" s="59">
        <f t="shared" si="0"/>
        <v>62900</v>
      </c>
    </row>
    <row r="30" spans="1:5" x14ac:dyDescent="0.3">
      <c r="B30" s="2">
        <v>7</v>
      </c>
      <c r="C30" s="35" t="s">
        <v>99</v>
      </c>
      <c r="D30" s="45">
        <f>+D146</f>
        <v>30790</v>
      </c>
      <c r="E30" s="59">
        <f t="shared" si="0"/>
        <v>101780</v>
      </c>
    </row>
    <row r="31" spans="1:5" x14ac:dyDescent="0.3">
      <c r="B31" s="2">
        <v>8</v>
      </c>
      <c r="C31" s="35" t="s">
        <v>100</v>
      </c>
      <c r="D31" s="45">
        <f>+D154</f>
        <v>44960</v>
      </c>
      <c r="E31" s="59">
        <f t="shared" si="0"/>
        <v>148620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204350</v>
      </c>
      <c r="E33" s="60">
        <f t="shared" si="0"/>
        <v>675540</v>
      </c>
    </row>
    <row r="34" spans="1:7" x14ac:dyDescent="0.3">
      <c r="C34" s="35" t="s">
        <v>112</v>
      </c>
      <c r="D34" s="44">
        <f>SUM(D24:D33)</f>
        <v>947470</v>
      </c>
      <c r="E34" s="44">
        <f>SUM(E24:E33)</f>
        <v>3132100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TRUNC(1683.25841615903,-1)</f>
        <v>1680</v>
      </c>
      <c r="E37" s="61">
        <f>TRUNC(+D37*3.3058,-1)</f>
        <v>5550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TRUNC(22914.9194186171,-1)</f>
        <v>22910</v>
      </c>
      <c r="E40" s="62">
        <f t="shared" ref="E40:E59" si="1">TRUNC(+D40*3.3058,-1)</f>
        <v>75730</v>
      </c>
    </row>
    <row r="41" spans="1:7" x14ac:dyDescent="0.3">
      <c r="A41" s="2">
        <v>2</v>
      </c>
      <c r="C41" s="38" t="s">
        <v>13</v>
      </c>
      <c r="D41" s="42">
        <f>TRUNC(126095.163086459,-1)</f>
        <v>126090</v>
      </c>
      <c r="E41" s="63">
        <f t="shared" si="1"/>
        <v>416820</v>
      </c>
    </row>
    <row r="42" spans="1:7" x14ac:dyDescent="0.3">
      <c r="A42" s="2">
        <v>3</v>
      </c>
      <c r="C42" s="38" t="s">
        <v>14</v>
      </c>
      <c r="D42" s="42">
        <f>TRUNC(11800.2974243882,-1)</f>
        <v>11800</v>
      </c>
      <c r="E42" s="63">
        <f t="shared" si="1"/>
        <v>39000</v>
      </c>
    </row>
    <row r="43" spans="1:7" x14ac:dyDescent="0.3">
      <c r="A43" s="2">
        <v>4</v>
      </c>
      <c r="C43" s="38" t="s">
        <v>16</v>
      </c>
      <c r="D43" s="42">
        <f>TRUNC(25782.9260446724,-1)</f>
        <v>25780</v>
      </c>
      <c r="E43" s="63">
        <f t="shared" si="1"/>
        <v>85220</v>
      </c>
    </row>
    <row r="44" spans="1:7" x14ac:dyDescent="0.3">
      <c r="A44" s="2">
        <v>5</v>
      </c>
      <c r="C44" s="38" t="s">
        <v>17</v>
      </c>
      <c r="D44" s="42">
        <f>TRUNC(10294.2462327669,-1)</f>
        <v>10290</v>
      </c>
      <c r="E44" s="63">
        <f t="shared" si="1"/>
        <v>34010</v>
      </c>
    </row>
    <row r="45" spans="1:7" x14ac:dyDescent="0.3">
      <c r="A45" s="2">
        <v>6</v>
      </c>
      <c r="C45" s="38" t="s">
        <v>18</v>
      </c>
      <c r="D45" s="42">
        <f>TRUNC(3640.67040718179,-1)</f>
        <v>3640</v>
      </c>
      <c r="E45" s="63">
        <f t="shared" si="1"/>
        <v>12030</v>
      </c>
    </row>
    <row r="46" spans="1:7" x14ac:dyDescent="0.3">
      <c r="A46" s="2">
        <v>7</v>
      </c>
      <c r="C46" s="38" t="s">
        <v>19</v>
      </c>
      <c r="D46" s="42">
        <f>TRUNC(32871.5111681094,-1)</f>
        <v>32870</v>
      </c>
      <c r="E46" s="63">
        <f t="shared" si="1"/>
        <v>108660</v>
      </c>
    </row>
    <row r="47" spans="1:7" x14ac:dyDescent="0.3">
      <c r="A47" s="2">
        <v>8</v>
      </c>
      <c r="C47" s="38" t="s">
        <v>20</v>
      </c>
      <c r="D47" s="42">
        <f>TRUNC(36508.3805706957,-1)</f>
        <v>36500</v>
      </c>
      <c r="E47" s="63">
        <f t="shared" si="1"/>
        <v>120660</v>
      </c>
    </row>
    <row r="48" spans="1:7" x14ac:dyDescent="0.3">
      <c r="A48" s="2">
        <v>9</v>
      </c>
      <c r="C48" s="38" t="s">
        <v>21</v>
      </c>
      <c r="D48" s="42">
        <f>TRUNC(42855.1177727904,-1)</f>
        <v>42850</v>
      </c>
      <c r="E48" s="63">
        <f t="shared" si="1"/>
        <v>141650</v>
      </c>
    </row>
    <row r="49" spans="1:7" x14ac:dyDescent="0.3">
      <c r="A49" s="2">
        <v>10</v>
      </c>
      <c r="C49" s="38" t="s">
        <v>22</v>
      </c>
      <c r="D49" s="42">
        <f>TRUNC(26233.8841509031,-1)</f>
        <v>26230</v>
      </c>
      <c r="E49" s="63">
        <f t="shared" si="1"/>
        <v>86710</v>
      </c>
    </row>
    <row r="50" spans="1:7" x14ac:dyDescent="0.3">
      <c r="A50" s="2">
        <v>11</v>
      </c>
      <c r="C50" s="38" t="s">
        <v>155</v>
      </c>
      <c r="D50" s="42">
        <f>TRUNC(34865.9772362937,-1)</f>
        <v>34860</v>
      </c>
      <c r="E50" s="63">
        <f t="shared" si="1"/>
        <v>115240</v>
      </c>
    </row>
    <row r="51" spans="1:7" x14ac:dyDescent="0.3">
      <c r="A51" s="2">
        <v>12</v>
      </c>
      <c r="C51" s="38" t="s">
        <v>23</v>
      </c>
      <c r="D51" s="42">
        <f>TRUNC(10584.8446083146,-1)</f>
        <v>10580</v>
      </c>
      <c r="E51" s="63">
        <f t="shared" si="1"/>
        <v>34970</v>
      </c>
    </row>
    <row r="52" spans="1:7" x14ac:dyDescent="0.3">
      <c r="A52" s="2">
        <v>13</v>
      </c>
      <c r="C52" s="38" t="s">
        <v>24</v>
      </c>
      <c r="D52" s="42">
        <f>TRUNC(9859.10633750134,-1)</f>
        <v>9850</v>
      </c>
      <c r="E52" s="63">
        <f t="shared" si="1"/>
        <v>32560</v>
      </c>
    </row>
    <row r="53" spans="1:7" x14ac:dyDescent="0.3">
      <c r="A53" s="2">
        <v>14</v>
      </c>
      <c r="C53" s="38" t="s">
        <v>25</v>
      </c>
      <c r="D53" s="42">
        <f>TRUNC(21850.1805065726,-1)</f>
        <v>21850</v>
      </c>
      <c r="E53" s="63">
        <f t="shared" si="1"/>
        <v>72230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TRUNC(9205.73036229561,-1)</f>
        <v>9200</v>
      </c>
      <c r="E55" s="63">
        <f t="shared" si="1"/>
        <v>30410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TRUNC(8426.27305760393+18406.8204552741+4736.31356203911-1582.13636849418+1237.39745644972,-1)</f>
        <v>31220</v>
      </c>
      <c r="E58" s="63">
        <f t="shared" si="1"/>
        <v>103200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TRUNC(87337.3944640376+10838.1960029924,-1)</f>
        <v>98170</v>
      </c>
      <c r="E59" s="64">
        <f t="shared" si="1"/>
        <v>324530</v>
      </c>
      <c r="F59" s="2" t="s">
        <v>253</v>
      </c>
    </row>
    <row r="60" spans="1:7" x14ac:dyDescent="0.3">
      <c r="A60" s="2">
        <v>21</v>
      </c>
      <c r="C60" s="27" t="s">
        <v>112</v>
      </c>
      <c r="D60" s="39">
        <f>SUM(D40:D59)</f>
        <v>554690</v>
      </c>
      <c r="E60" s="39">
        <f>SUM(E40:E59)</f>
        <v>1833630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TRUNC(8104.37373089665,-1)</f>
        <v>8100</v>
      </c>
      <c r="E63" s="62">
        <f>TRUNC(+D63*3.3058,-1)</f>
        <v>26770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8100</v>
      </c>
      <c r="E66" s="65">
        <f>SUM(E63:E65)</f>
        <v>26770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TRUNC(7012.41647964091,-1)</f>
        <v>7010</v>
      </c>
      <c r="E69" s="62">
        <f>TRUNC(+D69*3.3058,-1)</f>
        <v>23170</v>
      </c>
    </row>
    <row r="70" spans="1:7" ht="16.5" customHeight="1" x14ac:dyDescent="0.3">
      <c r="A70" s="2">
        <v>2</v>
      </c>
      <c r="C70" s="38" t="s">
        <v>31</v>
      </c>
      <c r="D70" s="42">
        <f>TRUNC(697.338463182644,-1)</f>
        <v>690</v>
      </c>
      <c r="E70" s="63">
        <f>TRUNC(+D70*3.3058,-1)</f>
        <v>2280</v>
      </c>
    </row>
    <row r="71" spans="1:7" x14ac:dyDescent="0.3">
      <c r="A71" s="2">
        <v>3</v>
      </c>
      <c r="C71" s="38" t="s">
        <v>32</v>
      </c>
      <c r="D71" s="42">
        <f>TRUNC(4953.76466816287,-1)</f>
        <v>4950</v>
      </c>
      <c r="E71" s="63">
        <f t="shared" ref="E71:E73" si="2">TRUNC(+D71*3.3058,-1)</f>
        <v>16360</v>
      </c>
    </row>
    <row r="72" spans="1:7" x14ac:dyDescent="0.3">
      <c r="A72" s="2">
        <v>4</v>
      </c>
      <c r="C72" s="38" t="s">
        <v>33</v>
      </c>
      <c r="D72" s="42">
        <f>TRUNC(175.67895693064,-1)</f>
        <v>170</v>
      </c>
      <c r="E72" s="63">
        <f t="shared" si="2"/>
        <v>560</v>
      </c>
    </row>
    <row r="73" spans="1:7" x14ac:dyDescent="0.3">
      <c r="A73" s="2">
        <v>5</v>
      </c>
      <c r="C73" s="38" t="s">
        <v>34</v>
      </c>
      <c r="D73" s="42">
        <f>TRUNC(12185.1689644117,-1)</f>
        <v>12180</v>
      </c>
      <c r="E73" s="63">
        <f t="shared" si="2"/>
        <v>40260</v>
      </c>
      <c r="F73" s="2" t="s">
        <v>254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f>TRUNC(366.476434754729,-1)</f>
        <v>360</v>
      </c>
      <c r="E82" s="63">
        <f t="shared" si="3"/>
        <v>1190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f>TRUNC(178.767874318692+203.982045527413,-1)</f>
        <v>380</v>
      </c>
      <c r="E86" s="63">
        <f t="shared" si="3"/>
        <v>1250</v>
      </c>
      <c r="F86" s="2" t="s">
        <v>255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f>TRUNC(3261.17217056749,-1)</f>
        <v>3260</v>
      </c>
      <c r="E89" s="63">
        <f t="shared" si="3"/>
        <v>10770</v>
      </c>
    </row>
    <row r="90" spans="1:7" x14ac:dyDescent="0.3">
      <c r="A90" s="2">
        <v>22</v>
      </c>
      <c r="C90" s="38" t="s">
        <v>36</v>
      </c>
      <c r="D90" s="42">
        <f>TRUNC(245.16394143422,-1)</f>
        <v>240</v>
      </c>
      <c r="E90" s="63">
        <f>TRUNC(+D90*3.3058,-1)</f>
        <v>790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TRUNC(7144.68707919205,-1)</f>
        <v>7140</v>
      </c>
      <c r="E92" s="63">
        <f>TRUNC(+D92*3.3058,-1)</f>
        <v>23600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36380</v>
      </c>
      <c r="E95" s="39">
        <f>SUM(E69:E94)</f>
        <v>120230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TRUNC(6176.59848241958,-1)</f>
        <v>6170</v>
      </c>
      <c r="E98" s="62">
        <f t="shared" ref="E98:E118" si="4">TRUNC(+D98*3.3058,-1)</f>
        <v>20390</v>
      </c>
    </row>
    <row r="99" spans="1:7" x14ac:dyDescent="0.3">
      <c r="A99" s="2">
        <v>2</v>
      </c>
      <c r="C99" s="38" t="s">
        <v>40</v>
      </c>
      <c r="D99" s="42">
        <f>TRUNC(1165.54387089879,-1)</f>
        <v>1160</v>
      </c>
      <c r="E99" s="63">
        <f t="shared" si="4"/>
        <v>3830</v>
      </c>
    </row>
    <row r="100" spans="1:7" x14ac:dyDescent="0.3">
      <c r="A100" s="2">
        <v>3</v>
      </c>
      <c r="C100" s="38" t="s">
        <v>41</v>
      </c>
      <c r="D100" s="42">
        <f>TRUNC(20575.2370417869,-1)</f>
        <v>20570</v>
      </c>
      <c r="E100" s="63">
        <f t="shared" si="4"/>
        <v>68000</v>
      </c>
      <c r="F100" s="2" t="s">
        <v>256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TRUNC(1038.66826974458,-1)</f>
        <v>1030</v>
      </c>
      <c r="E105" s="63">
        <f t="shared" si="4"/>
        <v>3400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TRUNC(3510.81489793737,-1)</f>
        <v>3510</v>
      </c>
      <c r="E108" s="63">
        <f t="shared" si="4"/>
        <v>11600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TRUNC(2543.26429411136,-1)</f>
        <v>2540</v>
      </c>
      <c r="E115" s="63">
        <f t="shared" si="4"/>
        <v>8390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TRUNC(12511.8809447472,-1)</f>
        <v>12510</v>
      </c>
      <c r="E117" s="63">
        <f t="shared" si="4"/>
        <v>41350</v>
      </c>
      <c r="F117" s="2" t="s">
        <v>252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47490</v>
      </c>
      <c r="E119" s="39">
        <f>SUM(E98:E118)</f>
        <v>156960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TRUNC(1582.30276798119,-1)</f>
        <v>1580</v>
      </c>
      <c r="E122" s="62">
        <f t="shared" ref="E122:E132" si="5">TRUNC(+D122*3.3058,-1)</f>
        <v>5220</v>
      </c>
    </row>
    <row r="123" spans="1:7" x14ac:dyDescent="0.3">
      <c r="A123" s="2">
        <v>2</v>
      </c>
      <c r="C123" s="38" t="s">
        <v>124</v>
      </c>
      <c r="D123" s="42">
        <f>TRUNC(2997.48135086032+3915.90274660682+679.793202949663,-1)</f>
        <v>7590</v>
      </c>
      <c r="E123" s="63">
        <f t="shared" si="5"/>
        <v>25090</v>
      </c>
      <c r="F123" s="2" t="s">
        <v>258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TRUNC(4344.02233621887,-1)</f>
        <v>4340</v>
      </c>
      <c r="E125" s="63">
        <f t="shared" si="5"/>
        <v>14340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TRUNC(4740.4509992519,-1)</f>
        <v>4740</v>
      </c>
      <c r="E131" s="63">
        <f t="shared" si="5"/>
        <v>15660</v>
      </c>
      <c r="F131" s="2" t="s">
        <v>252</v>
      </c>
    </row>
    <row r="132" spans="1:7" ht="18" thickBot="1" x14ac:dyDescent="0.35">
      <c r="A132" s="2">
        <v>11</v>
      </c>
      <c r="C132" s="38" t="s">
        <v>47</v>
      </c>
      <c r="D132" s="43">
        <f>TRUNC(782.286737202095,-1)</f>
        <v>780</v>
      </c>
      <c r="E132" s="64">
        <f t="shared" si="5"/>
        <v>2570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19030</v>
      </c>
      <c r="E133" s="39">
        <f>SUM(E122:E132)</f>
        <v>62880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TRUNC(5139.33066153682+6926.88008977236+2914.27808058138,-1)</f>
        <v>14980</v>
      </c>
      <c r="E137" s="63">
        <f t="shared" si="6"/>
        <v>49520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f>TRUNC(4006.38206690178,-1)</f>
        <v>4000</v>
      </c>
      <c r="E140" s="63">
        <f t="shared" si="6"/>
        <v>13220</v>
      </c>
    </row>
    <row r="141" spans="1:7" x14ac:dyDescent="0.3">
      <c r="A141" s="2">
        <v>6</v>
      </c>
      <c r="C141" s="38" t="s">
        <v>59</v>
      </c>
      <c r="D141" s="42">
        <f>TRUNC(7819.55423746927,-1)</f>
        <v>7810</v>
      </c>
      <c r="E141" s="63">
        <f t="shared" si="6"/>
        <v>25810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f>TRUNC(1835.18991129636,-1)</f>
        <v>1830</v>
      </c>
      <c r="E143" s="63">
        <f t="shared" si="6"/>
        <v>6040</v>
      </c>
    </row>
    <row r="144" spans="1:7" x14ac:dyDescent="0.3">
      <c r="A144" s="2">
        <v>9</v>
      </c>
      <c r="C144" s="38" t="s">
        <v>63</v>
      </c>
      <c r="D144" s="42">
        <f>TRUNC(2177.41209789462,-1)</f>
        <v>2170</v>
      </c>
      <c r="E144" s="63">
        <f t="shared" si="6"/>
        <v>7170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30790</v>
      </c>
      <c r="E146" s="39">
        <f>SUM(E136:E145)</f>
        <v>101760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TRUNC(7042.30105803142+2457.23640055573,-1)</f>
        <v>9490</v>
      </c>
      <c r="E149" s="62">
        <f>TRUNC(+D149*3.3058,-1)</f>
        <v>31370</v>
      </c>
    </row>
    <row r="150" spans="1:7" x14ac:dyDescent="0.3">
      <c r="A150" s="2">
        <v>2</v>
      </c>
      <c r="C150" s="38" t="s">
        <v>49</v>
      </c>
      <c r="D150" s="42">
        <f>TRUNC(19860.035267714,-1)</f>
        <v>19860</v>
      </c>
      <c r="E150" s="63">
        <f>TRUNC(+D150*3.3058,-1)</f>
        <v>65650</v>
      </c>
    </row>
    <row r="151" spans="1:7" x14ac:dyDescent="0.3">
      <c r="A151" s="2">
        <v>3</v>
      </c>
      <c r="C151" s="38" t="s">
        <v>50</v>
      </c>
      <c r="D151" s="42">
        <f>TRUNC(15612.0421075131,-1)</f>
        <v>15610</v>
      </c>
      <c r="E151" s="63">
        <f>TRUNC(+D151*3.3058,-1)</f>
        <v>51600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44960</v>
      </c>
      <c r="E154" s="39">
        <f>SUM(E149:E153)</f>
        <v>148620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2020-12-07T09:12:10Z</dcterms:modified>
</cp:coreProperties>
</file>