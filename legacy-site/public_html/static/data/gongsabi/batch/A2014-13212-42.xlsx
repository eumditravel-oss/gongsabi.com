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0" i="4"/>
  <c r="D49" i="4"/>
  <c r="D48" i="4"/>
  <c r="D55" i="4"/>
  <c r="D44" i="4"/>
  <c r="D47" i="4"/>
  <c r="D45" i="4"/>
  <c r="D46" i="4"/>
  <c r="D43" i="4"/>
  <c r="D41" i="4"/>
  <c r="D40" i="4"/>
  <c r="D37" i="4"/>
  <c r="D94" i="4"/>
  <c r="D72" i="4"/>
  <c r="D79" i="4"/>
  <c r="D92" i="4"/>
  <c r="D69" i="4"/>
  <c r="D118" i="4"/>
  <c r="D104" i="4"/>
  <c r="D99" i="4"/>
  <c r="D108" i="4"/>
  <c r="D102" i="4"/>
  <c r="D100" i="4"/>
  <c r="D98" i="4"/>
  <c r="D124" i="4"/>
  <c r="D125" i="4"/>
  <c r="D132" i="4"/>
  <c r="D159" i="4"/>
  <c r="D152" i="4"/>
  <c r="D137" i="4"/>
  <c r="D136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46" i="4"/>
  <c r="E60" i="4"/>
  <c r="E95" i="4"/>
  <c r="E119" i="4"/>
  <c r="E154" i="4"/>
  <c r="D161" i="4"/>
  <c r="D32" i="4" s="1"/>
  <c r="E32" i="4" s="1"/>
  <c r="D154" i="4"/>
  <c r="D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4" i="4"/>
  <c r="E24" i="4" s="1"/>
  <c r="D25" i="4"/>
  <c r="E25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<sst xmlns="http://schemas.openxmlformats.org/spreadsheetml/2006/main" count="391" uniqueCount="266">
  <si>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</si>
  <si>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</si>
  <si>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</si>
  <si>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</si>
  <si>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</si>
  <si>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</si>
  <si>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</si>
  <si>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</si>
  <si>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</si>
  <si>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</si>
  <si>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</si>
  <si>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</si>
  <si>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</si>
  <si>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</si>
  <si>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</si>
  <si>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</si>
  <si>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</si>
  <si>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</si>
  <si>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</si>
  <si>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</si>
  <si>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</si>
  <si>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</si>
  <si>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</si>
  <si>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</si>
  <si>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</si>
  <si>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</si>
  <si>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</si>
  <si>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</si>
  <si>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</si>
  <si>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</si>
  <si>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</si>
  <si>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</si>
  <si>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</si>
  <si>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</si>
  <si>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</si>
  <si>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</si>
  <si>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</si>
  <si>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</si>
  <si>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</si>
  <si>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</si>
  <si>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</si>
  <si>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</si>
  <si>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</si>
  <si>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</si>
  <si>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</si>
  <si>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</si>
  <si>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</si>
  <si>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</si>
  <si>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</si>
  <si>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</si>
  <si>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</si>
  <si>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</si>
  <si>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</si>
  <si>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</si>
  <si>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</si>
  <si>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</si>
  <si>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</si>
  <si>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</si>
  <si>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</si>
  <si>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</si>
  <si>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</si>
  <si>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</si>
  <si>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</si>
  <si>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</si>
  <si>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</si>
  <si>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</si>
  <si>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</si>
  <si>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</si>
  <si>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</si>
  <si>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</si>
  <si>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</si>
  <si>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</si>
  <si>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</si>
  <si>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</si>
  <si>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</si>
  <si>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</si>
  <si>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</si>
  <si>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</si>
  <si>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</si>
  <si>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</si>
  <si>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</si>
  <si>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</si>
  <si>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</si>
  <si>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</si>
  <si>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</si>
  <si>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</si>
  <si>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</si>
  <si>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</si>
  <si>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</si>
  <si>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</si>
  <si>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</si>
  <si>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</si>
  <si>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</si>
  <si>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</si>
  <si>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</si>
  <si>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</si>
  <si>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</si>
  <si>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</si>
  <si>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</si>
  <si>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</si>
  <si>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</si>
  <si>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</si>
  <si>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</si>
  <si>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</si>
  <si>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</si>
  <si>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</si>
  <si>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</si>
  <si>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</si>
  <si>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</si>
  <si>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</si>
  <si>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</si>
  <si>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</si>
  <si>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</si>
  <si>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</si>
  <si>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</si>
  <si>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</si>
  <si>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</si>
  <si>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</si>
  <si>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</si>
  <si>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</si>
  <si>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</si>
  <si>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</si>
  <si>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</si>
  <si>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</si>
  <si>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</si>
  <si>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</si>
  <si>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</si>
  <si>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</si>
  <si>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</si>
  <si>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</si>
  <si>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</si>
  <si>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</si>
  <si>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</si>
  <si>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</si>
  <si>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</si>
  <si>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</si>
  <si>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</si>
  <si>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</si>
  <si>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</si>
  <si>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</si>
  <si>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</si>
  <si>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</si>
  <si>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</si>
  <si>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</si>
  <si>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</si>
  <si>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</si>
  <si>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</si>
  <si>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</si>
  <si>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</si>
  <si>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</si>
  <si>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</si>
  <si>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</si>
  <si>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</si>
  <si>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</si>
  <si>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</si>
  <si>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</si>
  <si>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</si>
  <si>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</si>
  <si>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</si>
  <si>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</si>
  <si>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</si>
  <si>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</si>
  <si>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</si>
  <si>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</si>
  <si>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</si>
  <si>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</si>
  <si>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</si>
  <si>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</si>
  <si>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</si>
  <si>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</si>
  <si>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</si>
  <si>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</si>
  <si>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</si>
  <si>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</si>
  <si>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</si>
  <si>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</si>
  <si>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</si>
  <si>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</si>
  <si>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</si>
  <si>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</si>
  <si>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</si>
  <si>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</si>
  <si>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</si>
  <si>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</si>
  <si>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</si>
  <si>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</si>
  <si>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</si>
  <si>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</si>
  <si>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</si>
  <si>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</si>
  <si>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</si>
  <si>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</si>
  <si>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</si>
  <si>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</si>
  <si>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</si>
  <si>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</si>
  <si>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</si>
  <si>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</si>
  <si>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</si>
  <si>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</si>
  <si>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</si>
  <si>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</si>
  <si>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</si>
  <si>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</si>
  <si>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</si>
  <si>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</si>
  <si>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</si>
  <si>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</si>
  <si>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</si>
  <si>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</si>
  <si>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</si>
  <si>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</si>
  <si>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</si>
  <si>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</si>
  <si>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</si>
  <si>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</si>
  <si>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</si>
  <si>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</si>
  <si>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</si>
  <si>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</si>
  <si>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</si>
  <si>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</si>
  <si>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</si>
  <si>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</si>
  <si>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</si>
  <si>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</si>
  <si>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</si>
  <si>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</si>
  <si>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</si>
  <si>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</si>
  <si>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</si>
  <si>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</si>
  <si>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</si>
  <si>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</si>
  <si>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</si>
  <si>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</si>
  <si>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</si>
  <si>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</si>
  <si>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</si>
  <si>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</si>
  <si>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</si>
  <si>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</si>
  <si>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</si>
  <si>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</si>
  <si>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</si>
  <si>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</si>
  <si>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</si>
  <si>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</si>
  <si>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 0000 주민센터 건립공사</t>
    <phoneticPr fontId="2" type="noConversion"/>
  </si>
  <si>
    <t>업무</t>
  </si>
  <si>
    <t>경상도</t>
  </si>
  <si>
    <t>기계 소화설비공사</t>
    <phoneticPr fontId="2" type="noConversion"/>
  </si>
  <si>
    <t>전기 소방공사</t>
    <phoneticPr fontId="2" type="noConversion"/>
  </si>
  <si>
    <t>부대토목공사(흙막이가시설포함)</t>
    <phoneticPr fontId="2" type="noConversion"/>
  </si>
  <si>
    <t>부대조경공사</t>
    <phoneticPr fontId="2" type="noConversion"/>
  </si>
  <si>
    <t>정보통신설비</t>
    <phoneticPr fontId="2" type="noConversion"/>
  </si>
  <si>
    <t>태양광발전설비,주차관제설비</t>
    <phoneticPr fontId="2" type="noConversion"/>
  </si>
  <si>
    <t>기계장비설치공사</t>
    <phoneticPr fontId="2" type="noConversion"/>
  </si>
  <si>
    <t>창호및유리공사</t>
    <phoneticPr fontId="2" type="noConversion"/>
  </si>
  <si>
    <t>토및지정공사,기타공사,철거공사,운반비,석면(지청)철거공사</t>
    <phoneticPr fontId="2" type="noConversion"/>
  </si>
  <si>
    <t>옥외위생배관설치공사,옥내배관설치공사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</si>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</sst>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2998</v>
      </c>
      <c r="D7" s="36">
        <f>+C7/3.3058</f>
        <v>906.89091899086452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2280</v>
      </c>
      <c r="E24" s="58">
        <f t="shared" ref="E24:E33" si="0">TRUNC(+D24*3.3058,-1)</f>
        <v>7530</v>
      </c>
    </row>
    <row r="25" spans="1:5" x14ac:dyDescent="0.3">
      <c r="B25" s="2">
        <v>2</v>
      </c>
      <c r="C25" s="35" t="s">
        <v>111</v>
      </c>
      <c r="D25" s="45">
        <f>+D60</f>
        <v>597230</v>
      </c>
      <c r="E25" s="59">
        <f t="shared" si="0"/>
        <v>1974320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24400</v>
      </c>
      <c r="E27" s="59">
        <f t="shared" si="0"/>
        <v>80660</v>
      </c>
    </row>
    <row r="28" spans="1:5" x14ac:dyDescent="0.3">
      <c r="B28" s="2">
        <v>5</v>
      </c>
      <c r="C28" s="35" t="s">
        <v>97</v>
      </c>
      <c r="D28" s="45">
        <f>+D119</f>
        <v>61280</v>
      </c>
      <c r="E28" s="59">
        <f t="shared" si="0"/>
        <v>202570</v>
      </c>
    </row>
    <row r="29" spans="1:5" x14ac:dyDescent="0.3">
      <c r="B29" s="2">
        <v>6</v>
      </c>
      <c r="C29" s="35" t="s">
        <v>98</v>
      </c>
      <c r="D29" s="45">
        <f>+D133</f>
        <v>18110</v>
      </c>
      <c r="E29" s="59">
        <f t="shared" si="0"/>
        <v>59860</v>
      </c>
    </row>
    <row r="30" spans="1:5" x14ac:dyDescent="0.3">
      <c r="B30" s="2">
        <v>7</v>
      </c>
      <c r="C30" s="35" t="s">
        <v>99</v>
      </c>
      <c r="D30" s="45">
        <f>+D146</f>
        <v>23050</v>
      </c>
      <c r="E30" s="59">
        <f t="shared" si="0"/>
        <v>76190</v>
      </c>
    </row>
    <row r="31" spans="1:5" x14ac:dyDescent="0.3">
      <c r="B31" s="2">
        <v>8</v>
      </c>
      <c r="C31" s="35" t="s">
        <v>100</v>
      </c>
      <c r="D31" s="45">
        <f>+D154</f>
        <v>77400</v>
      </c>
      <c r="E31" s="59">
        <f t="shared" si="0"/>
        <v>255860</v>
      </c>
    </row>
    <row r="32" spans="1:5" x14ac:dyDescent="0.3">
      <c r="B32" s="2">
        <v>9</v>
      </c>
      <c r="C32" s="35" t="s">
        <v>101</v>
      </c>
      <c r="D32" s="45">
        <f>+D161</f>
        <v>15330</v>
      </c>
      <c r="E32" s="59">
        <f t="shared" si="0"/>
        <v>50670</v>
      </c>
    </row>
    <row r="33" spans="1:7" x14ac:dyDescent="0.3">
      <c r="B33" s="2">
        <v>10</v>
      </c>
      <c r="C33" s="35" t="s">
        <v>154</v>
      </c>
      <c r="D33" s="53">
        <f>TRUNC(SUM(D24:D32)*0.275,-1)</f>
        <v>225240</v>
      </c>
      <c r="E33" s="60">
        <f t="shared" si="0"/>
        <v>744590</v>
      </c>
    </row>
    <row r="34" spans="1:7" x14ac:dyDescent="0.3">
      <c r="C34" s="35" t="s">
        <v>112</v>
      </c>
      <c r="D34" s="44">
        <f>SUM(D24:D33)</f>
        <v>1044320</v>
      </c>
      <c r="E34" s="44">
        <f>SUM(E24:E33)</f>
        <v>3452250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TRUNC(2286,-1)</f>
        <v>2280</v>
      </c>
      <c r="E37" s="61">
        <f>TRUNC(+D37*3.3058,-1)</f>
        <v>7530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TRUNC(29925,-1)</f>
        <v>29920</v>
      </c>
      <c r="E40" s="62">
        <f t="shared" ref="E40:E59" si="1">TRUNC(+D40*3.3058,-1)</f>
        <v>98900</v>
      </c>
    </row>
    <row r="41" spans="1:7" x14ac:dyDescent="0.3">
      <c r="A41" s="2">
        <v>2</v>
      </c>
      <c r="C41" s="38" t="s">
        <v>13</v>
      </c>
      <c r="D41" s="42">
        <f>TRUNC(122567,-1)</f>
        <v>122560</v>
      </c>
      <c r="E41" s="63">
        <f t="shared" si="1"/>
        <v>405150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TRUNC(21122,-1)</f>
        <v>21120</v>
      </c>
      <c r="E43" s="63">
        <f t="shared" si="1"/>
        <v>69810</v>
      </c>
    </row>
    <row r="44" spans="1:7" x14ac:dyDescent="0.3">
      <c r="A44" s="2">
        <v>5</v>
      </c>
      <c r="C44" s="38" t="s">
        <v>17</v>
      </c>
      <c r="D44" s="42">
        <f>TRUNC(42856,-1)</f>
        <v>42850</v>
      </c>
      <c r="E44" s="63">
        <f t="shared" si="1"/>
        <v>141650</v>
      </c>
    </row>
    <row r="45" spans="1:7" x14ac:dyDescent="0.3">
      <c r="A45" s="2">
        <v>6</v>
      </c>
      <c r="C45" s="38" t="s">
        <v>18</v>
      </c>
      <c r="D45" s="42">
        <f>TRUNC(12951,-1)</f>
        <v>12950</v>
      </c>
      <c r="E45" s="63">
        <f t="shared" si="1"/>
        <v>42810</v>
      </c>
    </row>
    <row r="46" spans="1:7" x14ac:dyDescent="0.3">
      <c r="A46" s="2">
        <v>7</v>
      </c>
      <c r="C46" s="38" t="s">
        <v>19</v>
      </c>
      <c r="D46" s="42">
        <f>TRUNC(30252,-1)</f>
        <v>30250</v>
      </c>
      <c r="E46" s="63">
        <f t="shared" si="1"/>
        <v>100000</v>
      </c>
    </row>
    <row r="47" spans="1:7" x14ac:dyDescent="0.3">
      <c r="A47" s="2">
        <v>8</v>
      </c>
      <c r="C47" s="38" t="s">
        <v>20</v>
      </c>
      <c r="D47" s="42">
        <f>TRUNC(14376,-1)</f>
        <v>14370</v>
      </c>
      <c r="E47" s="63">
        <f t="shared" si="1"/>
        <v>47500</v>
      </c>
    </row>
    <row r="48" spans="1:7" x14ac:dyDescent="0.3">
      <c r="A48" s="2">
        <v>9</v>
      </c>
      <c r="C48" s="38" t="s">
        <v>21</v>
      </c>
      <c r="D48" s="42">
        <f>TRUNC(66623,-1)</f>
        <v>66620</v>
      </c>
      <c r="E48" s="63">
        <f t="shared" si="1"/>
        <v>220230</v>
      </c>
    </row>
    <row r="49" spans="1:7" x14ac:dyDescent="0.3">
      <c r="A49" s="2">
        <v>10</v>
      </c>
      <c r="C49" s="38" t="s">
        <v>22</v>
      </c>
      <c r="D49" s="42">
        <f>TRUNC(12760,-1)</f>
        <v>12760</v>
      </c>
      <c r="E49" s="63">
        <f t="shared" si="1"/>
        <v>42180</v>
      </c>
    </row>
    <row r="50" spans="1:7" x14ac:dyDescent="0.3">
      <c r="A50" s="2">
        <v>11</v>
      </c>
      <c r="C50" s="38" t="s">
        <v>155</v>
      </c>
      <c r="D50" s="42">
        <f>TRUNC(38192,-1)</f>
        <v>38190</v>
      </c>
      <c r="E50" s="63">
        <f t="shared" si="1"/>
        <v>126240</v>
      </c>
      <c r="F50" s="2" t="s">
        <v>258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TRUNC(3732,-1)</f>
        <v>3730</v>
      </c>
      <c r="E52" s="63">
        <f t="shared" si="1"/>
        <v>12330</v>
      </c>
    </row>
    <row r="53" spans="1:7" x14ac:dyDescent="0.3">
      <c r="A53" s="2">
        <v>14</v>
      </c>
      <c r="C53" s="38" t="s">
        <v>25</v>
      </c>
      <c r="D53" s="42">
        <f>TRUNC(66024,-1)</f>
        <v>66020</v>
      </c>
      <c r="E53" s="63">
        <f t="shared" si="1"/>
        <v>218240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TRUNC(44962,-1)</f>
        <v>44960</v>
      </c>
      <c r="E55" s="63">
        <f t="shared" si="1"/>
        <v>148620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TRUNC(15546+46836+9912+2566+16071,-1)</f>
        <v>90930</v>
      </c>
      <c r="E58" s="63">
        <f t="shared" si="1"/>
        <v>300590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597230</v>
      </c>
      <c r="E60" s="39">
        <f>SUM(E40:E59)</f>
        <v>1974250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TRUNC(2470,-1)</f>
        <v>2470</v>
      </c>
      <c r="E69" s="62">
        <f t="shared" ref="E69:E94" si="2">TRUNC(+D69*3.3058,-1)</f>
        <v>8160</v>
      </c>
      <c r="F69" s="2" t="s">
        <v>257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TRUNC(4219,-1)</f>
        <v>4210</v>
      </c>
      <c r="E72" s="63">
        <f t="shared" si="2"/>
        <v>13910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TRUNC(2198,-1)</f>
        <v>2190</v>
      </c>
      <c r="E79" s="63">
        <f t="shared" si="2"/>
        <v>7230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TRUNC(1876,-1)</f>
        <v>1870</v>
      </c>
      <c r="E92" s="63">
        <f t="shared" si="2"/>
        <v>6180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TRUNC(946+12719,-1)</f>
        <v>13660</v>
      </c>
      <c r="E94" s="64">
        <f t="shared" si="2"/>
        <v>45150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24400</v>
      </c>
      <c r="E95" s="39">
        <f>SUM(E69:E94)</f>
        <v>80630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TRUNC(11465,-1)</f>
        <v>11460</v>
      </c>
      <c r="E98" s="62">
        <f t="shared" ref="E98:E118" si="3">TRUNC(+D98*3.3058,-1)</f>
        <v>37880</v>
      </c>
    </row>
    <row r="99" spans="1:7" x14ac:dyDescent="0.3">
      <c r="A99" s="2">
        <v>2</v>
      </c>
      <c r="C99" s="38" t="s">
        <v>40</v>
      </c>
      <c r="D99" s="42">
        <f>TRUNC(2056,-1)</f>
        <v>2050</v>
      </c>
      <c r="E99" s="63">
        <f t="shared" si="3"/>
        <v>6770</v>
      </c>
    </row>
    <row r="100" spans="1:7" x14ac:dyDescent="0.3">
      <c r="A100" s="2">
        <v>3</v>
      </c>
      <c r="C100" s="38" t="s">
        <v>41</v>
      </c>
      <c r="D100" s="42">
        <f>TRUNC(25928,-1)</f>
        <v>25920</v>
      </c>
      <c r="E100" s="63">
        <f t="shared" si="3"/>
        <v>85680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TRUNC(10562,-1)</f>
        <v>10560</v>
      </c>
      <c r="E102" s="63">
        <f t="shared" si="3"/>
        <v>34900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TRUNC(6053,-1)</f>
        <v>6050</v>
      </c>
      <c r="E104" s="63">
        <f t="shared" si="3"/>
        <v>20000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TRUNC(3375,-1)</f>
        <v>3370</v>
      </c>
      <c r="E108" s="63">
        <f t="shared" si="3"/>
        <v>11140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TRUNC(1133+737,-1)</f>
        <v>1870</v>
      </c>
      <c r="E118" s="64">
        <f t="shared" si="3"/>
        <v>6180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61280</v>
      </c>
      <c r="E119" s="39">
        <f>SUM(E98:E118)</f>
        <v>202550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TRUNC(2689,-1)</f>
        <v>2680</v>
      </c>
      <c r="E124" s="63">
        <f t="shared" si="4"/>
        <v>8850</v>
      </c>
    </row>
    <row r="125" spans="1:7" x14ac:dyDescent="0.3">
      <c r="A125" s="2">
        <v>4</v>
      </c>
      <c r="C125" s="38" t="s">
        <v>138</v>
      </c>
      <c r="D125" s="42">
        <f>TRUNC(4956,-1)</f>
        <v>4950</v>
      </c>
      <c r="E125" s="63">
        <f t="shared" si="4"/>
        <v>16360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TRUNC(10485,-1)</f>
        <v>10480</v>
      </c>
      <c r="E132" s="64">
        <f t="shared" si="4"/>
        <v>34640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18110</v>
      </c>
      <c r="E133" s="39">
        <f>SUM(E122:E132)</f>
        <v>59850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TRUNC(11109,-1)</f>
        <v>11100</v>
      </c>
      <c r="E136" s="62">
        <f t="shared" ref="E136:E145" si="5">TRUNC(+D136*3.3058,-1)</f>
        <v>36690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TRUNC(11952,-1)</f>
        <v>11950</v>
      </c>
      <c r="E137" s="63">
        <f t="shared" si="5"/>
        <v>39500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23050</v>
      </c>
      <c r="E146" s="39">
        <f>SUM(E136:E145)</f>
        <v>76190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TRUNC(77401,-1)</f>
        <v>77400</v>
      </c>
      <c r="E152" s="63">
        <f>TRUNC(+D152*3.3058,-1)</f>
        <v>255860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77400</v>
      </c>
      <c r="E154" s="39">
        <f>SUM(E149:E153)</f>
        <v>255860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TRUNC(15337,-1)</f>
        <v>15330</v>
      </c>
      <c r="E159" s="63">
        <f>TRUNC(+D159*3.3058,-1)</f>
        <v>50670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15330</v>
      </c>
      <c r="E161" s="39">
        <f>SUM(E157:E160)</f>
        <v>50670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2020-12-07T09:49:31Z</dcterms:modified>
</cp:coreProperties>
</file>