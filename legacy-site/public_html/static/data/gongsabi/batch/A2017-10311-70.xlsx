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9" i="4" l="1"/>
  <c r="D93" i="4"/>
  <c r="D117" i="4"/>
  <c r="D131" i="4"/>
  <c r="D153" i="4"/>
  <c r="D159" i="4" l="1"/>
  <c r="D158" i="4"/>
  <c r="D157" i="4"/>
  <c r="D152" i="4"/>
  <c r="D150" i="4"/>
  <c r="D149" i="4"/>
  <c r="D144" i="4"/>
  <c r="D143" i="4"/>
  <c r="D142" i="4"/>
  <c r="D141" i="4"/>
  <c r="D140" i="4"/>
  <c r="D139" i="4"/>
  <c r="D137" i="4"/>
  <c r="D132" i="4"/>
  <c r="D130" i="4"/>
  <c r="D128" i="4"/>
  <c r="D127" i="4"/>
  <c r="D126" i="4"/>
  <c r="D125" i="4"/>
  <c r="D122" i="4"/>
  <c r="D118" i="4"/>
  <c r="D116" i="4"/>
  <c r="D114" i="4"/>
  <c r="D105" i="4"/>
  <c r="D104" i="4"/>
  <c r="D103" i="4"/>
  <c r="D102" i="4"/>
  <c r="D101" i="4"/>
  <c r="D100" i="4"/>
  <c r="D99" i="4"/>
  <c r="D98" i="4"/>
  <c r="D92" i="4"/>
  <c r="D91" i="4"/>
  <c r="D90" i="4"/>
  <c r="D89" i="4"/>
  <c r="D75" i="4"/>
  <c r="D73" i="4"/>
  <c r="D72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46" i="4"/>
  <c r="E154" i="4"/>
  <c r="E133" i="4"/>
  <c r="E119" i="4"/>
  <c r="E95" i="4"/>
  <c r="E66" i="4"/>
  <c r="E60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<sst xmlns="http://schemas.openxmlformats.org/spreadsheetml/2006/main" count="395" uniqueCount="269">
  <si>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</si>
  <si>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</si>
  <si>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</si>
  <si>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</si>
  <si>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</si>
  <si>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</si>
  <si>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</si>
  <si>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</si>
  <si>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</si>
  <si>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</si>
  <si>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</si>
  <si>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</si>
  <si>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</si>
  <si>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</si>
  <si>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</si>
  <si>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</si>
  <si>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</si>
  <si>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</si>
  <si>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</si>
  <si>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</si>
  <si>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</si>
  <si>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</si>
  <si>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</si>
  <si>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</si>
  <si>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</si>
  <si>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</si>
  <si>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</si>
  <si>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</si>
  <si>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</si>
  <si>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</si>
  <si>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</si>
  <si>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</si>
  <si>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</si>
  <si>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</si>
  <si>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</si>
  <si>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</si>
  <si>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</si>
  <si>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</si>
  <si>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</si>
  <si>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</si>
  <si>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</si>
  <si>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</si>
  <si>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</si>
  <si>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</si>
  <si>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</si>
  <si>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</si>
  <si>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</si>
  <si>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</si>
  <si>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</si>
  <si>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</si>
  <si>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</si>
  <si>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</si>
  <si>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</si>
  <si>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</si>
  <si>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</si>
  <si>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</si>
  <si>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</si>
  <si>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</si>
  <si>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</si>
  <si>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</si>
  <si>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</si>
  <si>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</si>
  <si>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</si>
  <si>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</si>
  <si>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</si>
  <si>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</si>
  <si>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</si>
  <si>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</si>
  <si>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</si>
  <si>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</si>
  <si>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</si>
  <si>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</si>
  <si>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</si>
  <si>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</si>
  <si>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</si>
  <si>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</si>
  <si>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</si>
  <si>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</si>
  <si>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</si>
  <si>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</si>
  <si>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</si>
  <si>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</si>
  <si>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</si>
  <si>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</si>
  <si>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</si>
  <si>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</si>
  <si>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</si>
  <si>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</si>
  <si>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</si>
  <si>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</si>
  <si>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</si>
  <si>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</si>
  <si>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</si>
  <si>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</si>
  <si>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</si>
  <si>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</si>
  <si>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</si>
  <si>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</si>
  <si>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</si>
  <si>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</si>
  <si>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</si>
  <si>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</si>
  <si>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</si>
  <si>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</si>
  <si>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</si>
  <si>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</si>
  <si>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</si>
  <si>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</si>
  <si>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</si>
  <si>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</si>
  <si>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</si>
  <si>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</si>
  <si>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</si>
  <si>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</si>
  <si>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</si>
  <si>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</si>
  <si>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</si>
  <si>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</si>
  <si>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</si>
  <si>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</si>
  <si>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</si>
  <si>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</si>
  <si>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</si>
  <si>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</si>
  <si>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</si>
  <si>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</si>
  <si>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</si>
  <si>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</si>
  <si>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</si>
  <si>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</si>
  <si>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</si>
  <si>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</si>
  <si>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</si>
  <si>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</si>
  <si>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</si>
  <si>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</si>
  <si>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</si>
  <si>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</si>
  <si>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</si>
  <si>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</si>
  <si>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</si>
  <si>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</si>
  <si>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</si>
  <si>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</si>
  <si>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</si>
  <si>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</si>
  <si>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</si>
  <si>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</si>
  <si>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</si>
  <si>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</si>
  <si>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</si>
  <si>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</si>
  <si>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</si>
  <si>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</si>
  <si>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</si>
  <si>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</si>
  <si>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</si>
  <si>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</si>
  <si>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</si>
  <si>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</si>
  <si>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</si>
  <si>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</si>
  <si>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</si>
  <si>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</si>
  <si>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</si>
  <si>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</si>
  <si>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</si>
  <si>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</si>
  <si>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</si>
  <si>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</si>
  <si>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</si>
  <si>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</si>
  <si>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</si>
  <si>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</si>
  <si>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</si>
  <si>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</si>
  <si>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</si>
  <si>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</si>
  <si>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</si>
  <si>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</si>
  <si>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</si>
  <si>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</si>
  <si>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</si>
  <si>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</si>
  <si>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</si>
  <si>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</si>
  <si>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</si>
  <si>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</si>
  <si>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</si>
  <si>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</si>
  <si>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</si>
  <si>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</si>
  <si>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</si>
  <si>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</si>
  <si>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</si>
  <si>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</si>
  <si>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</si>
  <si>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</si>
  <si>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</si>
  <si>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</si>
  <si>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</si>
  <si>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</si>
  <si>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</si>
  <si>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</si>
  <si>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</si>
  <si>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</si>
  <si>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</si>
  <si>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</si>
  <si>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</si>
  <si>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</si>
  <si>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</si>
  <si>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</si>
  <si>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</si>
  <si>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</si>
  <si>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</si>
  <si>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</si>
  <si>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</si>
  <si>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</si>
  <si>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</si>
  <si>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</si>
  <si>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</si>
  <si>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</si>
  <si>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</si>
  <si>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</si>
  <si>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</si>
  <si>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</si>
  <si>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</si>
  <si>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</si>
  <si>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</si>
  <si>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</si>
  <si>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</si>
  <si>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</si>
  <si>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</si>
  <si>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</si>
  <si>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</si>
  <si>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</si>
  <si>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</si>
  <si>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</si>
  <si>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</si>
  <si>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</si>
  <si>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</si>
  <si>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</si>
  <si>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</si>
  <si>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</si>
  <si>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</si>
  <si>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</si>
  <si>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</si>
  <si>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</si>
  <si>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</si>
  <si>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서산의료원 복합병동 건립 공사</t>
    <phoneticPr fontId="2" type="noConversion"/>
  </si>
  <si>
    <t>의료</t>
  </si>
  <si>
    <t>충청도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</si>
  <si>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</si>
  <si>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</si>
  <si>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</si>
  <si>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기초공사,해체및철거공사,폐기물처리비,골재비및운반비,작업부산물,품질시험비,기타공사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</si>
  <si>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</si>
  <si>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</si>
  <si>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</si>
  <si>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</si>
  <si>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</si>
  <si>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</si>
  <si>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상수도공사,사급자재비,기타공사</t>
    <phoneticPr fontId="2" type="noConversion"/>
  </si>
  <si>
    <t>포장공사</t>
    <phoneticPr fontId="2" type="noConversion"/>
  </si>
  <si>
    <t>조경시설물</t>
    <phoneticPr fontId="2" type="noConversion"/>
  </si>
  <si>
    <t>공조배관공사,기타공사, 바닥난방공사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</si>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</sst>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6567.47</v>
      </c>
      <c r="D7" s="36">
        <f>+C7/3.3058</f>
        <v>1986.6507350716922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836440</v>
      </c>
      <c r="E25" s="59">
        <f t="shared" si="0"/>
        <v>2765100</v>
      </c>
    </row>
    <row r="26" spans="1:5" x14ac:dyDescent="0.3">
      <c r="B26" s="2">
        <v>3</v>
      </c>
      <c r="C26" s="35" t="s">
        <v>95</v>
      </c>
      <c r="D26" s="45">
        <f>+D66</f>
        <v>67210</v>
      </c>
      <c r="E26" s="59">
        <f t="shared" si="0"/>
        <v>222180</v>
      </c>
    </row>
    <row r="27" spans="1:5" x14ac:dyDescent="0.3">
      <c r="B27" s="2">
        <v>4</v>
      </c>
      <c r="C27" s="35" t="s">
        <v>96</v>
      </c>
      <c r="D27" s="45">
        <f>+D95</f>
        <v>523560</v>
      </c>
      <c r="E27" s="59">
        <f t="shared" si="0"/>
        <v>1730780</v>
      </c>
    </row>
    <row r="28" spans="1:5" x14ac:dyDescent="0.3">
      <c r="B28" s="2">
        <v>5</v>
      </c>
      <c r="C28" s="35" t="s">
        <v>97</v>
      </c>
      <c r="D28" s="45">
        <f>+D119</f>
        <v>351170</v>
      </c>
      <c r="E28" s="59">
        <f t="shared" si="0"/>
        <v>1160890</v>
      </c>
    </row>
    <row r="29" spans="1:5" x14ac:dyDescent="0.3">
      <c r="B29" s="2">
        <v>6</v>
      </c>
      <c r="C29" s="35" t="s">
        <v>98</v>
      </c>
      <c r="D29" s="45">
        <f>+D133</f>
        <v>110160</v>
      </c>
      <c r="E29" s="59">
        <f t="shared" si="0"/>
        <v>364160</v>
      </c>
    </row>
    <row r="30" spans="1:5" x14ac:dyDescent="0.3">
      <c r="B30" s="2">
        <v>7</v>
      </c>
      <c r="C30" s="35" t="s">
        <v>99</v>
      </c>
      <c r="D30" s="45">
        <f>+D146</f>
        <v>72500</v>
      </c>
      <c r="E30" s="59">
        <f t="shared" si="0"/>
        <v>239670</v>
      </c>
    </row>
    <row r="31" spans="1:5" x14ac:dyDescent="0.3">
      <c r="B31" s="2">
        <v>8</v>
      </c>
      <c r="C31" s="35" t="s">
        <v>100</v>
      </c>
      <c r="D31" s="45">
        <f>+D154</f>
        <v>34340</v>
      </c>
      <c r="E31" s="59">
        <f t="shared" si="0"/>
        <v>113520</v>
      </c>
    </row>
    <row r="32" spans="1:5" x14ac:dyDescent="0.3">
      <c r="B32" s="2">
        <v>9</v>
      </c>
      <c r="C32" s="35" t="s">
        <v>101</v>
      </c>
      <c r="D32" s="45">
        <f>+D161</f>
        <v>37490</v>
      </c>
      <c r="E32" s="59">
        <f t="shared" si="0"/>
        <v>123930</v>
      </c>
    </row>
    <row r="33" spans="1:7" x14ac:dyDescent="0.3">
      <c r="B33" s="2">
        <v>10</v>
      </c>
      <c r="C33" s="35" t="s">
        <v>155</v>
      </c>
      <c r="D33" s="53">
        <f>TRUNC(SUM(D24:D32)*0.275,-1)</f>
        <v>559030</v>
      </c>
      <c r="E33" s="60">
        <f t="shared" si="0"/>
        <v>1848040</v>
      </c>
    </row>
    <row r="34" spans="1:7" x14ac:dyDescent="0.3">
      <c r="C34" s="35" t="s">
        <v>112</v>
      </c>
      <c r="D34" s="44">
        <f>SUM(D24:D33)</f>
        <v>2591900</v>
      </c>
      <c r="E34" s="44">
        <f>SUM(E24:E33)</f>
        <v>8568270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6" t="s">
        <v>113</v>
      </c>
      <c r="D39" s="57" t="s">
        <v>236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TRUNC(91253,-1)</f>
        <v>91250</v>
      </c>
      <c r="E40" s="62">
        <f t="shared" ref="E40:E59" si="1">TRUNC(+D40*3.3058,-1)</f>
        <v>301650</v>
      </c>
    </row>
    <row r="41" spans="1:7" x14ac:dyDescent="0.3">
      <c r="A41" s="2">
        <v>2</v>
      </c>
      <c r="C41" s="38" t="s">
        <v>13</v>
      </c>
      <c r="D41" s="42">
        <f>TRUNC(136700,-1)</f>
        <v>136700</v>
      </c>
      <c r="E41" s="63">
        <f t="shared" si="1"/>
        <v>451900</v>
      </c>
    </row>
    <row r="42" spans="1:7" x14ac:dyDescent="0.3">
      <c r="A42" s="2">
        <v>3</v>
      </c>
      <c r="C42" s="38" t="s">
        <v>14</v>
      </c>
      <c r="D42" s="42">
        <f>TRUNC(4682,-1)</f>
        <v>4680</v>
      </c>
      <c r="E42" s="63">
        <f t="shared" si="1"/>
        <v>15470</v>
      </c>
    </row>
    <row r="43" spans="1:7" x14ac:dyDescent="0.3">
      <c r="A43" s="2">
        <v>4</v>
      </c>
      <c r="C43" s="38" t="s">
        <v>16</v>
      </c>
      <c r="D43" s="42">
        <v>73880</v>
      </c>
      <c r="E43" s="63">
        <f t="shared" si="1"/>
        <v>244230</v>
      </c>
    </row>
    <row r="44" spans="1:7" x14ac:dyDescent="0.3">
      <c r="A44" s="2">
        <v>5</v>
      </c>
      <c r="C44" s="38" t="s">
        <v>17</v>
      </c>
      <c r="D44" s="42">
        <f>TRUNC(27938,-1)</f>
        <v>27930</v>
      </c>
      <c r="E44" s="63">
        <f t="shared" si="1"/>
        <v>92330</v>
      </c>
    </row>
    <row r="45" spans="1:7" x14ac:dyDescent="0.3">
      <c r="A45" s="2">
        <v>6</v>
      </c>
      <c r="C45" s="38" t="s">
        <v>18</v>
      </c>
      <c r="D45" s="42">
        <f>TRUNC(6440,-1)</f>
        <v>6440</v>
      </c>
      <c r="E45" s="63">
        <f t="shared" si="1"/>
        <v>21280</v>
      </c>
    </row>
    <row r="46" spans="1:7" x14ac:dyDescent="0.3">
      <c r="A46" s="2">
        <v>7</v>
      </c>
      <c r="C46" s="38" t="s">
        <v>19</v>
      </c>
      <c r="D46" s="42">
        <f>TRUNC(11109,-1)</f>
        <v>11100</v>
      </c>
      <c r="E46" s="63">
        <f t="shared" si="1"/>
        <v>36690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TRUNC(23691,-1)</f>
        <v>23690</v>
      </c>
      <c r="E48" s="63">
        <f t="shared" si="1"/>
        <v>78310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TRUNC(9368,-1)</f>
        <v>9360</v>
      </c>
      <c r="E49" s="63">
        <f t="shared" si="1"/>
        <v>30940</v>
      </c>
    </row>
    <row r="50" spans="1:7" x14ac:dyDescent="0.3">
      <c r="A50" s="2">
        <v>11</v>
      </c>
      <c r="C50" s="38" t="s">
        <v>156</v>
      </c>
      <c r="D50" s="42">
        <f>TRUNC(60554,-1)</f>
        <v>60550</v>
      </c>
      <c r="E50" s="63">
        <f t="shared" si="1"/>
        <v>200160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TRUNC(13747,-1)</f>
        <v>13740</v>
      </c>
      <c r="E52" s="63">
        <f t="shared" si="1"/>
        <v>45420</v>
      </c>
    </row>
    <row r="53" spans="1:7" x14ac:dyDescent="0.3">
      <c r="A53" s="2">
        <v>14</v>
      </c>
      <c r="C53" s="38" t="s">
        <v>25</v>
      </c>
      <c r="D53" s="42">
        <f>TRUNC(135459,-1)</f>
        <v>135450</v>
      </c>
      <c r="E53" s="63">
        <f t="shared" si="1"/>
        <v>447770</v>
      </c>
      <c r="F53" s="2" t="s">
        <v>254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TRUNC(20916+1326+115+4504-745+2999+3449,-1)</f>
        <v>32560</v>
      </c>
      <c r="E58" s="63">
        <f t="shared" si="1"/>
        <v>107630</v>
      </c>
      <c r="F58" s="2" t="s">
        <v>255</v>
      </c>
    </row>
    <row r="59" spans="1:7" ht="17.25" thickBot="1" x14ac:dyDescent="0.35">
      <c r="A59" s="2">
        <v>20</v>
      </c>
      <c r="C59" s="38" t="s">
        <v>149</v>
      </c>
      <c r="D59" s="43">
        <f>TRUNC(209110,-1)</f>
        <v>209110</v>
      </c>
      <c r="E59" s="64">
        <f t="shared" si="1"/>
        <v>691270</v>
      </c>
    </row>
    <row r="60" spans="1:7" x14ac:dyDescent="0.3">
      <c r="A60" s="2">
        <v>21</v>
      </c>
      <c r="C60" s="27" t="s">
        <v>112</v>
      </c>
      <c r="D60" s="39">
        <f>SUM(D40:D59)</f>
        <v>836440</v>
      </c>
      <c r="E60" s="39">
        <f>SUM(E40:E59)</f>
        <v>2765050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TRUNC(22282,-1)</f>
        <v>22280</v>
      </c>
      <c r="E63" s="62">
        <f>TRUNC(+D63*3.3058,-1)</f>
        <v>73650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TRUNC(44935,-1)</f>
        <v>44930</v>
      </c>
      <c r="E65" s="64">
        <f>TRUNC(+D65*3.3058,-1)</f>
        <v>148520</v>
      </c>
    </row>
    <row r="66" spans="1:7" x14ac:dyDescent="0.3">
      <c r="A66" s="2">
        <v>4</v>
      </c>
      <c r="C66" s="27" t="s">
        <v>112</v>
      </c>
      <c r="D66" s="39">
        <f>SUM(D63:D65)</f>
        <v>67210</v>
      </c>
      <c r="E66" s="65">
        <f>SUM(E63:E65)</f>
        <v>222170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TRUNC(28380,-1)</f>
        <v>28380</v>
      </c>
      <c r="E69" s="62">
        <f t="shared" ref="E69:E94" si="2">TRUNC(+D69*3.3058,-1)</f>
        <v>93810</v>
      </c>
    </row>
    <row r="70" spans="1:7" ht="16.5" customHeight="1" x14ac:dyDescent="0.3">
      <c r="A70" s="2">
        <v>2</v>
      </c>
      <c r="C70" s="38" t="s">
        <v>31</v>
      </c>
      <c r="D70" s="42">
        <f>TRUNC(642,-1)</f>
        <v>640</v>
      </c>
      <c r="E70" s="63">
        <f t="shared" si="2"/>
        <v>2110</v>
      </c>
    </row>
    <row r="71" spans="1:7" x14ac:dyDescent="0.3">
      <c r="A71" s="2">
        <v>3</v>
      </c>
      <c r="C71" s="38" t="s">
        <v>32</v>
      </c>
      <c r="D71" s="42">
        <f>TRUNC(16173,-1)</f>
        <v>16170</v>
      </c>
      <c r="E71" s="63">
        <f t="shared" si="2"/>
        <v>53450</v>
      </c>
    </row>
    <row r="72" spans="1:7" x14ac:dyDescent="0.3">
      <c r="A72" s="2">
        <v>4</v>
      </c>
      <c r="C72" s="38" t="s">
        <v>33</v>
      </c>
      <c r="D72" s="42">
        <f>TRUNC(8291,-1)</f>
        <v>8290</v>
      </c>
      <c r="E72" s="63">
        <f t="shared" si="2"/>
        <v>27400</v>
      </c>
    </row>
    <row r="73" spans="1:7" x14ac:dyDescent="0.3">
      <c r="A73" s="2">
        <v>5</v>
      </c>
      <c r="C73" s="38" t="s">
        <v>34</v>
      </c>
      <c r="D73" s="42">
        <f>TRUNC(15415,-1)</f>
        <v>15410</v>
      </c>
      <c r="E73" s="63">
        <f t="shared" si="2"/>
        <v>50940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TRUNC(2213,-1)</f>
        <v>2210</v>
      </c>
      <c r="E75" s="63">
        <f t="shared" si="2"/>
        <v>7300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TRUNC(9375,-1)</f>
        <v>9370</v>
      </c>
      <c r="E89" s="63">
        <f t="shared" si="2"/>
        <v>30970</v>
      </c>
    </row>
    <row r="90" spans="1:7" x14ac:dyDescent="0.3">
      <c r="A90" s="2">
        <v>22</v>
      </c>
      <c r="C90" s="38" t="s">
        <v>36</v>
      </c>
      <c r="D90" s="42">
        <f>TRUNC(6893,-1)</f>
        <v>6890</v>
      </c>
      <c r="E90" s="63">
        <f t="shared" si="2"/>
        <v>22770</v>
      </c>
    </row>
    <row r="91" spans="1:7" x14ac:dyDescent="0.3">
      <c r="A91" s="2">
        <v>23</v>
      </c>
      <c r="C91" s="38" t="s">
        <v>37</v>
      </c>
      <c r="D91" s="42">
        <f>TRUNC(36377,-1)</f>
        <v>36370</v>
      </c>
      <c r="E91" s="63">
        <f t="shared" si="2"/>
        <v>120230</v>
      </c>
    </row>
    <row r="92" spans="1:7" x14ac:dyDescent="0.3">
      <c r="A92" s="2">
        <v>24</v>
      </c>
      <c r="C92" s="38" t="s">
        <v>38</v>
      </c>
      <c r="D92" s="42">
        <f>TRUNC(10280,-1)</f>
        <v>10280</v>
      </c>
      <c r="E92" s="63">
        <f t="shared" si="2"/>
        <v>33980</v>
      </c>
    </row>
    <row r="93" spans="1:7" x14ac:dyDescent="0.3">
      <c r="A93" s="2">
        <v>25</v>
      </c>
      <c r="C93" s="38" t="s">
        <v>149</v>
      </c>
      <c r="D93" s="42">
        <f>TRUNC(361291,-1)</f>
        <v>361290</v>
      </c>
      <c r="E93" s="63">
        <f t="shared" si="2"/>
        <v>1194350</v>
      </c>
    </row>
    <row r="94" spans="1:7" ht="17.25" thickBot="1" x14ac:dyDescent="0.35">
      <c r="A94" s="2">
        <v>26</v>
      </c>
      <c r="C94" s="38" t="s">
        <v>47</v>
      </c>
      <c r="D94" s="43">
        <f>TRUNC(3418+24791+53,-1)</f>
        <v>28260</v>
      </c>
      <c r="E94" s="64">
        <f t="shared" si="2"/>
        <v>93420</v>
      </c>
      <c r="F94" s="2" t="s">
        <v>265</v>
      </c>
    </row>
    <row r="95" spans="1:7" x14ac:dyDescent="0.3">
      <c r="A95" s="2">
        <v>27</v>
      </c>
      <c r="C95" s="27" t="s">
        <v>112</v>
      </c>
      <c r="D95" s="39">
        <f>SUM(D69:D94)</f>
        <v>523560</v>
      </c>
      <c r="E95" s="39">
        <f>SUM(E69:E94)</f>
        <v>1730730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TRUNC(16049,-1)</f>
        <v>16040</v>
      </c>
      <c r="E98" s="62">
        <f t="shared" ref="E98:E118" si="3">TRUNC(+D98*3.3058,-1)</f>
        <v>53020</v>
      </c>
    </row>
    <row r="99" spans="1:7" x14ac:dyDescent="0.3">
      <c r="A99" s="2">
        <v>2</v>
      </c>
      <c r="C99" s="38" t="s">
        <v>40</v>
      </c>
      <c r="D99" s="42">
        <f>TRUNC(9302,-1)</f>
        <v>9300</v>
      </c>
      <c r="E99" s="63">
        <f t="shared" si="3"/>
        <v>30740</v>
      </c>
    </row>
    <row r="100" spans="1:7" x14ac:dyDescent="0.3">
      <c r="A100" s="2">
        <v>3</v>
      </c>
      <c r="C100" s="38" t="s">
        <v>41</v>
      </c>
      <c r="D100" s="42">
        <f>TRUNC(41942,-1)</f>
        <v>41940</v>
      </c>
      <c r="E100" s="63">
        <f t="shared" si="3"/>
        <v>138640</v>
      </c>
    </row>
    <row r="101" spans="1:7" x14ac:dyDescent="0.3">
      <c r="A101" s="2">
        <v>4</v>
      </c>
      <c r="C101" s="38" t="s">
        <v>42</v>
      </c>
      <c r="D101" s="42">
        <f>TRUNC(1733,-1)</f>
        <v>1730</v>
      </c>
      <c r="E101" s="63">
        <f t="shared" si="3"/>
        <v>5710</v>
      </c>
    </row>
    <row r="102" spans="1:7" x14ac:dyDescent="0.3">
      <c r="A102" s="2">
        <v>5</v>
      </c>
      <c r="C102" s="38" t="s">
        <v>43</v>
      </c>
      <c r="D102" s="42">
        <f>TRUNC(20565,-1)</f>
        <v>20560</v>
      </c>
      <c r="E102" s="63">
        <f t="shared" si="3"/>
        <v>67960</v>
      </c>
    </row>
    <row r="103" spans="1:7" x14ac:dyDescent="0.3">
      <c r="A103" s="2">
        <v>6</v>
      </c>
      <c r="C103" s="38" t="s">
        <v>44</v>
      </c>
      <c r="D103" s="42">
        <f>TRUNC(5950,-1)</f>
        <v>5950</v>
      </c>
      <c r="E103" s="63">
        <f t="shared" si="3"/>
        <v>19660</v>
      </c>
    </row>
    <row r="104" spans="1:7" x14ac:dyDescent="0.3">
      <c r="A104" s="2">
        <v>7</v>
      </c>
      <c r="C104" s="38" t="s">
        <v>45</v>
      </c>
      <c r="D104" s="42">
        <f>TRUNC(2345,-1)</f>
        <v>2340</v>
      </c>
      <c r="E104" s="63">
        <f t="shared" si="3"/>
        <v>7730</v>
      </c>
    </row>
    <row r="105" spans="1:7" x14ac:dyDescent="0.3">
      <c r="A105" s="2">
        <v>8</v>
      </c>
      <c r="C105" s="38" t="s">
        <v>46</v>
      </c>
      <c r="D105" s="42">
        <f>TRUNC(14135,-1)</f>
        <v>14130</v>
      </c>
      <c r="E105" s="63">
        <f t="shared" si="3"/>
        <v>46710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TRUNC(596,-1)</f>
        <v>590</v>
      </c>
      <c r="E114" s="63">
        <f t="shared" si="3"/>
        <v>1950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TRUNC(18028,-1)</f>
        <v>18020</v>
      </c>
      <c r="E116" s="63">
        <f t="shared" si="3"/>
        <v>59570</v>
      </c>
      <c r="F116" s="2" t="s">
        <v>256</v>
      </c>
    </row>
    <row r="117" spans="1:7" x14ac:dyDescent="0.3">
      <c r="A117" s="2">
        <v>20</v>
      </c>
      <c r="C117" s="38" t="s">
        <v>149</v>
      </c>
      <c r="D117" s="42">
        <f>TRUNC(205198,-1)</f>
        <v>205190</v>
      </c>
      <c r="E117" s="63">
        <f t="shared" si="3"/>
        <v>678310</v>
      </c>
    </row>
    <row r="118" spans="1:7" ht="17.25" thickBot="1" x14ac:dyDescent="0.35">
      <c r="A118" s="2">
        <v>21</v>
      </c>
      <c r="C118" s="38" t="s">
        <v>47</v>
      </c>
      <c r="D118" s="43">
        <f>TRUNC(15385,-1)</f>
        <v>15380</v>
      </c>
      <c r="E118" s="64">
        <f t="shared" si="3"/>
        <v>50840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351170</v>
      </c>
      <c r="E119" s="39">
        <f>SUM(E98:E118)</f>
        <v>1160840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TRUNC(7625,-1)</f>
        <v>7620</v>
      </c>
      <c r="E122" s="62">
        <f t="shared" ref="E122:E132" si="4">TRUNC(+D122*3.3058,-1)</f>
        <v>25190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TRUNC(9346,-1)</f>
        <v>9340</v>
      </c>
      <c r="E125" s="63">
        <f t="shared" si="4"/>
        <v>30870</v>
      </c>
    </row>
    <row r="126" spans="1:7" x14ac:dyDescent="0.3">
      <c r="A126" s="2">
        <v>5</v>
      </c>
      <c r="C126" s="38" t="s">
        <v>53</v>
      </c>
      <c r="D126" s="42">
        <f>TRUNC(621,-1)</f>
        <v>620</v>
      </c>
      <c r="E126" s="63">
        <f t="shared" si="4"/>
        <v>2040</v>
      </c>
    </row>
    <row r="127" spans="1:7" x14ac:dyDescent="0.3">
      <c r="A127" s="2">
        <v>6</v>
      </c>
      <c r="C127" s="38" t="s">
        <v>56</v>
      </c>
      <c r="D127" s="42">
        <f>TRUNC(1811,-1)</f>
        <v>1810</v>
      </c>
      <c r="E127" s="63">
        <f t="shared" si="4"/>
        <v>5980</v>
      </c>
    </row>
    <row r="128" spans="1:7" x14ac:dyDescent="0.3">
      <c r="A128" s="2">
        <v>7</v>
      </c>
      <c r="C128" s="38" t="s">
        <v>46</v>
      </c>
      <c r="D128" s="42">
        <f>TRUNC(11004,-1)</f>
        <v>11000</v>
      </c>
      <c r="E128" s="63">
        <f t="shared" si="4"/>
        <v>36360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TRUNC(28502,-1)</f>
        <v>28500</v>
      </c>
      <c r="E130" s="63">
        <f t="shared" si="4"/>
        <v>94210</v>
      </c>
    </row>
    <row r="131" spans="1:7" x14ac:dyDescent="0.3">
      <c r="A131" s="2">
        <v>10</v>
      </c>
      <c r="C131" s="38" t="s">
        <v>149</v>
      </c>
      <c r="D131" s="42">
        <f>TRUNC(39263,-1)</f>
        <v>39260</v>
      </c>
      <c r="E131" s="63">
        <f t="shared" si="4"/>
        <v>129780</v>
      </c>
    </row>
    <row r="132" spans="1:7" ht="18" thickBot="1" x14ac:dyDescent="0.35">
      <c r="A132" s="2">
        <v>11</v>
      </c>
      <c r="C132" s="38" t="s">
        <v>47</v>
      </c>
      <c r="D132" s="43">
        <f>TRUNC(3490+8524,-1)</f>
        <v>12010</v>
      </c>
      <c r="E132" s="64">
        <f t="shared" si="4"/>
        <v>39700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110160</v>
      </c>
      <c r="E133" s="39">
        <f>SUM(E122:E132)</f>
        <v>364130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TRUNC(230+3033+268,-1)</f>
        <v>3530</v>
      </c>
      <c r="E137" s="63">
        <f t="shared" si="5"/>
        <v>11660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TRUNC(3649,-1)</f>
        <v>3640</v>
      </c>
      <c r="E139" s="63">
        <f t="shared" si="5"/>
        <v>12030</v>
      </c>
    </row>
    <row r="140" spans="1:7" x14ac:dyDescent="0.3">
      <c r="A140" s="2">
        <v>5</v>
      </c>
      <c r="C140" s="38" t="s">
        <v>57</v>
      </c>
      <c r="D140" s="42">
        <f>TRUNC(2767,-1)</f>
        <v>2760</v>
      </c>
      <c r="E140" s="63">
        <f t="shared" si="5"/>
        <v>9120</v>
      </c>
    </row>
    <row r="141" spans="1:7" x14ac:dyDescent="0.3">
      <c r="A141" s="2">
        <v>6</v>
      </c>
      <c r="C141" s="38" t="s">
        <v>59</v>
      </c>
      <c r="D141" s="42">
        <f>TRUNC(28576,-1)</f>
        <v>28570</v>
      </c>
      <c r="E141" s="63">
        <f t="shared" si="5"/>
        <v>94440</v>
      </c>
    </row>
    <row r="142" spans="1:7" x14ac:dyDescent="0.3">
      <c r="A142" s="2">
        <v>7</v>
      </c>
      <c r="C142" s="38" t="s">
        <v>58</v>
      </c>
      <c r="D142" s="42">
        <f>TRUNC(10106,-1)</f>
        <v>10100</v>
      </c>
      <c r="E142" s="63">
        <f t="shared" si="5"/>
        <v>33380</v>
      </c>
    </row>
    <row r="143" spans="1:7" x14ac:dyDescent="0.3">
      <c r="A143" s="2">
        <v>8</v>
      </c>
      <c r="C143" s="38" t="s">
        <v>62</v>
      </c>
      <c r="D143" s="42">
        <f>TRUNC(6335,-1)</f>
        <v>6330</v>
      </c>
      <c r="E143" s="63">
        <f t="shared" si="5"/>
        <v>20920</v>
      </c>
    </row>
    <row r="144" spans="1:7" x14ac:dyDescent="0.3">
      <c r="A144" s="2">
        <v>9</v>
      </c>
      <c r="C144" s="38" t="s">
        <v>63</v>
      </c>
      <c r="D144" s="42">
        <f>TRUNC(17575,-1)</f>
        <v>17570</v>
      </c>
      <c r="E144" s="63">
        <f t="shared" si="5"/>
        <v>58080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72500</v>
      </c>
      <c r="E146" s="39">
        <f>SUM(E136:E145)</f>
        <v>239630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TRUNC(5386+2941,-1)</f>
        <v>8320</v>
      </c>
      <c r="E149" s="62">
        <f>TRUNC(+D149*3.3058,-1)</f>
        <v>27500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TRUNC(3893,-1)</f>
        <v>3890</v>
      </c>
      <c r="E150" s="63">
        <f>TRUNC(+D150*3.3058,-1)</f>
        <v>12850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TRUNC(273+9471+1491,-1)</f>
        <v>11230</v>
      </c>
      <c r="E152" s="63">
        <f>TRUNC(+D152*3.3058,-1)</f>
        <v>37120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f>TRUNC(10905,-1)</f>
        <v>10900</v>
      </c>
      <c r="E153" s="64">
        <f>TRUNC(+D153*3.3058,-1)</f>
        <v>36030</v>
      </c>
    </row>
    <row r="154" spans="1:7" x14ac:dyDescent="0.3">
      <c r="A154" s="2">
        <v>6</v>
      </c>
      <c r="C154" s="27" t="s">
        <v>112</v>
      </c>
      <c r="D154" s="39">
        <f>SUM(D149:D153)</f>
        <v>34340</v>
      </c>
      <c r="E154" s="39">
        <f>SUM(E149:E153)</f>
        <v>113500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TRUNC(13995,-1)</f>
        <v>13990</v>
      </c>
      <c r="E157" s="62">
        <f>TRUNC(+D157*3.3058,-1)</f>
        <v>46240</v>
      </c>
    </row>
    <row r="158" spans="1:7" x14ac:dyDescent="0.3">
      <c r="A158" s="2">
        <v>2</v>
      </c>
      <c r="C158" s="38" t="s">
        <v>52</v>
      </c>
      <c r="D158" s="42">
        <f>TRUNC(8559,-1)</f>
        <v>8550</v>
      </c>
      <c r="E158" s="63">
        <f>TRUNC(+D158*3.3058,-1)</f>
        <v>28260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TRUNC(14953,-1)</f>
        <v>14950</v>
      </c>
      <c r="E159" s="63">
        <f>TRUNC(+D159*3.3058,-1)</f>
        <v>49420</v>
      </c>
      <c r="F159" s="2" t="s">
        <v>263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37490</v>
      </c>
      <c r="E161" s="39">
        <f>SUM(E157:E160)</f>
        <v>123920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2020-12-08T01:52:50Z</dcterms:modified>
</cp:coreProperties>
</file>