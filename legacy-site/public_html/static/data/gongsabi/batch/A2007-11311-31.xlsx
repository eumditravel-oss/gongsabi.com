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7" i="4"/>
  <c r="D59" i="4"/>
  <c r="D150" i="4"/>
  <c r="D149" i="4"/>
  <c r="D151" i="4"/>
  <c r="D63" i="4"/>
  <c r="D86" i="4"/>
  <c r="D90" i="4"/>
  <c r="D83" i="4"/>
  <c r="D72" i="4"/>
  <c r="D89" i="4"/>
  <c r="D73" i="4"/>
  <c r="D71" i="4"/>
  <c r="D70" i="4"/>
  <c r="D92" i="4"/>
  <c r="D69" i="4"/>
  <c r="D137" i="4"/>
  <c r="D142" i="4"/>
  <c r="D141" i="4"/>
  <c r="D140" i="4"/>
  <c r="D117" i="4"/>
  <c r="D108" i="4"/>
  <c r="D102" i="4"/>
  <c r="D100" i="4"/>
  <c r="D105" i="4"/>
  <c r="D99" i="4"/>
  <c r="D98" i="4"/>
  <c r="D115" i="4"/>
  <c r="D143" i="4"/>
  <c r="D144" i="4"/>
  <c r="D131" i="4"/>
  <c r="D132" i="4"/>
  <c r="D125" i="4"/>
  <c r="D122" i="4"/>
  <c r="D123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0" i="4"/>
  <c r="E95" i="4"/>
  <c r="E146" i="4"/>
  <c r="E119" i="4"/>
  <c r="E133" i="4"/>
  <c r="D161" i="4"/>
  <c r="D154" i="4"/>
  <c r="D31" i="4" s="1"/>
  <c r="E31" i="4" s="1"/>
  <c r="D146" i="4"/>
  <c r="D30" i="4" s="1"/>
  <c r="E30" i="4" s="1"/>
  <c r="D133" i="4"/>
  <c r="D29" i="4" s="1"/>
  <c r="D119" i="4"/>
  <c r="D28" i="4" s="1"/>
  <c r="E28" i="4" s="1"/>
  <c r="D95" i="4"/>
  <c r="D27" i="4" s="1"/>
  <c r="E27" i="4" s="1"/>
  <c r="D66" i="4"/>
  <c r="D60" i="4"/>
  <c r="D24" i="4"/>
  <c r="E24" i="4" s="1"/>
  <c r="D25" i="4"/>
  <c r="E25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<sst xmlns="http://schemas.openxmlformats.org/spreadsheetml/2006/main" count="394" uniqueCount="266">
  <si>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</si>
  <si>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</si>
  <si>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</si>
  <si>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</si>
  <si>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</si>
  <si>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</si>
  <si>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</si>
  <si>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</si>
  <si>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</si>
  <si>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</si>
  <si>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</si>
  <si>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</si>
  <si>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</si>
  <si>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</si>
  <si>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</si>
  <si>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</si>
  <si>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</si>
  <si>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</si>
  <si>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</si>
  <si>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</si>
  <si>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</si>
  <si>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</si>
  <si>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</si>
  <si>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</si>
  <si>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</si>
  <si>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</si>
  <si>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</si>
  <si>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</si>
  <si>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</si>
  <si>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</si>
  <si>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</si>
  <si>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</si>
  <si>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</si>
  <si>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</si>
  <si>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</si>
  <si>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</si>
  <si>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</si>
  <si>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</si>
  <si>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</si>
  <si>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</si>
  <si>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</si>
  <si>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</si>
  <si>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</si>
  <si>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</si>
  <si>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</si>
  <si>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</si>
  <si>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</si>
  <si>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</si>
  <si>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</si>
  <si>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</si>
  <si>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</si>
  <si>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</si>
  <si>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</si>
  <si>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</si>
  <si>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</si>
  <si>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</si>
  <si>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</si>
  <si>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</si>
  <si>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</si>
  <si>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</si>
  <si>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</si>
  <si>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</si>
  <si>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</si>
  <si>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</si>
  <si>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</si>
  <si>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</si>
  <si>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</si>
  <si>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</si>
  <si>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</si>
  <si>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</si>
  <si>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</si>
  <si>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</si>
  <si>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</si>
  <si>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</si>
  <si>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</si>
  <si>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</si>
  <si>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</si>
  <si>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</si>
  <si>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</si>
  <si>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</si>
  <si>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</si>
  <si>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</si>
  <si>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</si>
  <si>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</si>
  <si>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</si>
  <si>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</si>
  <si>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</si>
  <si>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</si>
  <si>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</si>
  <si>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</si>
  <si>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</si>
  <si>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</si>
  <si>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</si>
  <si>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</si>
  <si>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</si>
  <si>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</si>
  <si>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</si>
  <si>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</si>
  <si>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</si>
  <si>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</si>
  <si>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</si>
  <si>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</si>
  <si>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</si>
  <si>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</si>
  <si>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</si>
  <si>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</si>
  <si>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</si>
  <si>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</si>
  <si>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</si>
  <si>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</si>
  <si>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</si>
  <si>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</si>
  <si>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</si>
  <si>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</si>
  <si>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</si>
  <si>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</si>
  <si>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</si>
  <si>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</si>
  <si>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</si>
  <si>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</si>
  <si>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</si>
  <si>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</si>
  <si>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</si>
  <si>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</si>
  <si>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</si>
  <si>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</si>
  <si>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</si>
  <si>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</si>
  <si>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</si>
  <si>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</si>
  <si>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</si>
  <si>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</si>
  <si>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</si>
  <si>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</si>
  <si>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</si>
  <si>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</si>
  <si>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</si>
  <si>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</si>
  <si>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</si>
  <si>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</si>
  <si>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</si>
  <si>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</si>
  <si>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</si>
  <si>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</si>
  <si>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</si>
  <si>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</si>
  <si>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</si>
  <si>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</si>
  <si>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</si>
  <si>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</si>
  <si>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</si>
  <si>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</si>
  <si>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</si>
  <si>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</si>
  <si>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</si>
  <si>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</si>
  <si>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</si>
  <si>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</si>
  <si>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</si>
  <si>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</si>
  <si>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</si>
  <si>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</si>
  <si>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</si>
  <si>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</si>
  <si>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</si>
  <si>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</si>
  <si>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</si>
  <si>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</si>
  <si>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</si>
  <si>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</si>
  <si>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</si>
  <si>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</si>
  <si>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</si>
  <si>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</si>
  <si>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</si>
  <si>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</si>
  <si>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</si>
  <si>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</si>
  <si>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</si>
  <si>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</si>
  <si>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</si>
  <si>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</si>
  <si>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</si>
  <si>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</si>
  <si>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</si>
  <si>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</si>
  <si>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</si>
  <si>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</si>
  <si>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</si>
  <si>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</si>
  <si>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</si>
  <si>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</si>
  <si>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</si>
  <si>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</si>
  <si>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</si>
  <si>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</si>
  <si>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</si>
  <si>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</si>
  <si>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</si>
  <si>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</si>
  <si>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</si>
  <si>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</si>
  <si>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</si>
  <si>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</si>
  <si>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</si>
  <si>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</si>
  <si>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</si>
  <si>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</si>
  <si>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</si>
  <si>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</si>
  <si>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</si>
  <si>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</si>
  <si>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</si>
  <si>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</si>
  <si>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</si>
  <si>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</si>
  <si>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</si>
  <si>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</si>
  <si>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</si>
  <si>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</si>
  <si>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</si>
  <si>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</si>
  <si>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</si>
  <si>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</si>
  <si>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</si>
  <si>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</si>
  <si>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</si>
  <si>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</si>
  <si>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</si>
  <si>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</si>
  <si>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</si>
  <si>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</si>
  <si>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</si>
  <si>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</si>
  <si>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</si>
  <si>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</si>
  <si>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</si>
  <si>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</si>
  <si>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</si>
  <si>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</si>
  <si>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</si>
  <si>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</si>
  <si>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</si>
  <si>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</si>
  <si>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</si>
  <si>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</si>
  <si>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</si>
  <si>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</si>
  <si>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00중학교 교사 신축공사</t>
  </si>
  <si>
    <t>교육연구</t>
  </si>
  <si>
    <t>충청도</t>
  </si>
  <si>
    <t>전화 설비공사,LAN 설비공사</t>
    <phoneticPr fontId="2" type="noConversion"/>
  </si>
  <si>
    <t>도난경보 설비공사</t>
  </si>
  <si>
    <t>전기 소방간선설비공사</t>
    <phoneticPr fontId="2" type="noConversion"/>
  </si>
  <si>
    <t>전기 유도등 및 비상조명등 설비공사</t>
    <phoneticPr fontId="2" type="noConversion"/>
  </si>
  <si>
    <t>기계</t>
    <phoneticPr fontId="2" type="noConversion"/>
  </si>
  <si>
    <t>전기 소방간선설비공사,기계 전기소방설비</t>
    <phoneticPr fontId="2" type="noConversion"/>
  </si>
  <si>
    <t>급수배관공사</t>
  </si>
  <si>
    <t>배기덕트공사</t>
  </si>
  <si>
    <t>EHP배수배관공사,EHP급배기덕트공사</t>
    <phoneticPr fontId="2" type="noConversion"/>
  </si>
  <si>
    <t>우수공사,오수공사</t>
  </si>
  <si>
    <t>토공사,잡공사,철거공사,부산물공제,운반비</t>
    <phoneticPr fontId="2" type="noConversion"/>
  </si>
  <si>
    <t>건축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</si>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</sst>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9357</v>
      </c>
      <c r="D7" s="36">
        <f>+C7/3.3058</f>
        <v>2830.479762841067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1680</v>
      </c>
      <c r="E24" s="58">
        <f t="shared" ref="E24:E33" si="0">TRUNC(+D24*3.3058,-1)</f>
        <v>5550</v>
      </c>
    </row>
    <row r="25" spans="1:5" x14ac:dyDescent="0.3">
      <c r="B25" s="2">
        <v>2</v>
      </c>
      <c r="C25" s="35" t="s">
        <v>111</v>
      </c>
      <c r="D25" s="45">
        <f>+D60</f>
        <v>542490</v>
      </c>
      <c r="E25" s="59">
        <f t="shared" si="0"/>
        <v>1793360</v>
      </c>
    </row>
    <row r="26" spans="1:5" x14ac:dyDescent="0.3">
      <c r="B26" s="2">
        <v>3</v>
      </c>
      <c r="C26" s="35" t="s">
        <v>95</v>
      </c>
      <c r="D26" s="45">
        <f>+D66</f>
        <v>8360</v>
      </c>
      <c r="E26" s="59">
        <f t="shared" si="0"/>
        <v>27630</v>
      </c>
    </row>
    <row r="27" spans="1:5" x14ac:dyDescent="0.3">
      <c r="B27" s="2">
        <v>4</v>
      </c>
      <c r="C27" s="35" t="s">
        <v>96</v>
      </c>
      <c r="D27" s="45">
        <f>+D95</f>
        <v>40240</v>
      </c>
      <c r="E27" s="59">
        <f t="shared" si="0"/>
        <v>133020</v>
      </c>
    </row>
    <row r="28" spans="1:5" x14ac:dyDescent="0.3">
      <c r="B28" s="2">
        <v>5</v>
      </c>
      <c r="C28" s="35" t="s">
        <v>97</v>
      </c>
      <c r="D28" s="45">
        <f>+D119</f>
        <v>51760</v>
      </c>
      <c r="E28" s="59">
        <f t="shared" si="0"/>
        <v>171100</v>
      </c>
    </row>
    <row r="29" spans="1:5" x14ac:dyDescent="0.3">
      <c r="B29" s="2">
        <v>6</v>
      </c>
      <c r="C29" s="35" t="s">
        <v>98</v>
      </c>
      <c r="D29" s="45">
        <f>+D133</f>
        <v>19710</v>
      </c>
      <c r="E29" s="59">
        <f t="shared" si="0"/>
        <v>65150</v>
      </c>
    </row>
    <row r="30" spans="1:5" x14ac:dyDescent="0.3">
      <c r="B30" s="2">
        <v>7</v>
      </c>
      <c r="C30" s="35" t="s">
        <v>99</v>
      </c>
      <c r="D30" s="45">
        <f>+D146</f>
        <v>31850</v>
      </c>
      <c r="E30" s="59">
        <f t="shared" si="0"/>
        <v>105280</v>
      </c>
    </row>
    <row r="31" spans="1:5" x14ac:dyDescent="0.3">
      <c r="B31" s="2">
        <v>8</v>
      </c>
      <c r="C31" s="35" t="s">
        <v>100</v>
      </c>
      <c r="D31" s="45">
        <f>+D154</f>
        <v>44580</v>
      </c>
      <c r="E31" s="59">
        <f t="shared" si="0"/>
        <v>147370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203680</v>
      </c>
      <c r="E33" s="60">
        <f t="shared" si="0"/>
        <v>673320</v>
      </c>
    </row>
    <row r="34" spans="1:7" x14ac:dyDescent="0.3">
      <c r="C34" s="35" t="s">
        <v>112</v>
      </c>
      <c r="D34" s="44">
        <f>SUM(D24:D33)</f>
        <v>944350</v>
      </c>
      <c r="E34" s="44">
        <f>SUM(E24:E33)</f>
        <v>3121780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8" customHeight="1" thickBot="1" x14ac:dyDescent="0.35">
      <c r="C37" s="38" t="s">
        <v>143</v>
      </c>
      <c r="D37" s="52">
        <f>TRUNC(1682.41466281928,-1)</f>
        <v>1680</v>
      </c>
      <c r="E37" s="61">
        <f>TRUNC(+D37*3.3058,-1)</f>
        <v>5550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238</v>
      </c>
      <c r="D39" s="57" t="s">
        <v>237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TRUNC(21690.6182537138,-1)</f>
        <v>21690</v>
      </c>
      <c r="E40" s="62">
        <f t="shared" ref="E40:E59" si="1">TRUNC(+D40*3.3058,-1)</f>
        <v>71700</v>
      </c>
    </row>
    <row r="41" spans="1:7" x14ac:dyDescent="0.3">
      <c r="A41" s="2">
        <v>2</v>
      </c>
      <c r="C41" s="38" t="s">
        <v>13</v>
      </c>
      <c r="D41" s="42">
        <f>TRUNC(114338.254141285,-1)</f>
        <v>114330</v>
      </c>
      <c r="E41" s="63">
        <f t="shared" si="1"/>
        <v>377950</v>
      </c>
    </row>
    <row r="42" spans="1:7" x14ac:dyDescent="0.3">
      <c r="A42" s="2">
        <v>3</v>
      </c>
      <c r="C42" s="38" t="s">
        <v>14</v>
      </c>
      <c r="D42" s="42">
        <f>TRUNC(12404.2801111467,-1)</f>
        <v>12400</v>
      </c>
      <c r="E42" s="63">
        <f t="shared" si="1"/>
        <v>40990</v>
      </c>
    </row>
    <row r="43" spans="1:7" x14ac:dyDescent="0.3">
      <c r="A43" s="2">
        <v>4</v>
      </c>
      <c r="C43" s="38" t="s">
        <v>16</v>
      </c>
      <c r="D43" s="42">
        <f>TRUNC(26645.5821310249,-1)</f>
        <v>26640</v>
      </c>
      <c r="E43" s="63">
        <f t="shared" si="1"/>
        <v>88060</v>
      </c>
    </row>
    <row r="44" spans="1:7" x14ac:dyDescent="0.3">
      <c r="A44" s="2">
        <v>5</v>
      </c>
      <c r="C44" s="38" t="s">
        <v>17</v>
      </c>
      <c r="D44" s="42">
        <f>TRUNC(10273.8978305012,-1)</f>
        <v>10270</v>
      </c>
      <c r="E44" s="63">
        <f t="shared" si="1"/>
        <v>33950</v>
      </c>
    </row>
    <row r="45" spans="1:7" x14ac:dyDescent="0.3">
      <c r="A45" s="2">
        <v>6</v>
      </c>
      <c r="C45" s="38" t="s">
        <v>18</v>
      </c>
      <c r="D45" s="42">
        <f>TRUNC(3310.37736453992,-1)</f>
        <v>3310</v>
      </c>
      <c r="E45" s="63">
        <f t="shared" si="1"/>
        <v>10940</v>
      </c>
    </row>
    <row r="46" spans="1:7" x14ac:dyDescent="0.3">
      <c r="A46" s="2">
        <v>7</v>
      </c>
      <c r="C46" s="38" t="s">
        <v>19</v>
      </c>
      <c r="D46" s="42">
        <f>TRUNC(32269.7533397456,-1)</f>
        <v>32260</v>
      </c>
      <c r="E46" s="63">
        <f t="shared" si="1"/>
        <v>106640</v>
      </c>
    </row>
    <row r="47" spans="1:7" x14ac:dyDescent="0.3">
      <c r="A47" s="2">
        <v>8</v>
      </c>
      <c r="C47" s="38" t="s">
        <v>20</v>
      </c>
      <c r="D47" s="42">
        <f>TRUNC(34741.2647215988,-1)</f>
        <v>34740</v>
      </c>
      <c r="E47" s="63">
        <f t="shared" si="1"/>
        <v>114840</v>
      </c>
    </row>
    <row r="48" spans="1:7" x14ac:dyDescent="0.3">
      <c r="A48" s="2">
        <v>9</v>
      </c>
      <c r="C48" s="38" t="s">
        <v>21</v>
      </c>
      <c r="D48" s="42">
        <f>TRUNC(43960.5509244416,-1)</f>
        <v>43960</v>
      </c>
      <c r="E48" s="63">
        <f t="shared" si="1"/>
        <v>145320</v>
      </c>
    </row>
    <row r="49" spans="1:7" x14ac:dyDescent="0.3">
      <c r="A49" s="2">
        <v>10</v>
      </c>
      <c r="C49" s="38" t="s">
        <v>22</v>
      </c>
      <c r="D49" s="42">
        <f>TRUNC(26404.9070214812,-1)</f>
        <v>26400</v>
      </c>
      <c r="E49" s="63">
        <f t="shared" si="1"/>
        <v>87270</v>
      </c>
    </row>
    <row r="50" spans="1:7" x14ac:dyDescent="0.3">
      <c r="A50" s="2">
        <v>11</v>
      </c>
      <c r="C50" s="38" t="s">
        <v>155</v>
      </c>
      <c r="D50" s="42">
        <f>TRUNC(35811.5740087635,-1)</f>
        <v>35810</v>
      </c>
      <c r="E50" s="63">
        <f t="shared" si="1"/>
        <v>118380</v>
      </c>
    </row>
    <row r="51" spans="1:7" x14ac:dyDescent="0.3">
      <c r="A51" s="2">
        <v>12</v>
      </c>
      <c r="C51" s="38" t="s">
        <v>23</v>
      </c>
      <c r="D51" s="42">
        <f>TRUNC(10165.4985572299,-1)</f>
        <v>10160</v>
      </c>
      <c r="E51" s="63">
        <f t="shared" si="1"/>
        <v>33580</v>
      </c>
    </row>
    <row r="52" spans="1:7" x14ac:dyDescent="0.3">
      <c r="A52" s="2">
        <v>13</v>
      </c>
      <c r="C52" s="38" t="s">
        <v>24</v>
      </c>
      <c r="D52" s="42">
        <f>TRUNC(10119.59046703,-1)</f>
        <v>10110</v>
      </c>
      <c r="E52" s="63">
        <f t="shared" si="1"/>
        <v>33420</v>
      </c>
    </row>
    <row r="53" spans="1:7" x14ac:dyDescent="0.3">
      <c r="A53" s="2">
        <v>14</v>
      </c>
      <c r="C53" s="38" t="s">
        <v>25</v>
      </c>
      <c r="D53" s="42">
        <f>TRUNC(21911.3296996901,-1)</f>
        <v>21910</v>
      </c>
      <c r="E53" s="63">
        <f t="shared" si="1"/>
        <v>72430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TRUNC(9366.07844394571,-1)</f>
        <v>9360</v>
      </c>
      <c r="E55" s="63">
        <f t="shared" si="1"/>
        <v>30940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TRUNC(8276.5821310249+18654.4645719781+4901.39221972855-2092.50293897617+1237.39745644972,-1)</f>
        <v>30970</v>
      </c>
      <c r="E58" s="63">
        <f t="shared" si="1"/>
        <v>102380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TRUNC(87337.3944640376+10838.1960029924,-1)</f>
        <v>98170</v>
      </c>
      <c r="E59" s="64">
        <f t="shared" si="1"/>
        <v>324530</v>
      </c>
    </row>
    <row r="60" spans="1:7" x14ac:dyDescent="0.3">
      <c r="A60" s="2">
        <v>21</v>
      </c>
      <c r="C60" s="27" t="s">
        <v>112</v>
      </c>
      <c r="D60" s="39">
        <f>SUM(D40:D59)</f>
        <v>542490</v>
      </c>
      <c r="E60" s="39">
        <f>SUM(E40:E59)</f>
        <v>1793320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TRUNC(8363.41562466603,-1)</f>
        <v>8360</v>
      </c>
      <c r="E63" s="62">
        <f>TRUNC(+D63*3.3058,-1)</f>
        <v>27630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8360</v>
      </c>
      <c r="E66" s="65">
        <f>SUM(E63:E65)</f>
        <v>27630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TRUNC(7033.20765202522,-1)</f>
        <v>7030</v>
      </c>
      <c r="E69" s="62">
        <f t="shared" ref="E69:E94" si="2">TRUNC(+D69*3.3058,-1)</f>
        <v>23230</v>
      </c>
    </row>
    <row r="70" spans="1:7" ht="16.5" customHeight="1" x14ac:dyDescent="0.3">
      <c r="A70" s="2">
        <v>2</v>
      </c>
      <c r="C70" s="38" t="s">
        <v>31</v>
      </c>
      <c r="D70" s="42">
        <f>TRUNC(793.505397028962,-1)</f>
        <v>790</v>
      </c>
      <c r="E70" s="63">
        <f t="shared" si="2"/>
        <v>2610</v>
      </c>
    </row>
    <row r="71" spans="1:7" x14ac:dyDescent="0.3">
      <c r="A71" s="2">
        <v>3</v>
      </c>
      <c r="C71" s="38" t="s">
        <v>32</v>
      </c>
      <c r="D71" s="42">
        <f>TRUNC(6132.6282996687,-1)</f>
        <v>6130</v>
      </c>
      <c r="E71" s="63">
        <f t="shared" si="2"/>
        <v>20260</v>
      </c>
    </row>
    <row r="72" spans="1:7" x14ac:dyDescent="0.3">
      <c r="A72" s="2">
        <v>4</v>
      </c>
      <c r="C72" s="38" t="s">
        <v>33</v>
      </c>
      <c r="D72" s="42">
        <f>TRUNC(177.035481457732,-1)</f>
        <v>170</v>
      </c>
      <c r="E72" s="63">
        <f t="shared" si="2"/>
        <v>560</v>
      </c>
    </row>
    <row r="73" spans="1:7" x14ac:dyDescent="0.3">
      <c r="A73" s="2">
        <v>5</v>
      </c>
      <c r="C73" s="38" t="s">
        <v>34</v>
      </c>
      <c r="D73" s="42">
        <f>TRUNC(14571.0718178903,-1)</f>
        <v>14570</v>
      </c>
      <c r="E73" s="63">
        <f t="shared" si="2"/>
        <v>48160</v>
      </c>
      <c r="F73" s="2" t="s">
        <v>257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f>TRUNC(402.093085390617,-1)</f>
        <v>400</v>
      </c>
      <c r="E83" s="63">
        <f t="shared" si="2"/>
        <v>1320</v>
      </c>
      <c r="F83" s="2" t="s">
        <v>258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f>TRUNC(182.013038366998+205.912044458694,-1)</f>
        <v>380</v>
      </c>
      <c r="E86" s="63">
        <f t="shared" si="2"/>
        <v>1250</v>
      </c>
      <c r="F86" s="2" t="s">
        <v>259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TRUNC(3347.18552955007,-1)</f>
        <v>3340</v>
      </c>
      <c r="E89" s="63">
        <f t="shared" si="2"/>
        <v>11040</v>
      </c>
    </row>
    <row r="90" spans="1:7" x14ac:dyDescent="0.3">
      <c r="A90" s="2">
        <v>22</v>
      </c>
      <c r="C90" s="38" t="s">
        <v>36</v>
      </c>
      <c r="D90" s="42">
        <f>TRUNC(244.661536817356,-1)</f>
        <v>240</v>
      </c>
      <c r="E90" s="63">
        <f t="shared" si="2"/>
        <v>790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TRUNC(7195.1773004168,-1)</f>
        <v>7190</v>
      </c>
      <c r="E92" s="63">
        <f t="shared" si="2"/>
        <v>23760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40240</v>
      </c>
      <c r="E95" s="39">
        <f>SUM(E69:E94)</f>
        <v>132980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TRUNC(6983.11339104414,-1)</f>
        <v>6980</v>
      </c>
      <c r="E98" s="62">
        <f t="shared" ref="E98:E118" si="3">TRUNC(+D98*3.3058,-1)</f>
        <v>23070</v>
      </c>
    </row>
    <row r="99" spans="1:7" x14ac:dyDescent="0.3">
      <c r="A99" s="2">
        <v>2</v>
      </c>
      <c r="C99" s="38" t="s">
        <v>40</v>
      </c>
      <c r="D99" s="42">
        <f>TRUNC(1258.76349257241,-1)</f>
        <v>1250</v>
      </c>
      <c r="E99" s="63">
        <f t="shared" si="3"/>
        <v>4130</v>
      </c>
    </row>
    <row r="100" spans="1:7" x14ac:dyDescent="0.3">
      <c r="A100" s="2">
        <v>3</v>
      </c>
      <c r="C100" s="38" t="s">
        <v>41</v>
      </c>
      <c r="D100" s="42">
        <f>TRUNC(14433.2091482313,-1)</f>
        <v>14430</v>
      </c>
      <c r="E100" s="63">
        <f t="shared" si="3"/>
        <v>47700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TRUNC(7690.81650101528,-1)</f>
        <v>7690</v>
      </c>
      <c r="E102" s="63">
        <f t="shared" si="3"/>
        <v>25420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TRUNC(1145.95757187133,-1)</f>
        <v>1140</v>
      </c>
      <c r="E105" s="63">
        <f t="shared" si="3"/>
        <v>3760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TRUNC(4336.12236828043,-1)</f>
        <v>4330</v>
      </c>
      <c r="E108" s="63">
        <f t="shared" si="3"/>
        <v>14310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TRUNC(3037.50849631292,-1)</f>
        <v>3030</v>
      </c>
      <c r="E115" s="63">
        <f t="shared" si="3"/>
        <v>10010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TRUNC(12911.4887250187,-1)</f>
        <v>12910</v>
      </c>
      <c r="E117" s="63">
        <f t="shared" si="3"/>
        <v>42670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51760</v>
      </c>
      <c r="E119" s="39">
        <f>SUM(E98:E118)</f>
        <v>171070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TRUNC(1568.12813936091,-1)</f>
        <v>1560</v>
      </c>
      <c r="E122" s="62">
        <f t="shared" ref="E122:E132" si="4">TRUNC(+D122*3.3058,-1)</f>
        <v>5150</v>
      </c>
    </row>
    <row r="123" spans="1:7" x14ac:dyDescent="0.3">
      <c r="A123" s="2">
        <v>2</v>
      </c>
      <c r="C123" s="38" t="s">
        <v>124</v>
      </c>
      <c r="D123" s="42">
        <f>TRUNC(3091.77706529871+4025.86160094047,-1)</f>
        <v>7110</v>
      </c>
      <c r="E123" s="63">
        <f t="shared" si="4"/>
        <v>23500</v>
      </c>
      <c r="F123" s="2" t="s">
        <v>251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TRUNC(5597.27861494069,-1)</f>
        <v>5590</v>
      </c>
      <c r="E125" s="63">
        <f t="shared" si="4"/>
        <v>18470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TRUNC(4785.35855509244,-1)</f>
        <v>4780</v>
      </c>
      <c r="E131" s="63">
        <f t="shared" si="4"/>
        <v>15800</v>
      </c>
    </row>
    <row r="132" spans="1:7" ht="18" thickBot="1" x14ac:dyDescent="0.35">
      <c r="A132" s="2">
        <v>11</v>
      </c>
      <c r="C132" s="38" t="s">
        <v>47</v>
      </c>
      <c r="D132" s="43">
        <f>TRUNC(672.524313348295,-1)</f>
        <v>670</v>
      </c>
      <c r="E132" s="64">
        <f t="shared" si="4"/>
        <v>2210</v>
      </c>
      <c r="F132" s="54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19710</v>
      </c>
      <c r="E133" s="39">
        <f>SUM(E122:E132)</f>
        <v>65130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TRUNC(3145.54835951694+7069.09810836807,-1)</f>
        <v>10210</v>
      </c>
      <c r="E137" s="63">
        <f t="shared" si="5"/>
        <v>33750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TRUNC(4105.56748957999,-1)</f>
        <v>4100</v>
      </c>
      <c r="E140" s="63">
        <f t="shared" si="5"/>
        <v>13550</v>
      </c>
      <c r="F140" s="2" t="s">
        <v>255</v>
      </c>
    </row>
    <row r="141" spans="1:7" x14ac:dyDescent="0.3">
      <c r="A141" s="2">
        <v>6</v>
      </c>
      <c r="C141" s="38" t="s">
        <v>59</v>
      </c>
      <c r="D141" s="42">
        <f>TRUNC(7957.11071924762,-1)</f>
        <v>7950</v>
      </c>
      <c r="E141" s="63">
        <f t="shared" si="5"/>
        <v>26280</v>
      </c>
      <c r="F141" s="2" t="s">
        <v>255</v>
      </c>
    </row>
    <row r="142" spans="1:7" x14ac:dyDescent="0.3">
      <c r="A142" s="2">
        <v>7</v>
      </c>
      <c r="C142" s="38" t="s">
        <v>58</v>
      </c>
      <c r="D142" s="42">
        <f>TRUNC(5364.88575398098,-1)</f>
        <v>5360</v>
      </c>
      <c r="E142" s="63">
        <f t="shared" si="5"/>
        <v>17710</v>
      </c>
      <c r="F142" s="2" t="s">
        <v>255</v>
      </c>
    </row>
    <row r="143" spans="1:7" x14ac:dyDescent="0.3">
      <c r="A143" s="2">
        <v>8</v>
      </c>
      <c r="C143" s="38" t="s">
        <v>62</v>
      </c>
      <c r="D143" s="42">
        <f>TRUNC(1923.61023832425,-1)</f>
        <v>1920</v>
      </c>
      <c r="E143" s="63">
        <f t="shared" si="5"/>
        <v>6340</v>
      </c>
      <c r="F143" s="2" t="s">
        <v>254</v>
      </c>
    </row>
    <row r="144" spans="1:7" x14ac:dyDescent="0.3">
      <c r="A144" s="2">
        <v>9</v>
      </c>
      <c r="C144" s="38" t="s">
        <v>63</v>
      </c>
      <c r="D144" s="42">
        <f>TRUNC(2319.21299561825,-1)</f>
        <v>2310</v>
      </c>
      <c r="E144" s="63">
        <f t="shared" si="5"/>
        <v>7630</v>
      </c>
      <c r="F144" s="2" t="s">
        <v>253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31850</v>
      </c>
      <c r="E146" s="39">
        <f>SUM(E136:E145)</f>
        <v>105260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TRUNC(6808.35930319547+2431.0928716469,-1)</f>
        <v>9230</v>
      </c>
      <c r="E149" s="62">
        <f>TRUNC(+D149*3.3058,-1)</f>
        <v>30510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TRUNC(20399.5428021802,-1)</f>
        <v>20390</v>
      </c>
      <c r="E150" s="63">
        <f>TRUNC(+D150*3.3058,-1)</f>
        <v>67400</v>
      </c>
    </row>
    <row r="151" spans="1:7" x14ac:dyDescent="0.3">
      <c r="A151" s="2">
        <v>3</v>
      </c>
      <c r="C151" s="38" t="s">
        <v>50</v>
      </c>
      <c r="D151" s="42">
        <f>TRUNC(14966.5514588009,-1)</f>
        <v>14960</v>
      </c>
      <c r="E151" s="63">
        <f>TRUNC(+D151*3.3058,-1)</f>
        <v>49450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44580</v>
      </c>
      <c r="E154" s="39">
        <f>SUM(E149:E153)</f>
        <v>147360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2020-12-07T09:21:58Z</dcterms:modified>
</cp:coreProperties>
</file>