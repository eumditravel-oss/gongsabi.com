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3" i="4" l="1"/>
  <c r="D117" i="4"/>
  <c r="D59" i="4"/>
  <c r="D131" i="4"/>
  <c r="D153" i="4"/>
  <c r="D157" i="4"/>
  <c r="D152" i="4"/>
  <c r="D150" i="4"/>
  <c r="D137" i="4"/>
  <c r="D143" i="4"/>
  <c r="D139" i="4"/>
  <c r="D142" i="4"/>
  <c r="D124" i="4"/>
  <c r="D125" i="4"/>
  <c r="D122" i="4"/>
  <c r="D130" i="4"/>
  <c r="D126" i="4"/>
  <c r="D118" i="4"/>
  <c r="D104" i="4"/>
  <c r="D103" i="4"/>
  <c r="D102" i="4"/>
  <c r="D100" i="4"/>
  <c r="D99" i="4"/>
  <c r="D98" i="4"/>
  <c r="D94" i="4"/>
  <c r="D92" i="4"/>
  <c r="D89" i="4"/>
  <c r="D73" i="4"/>
  <c r="D72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<sst xmlns="http://schemas.openxmlformats.org/spreadsheetml/2006/main" count="390" uniqueCount="267">
  <si>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</si>
  <si>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</si>
  <si>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</si>
  <si>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</si>
  <si>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</si>
  <si>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</si>
  <si>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</si>
  <si>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</si>
  <si>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</si>
  <si>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</si>
  <si>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</si>
  <si>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</si>
  <si>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</si>
  <si>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</si>
  <si>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</si>
  <si>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</si>
  <si>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</si>
  <si>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</si>
  <si>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</si>
  <si>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</si>
  <si>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</si>
  <si>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</si>
  <si>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</si>
  <si>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</si>
  <si>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</si>
  <si>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</si>
  <si>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</si>
  <si>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</si>
  <si>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</si>
  <si>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</si>
  <si>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</si>
  <si>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</si>
  <si>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</si>
  <si>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</si>
  <si>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</si>
  <si>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</si>
  <si>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</si>
  <si>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</si>
  <si>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</si>
  <si>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</si>
  <si>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</si>
  <si>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</si>
  <si>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</si>
  <si>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</si>
  <si>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</si>
  <si>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</si>
  <si>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</si>
  <si>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</si>
  <si>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</si>
  <si>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</si>
  <si>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</si>
  <si>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</si>
  <si>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</si>
  <si>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</si>
  <si>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</si>
  <si>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</si>
  <si>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</si>
  <si>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</si>
  <si>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</si>
  <si>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</si>
  <si>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</si>
  <si>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</si>
  <si>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</si>
  <si>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</si>
  <si>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</si>
  <si>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</si>
  <si>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</si>
  <si>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</si>
  <si>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</si>
  <si>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</si>
  <si>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</si>
  <si>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</si>
  <si>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</si>
  <si>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</si>
  <si>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</si>
  <si>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</si>
  <si>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</si>
  <si>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</si>
  <si>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</si>
  <si>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</si>
  <si>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</si>
  <si>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</si>
  <si>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</si>
  <si>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</si>
  <si>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</si>
  <si>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</si>
  <si>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</si>
  <si>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</si>
  <si>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</si>
  <si>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</si>
  <si>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</si>
  <si>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</si>
  <si>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</si>
  <si>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</si>
  <si>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</si>
  <si>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</si>
  <si>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</si>
  <si>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</si>
  <si>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</si>
  <si>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</si>
  <si>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</si>
  <si>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</si>
  <si>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</si>
  <si>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</si>
  <si>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</si>
  <si>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</si>
  <si>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</si>
  <si>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</si>
  <si>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</si>
  <si>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</si>
  <si>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</si>
  <si>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</si>
  <si>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</si>
  <si>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</si>
  <si>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</si>
  <si>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</si>
  <si>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</si>
  <si>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</si>
  <si>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</si>
  <si>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</si>
  <si>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</si>
  <si>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</si>
  <si>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</si>
  <si>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</si>
  <si>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</si>
  <si>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</si>
  <si>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</si>
  <si>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</si>
  <si>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</si>
  <si>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</si>
  <si>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</si>
  <si>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</si>
  <si>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</si>
  <si>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</si>
  <si>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</si>
  <si>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</si>
  <si>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</si>
  <si>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</si>
  <si>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</si>
  <si>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</si>
  <si>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</si>
  <si>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</si>
  <si>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</si>
  <si>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</si>
  <si>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</si>
  <si>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</si>
  <si>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</si>
  <si>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</si>
  <si>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</si>
  <si>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</si>
  <si>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</si>
  <si>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</si>
  <si>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</si>
  <si>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</si>
  <si>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</si>
  <si>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</si>
  <si>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</si>
  <si>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</si>
  <si>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</si>
  <si>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</si>
  <si>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</si>
  <si>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</si>
  <si>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</si>
  <si>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</si>
  <si>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</si>
  <si>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</si>
  <si>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</si>
  <si>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</si>
  <si>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</si>
  <si>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</si>
  <si>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</si>
  <si>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</si>
  <si>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</si>
  <si>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</si>
  <si>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</si>
  <si>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</si>
  <si>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</si>
  <si>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</si>
  <si>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</si>
  <si>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</si>
  <si>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</si>
  <si>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</si>
  <si>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</si>
  <si>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</si>
  <si>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</si>
  <si>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</si>
  <si>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</si>
  <si>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</si>
  <si>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</si>
  <si>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</si>
  <si>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</si>
  <si>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</si>
  <si>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</si>
  <si>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</si>
  <si>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</si>
  <si>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</si>
  <si>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</si>
  <si>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</si>
  <si>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</si>
  <si>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</si>
  <si>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</si>
  <si>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</si>
  <si>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</si>
  <si>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</si>
  <si>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</si>
  <si>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</si>
  <si>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</si>
  <si>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</si>
  <si>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</si>
  <si>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</si>
  <si>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</si>
  <si>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</si>
  <si>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</si>
  <si>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</si>
  <si>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</si>
  <si>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</si>
  <si>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</si>
  <si>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</si>
  <si>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</si>
  <si>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</si>
  <si>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</si>
  <si>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</si>
  <si>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</si>
  <si>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</si>
  <si>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</si>
  <si>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</si>
  <si>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</si>
  <si>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</si>
  <si>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</si>
  <si>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</si>
  <si>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</si>
  <si>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</si>
  <si>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</si>
  <si>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</si>
  <si>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</si>
  <si>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</si>
  <si>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</si>
  <si>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</si>
  <si>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</si>
  <si>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</si>
  <si>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</si>
  <si>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</si>
  <si>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</si>
  <si>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</si>
  <si>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</si>
  <si>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</si>
  <si>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</si>
  <si>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</si>
  <si>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</si>
  <si>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국민건강보험공단 포항남부지사 사옥 신축공사(건축)</t>
    <phoneticPr fontId="2" type="noConversion"/>
  </si>
  <si>
    <t>경상도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</si>
  <si>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</si>
  <si>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</si>
  <si>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</si>
  <si>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기초공사,폐기물처리비,골재비및운반비,작업부산물,기타공사</t>
    <phoneticPr fontId="2" type="noConversion"/>
  </si>
  <si>
    <t>공조배관공사,난방배관공사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</si>
  <si>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</si>
  <si>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</si>
  <si>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기타공사</t>
    <phoneticPr fontId="2" type="noConversion"/>
  </si>
  <si>
    <t>사급자재비,기타공사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</si>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</sst>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2873.27</v>
      </c>
      <c r="D7" s="36">
        <f>+C7/3.3058</f>
        <v>869.16026377881292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1497810</v>
      </c>
      <c r="E25" s="59">
        <f t="shared" si="0"/>
        <v>4951460</v>
      </c>
    </row>
    <row r="26" spans="1:5" x14ac:dyDescent="0.3">
      <c r="B26" s="2">
        <v>3</v>
      </c>
      <c r="C26" s="35" t="s">
        <v>95</v>
      </c>
      <c r="D26" s="45">
        <f>+D66</f>
        <v>17540</v>
      </c>
      <c r="E26" s="59">
        <f t="shared" si="0"/>
        <v>57980</v>
      </c>
    </row>
    <row r="27" spans="1:5" x14ac:dyDescent="0.3">
      <c r="B27" s="2">
        <v>4</v>
      </c>
      <c r="C27" s="35" t="s">
        <v>96</v>
      </c>
      <c r="D27" s="45">
        <f>+D95</f>
        <v>204870</v>
      </c>
      <c r="E27" s="59">
        <f t="shared" si="0"/>
        <v>677250</v>
      </c>
    </row>
    <row r="28" spans="1:5" x14ac:dyDescent="0.3">
      <c r="B28" s="2">
        <v>5</v>
      </c>
      <c r="C28" s="35" t="s">
        <v>97</v>
      </c>
      <c r="D28" s="45">
        <f>+D119</f>
        <v>218340</v>
      </c>
      <c r="E28" s="59">
        <f t="shared" si="0"/>
        <v>721780</v>
      </c>
    </row>
    <row r="29" spans="1:5" x14ac:dyDescent="0.3">
      <c r="B29" s="2">
        <v>6</v>
      </c>
      <c r="C29" s="35" t="s">
        <v>98</v>
      </c>
      <c r="D29" s="45">
        <f>+D133</f>
        <v>103740</v>
      </c>
      <c r="E29" s="59">
        <f t="shared" si="0"/>
        <v>342940</v>
      </c>
    </row>
    <row r="30" spans="1:5" x14ac:dyDescent="0.3">
      <c r="B30" s="2">
        <v>7</v>
      </c>
      <c r="C30" s="35" t="s">
        <v>99</v>
      </c>
      <c r="D30" s="45">
        <f>+D146</f>
        <v>37670</v>
      </c>
      <c r="E30" s="59">
        <f t="shared" si="0"/>
        <v>124520</v>
      </c>
    </row>
    <row r="31" spans="1:5" x14ac:dyDescent="0.3">
      <c r="B31" s="2">
        <v>8</v>
      </c>
      <c r="C31" s="35" t="s">
        <v>100</v>
      </c>
      <c r="D31" s="45">
        <f>+D154</f>
        <v>44120</v>
      </c>
      <c r="E31" s="59">
        <f t="shared" si="0"/>
        <v>145850</v>
      </c>
    </row>
    <row r="32" spans="1:5" x14ac:dyDescent="0.3">
      <c r="B32" s="2">
        <v>9</v>
      </c>
      <c r="C32" s="35" t="s">
        <v>101</v>
      </c>
      <c r="D32" s="45">
        <f>+D161</f>
        <v>15280</v>
      </c>
      <c r="E32" s="59">
        <f t="shared" si="0"/>
        <v>50510</v>
      </c>
    </row>
    <row r="33" spans="1:7" x14ac:dyDescent="0.3">
      <c r="B33" s="2">
        <v>10</v>
      </c>
      <c r="C33" s="35" t="s">
        <v>154</v>
      </c>
      <c r="D33" s="53">
        <f>TRUNC(SUM(D24:D32)*0.275,-1)</f>
        <v>588320</v>
      </c>
      <c r="E33" s="60">
        <f t="shared" si="0"/>
        <v>1944860</v>
      </c>
    </row>
    <row r="34" spans="1:7" x14ac:dyDescent="0.3">
      <c r="C34" s="35" t="s">
        <v>112</v>
      </c>
      <c r="D34" s="44">
        <f>SUM(D24:D33)</f>
        <v>2727690</v>
      </c>
      <c r="E34" s="44">
        <f>SUM(E24:E33)</f>
        <v>9017150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260</v>
      </c>
      <c r="C39" s="56" t="s">
        <v>261</v>
      </c>
      <c r="D39" s="57" t="s">
        <v>262</v>
      </c>
      <c r="E39" s="57" t="s">
        <v>263</v>
      </c>
      <c r="G39" s="55"/>
    </row>
    <row r="40" spans="1:7" x14ac:dyDescent="0.3">
      <c r="A40" s="2">
        <v>1</v>
      </c>
      <c r="C40" s="38" t="s">
        <v>15</v>
      </c>
      <c r="D40" s="40">
        <f>TRUNC(78391,-1)</f>
        <v>78390</v>
      </c>
      <c r="E40" s="62">
        <f t="shared" ref="E40:E59" si="1">TRUNC(+D40*3.3058,-1)</f>
        <v>259140</v>
      </c>
    </row>
    <row r="41" spans="1:7" x14ac:dyDescent="0.3">
      <c r="A41" s="2">
        <v>2</v>
      </c>
      <c r="C41" s="38" t="s">
        <v>13</v>
      </c>
      <c r="D41" s="42">
        <f>TRUNC(265257,-1)</f>
        <v>265250</v>
      </c>
      <c r="E41" s="63">
        <f t="shared" si="1"/>
        <v>876860</v>
      </c>
    </row>
    <row r="42" spans="1:7" x14ac:dyDescent="0.3">
      <c r="A42" s="2">
        <v>3</v>
      </c>
      <c r="C42" s="38" t="s">
        <v>14</v>
      </c>
      <c r="D42" s="42">
        <f>TRUNC(13052,-1)</f>
        <v>13050</v>
      </c>
      <c r="E42" s="63">
        <f t="shared" si="1"/>
        <v>43140</v>
      </c>
    </row>
    <row r="43" spans="1:7" x14ac:dyDescent="0.3">
      <c r="A43" s="2">
        <v>4</v>
      </c>
      <c r="C43" s="38" t="s">
        <v>16</v>
      </c>
      <c r="D43" s="42">
        <f>TRUNC(9330,-1)</f>
        <v>9330</v>
      </c>
      <c r="E43" s="63">
        <f t="shared" si="1"/>
        <v>30840</v>
      </c>
    </row>
    <row r="44" spans="1:7" x14ac:dyDescent="0.3">
      <c r="A44" s="2">
        <v>5</v>
      </c>
      <c r="C44" s="38" t="s">
        <v>17</v>
      </c>
      <c r="D44" s="42">
        <f>TRUNC(19005,-1)</f>
        <v>19000</v>
      </c>
      <c r="E44" s="63">
        <f t="shared" si="1"/>
        <v>62810</v>
      </c>
    </row>
    <row r="45" spans="1:7" x14ac:dyDescent="0.3">
      <c r="A45" s="2">
        <v>6</v>
      </c>
      <c r="C45" s="38" t="s">
        <v>18</v>
      </c>
      <c r="D45" s="42">
        <f>TRUNC(22424,-1)</f>
        <v>22420</v>
      </c>
      <c r="E45" s="63">
        <f t="shared" si="1"/>
        <v>74110</v>
      </c>
    </row>
    <row r="46" spans="1:7" x14ac:dyDescent="0.3">
      <c r="A46" s="2">
        <v>7</v>
      </c>
      <c r="C46" s="38" t="s">
        <v>19</v>
      </c>
      <c r="D46" s="42">
        <f>TRUNC(145343,-1)</f>
        <v>145340</v>
      </c>
      <c r="E46" s="63">
        <f t="shared" si="1"/>
        <v>480460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TRUNC(159145,-1)</f>
        <v>159140</v>
      </c>
      <c r="E48" s="63">
        <f t="shared" si="1"/>
        <v>526080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TRUNC(18540,-1)</f>
        <v>18540</v>
      </c>
      <c r="E49" s="63">
        <f t="shared" si="1"/>
        <v>61280</v>
      </c>
    </row>
    <row r="50" spans="1:7" x14ac:dyDescent="0.3">
      <c r="A50" s="2">
        <v>11</v>
      </c>
      <c r="C50" s="38" t="s">
        <v>155</v>
      </c>
      <c r="D50" s="42">
        <f>TRUNC(93458,-1)</f>
        <v>93450</v>
      </c>
      <c r="E50" s="63">
        <f t="shared" si="1"/>
        <v>308920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TRUNC(10225,-1)</f>
        <v>10220</v>
      </c>
      <c r="E52" s="63">
        <f t="shared" si="1"/>
        <v>33780</v>
      </c>
    </row>
    <row r="53" spans="1:7" x14ac:dyDescent="0.3">
      <c r="A53" s="2">
        <v>14</v>
      </c>
      <c r="C53" s="38" t="s">
        <v>25</v>
      </c>
      <c r="D53" s="42">
        <f>TRUNC(114846,-1)</f>
        <v>114840</v>
      </c>
      <c r="E53" s="63">
        <f t="shared" si="1"/>
        <v>379630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TRUNC(72535+1803+11634-1070+66964,-1)</f>
        <v>151860</v>
      </c>
      <c r="E58" s="63">
        <f t="shared" si="1"/>
        <v>502010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TRUNC(396984,-1)</f>
        <v>396980</v>
      </c>
      <c r="E59" s="64">
        <f t="shared" si="1"/>
        <v>1312330</v>
      </c>
    </row>
    <row r="60" spans="1:7" x14ac:dyDescent="0.3">
      <c r="A60" s="2">
        <v>21</v>
      </c>
      <c r="C60" s="27" t="s">
        <v>112</v>
      </c>
      <c r="D60" s="39">
        <f>SUM(D40:D59)</f>
        <v>1497810</v>
      </c>
      <c r="E60" s="39">
        <f>SUM(E40:E59)</f>
        <v>4951390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TRUNC(17542,-1)</f>
        <v>17540</v>
      </c>
      <c r="E63" s="62">
        <f>TRUNC(+D63*3.3058,-1)</f>
        <v>57980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17540</v>
      </c>
      <c r="E66" s="65">
        <f>SUM(E63:E65)</f>
        <v>57980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TRUNC(22073,-1)</f>
        <v>22070</v>
      </c>
      <c r="E69" s="62">
        <f t="shared" ref="E69:E94" si="2">TRUNC(+D69*3.3058,-1)</f>
        <v>72950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TRUNC(11101,-1)</f>
        <v>11100</v>
      </c>
      <c r="E72" s="63">
        <f t="shared" si="2"/>
        <v>36690</v>
      </c>
    </row>
    <row r="73" spans="1:7" x14ac:dyDescent="0.3">
      <c r="A73" s="2">
        <v>5</v>
      </c>
      <c r="C73" s="38" t="s">
        <v>34</v>
      </c>
      <c r="D73" s="42">
        <f>TRUNC(20534,-1)</f>
        <v>20530</v>
      </c>
      <c r="E73" s="63">
        <f t="shared" si="2"/>
        <v>67860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TRUNC(8785,-1)</f>
        <v>8780</v>
      </c>
      <c r="E89" s="63">
        <f t="shared" si="2"/>
        <v>29020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TRUNC(14780,-1)</f>
        <v>14780</v>
      </c>
      <c r="E92" s="63">
        <f t="shared" si="2"/>
        <v>48850</v>
      </c>
    </row>
    <row r="93" spans="1:7" x14ac:dyDescent="0.3">
      <c r="A93" s="2">
        <v>25</v>
      </c>
      <c r="C93" s="38" t="s">
        <v>148</v>
      </c>
      <c r="D93" s="42">
        <f>TRUNC(119729,-1)</f>
        <v>119720</v>
      </c>
      <c r="E93" s="63">
        <f t="shared" si="2"/>
        <v>395770</v>
      </c>
    </row>
    <row r="94" spans="1:7" ht="17.25" thickBot="1" x14ac:dyDescent="0.35">
      <c r="A94" s="2">
        <v>26</v>
      </c>
      <c r="C94" s="38" t="s">
        <v>47</v>
      </c>
      <c r="D94" s="43">
        <f>TRUNC(5712+2185,-1)</f>
        <v>7890</v>
      </c>
      <c r="E94" s="64">
        <f t="shared" si="2"/>
        <v>26080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204870</v>
      </c>
      <c r="E95" s="39">
        <f>SUM(E69:E94)</f>
        <v>677220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TRUNC(20279,-1)</f>
        <v>20270</v>
      </c>
      <c r="E98" s="62">
        <f t="shared" ref="E98:E118" si="3">TRUNC(+D98*3.3058,-1)</f>
        <v>67000</v>
      </c>
    </row>
    <row r="99" spans="1:7" x14ac:dyDescent="0.3">
      <c r="A99" s="2">
        <v>2</v>
      </c>
      <c r="C99" s="38" t="s">
        <v>40</v>
      </c>
      <c r="D99" s="42">
        <f>TRUNC(1198,-1)</f>
        <v>1190</v>
      </c>
      <c r="E99" s="63">
        <f t="shared" si="3"/>
        <v>3930</v>
      </c>
    </row>
    <row r="100" spans="1:7" x14ac:dyDescent="0.3">
      <c r="A100" s="2">
        <v>3</v>
      </c>
      <c r="C100" s="38" t="s">
        <v>41</v>
      </c>
      <c r="D100" s="42">
        <f>TRUNC(44351,-1)</f>
        <v>44350</v>
      </c>
      <c r="E100" s="63">
        <f t="shared" si="3"/>
        <v>146610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TRUNC(26622,-1)</f>
        <v>26620</v>
      </c>
      <c r="E102" s="63">
        <f t="shared" si="3"/>
        <v>88000</v>
      </c>
    </row>
    <row r="103" spans="1:7" x14ac:dyDescent="0.3">
      <c r="A103" s="2">
        <v>6</v>
      </c>
      <c r="C103" s="38" t="s">
        <v>44</v>
      </c>
      <c r="D103" s="42">
        <f>TRUNC(9115,-1)</f>
        <v>9110</v>
      </c>
      <c r="E103" s="63">
        <f t="shared" si="3"/>
        <v>30110</v>
      </c>
    </row>
    <row r="104" spans="1:7" x14ac:dyDescent="0.3">
      <c r="A104" s="2">
        <v>7</v>
      </c>
      <c r="C104" s="38" t="s">
        <v>45</v>
      </c>
      <c r="D104" s="42">
        <f>TRUNC(9130,-1)</f>
        <v>9130</v>
      </c>
      <c r="E104" s="63">
        <f t="shared" si="3"/>
        <v>30180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TRUNC(98527,-1)</f>
        <v>98520</v>
      </c>
      <c r="E117" s="63">
        <f t="shared" si="3"/>
        <v>325680</v>
      </c>
    </row>
    <row r="118" spans="1:7" ht="17.25" thickBot="1" x14ac:dyDescent="0.35">
      <c r="A118" s="2">
        <v>21</v>
      </c>
      <c r="C118" s="38" t="s">
        <v>47</v>
      </c>
      <c r="D118" s="43">
        <f>TRUNC(9152,-1)</f>
        <v>9150</v>
      </c>
      <c r="E118" s="64">
        <f t="shared" si="3"/>
        <v>30240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218340</v>
      </c>
      <c r="E119" s="39">
        <f>SUM(E98:E118)</f>
        <v>721750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TRUNC(5938,-1)</f>
        <v>5930</v>
      </c>
      <c r="E122" s="62">
        <f t="shared" ref="E122:E132" si="4">TRUNC(+D122*3.3058,-1)</f>
        <v>19600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TRUNC(3440,-1)</f>
        <v>3440</v>
      </c>
      <c r="E124" s="63">
        <f t="shared" si="4"/>
        <v>11370</v>
      </c>
    </row>
    <row r="125" spans="1:7" x14ac:dyDescent="0.3">
      <c r="A125" s="2">
        <v>4</v>
      </c>
      <c r="C125" s="38" t="s">
        <v>138</v>
      </c>
      <c r="D125" s="42">
        <f>TRUNC(8600,-1)</f>
        <v>8600</v>
      </c>
      <c r="E125" s="63">
        <f t="shared" si="4"/>
        <v>28420</v>
      </c>
    </row>
    <row r="126" spans="1:7" x14ac:dyDescent="0.3">
      <c r="A126" s="2">
        <v>5</v>
      </c>
      <c r="C126" s="38" t="s">
        <v>53</v>
      </c>
      <c r="D126" s="42">
        <f>TRUNC(1650,-1)</f>
        <v>1650</v>
      </c>
      <c r="E126" s="63">
        <f t="shared" si="4"/>
        <v>5450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TRUNC(61078,-1)</f>
        <v>61070</v>
      </c>
      <c r="E130" s="63">
        <f t="shared" si="4"/>
        <v>201880</v>
      </c>
    </row>
    <row r="131" spans="1:7" x14ac:dyDescent="0.3">
      <c r="A131" s="2">
        <v>10</v>
      </c>
      <c r="C131" s="38" t="s">
        <v>148</v>
      </c>
      <c r="D131" s="42">
        <f>TRUNC(23051,-1)</f>
        <v>23050</v>
      </c>
      <c r="E131" s="63">
        <f t="shared" si="4"/>
        <v>76190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103740</v>
      </c>
      <c r="E133" s="39">
        <f>SUM(E122:E132)</f>
        <v>342910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TRUNC(19966,-1)</f>
        <v>19960</v>
      </c>
      <c r="E137" s="63">
        <f t="shared" si="5"/>
        <v>65980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TRUNC(1414,-1)</f>
        <v>1410</v>
      </c>
      <c r="E139" s="63">
        <f t="shared" si="5"/>
        <v>4660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TRUNC(10641,-1)</f>
        <v>10640</v>
      </c>
      <c r="E142" s="63">
        <f t="shared" si="5"/>
        <v>35170</v>
      </c>
    </row>
    <row r="143" spans="1:7" x14ac:dyDescent="0.3">
      <c r="A143" s="2">
        <v>8</v>
      </c>
      <c r="C143" s="38" t="s">
        <v>62</v>
      </c>
      <c r="D143" s="42">
        <f>TRUNC(5668,-1)</f>
        <v>5660</v>
      </c>
      <c r="E143" s="63">
        <f t="shared" si="5"/>
        <v>18710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37670</v>
      </c>
      <c r="E146" s="39">
        <f>SUM(E136:E145)</f>
        <v>124520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TRUNC(9367,-1)</f>
        <v>9360</v>
      </c>
      <c r="E150" s="63">
        <f>TRUNC(+D150*3.3058,-1)</f>
        <v>30940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TRUNC(18177+201,-1)</f>
        <v>18370</v>
      </c>
      <c r="E152" s="63">
        <f>TRUNC(+D152*3.3058,-1)</f>
        <v>60720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TRUNC(16397,-1)</f>
        <v>16390</v>
      </c>
      <c r="E153" s="64">
        <f>TRUNC(+D153*3.3058,-1)</f>
        <v>54180</v>
      </c>
    </row>
    <row r="154" spans="1:7" x14ac:dyDescent="0.3">
      <c r="A154" s="2">
        <v>6</v>
      </c>
      <c r="C154" s="27" t="s">
        <v>112</v>
      </c>
      <c r="D154" s="39">
        <f>SUM(D149:D153)</f>
        <v>44120</v>
      </c>
      <c r="E154" s="39">
        <f>SUM(E149:E153)</f>
        <v>145840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TRUNC(15280,-1)</f>
        <v>15280</v>
      </c>
      <c r="E157" s="62">
        <f>TRUNC(+D157*3.3058,-1)</f>
        <v>50510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15280</v>
      </c>
      <c r="E161" s="39">
        <f>SUM(E157:E160)</f>
        <v>50510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2020-12-08T04:50:55Z</dcterms:modified>
</cp:coreProperties>
</file>