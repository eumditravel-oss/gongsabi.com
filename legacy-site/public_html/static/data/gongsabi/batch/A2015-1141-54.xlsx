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1" i="4"/>
  <c r="E145" i="4"/>
  <c r="E144" i="4"/>
  <c r="E140" i="4"/>
  <c r="E139" i="4"/>
  <c r="E138" i="4"/>
  <c r="E136" i="4"/>
  <c r="E129" i="4"/>
  <c r="E123" i="4"/>
  <c r="E115" i="4"/>
  <c r="E114" i="4"/>
  <c r="E113" i="4"/>
  <c r="E112" i="4"/>
  <c r="E111" i="4"/>
  <c r="E110" i="4"/>
  <c r="E109" i="4"/>
  <c r="E108" i="4"/>
  <c r="E107" i="4"/>
  <c r="E106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64" i="4"/>
  <c r="E57" i="4"/>
  <c r="E56" i="4"/>
  <c r="E55" i="4"/>
  <c r="E54" i="4"/>
  <c r="E51" i="4"/>
  <c r="E48" i="4"/>
  <c r="E47" i="4"/>
  <c r="E40" i="4"/>
  <c r="E37" i="4"/>
  <c r="D159" i="4" l="1"/>
  <c r="E159" i="4" s="1"/>
  <c r="D158" i="4"/>
  <c r="E158" i="4" s="1"/>
  <c r="D157" i="4"/>
  <c r="E157" i="4" s="1"/>
  <c r="D153" i="4"/>
  <c r="E153" i="4" s="1"/>
  <c r="D152" i="4"/>
  <c r="E152" i="4" s="1"/>
  <c r="D150" i="4"/>
  <c r="E150" i="4" s="1"/>
  <c r="D149" i="4"/>
  <c r="E149" i="4" s="1"/>
  <c r="D143" i="4"/>
  <c r="E143" i="4" s="1"/>
  <c r="E146" i="4" s="1"/>
  <c r="D142" i="4"/>
  <c r="E142" i="4" s="1"/>
  <c r="D141" i="4"/>
  <c r="E141" i="4" s="1"/>
  <c r="D137" i="4"/>
  <c r="E137" i="4" s="1"/>
  <c r="D132" i="4"/>
  <c r="E132" i="4" s="1"/>
  <c r="D131" i="4"/>
  <c r="E131" i="4" s="1"/>
  <c r="D130" i="4"/>
  <c r="E130" i="4" s="1"/>
  <c r="D128" i="4"/>
  <c r="E128" i="4" s="1"/>
  <c r="D127" i="4"/>
  <c r="E127" i="4" s="1"/>
  <c r="D126" i="4"/>
  <c r="E126" i="4" s="1"/>
  <c r="D125" i="4"/>
  <c r="E125" i="4" s="1"/>
  <c r="D124" i="4"/>
  <c r="E124" i="4" s="1"/>
  <c r="D122" i="4"/>
  <c r="E122" i="4" s="1"/>
  <c r="D118" i="4"/>
  <c r="E118" i="4" s="1"/>
  <c r="D117" i="4"/>
  <c r="E117" i="4" s="1"/>
  <c r="D116" i="4"/>
  <c r="E116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3" i="4"/>
  <c r="E73" i="4" s="1"/>
  <c r="D72" i="4"/>
  <c r="E72" i="4" s="1"/>
  <c r="D71" i="4"/>
  <c r="E71" i="4" s="1"/>
  <c r="D70" i="4"/>
  <c r="E70" i="4" s="1"/>
  <c r="D69" i="4"/>
  <c r="E69" i="4" s="1"/>
  <c r="D65" i="4"/>
  <c r="E65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E60" i="4" s="1"/>
  <c r="E95" i="4" l="1"/>
  <c r="E119" i="4"/>
  <c r="E133" i="4"/>
  <c r="E154" i="4"/>
  <c r="E161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<sst xmlns="http://schemas.openxmlformats.org/spreadsheetml/2006/main" count="397" uniqueCount="268">
  <si>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</si>
  <si>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</si>
  <si>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</si>
  <si>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</si>
  <si>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</si>
  <si>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</si>
  <si>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</si>
  <si>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</si>
  <si>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</si>
  <si>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</si>
  <si>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</si>
  <si>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</si>
  <si>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</si>
  <si>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</si>
  <si>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</si>
  <si>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</si>
  <si>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</si>
  <si>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</si>
  <si>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</si>
  <si>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</si>
  <si>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</si>
  <si>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</si>
  <si>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</si>
  <si>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</si>
  <si>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</si>
  <si>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</si>
  <si>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</si>
  <si>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</si>
  <si>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</si>
  <si>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</si>
  <si>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</si>
  <si>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</si>
  <si>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</si>
  <si>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</si>
  <si>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</si>
  <si>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</si>
  <si>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</si>
  <si>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</si>
  <si>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</si>
  <si>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</si>
  <si>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</si>
  <si>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</si>
  <si>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</si>
  <si>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</si>
  <si>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</si>
  <si>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</si>
  <si>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</si>
  <si>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</si>
  <si>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</si>
  <si>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</si>
  <si>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</si>
  <si>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</si>
  <si>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</si>
  <si>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</si>
  <si>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</si>
  <si>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</si>
  <si>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</si>
  <si>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</si>
  <si>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</si>
  <si>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</si>
  <si>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</si>
  <si>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</si>
  <si>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</si>
  <si>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</si>
  <si>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</si>
  <si>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</si>
  <si>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</si>
  <si>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</si>
  <si>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</si>
  <si>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</si>
  <si>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</si>
  <si>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</si>
  <si>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</si>
  <si>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</si>
  <si>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</si>
  <si>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</si>
  <si>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</si>
  <si>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</si>
  <si>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</si>
  <si>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</si>
  <si>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</si>
  <si>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</si>
  <si>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</si>
  <si>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</si>
  <si>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</si>
  <si>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</si>
  <si>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</si>
  <si>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</si>
  <si>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</si>
  <si>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</si>
  <si>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</si>
  <si>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</si>
  <si>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</si>
  <si>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</si>
  <si>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</si>
  <si>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</si>
  <si>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</si>
  <si>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</si>
  <si>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</si>
  <si>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</si>
  <si>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</si>
  <si>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</si>
  <si>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</si>
  <si>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</si>
  <si>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</si>
  <si>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</si>
  <si>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</si>
  <si>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</si>
  <si>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</si>
  <si>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</si>
  <si>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</si>
  <si>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</si>
  <si>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</si>
  <si>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</si>
  <si>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</si>
  <si>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</si>
  <si>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</si>
  <si>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</si>
  <si>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</si>
  <si>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</si>
  <si>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</si>
  <si>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</si>
  <si>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</si>
  <si>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</si>
  <si>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</si>
  <si>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</si>
  <si>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</si>
  <si>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</si>
  <si>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</si>
  <si>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</si>
  <si>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</si>
  <si>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</si>
  <si>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</si>
  <si>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</si>
  <si>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</si>
  <si>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</si>
  <si>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</si>
  <si>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</si>
  <si>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</si>
  <si>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</si>
  <si>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</si>
  <si>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</si>
  <si>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</si>
  <si>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</si>
  <si>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</si>
  <si>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</si>
  <si>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</si>
  <si>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</si>
  <si>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</si>
  <si>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</si>
  <si>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</si>
  <si>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</si>
  <si>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</si>
  <si>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</si>
  <si>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</si>
  <si>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</si>
  <si>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</si>
  <si>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</si>
  <si>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</si>
  <si>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</si>
  <si>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</si>
  <si>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</si>
  <si>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</si>
  <si>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</si>
  <si>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</si>
  <si>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</si>
  <si>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</si>
  <si>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</si>
  <si>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</si>
  <si>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</si>
  <si>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</si>
  <si>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</si>
  <si>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</si>
  <si>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</si>
  <si>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</si>
  <si>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</si>
  <si>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</si>
  <si>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</si>
  <si>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</si>
  <si>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</si>
  <si>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</si>
  <si>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</si>
  <si>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</si>
  <si>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</si>
  <si>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</si>
  <si>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</si>
  <si>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</si>
  <si>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</si>
  <si>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</si>
  <si>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</si>
  <si>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</si>
  <si>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</si>
  <si>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</si>
  <si>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</si>
  <si>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</si>
  <si>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</si>
  <si>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</si>
  <si>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</si>
  <si>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</si>
  <si>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</si>
  <si>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</si>
  <si>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</si>
  <si>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</si>
  <si>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</si>
  <si>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</si>
  <si>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</si>
  <si>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</si>
  <si>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</si>
  <si>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</si>
  <si>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</si>
  <si>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</si>
  <si>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</si>
  <si>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</si>
  <si>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</si>
  <si>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</si>
  <si>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</si>
  <si>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</si>
  <si>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</si>
  <si>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</si>
  <si>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</si>
  <si>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</si>
  <si>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</si>
  <si>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</si>
  <si>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</si>
  <si>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</si>
  <si>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</si>
  <si>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</si>
  <si>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</si>
  <si>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</si>
  <si>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</si>
  <si>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</si>
  <si>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</si>
  <si>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</si>
  <si>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</si>
  <si>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</si>
  <si>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</si>
  <si>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</si>
  <si>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</si>
  <si>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</si>
  <si>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</si>
  <si>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</si>
  <si>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</si>
  <si>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</si>
  <si>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</si>
  <si>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</si>
  <si>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</si>
  <si>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</si>
  <si>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</si>
  <si>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</si>
  <si>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</si>
  <si>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</si>
  <si>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</si>
  <si>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</si>
  <si>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토목 사급자재비, 운반비, 기타공사</t>
    <phoneticPr fontId="2" type="noConversion"/>
  </si>
  <si>
    <t>교육연구</t>
  </si>
  <si>
    <t>신개념치료기술개발플랫폼구축사업복합연구센터신축공사</t>
    <phoneticPr fontId="2" type="noConversion"/>
  </si>
  <si>
    <t>서울</t>
  </si>
  <si>
    <t>기초공사,해체및철거공사, 골재비및운반비, 기타공사</t>
    <phoneticPr fontId="2" type="noConversion"/>
  </si>
  <si>
    <t>공조배관공사, 기타공사</t>
    <phoneticPr fontId="2" type="noConversion"/>
  </si>
  <si>
    <t>전기인입 및 수변전 설비공사</t>
    <phoneticPr fontId="2" type="noConversion"/>
  </si>
  <si>
    <t>CCTV설비공사,주차관제설비공사, 기타공사</t>
    <phoneticPr fontId="2" type="noConversion"/>
  </si>
  <si>
    <t>펌프실배관공사, 제연덕트설치공사, 무선통신보조설비공사,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</si>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</sst>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17112.16</v>
      </c>
      <c r="D7" s="36">
        <f>+C7/3.3058</f>
        <v>5176.4051061770224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794120</v>
      </c>
      <c r="E25" s="58">
        <f t="shared" si="0"/>
        <v>2625200</v>
      </c>
    </row>
    <row r="26" spans="1:5" x14ac:dyDescent="0.3">
      <c r="B26" s="2">
        <v>3</v>
      </c>
      <c r="C26" s="35" t="s">
        <v>95</v>
      </c>
      <c r="D26" s="45">
        <f>+D66</f>
        <v>131230</v>
      </c>
      <c r="E26" s="58">
        <f t="shared" si="0"/>
        <v>433820</v>
      </c>
    </row>
    <row r="27" spans="1:5" x14ac:dyDescent="0.3">
      <c r="B27" s="2">
        <v>4</v>
      </c>
      <c r="C27" s="35" t="s">
        <v>96</v>
      </c>
      <c r="D27" s="45">
        <f>+D95</f>
        <v>673370</v>
      </c>
      <c r="E27" s="58">
        <f t="shared" si="0"/>
        <v>2226020</v>
      </c>
    </row>
    <row r="28" spans="1:5" x14ac:dyDescent="0.3">
      <c r="B28" s="2">
        <v>5</v>
      </c>
      <c r="C28" s="35" t="s">
        <v>97</v>
      </c>
      <c r="D28" s="45">
        <f>+D119</f>
        <v>260420</v>
      </c>
      <c r="E28" s="58">
        <f t="shared" si="0"/>
        <v>860890</v>
      </c>
    </row>
    <row r="29" spans="1:5" x14ac:dyDescent="0.3">
      <c r="B29" s="2">
        <v>6</v>
      </c>
      <c r="C29" s="35" t="s">
        <v>98</v>
      </c>
      <c r="D29" s="45">
        <f>+D133</f>
        <v>108640</v>
      </c>
      <c r="E29" s="58">
        <f t="shared" si="0"/>
        <v>359140</v>
      </c>
    </row>
    <row r="30" spans="1:5" x14ac:dyDescent="0.3">
      <c r="B30" s="2">
        <v>7</v>
      </c>
      <c r="C30" s="35" t="s">
        <v>99</v>
      </c>
      <c r="D30" s="45">
        <f>+D146</f>
        <v>88490</v>
      </c>
      <c r="E30" s="58">
        <f t="shared" si="0"/>
        <v>292530</v>
      </c>
    </row>
    <row r="31" spans="1:5" x14ac:dyDescent="0.3">
      <c r="B31" s="2">
        <v>8</v>
      </c>
      <c r="C31" s="35" t="s">
        <v>100</v>
      </c>
      <c r="D31" s="45">
        <f>+D154</f>
        <v>19150</v>
      </c>
      <c r="E31" s="58">
        <f t="shared" si="0"/>
        <v>63300</v>
      </c>
    </row>
    <row r="32" spans="1:5" x14ac:dyDescent="0.3">
      <c r="B32" s="2">
        <v>9</v>
      </c>
      <c r="C32" s="35" t="s">
        <v>101</v>
      </c>
      <c r="D32" s="45">
        <f>+D161</f>
        <v>4040</v>
      </c>
      <c r="E32" s="58">
        <f t="shared" si="0"/>
        <v>13350</v>
      </c>
    </row>
    <row r="33" spans="1:7" x14ac:dyDescent="0.3">
      <c r="B33" s="2">
        <v>10</v>
      </c>
      <c r="C33" s="35" t="s">
        <v>154</v>
      </c>
      <c r="D33" s="53">
        <f>TRUNC(SUM(D24:D32)*0.275,-1)</f>
        <v>571850</v>
      </c>
      <c r="E33" s="59">
        <f t="shared" si="0"/>
        <v>1890420</v>
      </c>
    </row>
    <row r="34" spans="1:7" x14ac:dyDescent="0.3">
      <c r="C34" s="35" t="s">
        <v>112</v>
      </c>
      <c r="D34" s="44">
        <f>SUM(D24:D33)</f>
        <v>2651310</v>
      </c>
      <c r="E34" s="44">
        <f>SUM(E24:E33)</f>
        <v>8764670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263</v>
      </c>
      <c r="E39" s="66" t="s">
        <v>264</v>
      </c>
      <c r="G39" s="67"/>
    </row>
    <row r="40" spans="1:7" x14ac:dyDescent="0.3">
      <c r="A40" s="2">
        <v>1</v>
      </c>
      <c r="C40" s="38" t="s">
        <v>15</v>
      </c>
      <c r="D40" s="40">
        <v>58000</v>
      </c>
      <c r="E40" s="61">
        <f t="shared" ref="E40:E59" si="1">TRUNC(+D40*3.3058,-1)</f>
        <v>191730</v>
      </c>
    </row>
    <row r="41" spans="1:7" x14ac:dyDescent="0.3">
      <c r="A41" s="2">
        <v>2</v>
      </c>
      <c r="C41" s="38" t="s">
        <v>13</v>
      </c>
      <c r="D41" s="42">
        <f>TRUNC(177618,-1)</f>
        <v>177610</v>
      </c>
      <c r="E41" s="62">
        <f t="shared" si="1"/>
        <v>587140</v>
      </c>
    </row>
    <row r="42" spans="1:7" x14ac:dyDescent="0.3">
      <c r="A42" s="2">
        <v>3</v>
      </c>
      <c r="C42" s="38" t="s">
        <v>14</v>
      </c>
      <c r="D42" s="42">
        <f>TRUNC(23125,-1)</f>
        <v>23120</v>
      </c>
      <c r="E42" s="62">
        <f t="shared" si="1"/>
        <v>76430</v>
      </c>
    </row>
    <row r="43" spans="1:7" x14ac:dyDescent="0.3">
      <c r="A43" s="2">
        <v>4</v>
      </c>
      <c r="C43" s="38" t="s">
        <v>16</v>
      </c>
      <c r="D43" s="42">
        <f>TRUNC(23089,-1)</f>
        <v>23080</v>
      </c>
      <c r="E43" s="62">
        <f t="shared" si="1"/>
        <v>76290</v>
      </c>
    </row>
    <row r="44" spans="1:7" x14ac:dyDescent="0.3">
      <c r="A44" s="2">
        <v>5</v>
      </c>
      <c r="C44" s="38" t="s">
        <v>17</v>
      </c>
      <c r="D44" s="42">
        <f>TRUNC(22944,-1)</f>
        <v>22940</v>
      </c>
      <c r="E44" s="62">
        <f t="shared" si="1"/>
        <v>75830</v>
      </c>
    </row>
    <row r="45" spans="1:7" x14ac:dyDescent="0.3">
      <c r="A45" s="2">
        <v>6</v>
      </c>
      <c r="C45" s="38" t="s">
        <v>18</v>
      </c>
      <c r="D45" s="42">
        <f>TRUNC(4076,-1)</f>
        <v>4070</v>
      </c>
      <c r="E45" s="62">
        <f t="shared" si="1"/>
        <v>13450</v>
      </c>
    </row>
    <row r="46" spans="1:7" x14ac:dyDescent="0.3">
      <c r="A46" s="2">
        <v>7</v>
      </c>
      <c r="C46" s="38" t="s">
        <v>19</v>
      </c>
      <c r="D46" s="42">
        <f>TRUNC(20389,-1)</f>
        <v>20380</v>
      </c>
      <c r="E46" s="62">
        <f t="shared" si="1"/>
        <v>67370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v>81970</v>
      </c>
      <c r="E48" s="62">
        <f t="shared" si="1"/>
        <v>270970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TRUNC(14926,-1)</f>
        <v>14920</v>
      </c>
      <c r="E49" s="62">
        <f t="shared" si="1"/>
        <v>49320</v>
      </c>
    </row>
    <row r="50" spans="1:7" x14ac:dyDescent="0.3">
      <c r="A50" s="2">
        <v>11</v>
      </c>
      <c r="C50" s="38" t="s">
        <v>155</v>
      </c>
      <c r="D50" s="42">
        <f>TRUNC(32356,-1)</f>
        <v>32350</v>
      </c>
      <c r="E50" s="62">
        <f t="shared" si="1"/>
        <v>106940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TRUNC(15877,-1)</f>
        <v>15870</v>
      </c>
      <c r="E52" s="62">
        <f t="shared" si="1"/>
        <v>52460</v>
      </c>
    </row>
    <row r="53" spans="1:7" x14ac:dyDescent="0.3">
      <c r="A53" s="2">
        <v>14</v>
      </c>
      <c r="C53" s="38" t="s">
        <v>25</v>
      </c>
      <c r="D53" s="42">
        <f>TRUNC(32184,-1)</f>
        <v>32180</v>
      </c>
      <c r="E53" s="62">
        <f t="shared" si="1"/>
        <v>106380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TRUNC(3472+825+3635+86551,-1)</f>
        <v>94480</v>
      </c>
      <c r="E58" s="62">
        <f t="shared" si="1"/>
        <v>312330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TRUNC(193156,-1)</f>
        <v>193150</v>
      </c>
      <c r="E59" s="63">
        <f t="shared" si="1"/>
        <v>638510</v>
      </c>
    </row>
    <row r="60" spans="1:7" x14ac:dyDescent="0.3">
      <c r="A60" s="2">
        <v>21</v>
      </c>
      <c r="C60" s="27" t="s">
        <v>112</v>
      </c>
      <c r="D60" s="39">
        <f>SUM(D40:D59)</f>
        <v>794120</v>
      </c>
      <c r="E60" s="39">
        <f>SUM(E40:E59)</f>
        <v>2625150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TRUNC(75606,-1)</f>
        <v>75600</v>
      </c>
      <c r="E63" s="61">
        <f>TRUNC(+D63*3.3058,-1)</f>
        <v>249910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TRUNC(55639,-1)</f>
        <v>55630</v>
      </c>
      <c r="E65" s="63">
        <f>TRUNC(+D65*3.3058,-1)</f>
        <v>183900</v>
      </c>
    </row>
    <row r="66" spans="1:7" x14ac:dyDescent="0.3">
      <c r="A66" s="2">
        <v>4</v>
      </c>
      <c r="C66" s="27" t="s">
        <v>112</v>
      </c>
      <c r="D66" s="39">
        <f>SUM(D63:D65)</f>
        <v>131230</v>
      </c>
      <c r="E66" s="64">
        <f>SUM(E63:E65)</f>
        <v>433810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TRUNC(54871,-1)</f>
        <v>54870</v>
      </c>
      <c r="E69" s="61">
        <f t="shared" ref="E69:E94" si="2">TRUNC(+D69*3.3058,-1)</f>
        <v>181380</v>
      </c>
    </row>
    <row r="70" spans="1:7" ht="16.5" customHeight="1" x14ac:dyDescent="0.3">
      <c r="A70" s="2">
        <v>2</v>
      </c>
      <c r="C70" s="38" t="s">
        <v>31</v>
      </c>
      <c r="D70" s="42">
        <f>TRUNC(2475,-1)</f>
        <v>2470</v>
      </c>
      <c r="E70" s="62">
        <f t="shared" si="2"/>
        <v>8160</v>
      </c>
    </row>
    <row r="71" spans="1:7" x14ac:dyDescent="0.3">
      <c r="A71" s="2">
        <v>3</v>
      </c>
      <c r="C71" s="38" t="s">
        <v>32</v>
      </c>
      <c r="D71" s="42">
        <f>TRUNC(31286,-1)</f>
        <v>31280</v>
      </c>
      <c r="E71" s="62">
        <f t="shared" si="2"/>
        <v>103400</v>
      </c>
    </row>
    <row r="72" spans="1:7" x14ac:dyDescent="0.3">
      <c r="A72" s="2">
        <v>4</v>
      </c>
      <c r="C72" s="38" t="s">
        <v>33</v>
      </c>
      <c r="D72" s="42">
        <f>TRUNC(18236,-1)</f>
        <v>18230</v>
      </c>
      <c r="E72" s="62">
        <f t="shared" si="2"/>
        <v>60260</v>
      </c>
    </row>
    <row r="73" spans="1:7" x14ac:dyDescent="0.3">
      <c r="A73" s="2">
        <v>5</v>
      </c>
      <c r="C73" s="38" t="s">
        <v>34</v>
      </c>
      <c r="D73" s="42">
        <f>TRUNC(12377,-1)</f>
        <v>12370</v>
      </c>
      <c r="E73" s="62">
        <f t="shared" si="2"/>
        <v>40890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16720</v>
      </c>
      <c r="E75" s="62">
        <f t="shared" si="2"/>
        <v>55270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TRUNC(6981,-1)</f>
        <v>6980</v>
      </c>
      <c r="E89" s="62">
        <f t="shared" si="2"/>
        <v>23070</v>
      </c>
    </row>
    <row r="90" spans="1:7" x14ac:dyDescent="0.3">
      <c r="A90" s="2">
        <v>22</v>
      </c>
      <c r="C90" s="38" t="s">
        <v>36</v>
      </c>
      <c r="D90" s="42">
        <f>TRUNC(3246,-1)</f>
        <v>3240</v>
      </c>
      <c r="E90" s="62">
        <f t="shared" si="2"/>
        <v>10710</v>
      </c>
    </row>
    <row r="91" spans="1:7" x14ac:dyDescent="0.3">
      <c r="A91" s="2">
        <v>23</v>
      </c>
      <c r="C91" s="38" t="s">
        <v>37</v>
      </c>
      <c r="D91" s="42">
        <f>TRUNC(101819,-1)</f>
        <v>101810</v>
      </c>
      <c r="E91" s="62">
        <f t="shared" si="2"/>
        <v>336560</v>
      </c>
    </row>
    <row r="92" spans="1:7" x14ac:dyDescent="0.3">
      <c r="A92" s="2">
        <v>24</v>
      </c>
      <c r="C92" s="38" t="s">
        <v>38</v>
      </c>
      <c r="D92" s="42">
        <f>TRUNC(2487,-1)</f>
        <v>2480</v>
      </c>
      <c r="E92" s="62">
        <f t="shared" si="2"/>
        <v>8190</v>
      </c>
    </row>
    <row r="93" spans="1:7" x14ac:dyDescent="0.3">
      <c r="A93" s="2">
        <v>25</v>
      </c>
      <c r="C93" s="38" t="s">
        <v>148</v>
      </c>
      <c r="D93" s="42">
        <f>TRUNC(292419,-1)</f>
        <v>292410</v>
      </c>
      <c r="E93" s="62">
        <f t="shared" si="2"/>
        <v>966640</v>
      </c>
    </row>
    <row r="94" spans="1:7" ht="17.25" thickBot="1" x14ac:dyDescent="0.35">
      <c r="A94" s="2">
        <v>26</v>
      </c>
      <c r="C94" s="38" t="s">
        <v>47</v>
      </c>
      <c r="D94" s="43">
        <f>TRUNC(47984+82534,-1)</f>
        <v>130510</v>
      </c>
      <c r="E94" s="63">
        <f t="shared" si="2"/>
        <v>431430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673370</v>
      </c>
      <c r="E95" s="39">
        <f>SUM(E69:E94)</f>
        <v>2225960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TRUNC(19824,-1)</f>
        <v>19820</v>
      </c>
      <c r="E98" s="61">
        <f t="shared" ref="E98:E118" si="3">TRUNC(+D98*3.3058,-1)</f>
        <v>65520</v>
      </c>
    </row>
    <row r="99" spans="1:7" x14ac:dyDescent="0.3">
      <c r="A99" s="2">
        <v>2</v>
      </c>
      <c r="C99" s="38" t="s">
        <v>40</v>
      </c>
      <c r="D99" s="42">
        <f>TRUNC(6724,-1)</f>
        <v>6720</v>
      </c>
      <c r="E99" s="62">
        <f t="shared" si="3"/>
        <v>22210</v>
      </c>
    </row>
    <row r="100" spans="1:7" x14ac:dyDescent="0.3">
      <c r="A100" s="2">
        <v>3</v>
      </c>
      <c r="C100" s="38" t="s">
        <v>41</v>
      </c>
      <c r="D100" s="42">
        <f>TRUNC(31024,-1)</f>
        <v>31020</v>
      </c>
      <c r="E100" s="62">
        <f t="shared" si="3"/>
        <v>102540</v>
      </c>
    </row>
    <row r="101" spans="1:7" x14ac:dyDescent="0.3">
      <c r="A101" s="2">
        <v>4</v>
      </c>
      <c r="C101" s="38" t="s">
        <v>42</v>
      </c>
      <c r="D101" s="42">
        <f>TRUNC(1248,-1)</f>
        <v>1240</v>
      </c>
      <c r="E101" s="62">
        <f t="shared" si="3"/>
        <v>4090</v>
      </c>
    </row>
    <row r="102" spans="1:7" x14ac:dyDescent="0.3">
      <c r="A102" s="2">
        <v>5</v>
      </c>
      <c r="C102" s="38" t="s">
        <v>43</v>
      </c>
      <c r="D102" s="42">
        <f>TRUNC(15203,-1)</f>
        <v>15200</v>
      </c>
      <c r="E102" s="62">
        <f t="shared" si="3"/>
        <v>50240</v>
      </c>
    </row>
    <row r="103" spans="1:7" x14ac:dyDescent="0.3">
      <c r="A103" s="2">
        <v>6</v>
      </c>
      <c r="C103" s="38" t="s">
        <v>44</v>
      </c>
      <c r="D103" s="42">
        <f>TRUNC(3812,-1)</f>
        <v>3810</v>
      </c>
      <c r="E103" s="62">
        <f t="shared" si="3"/>
        <v>12590</v>
      </c>
    </row>
    <row r="104" spans="1:7" x14ac:dyDescent="0.3">
      <c r="A104" s="2">
        <v>7</v>
      </c>
      <c r="C104" s="38" t="s">
        <v>45</v>
      </c>
      <c r="D104" s="42">
        <f>TRUNC(3715,-1)</f>
        <v>3710</v>
      </c>
      <c r="E104" s="62">
        <f t="shared" si="3"/>
        <v>12260</v>
      </c>
    </row>
    <row r="105" spans="1:7" x14ac:dyDescent="0.3">
      <c r="A105" s="2">
        <v>8</v>
      </c>
      <c r="C105" s="38" t="s">
        <v>46</v>
      </c>
      <c r="D105" s="42">
        <f>TRUNC(6052,-1)</f>
        <v>6050</v>
      </c>
      <c r="E105" s="62">
        <f t="shared" si="3"/>
        <v>20000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2">
        <f t="shared" si="3"/>
        <v>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TRUNC(8668,-1)</f>
        <v>8660</v>
      </c>
      <c r="E116" s="62">
        <f t="shared" si="3"/>
        <v>28620</v>
      </c>
      <c r="F116" s="2" t="s">
        <v>259</v>
      </c>
    </row>
    <row r="117" spans="1:7" x14ac:dyDescent="0.3">
      <c r="A117" s="2">
        <v>20</v>
      </c>
      <c r="C117" s="38" t="s">
        <v>148</v>
      </c>
      <c r="D117" s="42">
        <f>TRUNC(146407,-1)</f>
        <v>146400</v>
      </c>
      <c r="E117" s="62">
        <f t="shared" si="3"/>
        <v>483960</v>
      </c>
    </row>
    <row r="118" spans="1:7" ht="17.25" thickBot="1" x14ac:dyDescent="0.35">
      <c r="A118" s="2">
        <v>21</v>
      </c>
      <c r="C118" s="38" t="s">
        <v>47</v>
      </c>
      <c r="D118" s="43">
        <f>TRUNC(17791,-1)</f>
        <v>17790</v>
      </c>
      <c r="E118" s="63">
        <f t="shared" si="3"/>
        <v>58810</v>
      </c>
    </row>
    <row r="119" spans="1:7" x14ac:dyDescent="0.3">
      <c r="A119" s="2">
        <v>22</v>
      </c>
      <c r="C119" s="27" t="s">
        <v>112</v>
      </c>
      <c r="D119" s="39">
        <f>SUM(D98:D118)</f>
        <v>260420</v>
      </c>
      <c r="E119" s="39">
        <f>SUM(E98:E118)</f>
        <v>860840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TRUNC(1017,-1)</f>
        <v>1010</v>
      </c>
      <c r="E122" s="61">
        <f t="shared" ref="E122:E132" si="4">TRUNC(+D122*3.3058,-1)</f>
        <v>3330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TRUNC(1429,-1)</f>
        <v>1420</v>
      </c>
      <c r="E124" s="62">
        <f t="shared" si="4"/>
        <v>4690</v>
      </c>
    </row>
    <row r="125" spans="1:7" x14ac:dyDescent="0.3">
      <c r="A125" s="2">
        <v>4</v>
      </c>
      <c r="C125" s="38" t="s">
        <v>138</v>
      </c>
      <c r="D125" s="42">
        <f>TRUNC(767,-1)</f>
        <v>760</v>
      </c>
      <c r="E125" s="62">
        <f t="shared" si="4"/>
        <v>2510</v>
      </c>
    </row>
    <row r="126" spans="1:7" x14ac:dyDescent="0.3">
      <c r="A126" s="2">
        <v>5</v>
      </c>
      <c r="C126" s="38" t="s">
        <v>53</v>
      </c>
      <c r="D126" s="42">
        <f>TRUNC(6770,-1)</f>
        <v>6770</v>
      </c>
      <c r="E126" s="62">
        <f t="shared" si="4"/>
        <v>22380</v>
      </c>
    </row>
    <row r="127" spans="1:7" x14ac:dyDescent="0.3">
      <c r="A127" s="2">
        <v>6</v>
      </c>
      <c r="C127" s="38" t="s">
        <v>56</v>
      </c>
      <c r="D127" s="42">
        <f>TRUNC(6329,-1)</f>
        <v>6320</v>
      </c>
      <c r="E127" s="62">
        <f t="shared" si="4"/>
        <v>20890</v>
      </c>
    </row>
    <row r="128" spans="1:7" x14ac:dyDescent="0.3">
      <c r="A128" s="2">
        <v>7</v>
      </c>
      <c r="C128" s="38" t="s">
        <v>46</v>
      </c>
      <c r="D128" s="42">
        <f>TRUNC(4586,-1)</f>
        <v>4580</v>
      </c>
      <c r="E128" s="62">
        <f t="shared" si="4"/>
        <v>15140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TRUNC(14056,-1)</f>
        <v>14050</v>
      </c>
      <c r="E130" s="62">
        <f t="shared" si="4"/>
        <v>46440</v>
      </c>
    </row>
    <row r="131" spans="1:7" x14ac:dyDescent="0.3">
      <c r="A131" s="2">
        <v>10</v>
      </c>
      <c r="C131" s="38" t="s">
        <v>148</v>
      </c>
      <c r="D131" s="42">
        <f>TRUNC(59191,-1)</f>
        <v>59190</v>
      </c>
      <c r="E131" s="62">
        <f t="shared" si="4"/>
        <v>195670</v>
      </c>
    </row>
    <row r="132" spans="1:7" ht="17.25" thickBot="1" x14ac:dyDescent="0.35">
      <c r="A132" s="2">
        <v>11</v>
      </c>
      <c r="C132" s="38" t="s">
        <v>47</v>
      </c>
      <c r="D132" s="43">
        <f>TRUNC(2105+919+11521,-1)</f>
        <v>14540</v>
      </c>
      <c r="E132" s="63">
        <f t="shared" si="4"/>
        <v>48060</v>
      </c>
      <c r="F132" s="2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108640</v>
      </c>
      <c r="E133" s="39">
        <f>SUM(E122:E132)</f>
        <v>359110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TRUNC(2656+3865+659+26119,-1)</f>
        <v>33290</v>
      </c>
      <c r="E137" s="62">
        <f t="shared" si="5"/>
        <v>110050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v>2010</v>
      </c>
      <c r="E140" s="62">
        <f t="shared" si="5"/>
        <v>6640</v>
      </c>
    </row>
    <row r="141" spans="1:7" x14ac:dyDescent="0.3">
      <c r="A141" s="2">
        <v>6</v>
      </c>
      <c r="C141" s="38" t="s">
        <v>59</v>
      </c>
      <c r="D141" s="42">
        <f>TRUNC(29225,-1)</f>
        <v>29220</v>
      </c>
      <c r="E141" s="62">
        <f t="shared" si="5"/>
        <v>96590</v>
      </c>
    </row>
    <row r="142" spans="1:7" x14ac:dyDescent="0.3">
      <c r="A142" s="2">
        <v>7</v>
      </c>
      <c r="C142" s="38" t="s">
        <v>58</v>
      </c>
      <c r="D142" s="42">
        <f>TRUNC(7898,-1)</f>
        <v>7890</v>
      </c>
      <c r="E142" s="62">
        <f t="shared" si="5"/>
        <v>26080</v>
      </c>
    </row>
    <row r="143" spans="1:7" x14ac:dyDescent="0.3">
      <c r="A143" s="2">
        <v>8</v>
      </c>
      <c r="C143" s="38" t="s">
        <v>62</v>
      </c>
      <c r="D143" s="42">
        <f>TRUNC(9998,-1)</f>
        <v>9990</v>
      </c>
      <c r="E143" s="62">
        <f t="shared" si="5"/>
        <v>33020</v>
      </c>
    </row>
    <row r="144" spans="1:7" x14ac:dyDescent="0.3">
      <c r="A144" s="2">
        <v>9</v>
      </c>
      <c r="C144" s="38" t="s">
        <v>63</v>
      </c>
      <c r="D144" s="42">
        <v>6090</v>
      </c>
      <c r="E144" s="62">
        <f t="shared" si="5"/>
        <v>20130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88490</v>
      </c>
      <c r="E146" s="39">
        <f>SUM(E136:E145)</f>
        <v>292510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TRUNC(523+796,-1)</f>
        <v>1310</v>
      </c>
      <c r="E149" s="61">
        <f>TRUNC(+D149*3.3058,-1)</f>
        <v>4330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TRUNC(4985,-1)</f>
        <v>4980</v>
      </c>
      <c r="E150" s="62">
        <f>TRUNC(+D150*3.3058,-1)</f>
        <v>16460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TRUNC(2952+241+809,-1)</f>
        <v>4000</v>
      </c>
      <c r="E152" s="62">
        <f>TRUNC(+D152*3.3058,-1)</f>
        <v>13220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TRUNC(8861,-1)</f>
        <v>8860</v>
      </c>
      <c r="E153" s="63">
        <f>TRUNC(+D153*3.3058,-1)</f>
        <v>29280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19150</v>
      </c>
      <c r="E154" s="39">
        <f>SUM(E149:E153)</f>
        <v>63290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TRUNC(1507,-1)</f>
        <v>1500</v>
      </c>
      <c r="E157" s="61">
        <f>TRUNC(+D157*3.3058,-1)</f>
        <v>4950</v>
      </c>
    </row>
    <row r="158" spans="1:7" x14ac:dyDescent="0.3">
      <c r="A158" s="2">
        <v>2</v>
      </c>
      <c r="C158" s="38" t="s">
        <v>52</v>
      </c>
      <c r="D158" s="42">
        <f>TRUNC(1656,-1)</f>
        <v>1650</v>
      </c>
      <c r="E158" s="62">
        <f>TRUNC(+D158*3.3058,-1)</f>
        <v>5450</v>
      </c>
    </row>
    <row r="159" spans="1:7" x14ac:dyDescent="0.3">
      <c r="A159" s="2">
        <v>3</v>
      </c>
      <c r="C159" s="38" t="s">
        <v>47</v>
      </c>
      <c r="D159" s="42">
        <f>TRUNC(884+9,-1)</f>
        <v>890</v>
      </c>
      <c r="E159" s="62">
        <f>TRUNC(+D159*3.3058,-1)</f>
        <v>2940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4040</v>
      </c>
      <c r="E161" s="39">
        <f>SUM(E157:E160)</f>
        <v>13340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2020-12-07T09:55:38Z</dcterms:modified>
</cp:coreProperties>
</file>