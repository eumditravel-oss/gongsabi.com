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119" i="4" s="1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6" i="4" s="1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95" i="4"/>
  <c r="E146" i="4"/>
  <c r="E154" i="4"/>
  <c r="D161" i="4" l="1"/>
  <c r="D32" i="4" s="1"/>
  <c r="E32" i="4" s="1"/>
  <c r="D154" i="4"/>
  <c r="D31" i="4" s="1"/>
  <c r="E31" i="4" s="1"/>
  <c r="D146" i="4"/>
  <c r="D125" i="4"/>
  <c r="D119" i="4"/>
  <c r="D28" i="4" s="1"/>
  <c r="E28" i="4" s="1"/>
  <c r="D95" i="4"/>
  <c r="D27" i="4" s="1"/>
  <c r="E27" i="4" s="1"/>
  <c r="D66" i="4"/>
  <c r="D60" i="4"/>
  <c r="D30" i="4"/>
  <c r="E30" i="4" s="1"/>
  <c r="D26" i="4"/>
  <c r="E26" i="4" s="1"/>
  <c r="D25" i="4"/>
  <c r="E25" i="4" s="1"/>
  <c r="D24" i="4"/>
  <c r="D7" i="4"/>
  <c r="D133" i="4" l="1"/>
  <c r="D29" i="4" s="1"/>
  <c r="E29" i="4" s="1"/>
  <c r="E125" i="4"/>
  <c r="E133" i="4" s="1"/>
  <c r="E24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<sst xmlns="http://schemas.openxmlformats.org/spreadsheetml/2006/main" count="385" uniqueCount="262">
  <si>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</si>
  <si>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</si>
  <si>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</si>
  <si>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</si>
  <si>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</si>
  <si>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</si>
  <si>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</si>
  <si>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</si>
  <si>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</si>
  <si>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</si>
  <si>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</si>
  <si>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</si>
  <si>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</si>
  <si>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</si>
  <si>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</si>
  <si>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</si>
  <si>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</si>
  <si>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</si>
  <si>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</si>
  <si>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</si>
  <si>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</si>
  <si>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</si>
  <si>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</si>
  <si>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</si>
  <si>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</si>
  <si>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</si>
  <si>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</si>
  <si>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</si>
  <si>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</si>
  <si>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</si>
  <si>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</si>
  <si>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</si>
  <si>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</si>
  <si>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</si>
  <si>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</si>
  <si>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</si>
  <si>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</si>
  <si>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</si>
  <si>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</si>
  <si>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</si>
  <si>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</si>
  <si>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</si>
  <si>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</si>
  <si>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</si>
  <si>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</si>
  <si>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</si>
  <si>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</si>
  <si>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</si>
  <si>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</si>
  <si>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</si>
  <si>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</si>
  <si>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</si>
  <si>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</si>
  <si>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</si>
  <si>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</si>
  <si>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</si>
  <si>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</si>
  <si>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</si>
  <si>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</si>
  <si>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</si>
  <si>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</si>
  <si>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</si>
  <si>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</si>
  <si>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</si>
  <si>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</si>
  <si>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</si>
  <si>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</si>
  <si>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</si>
  <si>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</si>
  <si>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</si>
  <si>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</si>
  <si>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</si>
  <si>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</si>
  <si>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</si>
  <si>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</si>
  <si>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</si>
  <si>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</si>
  <si>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</si>
  <si>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</si>
  <si>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</si>
  <si>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</si>
  <si>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</si>
  <si>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</si>
  <si>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</si>
  <si>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</si>
  <si>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</si>
  <si>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</si>
  <si>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</si>
  <si>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</si>
  <si>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</si>
  <si>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</si>
  <si>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</si>
  <si>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</si>
  <si>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</si>
  <si>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</si>
  <si>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</si>
  <si>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</si>
  <si>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</si>
  <si>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</si>
  <si>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</si>
  <si>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</si>
  <si>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</si>
  <si>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</si>
  <si>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</si>
  <si>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</si>
  <si>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</si>
  <si>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</si>
  <si>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</si>
  <si>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</si>
  <si>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</si>
  <si>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</si>
  <si>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</si>
  <si>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</si>
  <si>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</si>
  <si>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</si>
  <si>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</si>
  <si>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</si>
  <si>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</si>
  <si>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</si>
  <si>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</si>
  <si>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</si>
  <si>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</si>
  <si>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</si>
  <si>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</si>
  <si>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</si>
  <si>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</si>
  <si>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</si>
  <si>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</si>
  <si>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</si>
  <si>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</si>
  <si>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</si>
  <si>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</si>
  <si>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</si>
  <si>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</si>
  <si>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</si>
  <si>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</si>
  <si>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</si>
  <si>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</si>
  <si>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</si>
  <si>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</si>
  <si>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</si>
  <si>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</si>
  <si>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</si>
  <si>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</si>
  <si>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</si>
  <si>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</si>
  <si>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</si>
  <si>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</si>
  <si>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</si>
  <si>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</si>
  <si>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</si>
  <si>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</si>
  <si>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</si>
  <si>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</si>
  <si>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</si>
  <si>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</si>
  <si>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</si>
  <si>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</si>
  <si>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</si>
  <si>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</si>
  <si>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</si>
  <si>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</si>
  <si>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</si>
  <si>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</si>
  <si>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</si>
  <si>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</si>
  <si>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</si>
  <si>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</si>
  <si>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</si>
  <si>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</si>
  <si>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</si>
  <si>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</si>
  <si>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</si>
  <si>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</si>
  <si>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</si>
  <si>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</si>
  <si>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</si>
  <si>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</si>
  <si>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</si>
  <si>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</si>
  <si>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</si>
  <si>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</si>
  <si>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</si>
  <si>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</si>
  <si>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</si>
  <si>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</si>
  <si>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</si>
  <si>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</si>
  <si>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</si>
  <si>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</si>
  <si>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</si>
  <si>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</si>
  <si>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</si>
  <si>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</si>
  <si>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</si>
  <si>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</si>
  <si>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</si>
  <si>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</si>
  <si>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</si>
  <si>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</si>
  <si>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</si>
  <si>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</si>
  <si>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</si>
  <si>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</si>
  <si>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</si>
  <si>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</si>
  <si>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</si>
  <si>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</si>
  <si>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</si>
  <si>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</si>
  <si>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</si>
  <si>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</si>
  <si>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</si>
  <si>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</si>
  <si>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</si>
  <si>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</si>
  <si>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</si>
  <si>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</si>
  <si>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</si>
  <si>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</si>
  <si>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</si>
  <si>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</si>
  <si>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</si>
  <si>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</si>
  <si>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</si>
  <si>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</si>
  <si>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</si>
  <si>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</si>
  <si>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</si>
  <si>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</si>
  <si>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</si>
  <si>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</si>
  <si>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</si>
  <si>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</si>
  <si>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</si>
  <si>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</si>
  <si>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</si>
  <si>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</si>
  <si>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</si>
  <si>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</si>
  <si>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</si>
  <si>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</si>
  <si>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</si>
  <si>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</si>
  <si>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</si>
  <si>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</si>
  <si>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</si>
  <si>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</si>
  <si>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</si>
  <si>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평</t>
    <phoneticPr fontId="2" type="noConversion"/>
  </si>
  <si>
    <t>원/ m2</t>
    <phoneticPr fontId="2" type="noConversion"/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</si>
  <si>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</si>
  <si>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</si>
  <si>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</si>
  <si>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</si>
  <si>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경기도 파주시 00 초등학교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</si>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</sst>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9631</v>
      </c>
      <c r="D7" s="36">
        <f>+C7/3.3058</f>
        <v>2913.3643898602454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256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429670</v>
      </c>
      <c r="E25" s="59">
        <f t="shared" si="0"/>
        <v>1420400</v>
      </c>
    </row>
    <row r="26" spans="1:5" x14ac:dyDescent="0.3">
      <c r="B26" s="2">
        <v>3</v>
      </c>
      <c r="C26" s="35" t="s">
        <v>95</v>
      </c>
      <c r="D26" s="45">
        <f>+D66</f>
        <v>4880</v>
      </c>
      <c r="E26" s="59">
        <f t="shared" si="0"/>
        <v>16130</v>
      </c>
    </row>
    <row r="27" spans="1:5" x14ac:dyDescent="0.3">
      <c r="B27" s="2">
        <v>4</v>
      </c>
      <c r="C27" s="35" t="s">
        <v>96</v>
      </c>
      <c r="D27" s="45">
        <f>+D95</f>
        <v>108090</v>
      </c>
      <c r="E27" s="59">
        <f t="shared" si="0"/>
        <v>357320</v>
      </c>
    </row>
    <row r="28" spans="1:5" x14ac:dyDescent="0.3">
      <c r="B28" s="2">
        <v>5</v>
      </c>
      <c r="C28" s="35" t="s">
        <v>97</v>
      </c>
      <c r="D28" s="45">
        <f>+D119</f>
        <v>75420</v>
      </c>
      <c r="E28" s="59">
        <f t="shared" si="0"/>
        <v>249320</v>
      </c>
    </row>
    <row r="29" spans="1:5" x14ac:dyDescent="0.3">
      <c r="B29" s="2">
        <v>6</v>
      </c>
      <c r="C29" s="35" t="s">
        <v>98</v>
      </c>
      <c r="D29" s="45">
        <f>+D133</f>
        <v>38460</v>
      </c>
      <c r="E29" s="59">
        <f t="shared" si="0"/>
        <v>127140</v>
      </c>
    </row>
    <row r="30" spans="1:5" x14ac:dyDescent="0.3">
      <c r="B30" s="2">
        <v>7</v>
      </c>
      <c r="C30" s="35" t="s">
        <v>99</v>
      </c>
      <c r="D30" s="45">
        <f>+D146</f>
        <v>24680</v>
      </c>
      <c r="E30" s="59">
        <f t="shared" si="0"/>
        <v>81580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187330</v>
      </c>
      <c r="E33" s="60">
        <f t="shared" si="0"/>
        <v>619270</v>
      </c>
    </row>
    <row r="34" spans="1:7" x14ac:dyDescent="0.3">
      <c r="C34" s="35" t="s">
        <v>112</v>
      </c>
      <c r="D34" s="44">
        <f>SUM(D24:D33)</f>
        <v>868530</v>
      </c>
      <c r="E34" s="44">
        <f>SUM(E24:E33)</f>
        <v>2871160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237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33880</v>
      </c>
      <c r="E40" s="62">
        <f t="shared" ref="E40:E59" si="1">TRUNC(+D40*3.3058,-1)</f>
        <v>112000</v>
      </c>
    </row>
    <row r="41" spans="1:7" x14ac:dyDescent="0.3">
      <c r="A41" s="2">
        <v>2</v>
      </c>
      <c r="C41" s="38" t="s">
        <v>13</v>
      </c>
      <c r="D41" s="42">
        <v>142030</v>
      </c>
      <c r="E41" s="63">
        <f t="shared" si="1"/>
        <v>469520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253760</v>
      </c>
      <c r="E58" s="63">
        <f t="shared" si="1"/>
        <v>838870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429670</v>
      </c>
      <c r="E60" s="39">
        <f>SUM(E40:E59)</f>
        <v>1420390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4880</v>
      </c>
      <c r="E63" s="62">
        <f>TRUNC(+D63*3.3058,-1)</f>
        <v>16130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4880</v>
      </c>
      <c r="E66" s="57">
        <f>SUM(E63:E65)</f>
        <v>16130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237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11030</v>
      </c>
      <c r="E69" s="62">
        <f>TRUNC(+D69*3.3058,-1)</f>
        <v>36460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260</v>
      </c>
      <c r="E90" s="63">
        <f>TRUNC(+D90*3.3058,-1)</f>
        <v>850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34210</v>
      </c>
      <c r="E92" s="63">
        <f>TRUNC(+D92*3.3058,-1)</f>
        <v>113090</v>
      </c>
    </row>
    <row r="93" spans="1:7" x14ac:dyDescent="0.3">
      <c r="A93" s="2">
        <v>25</v>
      </c>
      <c r="C93" s="38" t="s">
        <v>148</v>
      </c>
      <c r="D93" s="42">
        <v>62590</v>
      </c>
      <c r="E93" s="63">
        <f>TRUNC(+D93*3.3058,-1)</f>
        <v>206910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108090</v>
      </c>
      <c r="E95" s="39">
        <f>SUM(E69:E94)</f>
        <v>357310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237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17760</v>
      </c>
      <c r="E100" s="63">
        <f t="shared" si="4"/>
        <v>58710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10200</v>
      </c>
      <c r="E116" s="63">
        <f t="shared" si="4"/>
        <v>33710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v>36420</v>
      </c>
      <c r="E117" s="63">
        <f t="shared" si="4"/>
        <v>120390</v>
      </c>
    </row>
    <row r="118" spans="1:7" ht="17.25" thickBot="1" x14ac:dyDescent="0.35">
      <c r="A118" s="2">
        <v>21</v>
      </c>
      <c r="C118" s="38" t="s">
        <v>47</v>
      </c>
      <c r="D118" s="43">
        <v>11040</v>
      </c>
      <c r="E118" s="64">
        <f t="shared" si="4"/>
        <v>36490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75420</v>
      </c>
      <c r="E119" s="39">
        <f>SUM(E98:E118)</f>
        <v>249300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237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TRUNC(6165.81850275153,-1)</f>
        <v>6160</v>
      </c>
      <c r="E125" s="63">
        <f t="shared" si="5"/>
        <v>20360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7810</v>
      </c>
      <c r="E130" s="63">
        <f t="shared" si="5"/>
        <v>25810</v>
      </c>
    </row>
    <row r="131" spans="1:7" x14ac:dyDescent="0.3">
      <c r="A131" s="2">
        <v>10</v>
      </c>
      <c r="C131" s="38" t="s">
        <v>148</v>
      </c>
      <c r="D131" s="42">
        <v>20350</v>
      </c>
      <c r="E131" s="63">
        <f t="shared" si="5"/>
        <v>67270</v>
      </c>
    </row>
    <row r="132" spans="1:7" ht="17.25" thickBot="1" x14ac:dyDescent="0.35">
      <c r="A132" s="2">
        <v>11</v>
      </c>
      <c r="C132" s="38" t="s">
        <v>47</v>
      </c>
      <c r="D132" s="43">
        <v>4140</v>
      </c>
      <c r="E132" s="64">
        <f t="shared" si="5"/>
        <v>13680</v>
      </c>
    </row>
    <row r="133" spans="1:7" x14ac:dyDescent="0.3">
      <c r="A133" s="2">
        <v>12</v>
      </c>
      <c r="C133" s="27" t="s">
        <v>112</v>
      </c>
      <c r="D133" s="39">
        <f>SUM(D122:D132)</f>
        <v>38460</v>
      </c>
      <c r="E133" s="39">
        <f>SUM(E122:E132)</f>
        <v>127120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237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24680</v>
      </c>
      <c r="E136" s="62">
        <f t="shared" ref="E136:E145" si="6">TRUNC(+D136*3.3058,-1)</f>
        <v>81580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24680</v>
      </c>
      <c r="E146" s="39">
        <f>SUM(E136:E145)</f>
        <v>81580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237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237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2020-12-07T08:54:15Z</dcterms:modified>
</cp:coreProperties>
</file>