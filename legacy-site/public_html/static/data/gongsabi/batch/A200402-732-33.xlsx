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60" i="4" s="1"/>
  <c r="E37" i="4"/>
  <c r="E146" i="4" l="1"/>
  <c r="E119" i="4"/>
  <c r="E95" i="4"/>
  <c r="E154" i="4"/>
  <c r="D161" i="4" l="1"/>
  <c r="D32" i="4" s="1"/>
  <c r="E32" i="4" s="1"/>
  <c r="D154" i="4"/>
  <c r="D31" i="4" s="1"/>
  <c r="E31" i="4" s="1"/>
  <c r="D146" i="4"/>
  <c r="D132" i="4"/>
  <c r="E132" i="4" s="1"/>
  <c r="E133" i="4" s="1"/>
  <c r="D119" i="4"/>
  <c r="D95" i="4"/>
  <c r="D66" i="4"/>
  <c r="D26" i="4" s="1"/>
  <c r="E26" i="4" s="1"/>
  <c r="D60" i="4"/>
  <c r="D25" i="4" s="1"/>
  <c r="E25" i="4" s="1"/>
  <c r="D30" i="4"/>
  <c r="E30" i="4" s="1"/>
  <c r="D28" i="4"/>
  <c r="E28" i="4" s="1"/>
  <c r="D27" i="4"/>
  <c r="E27" i="4" s="1"/>
  <c r="D24" i="4"/>
  <c r="D7" i="4"/>
  <c r="D133" i="4" l="1"/>
  <c r="D29" i="4" s="1"/>
  <c r="E29" i="4" s="1"/>
  <c r="E24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<sst xmlns="http://schemas.openxmlformats.org/spreadsheetml/2006/main" count="385" uniqueCount="261">
  <si>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</si>
  <si>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</si>
  <si>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</si>
  <si>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</si>
  <si>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</si>
  <si>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</si>
  <si>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</si>
  <si>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</si>
  <si>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</si>
  <si>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</si>
  <si>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</si>
  <si>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</si>
  <si>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</si>
  <si>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</si>
  <si>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</si>
  <si>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</si>
  <si>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</si>
  <si>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</si>
  <si>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</si>
  <si>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</si>
  <si>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</si>
  <si>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</si>
  <si>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</si>
  <si>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</si>
  <si>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</si>
  <si>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</si>
  <si>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</si>
  <si>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</si>
  <si>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</si>
  <si>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</si>
  <si>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</si>
  <si>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</si>
  <si>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</si>
  <si>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</si>
  <si>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</si>
  <si>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</si>
  <si>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</si>
  <si>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</si>
  <si>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</si>
  <si>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</si>
  <si>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</si>
  <si>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</si>
  <si>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</si>
  <si>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</si>
  <si>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</si>
  <si>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</si>
  <si>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</si>
  <si>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</si>
  <si>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</si>
  <si>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</si>
  <si>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</si>
  <si>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</si>
  <si>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</si>
  <si>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</si>
  <si>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</si>
  <si>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</si>
  <si>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</si>
  <si>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</si>
  <si>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</si>
  <si>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</si>
  <si>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</si>
  <si>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</si>
  <si>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</si>
  <si>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</si>
  <si>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</si>
  <si>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</si>
  <si>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</si>
  <si>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</si>
  <si>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</si>
  <si>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</si>
  <si>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</si>
  <si>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</si>
  <si>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</si>
  <si>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</si>
  <si>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</si>
  <si>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</si>
  <si>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</si>
  <si>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</si>
  <si>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</si>
  <si>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</si>
  <si>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</si>
  <si>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</si>
  <si>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</si>
  <si>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</si>
  <si>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</si>
  <si>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</si>
  <si>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</si>
  <si>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</si>
  <si>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</si>
  <si>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</si>
  <si>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</si>
  <si>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</si>
  <si>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</si>
  <si>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</si>
  <si>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</si>
  <si>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</si>
  <si>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</si>
  <si>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</si>
  <si>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</si>
  <si>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</si>
  <si>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</si>
  <si>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</si>
  <si>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</si>
  <si>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</si>
  <si>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</si>
  <si>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</si>
  <si>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</si>
  <si>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</si>
  <si>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</si>
  <si>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</si>
  <si>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</si>
  <si>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</si>
  <si>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</si>
  <si>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</si>
  <si>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</si>
  <si>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</si>
  <si>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</si>
  <si>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</si>
  <si>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</si>
  <si>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</si>
  <si>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</si>
  <si>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</si>
  <si>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</si>
  <si>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</si>
  <si>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</si>
  <si>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</si>
  <si>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</si>
  <si>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</si>
  <si>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</si>
  <si>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</si>
  <si>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</si>
  <si>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</si>
  <si>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</si>
  <si>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</si>
  <si>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</si>
  <si>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</si>
  <si>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</si>
  <si>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</si>
  <si>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</si>
  <si>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</si>
  <si>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</si>
  <si>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</si>
  <si>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</si>
  <si>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</si>
  <si>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</si>
  <si>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</si>
  <si>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</si>
  <si>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</si>
  <si>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</si>
  <si>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</si>
  <si>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</si>
  <si>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</si>
  <si>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</si>
  <si>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</si>
  <si>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</si>
  <si>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</si>
  <si>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</si>
  <si>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</si>
  <si>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</si>
  <si>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</si>
  <si>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</si>
  <si>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</si>
  <si>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</si>
  <si>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</si>
  <si>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</si>
  <si>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</si>
  <si>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</si>
  <si>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</si>
  <si>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</si>
  <si>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</si>
  <si>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</si>
  <si>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</si>
  <si>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</si>
  <si>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</si>
  <si>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</si>
  <si>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</si>
  <si>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</si>
  <si>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</si>
  <si>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</si>
  <si>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</si>
  <si>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</si>
  <si>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</si>
  <si>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</si>
  <si>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</si>
  <si>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</si>
  <si>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</si>
  <si>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</si>
  <si>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</si>
  <si>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</si>
  <si>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</si>
  <si>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</si>
  <si>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</si>
  <si>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</si>
  <si>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</si>
  <si>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</si>
  <si>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</si>
  <si>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</si>
  <si>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</si>
  <si>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</si>
  <si>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</si>
  <si>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</si>
  <si>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</si>
  <si>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</si>
  <si>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</si>
  <si>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</si>
  <si>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</si>
  <si>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</si>
  <si>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</si>
  <si>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</si>
  <si>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</si>
  <si>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</si>
  <si>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</si>
  <si>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</si>
  <si>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</si>
  <si>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</si>
  <si>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</si>
  <si>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</si>
  <si>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</si>
  <si>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</si>
  <si>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</si>
  <si>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</si>
  <si>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</si>
  <si>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</si>
  <si>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</si>
  <si>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</si>
  <si>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</si>
  <si>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</si>
  <si>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</si>
  <si>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</si>
  <si>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</si>
  <si>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</si>
  <si>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</si>
  <si>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</si>
  <si>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</si>
  <si>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</si>
  <si>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</si>
  <si>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2004년</t>
  </si>
  <si>
    <t>원/ m2</t>
    <phoneticPr fontId="2" type="noConversion"/>
  </si>
  <si>
    <t>평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</si>
  <si>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</si>
  <si>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</si>
  <si>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</si>
  <si>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</si>
  <si>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</si>
  <si>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</si>
  <si>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</si>
  <si>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</si>
  <si>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</si>
  <si>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</si>
  <si>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문화및집회</t>
  </si>
  <si>
    <t>마감공사</t>
    <phoneticPr fontId="2" type="noConversion"/>
  </si>
  <si>
    <t>전등전열설비</t>
    <phoneticPr fontId="2" type="noConversion"/>
  </si>
  <si>
    <t>기타설비</t>
    <phoneticPr fontId="2" type="noConversion"/>
  </si>
  <si>
    <t>옥외인입공사, 기타설비</t>
    <phoneticPr fontId="2" type="noConversion"/>
  </si>
  <si>
    <t>경기도 하남시 00 문예회관</t>
    <phoneticPr fontId="2" type="noConversion"/>
  </si>
  <si>
    <t>원/ m2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</si>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</sst>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F8" sqref="F8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156</v>
      </c>
      <c r="B2" s="74" t="s">
        <v>0</v>
      </c>
      <c r="C2" s="75"/>
      <c r="D2" s="74" t="s">
        <v>1</v>
      </c>
      <c r="E2" s="75"/>
      <c r="F2" s="74" t="s">
        <v>157</v>
      </c>
      <c r="G2" s="75"/>
      <c r="H2" s="74" t="s">
        <v>2</v>
      </c>
      <c r="I2" s="75"/>
      <c r="J2" s="74" t="s">
        <v>3</v>
      </c>
      <c r="K2" s="75"/>
      <c r="L2" s="74" t="s">
        <v>158</v>
      </c>
      <c r="M2" s="75"/>
      <c r="N2" s="74" t="s">
        <v>159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258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254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238</v>
      </c>
    </row>
    <row r="7" spans="1:4" ht="17.25" thickBot="1" x14ac:dyDescent="0.35">
      <c r="C7" s="37">
        <v>8709</v>
      </c>
      <c r="D7" s="36">
        <f>+C7/3.3058</f>
        <v>2634.4606449270977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236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259</v>
      </c>
    </row>
    <row r="19" spans="1:5" x14ac:dyDescent="0.3">
      <c r="A19" s="2">
        <v>9</v>
      </c>
      <c r="B19" s="2" t="s">
        <v>260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935790</v>
      </c>
      <c r="E25" s="59">
        <f t="shared" si="0"/>
        <v>3093530</v>
      </c>
    </row>
    <row r="26" spans="1:5" x14ac:dyDescent="0.3">
      <c r="B26" s="2">
        <v>3</v>
      </c>
      <c r="C26" s="35" t="s">
        <v>95</v>
      </c>
      <c r="D26" s="45">
        <f>+D66</f>
        <v>38020</v>
      </c>
      <c r="E26" s="59">
        <f t="shared" si="0"/>
        <v>125680</v>
      </c>
    </row>
    <row r="27" spans="1:5" x14ac:dyDescent="0.3">
      <c r="B27" s="2">
        <v>4</v>
      </c>
      <c r="C27" s="35" t="s">
        <v>96</v>
      </c>
      <c r="D27" s="45">
        <f>+D95</f>
        <v>214880</v>
      </c>
      <c r="E27" s="59">
        <f t="shared" si="0"/>
        <v>710350</v>
      </c>
    </row>
    <row r="28" spans="1:5" x14ac:dyDescent="0.3">
      <c r="B28" s="2">
        <v>5</v>
      </c>
      <c r="C28" s="35" t="s">
        <v>97</v>
      </c>
      <c r="D28" s="45">
        <f>+D119</f>
        <v>158640</v>
      </c>
      <c r="E28" s="59">
        <f t="shared" si="0"/>
        <v>524430</v>
      </c>
    </row>
    <row r="29" spans="1:5" x14ac:dyDescent="0.3">
      <c r="B29" s="2">
        <v>6</v>
      </c>
      <c r="C29" s="35" t="s">
        <v>98</v>
      </c>
      <c r="D29" s="45">
        <f>+D133</f>
        <v>39850</v>
      </c>
      <c r="E29" s="59">
        <f t="shared" si="0"/>
        <v>131730</v>
      </c>
    </row>
    <row r="30" spans="1:5" x14ac:dyDescent="0.3">
      <c r="B30" s="2">
        <v>7</v>
      </c>
      <c r="C30" s="35" t="s">
        <v>99</v>
      </c>
      <c r="D30" s="45">
        <f>+D146</f>
        <v>63180</v>
      </c>
      <c r="E30" s="59">
        <f t="shared" si="0"/>
        <v>208860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398840</v>
      </c>
      <c r="E33" s="60">
        <f t="shared" si="0"/>
        <v>1318480</v>
      </c>
    </row>
    <row r="34" spans="1:7" x14ac:dyDescent="0.3">
      <c r="C34" s="35" t="s">
        <v>112</v>
      </c>
      <c r="D34" s="44">
        <f>SUM(D24:D33)</f>
        <v>1849200</v>
      </c>
      <c r="E34" s="44">
        <f>SUM(E24:E33)</f>
        <v>6113060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239</v>
      </c>
      <c r="D36" s="56" t="s">
        <v>255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243</v>
      </c>
      <c r="D39" s="66" t="s">
        <v>256</v>
      </c>
      <c r="E39" s="66" t="s">
        <v>257</v>
      </c>
      <c r="G39" s="67"/>
    </row>
    <row r="40" spans="1:7" x14ac:dyDescent="0.3">
      <c r="A40" s="2">
        <v>1</v>
      </c>
      <c r="C40" s="38" t="s">
        <v>15</v>
      </c>
      <c r="D40" s="40">
        <v>89430</v>
      </c>
      <c r="E40" s="62">
        <f t="shared" ref="E40:E59" si="1">TRUNC(+D40*3.3058,-1)</f>
        <v>295630</v>
      </c>
    </row>
    <row r="41" spans="1:7" x14ac:dyDescent="0.3">
      <c r="A41" s="2">
        <v>2</v>
      </c>
      <c r="C41" s="38" t="s">
        <v>13</v>
      </c>
      <c r="D41" s="42">
        <v>454260</v>
      </c>
      <c r="E41" s="63">
        <f t="shared" si="1"/>
        <v>1501690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0</v>
      </c>
      <c r="E48" s="63">
        <f t="shared" si="1"/>
        <v>0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155</v>
      </c>
      <c r="D50" s="42">
        <v>0</v>
      </c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v>392100</v>
      </c>
      <c r="E58" s="63">
        <f t="shared" si="1"/>
        <v>1296200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935790</v>
      </c>
      <c r="E60" s="39">
        <f>SUM(E40:E59)</f>
        <v>3093520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240</v>
      </c>
      <c r="C62" s="55" t="s">
        <v>241</v>
      </c>
      <c r="D62" s="56" t="s">
        <v>255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v>38020</v>
      </c>
      <c r="E63" s="62">
        <f>TRUNC(+D63*3.3058,-1)</f>
        <v>125680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38020</v>
      </c>
      <c r="E66" s="57">
        <f>SUM(E63:E65)</f>
        <v>125680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242</v>
      </c>
      <c r="C68" s="55" t="s">
        <v>243</v>
      </c>
      <c r="D68" s="56" t="s">
        <v>255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v>38120</v>
      </c>
      <c r="E69" s="62">
        <f>TRUNC(+D69*3.3058,-1)</f>
        <v>126010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3790</v>
      </c>
      <c r="E90" s="63">
        <f>TRUNC(+D90*3.3058,-1)</f>
        <v>12520</v>
      </c>
    </row>
    <row r="91" spans="1:7" x14ac:dyDescent="0.3">
      <c r="A91" s="2">
        <v>23</v>
      </c>
      <c r="C91" s="38" t="s">
        <v>37</v>
      </c>
      <c r="D91" s="42">
        <v>73520</v>
      </c>
      <c r="E91" s="63">
        <f>TRUNC(+D91*3.3058,-1)</f>
        <v>243040</v>
      </c>
    </row>
    <row r="92" spans="1:7" x14ac:dyDescent="0.3">
      <c r="A92" s="2">
        <v>24</v>
      </c>
      <c r="C92" s="38" t="s">
        <v>38</v>
      </c>
      <c r="D92" s="42">
        <v>22220</v>
      </c>
      <c r="E92" s="63">
        <f>TRUNC(+D92*3.3058,-1)</f>
        <v>73450</v>
      </c>
    </row>
    <row r="93" spans="1:7" x14ac:dyDescent="0.3">
      <c r="A93" s="2">
        <v>25</v>
      </c>
      <c r="C93" s="38" t="s">
        <v>148</v>
      </c>
      <c r="D93" s="42">
        <v>77230</v>
      </c>
      <c r="E93" s="63">
        <f>TRUNC(+D93*3.3058,-1)</f>
        <v>255300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>TRUNC(+D94*3.3058,-1)</f>
        <v>0</v>
      </c>
    </row>
    <row r="95" spans="1:7" x14ac:dyDescent="0.3">
      <c r="A95" s="2">
        <v>27</v>
      </c>
      <c r="C95" s="27" t="s">
        <v>112</v>
      </c>
      <c r="D95" s="39">
        <f>SUM(D69:D94)</f>
        <v>214880</v>
      </c>
      <c r="E95" s="39">
        <f>SUM(E69:E94)</f>
        <v>710320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244</v>
      </c>
      <c r="C97" s="55" t="s">
        <v>243</v>
      </c>
      <c r="D97" s="56" t="s">
        <v>255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4"/>
        <v>0</v>
      </c>
    </row>
    <row r="100" spans="1:7" x14ac:dyDescent="0.3">
      <c r="A100" s="2">
        <v>3</v>
      </c>
      <c r="C100" s="38" t="s">
        <v>41</v>
      </c>
      <c r="D100" s="42">
        <v>34620</v>
      </c>
      <c r="E100" s="63">
        <f t="shared" si="4"/>
        <v>114440</v>
      </c>
      <c r="F100" s="2" t="s">
        <v>251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4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4"/>
        <v>0</v>
      </c>
    </row>
    <row r="116" spans="1:7" x14ac:dyDescent="0.3">
      <c r="A116" s="2">
        <v>19</v>
      </c>
      <c r="C116" s="38" t="s">
        <v>115</v>
      </c>
      <c r="D116" s="42">
        <v>42980</v>
      </c>
      <c r="E116" s="63">
        <f t="shared" si="4"/>
        <v>142080</v>
      </c>
    </row>
    <row r="117" spans="1:7" x14ac:dyDescent="0.3">
      <c r="A117" s="2">
        <v>20</v>
      </c>
      <c r="C117" s="38" t="s">
        <v>148</v>
      </c>
      <c r="D117" s="42">
        <v>70450</v>
      </c>
      <c r="E117" s="63">
        <f t="shared" si="4"/>
        <v>232890</v>
      </c>
    </row>
    <row r="118" spans="1:7" ht="17.25" thickBot="1" x14ac:dyDescent="0.35">
      <c r="A118" s="2">
        <v>21</v>
      </c>
      <c r="C118" s="38" t="s">
        <v>47</v>
      </c>
      <c r="D118" s="43">
        <v>10590</v>
      </c>
      <c r="E118" s="64">
        <f t="shared" si="4"/>
        <v>35000</v>
      </c>
      <c r="F118" s="2" t="s">
        <v>252</v>
      </c>
    </row>
    <row r="119" spans="1:7" x14ac:dyDescent="0.3">
      <c r="A119" s="2">
        <v>22</v>
      </c>
      <c r="C119" s="27" t="s">
        <v>112</v>
      </c>
      <c r="D119" s="39">
        <f>SUM(D98:D118)</f>
        <v>158640</v>
      </c>
      <c r="E119" s="39">
        <f>SUM(E98:E118)</f>
        <v>524410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245</v>
      </c>
      <c r="C121" s="55" t="s">
        <v>243</v>
      </c>
      <c r="D121" s="56" t="s">
        <v>255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v>16890</v>
      </c>
      <c r="E125" s="63">
        <f t="shared" si="5"/>
        <v>55830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10920</v>
      </c>
      <c r="E130" s="63">
        <f t="shared" si="5"/>
        <v>36090</v>
      </c>
    </row>
    <row r="131" spans="1:7" x14ac:dyDescent="0.3">
      <c r="A131" s="2">
        <v>10</v>
      </c>
      <c r="C131" s="38" t="s">
        <v>148</v>
      </c>
      <c r="D131" s="42">
        <v>6840</v>
      </c>
      <c r="E131" s="63">
        <f t="shared" si="5"/>
        <v>22610</v>
      </c>
    </row>
    <row r="132" spans="1:7" ht="17.25" thickBot="1" x14ac:dyDescent="0.35">
      <c r="A132" s="2">
        <v>11</v>
      </c>
      <c r="C132" s="38" t="s">
        <v>47</v>
      </c>
      <c r="D132" s="43">
        <f>2170+3030</f>
        <v>5200</v>
      </c>
      <c r="E132" s="64">
        <f t="shared" si="5"/>
        <v>17190</v>
      </c>
      <c r="F132" s="2" t="s">
        <v>253</v>
      </c>
    </row>
    <row r="133" spans="1:7" x14ac:dyDescent="0.3">
      <c r="A133" s="2">
        <v>12</v>
      </c>
      <c r="C133" s="27" t="s">
        <v>112</v>
      </c>
      <c r="D133" s="39">
        <f>SUM(D122:D132)</f>
        <v>39850</v>
      </c>
      <c r="E133" s="39">
        <f>SUM(E122:E132)</f>
        <v>131720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246</v>
      </c>
      <c r="C135" s="55" t="s">
        <v>243</v>
      </c>
      <c r="D135" s="56" t="s">
        <v>255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63180</v>
      </c>
      <c r="E136" s="62">
        <f t="shared" ref="E136:E145" si="6">TRUNC(+D136*3.3058,-1)</f>
        <v>208860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6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63180</v>
      </c>
      <c r="E146" s="39">
        <f>SUM(E136:E145)</f>
        <v>208860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247</v>
      </c>
      <c r="C148" s="55" t="s">
        <v>243</v>
      </c>
      <c r="D148" s="56" t="s">
        <v>255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248</v>
      </c>
      <c r="C156" s="55" t="s">
        <v>243</v>
      </c>
      <c r="D156" s="56" t="s">
        <v>255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2020-12-07T08:52:53Z</dcterms:modified>
</cp:coreProperties>
</file>