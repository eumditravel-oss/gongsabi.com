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41" i="4"/>
  <c r="E139" i="4"/>
  <c r="E138" i="4"/>
  <c r="E136" i="4"/>
  <c r="E131" i="4"/>
  <c r="E129" i="4"/>
  <c r="E128" i="4"/>
  <c r="E127" i="4"/>
  <c r="E123" i="4"/>
  <c r="E117" i="4"/>
  <c r="E115" i="4"/>
  <c r="E113" i="4"/>
  <c r="E112" i="4"/>
  <c r="E111" i="4"/>
  <c r="E110" i="4"/>
  <c r="E109" i="4"/>
  <c r="E108" i="4"/>
  <c r="E107" i="4"/>
  <c r="E106" i="4"/>
  <c r="E105" i="4"/>
  <c r="E101" i="4"/>
  <c r="E99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4" i="4"/>
  <c r="E65" i="4"/>
  <c r="E64" i="4"/>
  <c r="E57" i="4"/>
  <c r="E56" i="4"/>
  <c r="E55" i="4"/>
  <c r="E54" i="4"/>
  <c r="E51" i="4"/>
  <c r="E47" i="4"/>
  <c r="E42" i="4"/>
  <c r="E41" i="4"/>
  <c r="E37" i="4"/>
  <c r="D159" i="4" l="1"/>
  <c r="E159" i="4" s="1"/>
  <c r="D158" i="4"/>
  <c r="E158" i="4" s="1"/>
  <c r="D157" i="4"/>
  <c r="E157" i="4" s="1"/>
  <c r="D153" i="4"/>
  <c r="E153" i="4" s="1"/>
  <c r="D152" i="4"/>
  <c r="E152" i="4" s="1"/>
  <c r="D151" i="4"/>
  <c r="E151" i="4" s="1"/>
  <c r="D150" i="4"/>
  <c r="E150" i="4" s="1"/>
  <c r="D149" i="4"/>
  <c r="E149" i="4" s="1"/>
  <c r="D145" i="4"/>
  <c r="E145" i="4" s="1"/>
  <c r="D144" i="4"/>
  <c r="E144" i="4" s="1"/>
  <c r="D143" i="4"/>
  <c r="E143" i="4" s="1"/>
  <c r="D142" i="4"/>
  <c r="E142" i="4" s="1"/>
  <c r="D140" i="4"/>
  <c r="E140" i="4" s="1"/>
  <c r="D137" i="4"/>
  <c r="E137" i="4" s="1"/>
  <c r="E146" i="4" s="1"/>
  <c r="D132" i="4"/>
  <c r="E132" i="4" s="1"/>
  <c r="D130" i="4"/>
  <c r="E130" i="4" s="1"/>
  <c r="D126" i="4"/>
  <c r="E126" i="4" s="1"/>
  <c r="D125" i="4"/>
  <c r="E125" i="4" s="1"/>
  <c r="E133" i="4" s="1"/>
  <c r="D124" i="4"/>
  <c r="E124" i="4" s="1"/>
  <c r="D122" i="4"/>
  <c r="E122" i="4" s="1"/>
  <c r="D118" i="4"/>
  <c r="E118" i="4" s="1"/>
  <c r="D116" i="4"/>
  <c r="E116" i="4" s="1"/>
  <c r="D114" i="4"/>
  <c r="E114" i="4" s="1"/>
  <c r="D104" i="4"/>
  <c r="E104" i="4" s="1"/>
  <c r="D103" i="4"/>
  <c r="E103" i="4" s="1"/>
  <c r="D102" i="4"/>
  <c r="E102" i="4" s="1"/>
  <c r="D100" i="4"/>
  <c r="E100" i="4" s="1"/>
  <c r="D98" i="4"/>
  <c r="E98" i="4" s="1"/>
  <c r="E119" i="4" s="1"/>
  <c r="D94" i="4"/>
  <c r="E94" i="4" s="1"/>
  <c r="D93" i="4"/>
  <c r="E93" i="4" s="1"/>
  <c r="D92" i="4"/>
  <c r="E92" i="4" s="1"/>
  <c r="D91" i="4"/>
  <c r="E91" i="4" s="1"/>
  <c r="D89" i="4"/>
  <c r="E89" i="4" s="1"/>
  <c r="D75" i="4"/>
  <c r="E75" i="4" s="1"/>
  <c r="D73" i="4"/>
  <c r="E73" i="4" s="1"/>
  <c r="D72" i="4"/>
  <c r="E72" i="4" s="1"/>
  <c r="D71" i="4"/>
  <c r="E71" i="4" s="1"/>
  <c r="D70" i="4"/>
  <c r="E70" i="4" s="1"/>
  <c r="D69" i="4"/>
  <c r="E69" i="4" s="1"/>
  <c r="D63" i="4"/>
  <c r="E63" i="4" s="1"/>
  <c r="E66" i="4" s="1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0" i="4"/>
  <c r="E40" i="4" s="1"/>
  <c r="E60" i="4" l="1"/>
  <c r="E154" i="4"/>
  <c r="E95" i="4"/>
  <c r="E161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<sst xmlns="http://schemas.openxmlformats.org/spreadsheetml/2006/main" count="397" uniqueCount="268">
  <si>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</si>
  <si>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</si>
  <si>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</si>
  <si>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</si>
  <si>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</si>
  <si>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</si>
  <si>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</si>
  <si>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</si>
  <si>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</si>
  <si>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</si>
  <si>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</si>
  <si>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</si>
  <si>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</si>
  <si>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</si>
  <si>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</si>
  <si>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</si>
  <si>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</si>
  <si>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</si>
  <si>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</si>
  <si>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</si>
  <si>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</si>
  <si>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</si>
  <si>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</si>
  <si>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</si>
  <si>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</si>
  <si>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</si>
  <si>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</si>
  <si>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</si>
  <si>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</si>
  <si>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</si>
  <si>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</si>
  <si>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</si>
  <si>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</si>
  <si>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</si>
  <si>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</si>
  <si>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</si>
  <si>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</si>
  <si>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</si>
  <si>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</si>
  <si>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</si>
  <si>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</si>
  <si>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</si>
  <si>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</si>
  <si>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</si>
  <si>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</si>
  <si>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</si>
  <si>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</si>
  <si>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</si>
  <si>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</si>
  <si>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</si>
  <si>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</si>
  <si>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</si>
  <si>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</si>
  <si>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</si>
  <si>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</si>
  <si>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</si>
  <si>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</si>
  <si>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</si>
  <si>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</si>
  <si>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</si>
  <si>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</si>
  <si>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</si>
  <si>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</si>
  <si>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</si>
  <si>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</si>
  <si>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</si>
  <si>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</si>
  <si>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</si>
  <si>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</si>
  <si>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</si>
  <si>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</si>
  <si>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</si>
  <si>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</si>
  <si>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</si>
  <si>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</si>
  <si>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</si>
  <si>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</si>
  <si>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</si>
  <si>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</si>
  <si>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</si>
  <si>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</si>
  <si>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</si>
  <si>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</si>
  <si>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</si>
  <si>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</si>
  <si>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</si>
  <si>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</si>
  <si>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</si>
  <si>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</si>
  <si>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</si>
  <si>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</si>
  <si>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</si>
  <si>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</si>
  <si>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</si>
  <si>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</si>
  <si>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</si>
  <si>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</si>
  <si>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</si>
  <si>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</si>
  <si>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</si>
  <si>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</si>
  <si>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</si>
  <si>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</si>
  <si>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</si>
  <si>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</si>
  <si>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</si>
  <si>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</si>
  <si>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</si>
  <si>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</si>
  <si>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</si>
  <si>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</si>
  <si>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</si>
  <si>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</si>
  <si>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</si>
  <si>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</si>
  <si>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</si>
  <si>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</si>
  <si>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</si>
  <si>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</si>
  <si>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</si>
  <si>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</si>
  <si>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</si>
  <si>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</si>
  <si>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</si>
  <si>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</si>
  <si>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</si>
  <si>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</si>
  <si>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</si>
  <si>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</si>
  <si>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</si>
  <si>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</si>
  <si>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</si>
  <si>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</si>
  <si>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</si>
  <si>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</si>
  <si>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</si>
  <si>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</si>
  <si>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</si>
  <si>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</si>
  <si>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</si>
  <si>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</si>
  <si>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</si>
  <si>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</si>
  <si>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</si>
  <si>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</si>
  <si>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</si>
  <si>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</si>
  <si>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</si>
  <si>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</si>
  <si>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</si>
  <si>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</si>
  <si>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</si>
  <si>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</si>
  <si>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</si>
  <si>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</si>
  <si>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</si>
  <si>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</si>
  <si>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</si>
  <si>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</si>
  <si>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</si>
  <si>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</si>
  <si>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</si>
  <si>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</si>
  <si>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</si>
  <si>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</si>
  <si>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</si>
  <si>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</si>
  <si>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</si>
  <si>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</si>
  <si>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</si>
  <si>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</si>
  <si>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</si>
  <si>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</si>
  <si>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</si>
  <si>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</si>
  <si>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</si>
  <si>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</si>
  <si>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</si>
  <si>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</si>
  <si>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</si>
  <si>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</si>
  <si>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</si>
  <si>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</si>
  <si>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</si>
  <si>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</si>
  <si>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</si>
  <si>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</si>
  <si>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</si>
  <si>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</si>
  <si>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</si>
  <si>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</si>
  <si>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</si>
  <si>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</si>
  <si>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</si>
  <si>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</si>
  <si>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</si>
  <si>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</si>
  <si>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</si>
  <si>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</si>
  <si>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</si>
  <si>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</si>
  <si>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</si>
  <si>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</si>
  <si>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</si>
  <si>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</si>
  <si>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</si>
  <si>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</si>
  <si>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</si>
  <si>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</si>
  <si>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</si>
  <si>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</si>
  <si>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</si>
  <si>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</si>
  <si>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</si>
  <si>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</si>
  <si>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</si>
  <si>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</si>
  <si>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</si>
  <si>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</si>
  <si>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</si>
  <si>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</si>
  <si>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</si>
  <si>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</si>
  <si>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</si>
  <si>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</si>
  <si>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</si>
  <si>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</si>
  <si>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</si>
  <si>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</si>
  <si>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</si>
  <si>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</si>
  <si>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</si>
  <si>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</si>
  <si>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</si>
  <si>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</si>
  <si>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</si>
  <si>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</si>
  <si>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</si>
  <si>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</si>
  <si>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</si>
  <si>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</si>
  <si>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</si>
  <si>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</si>
  <si>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</si>
  <si>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</si>
  <si>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</si>
  <si>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</si>
  <si>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</si>
  <si>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</si>
  <si>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</si>
  <si>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</si>
  <si>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</si>
  <si>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</si>
  <si>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포장공사</t>
    <phoneticPr fontId="2" type="noConversion"/>
  </si>
  <si>
    <t>청도 국가산림교육센터 건립공사(건설)</t>
    <phoneticPr fontId="2" type="noConversion"/>
  </si>
  <si>
    <t>교육연구</t>
  </si>
  <si>
    <t>경상도</t>
  </si>
  <si>
    <t>기초공사,폐기물처리비, 골재비및운반비, 작업부산물, 품질시험비, 기타공사</t>
    <phoneticPr fontId="2" type="noConversion"/>
  </si>
  <si>
    <t>공조배관공사, 바닥난방공사, 기타공사</t>
    <phoneticPr fontId="2" type="noConversion"/>
  </si>
  <si>
    <t>기타공사</t>
    <phoneticPr fontId="2" type="noConversion"/>
  </si>
  <si>
    <t>옥외소화배관공사, 기타공사</t>
    <phoneticPr fontId="2" type="noConversion"/>
  </si>
  <si>
    <t>토목 상수도공사, 사급자재비, 운반비, 기타공사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</si>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</sst>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3742.84</v>
      </c>
      <c r="D7" s="36">
        <f>+C7/3.3058</f>
        <v>1132.2040050819771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262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7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1522520</v>
      </c>
      <c r="E25" s="58">
        <f t="shared" si="0"/>
        <v>5033140</v>
      </c>
    </row>
    <row r="26" spans="1:5" x14ac:dyDescent="0.3">
      <c r="B26" s="2">
        <v>3</v>
      </c>
      <c r="C26" s="35" t="s">
        <v>95</v>
      </c>
      <c r="D26" s="45">
        <f>+D66</f>
        <v>77480</v>
      </c>
      <c r="E26" s="58">
        <f t="shared" si="0"/>
        <v>256130</v>
      </c>
    </row>
    <row r="27" spans="1:5" x14ac:dyDescent="0.3">
      <c r="B27" s="2">
        <v>4</v>
      </c>
      <c r="C27" s="35" t="s">
        <v>96</v>
      </c>
      <c r="D27" s="45">
        <f>+D95</f>
        <v>411210</v>
      </c>
      <c r="E27" s="58">
        <f t="shared" si="0"/>
        <v>1359370</v>
      </c>
    </row>
    <row r="28" spans="1:5" x14ac:dyDescent="0.3">
      <c r="B28" s="2">
        <v>5</v>
      </c>
      <c r="C28" s="35" t="s">
        <v>97</v>
      </c>
      <c r="D28" s="45">
        <f>+D119</f>
        <v>303350</v>
      </c>
      <c r="E28" s="58">
        <f t="shared" si="0"/>
        <v>1002810</v>
      </c>
    </row>
    <row r="29" spans="1:5" x14ac:dyDescent="0.3">
      <c r="B29" s="2">
        <v>6</v>
      </c>
      <c r="C29" s="35" t="s">
        <v>98</v>
      </c>
      <c r="D29" s="45">
        <f>+D133</f>
        <v>164060</v>
      </c>
      <c r="E29" s="58">
        <f t="shared" si="0"/>
        <v>542340</v>
      </c>
    </row>
    <row r="30" spans="1:5" x14ac:dyDescent="0.3">
      <c r="B30" s="2">
        <v>7</v>
      </c>
      <c r="C30" s="35" t="s">
        <v>99</v>
      </c>
      <c r="D30" s="45">
        <f>+D146</f>
        <v>77580</v>
      </c>
      <c r="E30" s="58">
        <f t="shared" si="0"/>
        <v>256460</v>
      </c>
    </row>
    <row r="31" spans="1:5" x14ac:dyDescent="0.3">
      <c r="B31" s="2">
        <v>8</v>
      </c>
      <c r="C31" s="35" t="s">
        <v>100</v>
      </c>
      <c r="D31" s="45">
        <f>+D154</f>
        <v>325850</v>
      </c>
      <c r="E31" s="58">
        <f t="shared" si="0"/>
        <v>1077190</v>
      </c>
    </row>
    <row r="32" spans="1:5" x14ac:dyDescent="0.3">
      <c r="B32" s="2">
        <v>9</v>
      </c>
      <c r="C32" s="35" t="s">
        <v>101</v>
      </c>
      <c r="D32" s="45">
        <f>+D161</f>
        <v>106930</v>
      </c>
      <c r="E32" s="58">
        <f t="shared" si="0"/>
        <v>353480</v>
      </c>
    </row>
    <row r="33" spans="1:7" x14ac:dyDescent="0.3">
      <c r="B33" s="2">
        <v>10</v>
      </c>
      <c r="C33" s="35" t="s">
        <v>153</v>
      </c>
      <c r="D33" s="53">
        <f>TRUNC(SUM(D24:D32)*0.275,-1)</f>
        <v>821960</v>
      </c>
      <c r="E33" s="59">
        <f t="shared" si="0"/>
        <v>2717230</v>
      </c>
    </row>
    <row r="34" spans="1:7" x14ac:dyDescent="0.3">
      <c r="C34" s="35" t="s">
        <v>112</v>
      </c>
      <c r="D34" s="44">
        <f>SUM(D24:D33)</f>
        <v>3810940</v>
      </c>
      <c r="E34" s="44">
        <f>SUM(E24:E33)</f>
        <v>12598150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234</v>
      </c>
      <c r="E36" s="56" t="s">
        <v>262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0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241</v>
      </c>
      <c r="D39" s="66" t="s">
        <v>263</v>
      </c>
      <c r="E39" s="66" t="s">
        <v>264</v>
      </c>
      <c r="G39" s="67"/>
    </row>
    <row r="40" spans="1:7" x14ac:dyDescent="0.3">
      <c r="A40" s="2">
        <v>1</v>
      </c>
      <c r="C40" s="38" t="s">
        <v>15</v>
      </c>
      <c r="D40" s="40">
        <f>TRUNC(70083,-1)</f>
        <v>70080</v>
      </c>
      <c r="E40" s="61">
        <f t="shared" ref="E40:E59" si="1">TRUNC(+D40*3.3058,-1)</f>
        <v>231670</v>
      </c>
    </row>
    <row r="41" spans="1:7" x14ac:dyDescent="0.3">
      <c r="A41" s="2">
        <v>2</v>
      </c>
      <c r="C41" s="38" t="s">
        <v>13</v>
      </c>
      <c r="D41" s="42">
        <v>149870</v>
      </c>
      <c r="E41" s="62">
        <f t="shared" si="1"/>
        <v>495440</v>
      </c>
    </row>
    <row r="42" spans="1:7" x14ac:dyDescent="0.3">
      <c r="A42" s="2">
        <v>3</v>
      </c>
      <c r="C42" s="38" t="s">
        <v>14</v>
      </c>
      <c r="D42" s="42">
        <v>0</v>
      </c>
      <c r="E42" s="62">
        <f t="shared" si="1"/>
        <v>0</v>
      </c>
    </row>
    <row r="43" spans="1:7" x14ac:dyDescent="0.3">
      <c r="A43" s="2">
        <v>4</v>
      </c>
      <c r="C43" s="38" t="s">
        <v>16</v>
      </c>
      <c r="D43" s="42">
        <f>TRUNC(40511,-1)</f>
        <v>40510</v>
      </c>
      <c r="E43" s="62">
        <f t="shared" si="1"/>
        <v>133910</v>
      </c>
    </row>
    <row r="44" spans="1:7" x14ac:dyDescent="0.3">
      <c r="A44" s="2">
        <v>5</v>
      </c>
      <c r="C44" s="38" t="s">
        <v>17</v>
      </c>
      <c r="D44" s="42">
        <f>TRUNC(21923,-1)</f>
        <v>21920</v>
      </c>
      <c r="E44" s="62">
        <f t="shared" si="1"/>
        <v>72460</v>
      </c>
    </row>
    <row r="45" spans="1:7" x14ac:dyDescent="0.3">
      <c r="A45" s="2">
        <v>6</v>
      </c>
      <c r="C45" s="38" t="s">
        <v>18</v>
      </c>
      <c r="D45" s="42">
        <f>TRUNC(23071,-1)</f>
        <v>23070</v>
      </c>
      <c r="E45" s="62">
        <f t="shared" si="1"/>
        <v>76260</v>
      </c>
    </row>
    <row r="46" spans="1:7" x14ac:dyDescent="0.3">
      <c r="A46" s="2">
        <v>7</v>
      </c>
      <c r="C46" s="38" t="s">
        <v>19</v>
      </c>
      <c r="D46" s="42">
        <f>TRUNC(5852,-1)</f>
        <v>5850</v>
      </c>
      <c r="E46" s="62">
        <f t="shared" si="1"/>
        <v>19330</v>
      </c>
    </row>
    <row r="47" spans="1:7" x14ac:dyDescent="0.3">
      <c r="A47" s="2">
        <v>8</v>
      </c>
      <c r="C47" s="38" t="s">
        <v>20</v>
      </c>
      <c r="D47" s="42">
        <v>0</v>
      </c>
      <c r="E47" s="62">
        <f t="shared" si="1"/>
        <v>0</v>
      </c>
    </row>
    <row r="48" spans="1:7" x14ac:dyDescent="0.3">
      <c r="A48" s="2">
        <v>9</v>
      </c>
      <c r="C48" s="38" t="s">
        <v>21</v>
      </c>
      <c r="D48" s="42">
        <f>TRUNC(168315,-1)</f>
        <v>168310</v>
      </c>
      <c r="E48" s="62">
        <f t="shared" si="1"/>
        <v>556390</v>
      </c>
      <c r="F48" s="2" t="s">
        <v>247</v>
      </c>
    </row>
    <row r="49" spans="1:7" x14ac:dyDescent="0.3">
      <c r="A49" s="2">
        <v>10</v>
      </c>
      <c r="C49" s="38" t="s">
        <v>22</v>
      </c>
      <c r="D49" s="42">
        <f>TRUNC(29768,-1)</f>
        <v>29760</v>
      </c>
      <c r="E49" s="62">
        <f t="shared" si="1"/>
        <v>98380</v>
      </c>
    </row>
    <row r="50" spans="1:7" x14ac:dyDescent="0.3">
      <c r="A50" s="2">
        <v>11</v>
      </c>
      <c r="C50" s="38" t="s">
        <v>154</v>
      </c>
      <c r="D50" s="42">
        <f>TRUNC(65737,-1)</f>
        <v>65730</v>
      </c>
      <c r="E50" s="62">
        <f t="shared" si="1"/>
        <v>217290</v>
      </c>
      <c r="F50" s="2" t="s">
        <v>248</v>
      </c>
    </row>
    <row r="51" spans="1:7" x14ac:dyDescent="0.3">
      <c r="A51" s="2">
        <v>12</v>
      </c>
      <c r="C51" s="38" t="s">
        <v>23</v>
      </c>
      <c r="D51" s="42">
        <v>0</v>
      </c>
      <c r="E51" s="62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TRUNC(17492,-1)</f>
        <v>17490</v>
      </c>
      <c r="E52" s="62">
        <f t="shared" si="1"/>
        <v>57810</v>
      </c>
    </row>
    <row r="53" spans="1:7" x14ac:dyDescent="0.3">
      <c r="A53" s="2">
        <v>14</v>
      </c>
      <c r="C53" s="38" t="s">
        <v>25</v>
      </c>
      <c r="D53" s="42">
        <f>TRUNC(545562,-1)</f>
        <v>545560</v>
      </c>
      <c r="E53" s="62">
        <f t="shared" si="1"/>
        <v>1803510</v>
      </c>
      <c r="F53" s="2" t="s">
        <v>249</v>
      </c>
    </row>
    <row r="54" spans="1:7" x14ac:dyDescent="0.3">
      <c r="A54" s="2">
        <v>15</v>
      </c>
      <c r="C54" s="38" t="s">
        <v>147</v>
      </c>
      <c r="D54" s="42">
        <v>0</v>
      </c>
      <c r="E54" s="62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2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2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2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TRUNC(8686+1122+8839-468+3210+10118,-1)</f>
        <v>31500</v>
      </c>
      <c r="E58" s="62">
        <f t="shared" si="1"/>
        <v>104130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f>TRUNC(352878,-1)</f>
        <v>352870</v>
      </c>
      <c r="E59" s="63">
        <f t="shared" si="1"/>
        <v>1166510</v>
      </c>
    </row>
    <row r="60" spans="1:7" x14ac:dyDescent="0.3">
      <c r="A60" s="2">
        <v>21</v>
      </c>
      <c r="C60" s="27" t="s">
        <v>112</v>
      </c>
      <c r="D60" s="39">
        <f>SUM(D40:D59)</f>
        <v>1522520</v>
      </c>
      <c r="E60" s="39">
        <f>SUM(E40:E59)</f>
        <v>5033090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236</v>
      </c>
      <c r="E62" s="56" t="s">
        <v>262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TRUNC(77489,-1)</f>
        <v>77480</v>
      </c>
      <c r="E63" s="61">
        <f>TRUNC(+D63*3.3058,-1)</f>
        <v>256130</v>
      </c>
    </row>
    <row r="64" spans="1:7" x14ac:dyDescent="0.3">
      <c r="A64" s="2">
        <v>2</v>
      </c>
      <c r="C64" s="38" t="s">
        <v>29</v>
      </c>
      <c r="D64" s="42">
        <v>0</v>
      </c>
      <c r="E64" s="62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3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77480</v>
      </c>
      <c r="E66" s="64">
        <f>SUM(E63:E65)</f>
        <v>256130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240</v>
      </c>
      <c r="C68" s="55" t="s">
        <v>241</v>
      </c>
      <c r="D68" s="56" t="s">
        <v>234</v>
      </c>
      <c r="E68" s="56" t="s">
        <v>262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TRUNC(19571,-1)</f>
        <v>19570</v>
      </c>
      <c r="E69" s="61">
        <f t="shared" ref="E69:E94" si="2">TRUNC(+D69*3.3058,-1)</f>
        <v>64690</v>
      </c>
    </row>
    <row r="70" spans="1:7" ht="16.5" customHeight="1" x14ac:dyDescent="0.3">
      <c r="A70" s="2">
        <v>2</v>
      </c>
      <c r="C70" s="38" t="s">
        <v>31</v>
      </c>
      <c r="D70" s="42">
        <f>TRUNC(7567,-1)</f>
        <v>7560</v>
      </c>
      <c r="E70" s="62">
        <f t="shared" si="2"/>
        <v>24990</v>
      </c>
    </row>
    <row r="71" spans="1:7" x14ac:dyDescent="0.3">
      <c r="A71" s="2">
        <v>3</v>
      </c>
      <c r="C71" s="38" t="s">
        <v>32</v>
      </c>
      <c r="D71" s="42">
        <f>TRUNC(9558,-1)</f>
        <v>9550</v>
      </c>
      <c r="E71" s="62">
        <f t="shared" si="2"/>
        <v>31570</v>
      </c>
    </row>
    <row r="72" spans="1:7" x14ac:dyDescent="0.3">
      <c r="A72" s="2">
        <v>4</v>
      </c>
      <c r="C72" s="38" t="s">
        <v>33</v>
      </c>
      <c r="D72" s="42">
        <f>TRUNC(1836,-1)</f>
        <v>1830</v>
      </c>
      <c r="E72" s="62">
        <f t="shared" si="2"/>
        <v>6040</v>
      </c>
    </row>
    <row r="73" spans="1:7" x14ac:dyDescent="0.3">
      <c r="A73" s="2">
        <v>5</v>
      </c>
      <c r="C73" s="38" t="s">
        <v>34</v>
      </c>
      <c r="D73" s="42">
        <f>TRUNC(12182,-1)</f>
        <v>12180</v>
      </c>
      <c r="E73" s="62">
        <f t="shared" si="2"/>
        <v>40260</v>
      </c>
    </row>
    <row r="74" spans="1:7" x14ac:dyDescent="0.3">
      <c r="A74" s="2">
        <v>6</v>
      </c>
      <c r="C74" s="38" t="s">
        <v>175</v>
      </c>
      <c r="D74" s="42">
        <v>0</v>
      </c>
      <c r="E74" s="62">
        <f t="shared" si="2"/>
        <v>0</v>
      </c>
    </row>
    <row r="75" spans="1:7" x14ac:dyDescent="0.3">
      <c r="A75" s="2">
        <v>7</v>
      </c>
      <c r="C75" s="38" t="s">
        <v>140</v>
      </c>
      <c r="D75" s="42">
        <f>TRUNC(624,-1)</f>
        <v>620</v>
      </c>
      <c r="E75" s="62">
        <f t="shared" si="2"/>
        <v>2040</v>
      </c>
    </row>
    <row r="76" spans="1:7" x14ac:dyDescent="0.3">
      <c r="A76" s="2">
        <v>8</v>
      </c>
      <c r="C76" s="38" t="s">
        <v>119</v>
      </c>
      <c r="D76" s="42">
        <v>0</v>
      </c>
      <c r="E76" s="62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2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2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2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2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2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2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2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2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2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2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2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2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TRUNC(11059,-1)</f>
        <v>11050</v>
      </c>
      <c r="E89" s="62">
        <f t="shared" si="2"/>
        <v>36520</v>
      </c>
    </row>
    <row r="90" spans="1:7" x14ac:dyDescent="0.3">
      <c r="A90" s="2">
        <v>22</v>
      </c>
      <c r="C90" s="38" t="s">
        <v>36</v>
      </c>
      <c r="D90" s="42">
        <v>0</v>
      </c>
      <c r="E90" s="62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TRUNC(12025,-1)</f>
        <v>12020</v>
      </c>
      <c r="E91" s="62">
        <f t="shared" si="2"/>
        <v>39730</v>
      </c>
    </row>
    <row r="92" spans="1:7" x14ac:dyDescent="0.3">
      <c r="A92" s="2">
        <v>24</v>
      </c>
      <c r="C92" s="38" t="s">
        <v>38</v>
      </c>
      <c r="D92" s="42">
        <f>TRUNC(9288,-1)</f>
        <v>9280</v>
      </c>
      <c r="E92" s="62">
        <f t="shared" si="2"/>
        <v>30670</v>
      </c>
    </row>
    <row r="93" spans="1:7" x14ac:dyDescent="0.3">
      <c r="A93" s="2">
        <v>25</v>
      </c>
      <c r="C93" s="38" t="s">
        <v>148</v>
      </c>
      <c r="D93" s="42">
        <f>TRUNC(271078,-1)</f>
        <v>271070</v>
      </c>
      <c r="E93" s="62">
        <f t="shared" si="2"/>
        <v>896100</v>
      </c>
    </row>
    <row r="94" spans="1:7" ht="17.25" thickBot="1" x14ac:dyDescent="0.35">
      <c r="A94" s="2">
        <v>26</v>
      </c>
      <c r="C94" s="38" t="s">
        <v>47</v>
      </c>
      <c r="D94" s="43">
        <f>TRUNC(12860+7437+36189,-1)</f>
        <v>56480</v>
      </c>
      <c r="E94" s="63">
        <f t="shared" si="2"/>
        <v>186710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411210</v>
      </c>
      <c r="E95" s="39">
        <f>SUM(E69:E94)</f>
        <v>1359320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242</v>
      </c>
      <c r="C97" s="55" t="s">
        <v>241</v>
      </c>
      <c r="D97" s="56" t="s">
        <v>234</v>
      </c>
      <c r="E97" s="56" t="s">
        <v>262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TRUNC(58617,-1)</f>
        <v>58610</v>
      </c>
      <c r="E98" s="61">
        <f t="shared" ref="E98:E118" si="3">TRUNC(+D98*3.3058,-1)</f>
        <v>193750</v>
      </c>
    </row>
    <row r="99" spans="1:7" x14ac:dyDescent="0.3">
      <c r="A99" s="2">
        <v>2</v>
      </c>
      <c r="C99" s="38" t="s">
        <v>40</v>
      </c>
      <c r="D99" s="42">
        <v>0</v>
      </c>
      <c r="E99" s="62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TRUNC(35979,-1)</f>
        <v>35970</v>
      </c>
      <c r="E100" s="62">
        <f t="shared" si="3"/>
        <v>118900</v>
      </c>
    </row>
    <row r="101" spans="1:7" x14ac:dyDescent="0.3">
      <c r="A101" s="2">
        <v>4</v>
      </c>
      <c r="C101" s="38" t="s">
        <v>42</v>
      </c>
      <c r="D101" s="42">
        <v>0</v>
      </c>
      <c r="E101" s="62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TRUNC(17759,-1)</f>
        <v>17750</v>
      </c>
      <c r="E102" s="62">
        <f t="shared" si="3"/>
        <v>58670</v>
      </c>
    </row>
    <row r="103" spans="1:7" x14ac:dyDescent="0.3">
      <c r="A103" s="2">
        <v>6</v>
      </c>
      <c r="C103" s="38" t="s">
        <v>44</v>
      </c>
      <c r="D103" s="42">
        <f>TRUNC(13264,-1)</f>
        <v>13260</v>
      </c>
      <c r="E103" s="62">
        <f t="shared" si="3"/>
        <v>43830</v>
      </c>
    </row>
    <row r="104" spans="1:7" x14ac:dyDescent="0.3">
      <c r="A104" s="2">
        <v>7</v>
      </c>
      <c r="C104" s="38" t="s">
        <v>45</v>
      </c>
      <c r="D104" s="42">
        <f>TRUNC(10079,-1)</f>
        <v>10070</v>
      </c>
      <c r="E104" s="62">
        <f t="shared" si="3"/>
        <v>33280</v>
      </c>
    </row>
    <row r="105" spans="1:7" x14ac:dyDescent="0.3">
      <c r="A105" s="2">
        <v>8</v>
      </c>
      <c r="C105" s="38" t="s">
        <v>46</v>
      </c>
      <c r="D105" s="42">
        <v>0</v>
      </c>
      <c r="E105" s="62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2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2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2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2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2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2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2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2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TRUNC(21053,-1)</f>
        <v>21050</v>
      </c>
      <c r="E114" s="62">
        <f t="shared" si="3"/>
        <v>69580</v>
      </c>
      <c r="F114" s="2" t="s">
        <v>250</v>
      </c>
    </row>
    <row r="115" spans="1:7" x14ac:dyDescent="0.3">
      <c r="A115" s="2">
        <v>18</v>
      </c>
      <c r="C115" s="38" t="s">
        <v>116</v>
      </c>
      <c r="D115" s="42">
        <v>0</v>
      </c>
      <c r="E115" s="62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TRUNC(20812,-1)</f>
        <v>20810</v>
      </c>
      <c r="E116" s="62">
        <f t="shared" si="3"/>
        <v>68790</v>
      </c>
    </row>
    <row r="117" spans="1:7" x14ac:dyDescent="0.3">
      <c r="A117" s="2">
        <v>20</v>
      </c>
      <c r="C117" s="38" t="s">
        <v>148</v>
      </c>
      <c r="D117" s="42">
        <v>119460</v>
      </c>
      <c r="E117" s="62">
        <f t="shared" si="3"/>
        <v>394910</v>
      </c>
    </row>
    <row r="118" spans="1:7" ht="17.25" thickBot="1" x14ac:dyDescent="0.35">
      <c r="A118" s="2">
        <v>21</v>
      </c>
      <c r="C118" s="38" t="s">
        <v>47</v>
      </c>
      <c r="D118" s="43">
        <f>TRUNC(6374,-1)</f>
        <v>6370</v>
      </c>
      <c r="E118" s="63">
        <f t="shared" si="3"/>
        <v>21050</v>
      </c>
      <c r="F118" s="2" t="s">
        <v>259</v>
      </c>
    </row>
    <row r="119" spans="1:7" x14ac:dyDescent="0.3">
      <c r="A119" s="2">
        <v>22</v>
      </c>
      <c r="C119" s="27" t="s">
        <v>112</v>
      </c>
      <c r="D119" s="39">
        <f>SUM(D98:D118)</f>
        <v>303350</v>
      </c>
      <c r="E119" s="39">
        <f>SUM(E98:E118)</f>
        <v>1002760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243</v>
      </c>
      <c r="C121" s="55" t="s">
        <v>241</v>
      </c>
      <c r="D121" s="56" t="s">
        <v>234</v>
      </c>
      <c r="E121" s="56" t="s">
        <v>262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TRUNC(13247,-1)</f>
        <v>13240</v>
      </c>
      <c r="E122" s="61">
        <f t="shared" ref="E122:E132" si="4">TRUNC(+D122*3.3058,-1)</f>
        <v>43760</v>
      </c>
      <c r="F122" s="2" t="s">
        <v>251</v>
      </c>
    </row>
    <row r="123" spans="1:7" x14ac:dyDescent="0.3">
      <c r="A123" s="2">
        <v>2</v>
      </c>
      <c r="C123" s="38" t="s">
        <v>124</v>
      </c>
      <c r="D123" s="42">
        <v>0</v>
      </c>
      <c r="E123" s="62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TRUNC(1696,-1)</f>
        <v>1690</v>
      </c>
      <c r="E124" s="62">
        <f t="shared" si="4"/>
        <v>5580</v>
      </c>
    </row>
    <row r="125" spans="1:7" x14ac:dyDescent="0.3">
      <c r="A125" s="2">
        <v>4</v>
      </c>
      <c r="C125" s="38" t="s">
        <v>138</v>
      </c>
      <c r="D125" s="42">
        <f>TRUNC(9207,-1)</f>
        <v>9200</v>
      </c>
      <c r="E125" s="62">
        <f t="shared" si="4"/>
        <v>30410</v>
      </c>
    </row>
    <row r="126" spans="1:7" x14ac:dyDescent="0.3">
      <c r="A126" s="2">
        <v>5</v>
      </c>
      <c r="C126" s="38" t="s">
        <v>53</v>
      </c>
      <c r="D126" s="42">
        <f>TRUNC(14925,-1)</f>
        <v>14920</v>
      </c>
      <c r="E126" s="62">
        <f t="shared" si="4"/>
        <v>49320</v>
      </c>
    </row>
    <row r="127" spans="1:7" x14ac:dyDescent="0.3">
      <c r="A127" s="2">
        <v>6</v>
      </c>
      <c r="C127" s="38" t="s">
        <v>56</v>
      </c>
      <c r="D127" s="42">
        <v>0</v>
      </c>
      <c r="E127" s="62">
        <f t="shared" si="4"/>
        <v>0</v>
      </c>
    </row>
    <row r="128" spans="1:7" x14ac:dyDescent="0.3">
      <c r="A128" s="2">
        <v>7</v>
      </c>
      <c r="C128" s="38" t="s">
        <v>46</v>
      </c>
      <c r="D128" s="42">
        <v>390</v>
      </c>
      <c r="E128" s="62">
        <f t="shared" si="4"/>
        <v>1280</v>
      </c>
    </row>
    <row r="129" spans="1:7" x14ac:dyDescent="0.3">
      <c r="A129" s="2">
        <v>8</v>
      </c>
      <c r="C129" s="38" t="s">
        <v>126</v>
      </c>
      <c r="D129" s="42">
        <v>0</v>
      </c>
      <c r="E129" s="62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TRUNC(26601,-1)</f>
        <v>26600</v>
      </c>
      <c r="E130" s="62">
        <f t="shared" si="4"/>
        <v>87930</v>
      </c>
    </row>
    <row r="131" spans="1:7" x14ac:dyDescent="0.3">
      <c r="A131" s="2">
        <v>10</v>
      </c>
      <c r="C131" s="38" t="s">
        <v>148</v>
      </c>
      <c r="D131" s="42">
        <v>82010</v>
      </c>
      <c r="E131" s="62">
        <f t="shared" si="4"/>
        <v>271100</v>
      </c>
    </row>
    <row r="132" spans="1:7" ht="17.25" thickBot="1" x14ac:dyDescent="0.35">
      <c r="A132" s="2">
        <v>11</v>
      </c>
      <c r="C132" s="38" t="s">
        <v>47</v>
      </c>
      <c r="D132" s="43">
        <f>TRUNC(15542+473,-1)</f>
        <v>16010</v>
      </c>
      <c r="E132" s="63">
        <f t="shared" si="4"/>
        <v>52920</v>
      </c>
      <c r="F132" s="2" t="s">
        <v>252</v>
      </c>
    </row>
    <row r="133" spans="1:7" x14ac:dyDescent="0.3">
      <c r="A133" s="2">
        <v>12</v>
      </c>
      <c r="C133" s="27" t="s">
        <v>112</v>
      </c>
      <c r="D133" s="39">
        <f>SUM(D122:D132)</f>
        <v>164060</v>
      </c>
      <c r="E133" s="39">
        <f>SUM(E122:E132)</f>
        <v>542300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244</v>
      </c>
      <c r="C135" s="55" t="s">
        <v>241</v>
      </c>
      <c r="D135" s="56" t="s">
        <v>234</v>
      </c>
      <c r="E135" s="56" t="s">
        <v>262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1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TRUNC(10982+3295,-1)</f>
        <v>14270</v>
      </c>
      <c r="E137" s="62">
        <f t="shared" si="5"/>
        <v>47170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2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2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TRUNC(4794,-1)</f>
        <v>4790</v>
      </c>
      <c r="E140" s="62">
        <f t="shared" si="5"/>
        <v>15830</v>
      </c>
    </row>
    <row r="141" spans="1:7" x14ac:dyDescent="0.3">
      <c r="A141" s="2">
        <v>6</v>
      </c>
      <c r="C141" s="38" t="s">
        <v>59</v>
      </c>
      <c r="D141" s="42">
        <v>0</v>
      </c>
      <c r="E141" s="62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TRUNC(25943,-1)</f>
        <v>25940</v>
      </c>
      <c r="E142" s="62">
        <f t="shared" si="5"/>
        <v>85750</v>
      </c>
    </row>
    <row r="143" spans="1:7" x14ac:dyDescent="0.3">
      <c r="A143" s="2">
        <v>8</v>
      </c>
      <c r="C143" s="38" t="s">
        <v>62</v>
      </c>
      <c r="D143" s="42">
        <f>TRUNC(5359,-1)</f>
        <v>5350</v>
      </c>
      <c r="E143" s="62">
        <f t="shared" si="5"/>
        <v>17680</v>
      </c>
    </row>
    <row r="144" spans="1:7" x14ac:dyDescent="0.3">
      <c r="A144" s="2">
        <v>9</v>
      </c>
      <c r="C144" s="38" t="s">
        <v>63</v>
      </c>
      <c r="D144" s="42">
        <f>TRUNC(19845,-1)</f>
        <v>19840</v>
      </c>
      <c r="E144" s="62">
        <f t="shared" si="5"/>
        <v>65580</v>
      </c>
    </row>
    <row r="145" spans="1:7" ht="17.25" thickBot="1" x14ac:dyDescent="0.35">
      <c r="A145" s="2">
        <v>10</v>
      </c>
      <c r="C145" s="38" t="s">
        <v>148</v>
      </c>
      <c r="D145" s="43">
        <f>TRUNC(7399,-1)</f>
        <v>7390</v>
      </c>
      <c r="E145" s="63">
        <f t="shared" si="5"/>
        <v>24420</v>
      </c>
    </row>
    <row r="146" spans="1:7" x14ac:dyDescent="0.3">
      <c r="A146" s="2">
        <v>11</v>
      </c>
      <c r="C146" s="27" t="s">
        <v>112</v>
      </c>
      <c r="D146" s="39">
        <f>SUM(D136:D145)</f>
        <v>77580</v>
      </c>
      <c r="E146" s="39">
        <f>SUM(E136:E145)</f>
        <v>256430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245</v>
      </c>
      <c r="C148" s="55" t="s">
        <v>241</v>
      </c>
      <c r="D148" s="56" t="s">
        <v>234</v>
      </c>
      <c r="E148" s="56" t="s">
        <v>262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TRUNC(43230+8657,-1)</f>
        <v>51880</v>
      </c>
      <c r="E149" s="61">
        <f>TRUNC(+D149*3.3058,-1)</f>
        <v>171500</v>
      </c>
      <c r="F149" s="2" t="s">
        <v>231</v>
      </c>
    </row>
    <row r="150" spans="1:7" x14ac:dyDescent="0.3">
      <c r="A150" s="2">
        <v>2</v>
      </c>
      <c r="C150" s="38" t="s">
        <v>49</v>
      </c>
      <c r="D150" s="42">
        <f>TRUNC(15695,-1)</f>
        <v>15690</v>
      </c>
      <c r="E150" s="62">
        <f>TRUNC(+D150*3.3058,-1)</f>
        <v>51860</v>
      </c>
      <c r="F150" s="2" t="s">
        <v>231</v>
      </c>
    </row>
    <row r="151" spans="1:7" x14ac:dyDescent="0.3">
      <c r="A151" s="2">
        <v>3</v>
      </c>
      <c r="C151" s="38" t="s">
        <v>50</v>
      </c>
      <c r="D151" s="42">
        <f>TRUNC(99368,-1)</f>
        <v>99360</v>
      </c>
      <c r="E151" s="62">
        <f>TRUNC(+D151*3.3058,-1)</f>
        <v>328460</v>
      </c>
      <c r="F151" s="2" t="s">
        <v>231</v>
      </c>
    </row>
    <row r="152" spans="1:7" x14ac:dyDescent="0.3">
      <c r="A152" s="2">
        <v>4</v>
      </c>
      <c r="C152" s="38" t="s">
        <v>47</v>
      </c>
      <c r="D152" s="42">
        <f>TRUNC(3118+4697+994+2339,-1)</f>
        <v>11140</v>
      </c>
      <c r="E152" s="62">
        <f>TRUNC(+D152*3.3058,-1)</f>
        <v>36820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TRUNC(147783,-1)</f>
        <v>147780</v>
      </c>
      <c r="E153" s="63">
        <f>TRUNC(+D153*3.3058,-1)</f>
        <v>488530</v>
      </c>
      <c r="F153" s="2" t="s">
        <v>231</v>
      </c>
    </row>
    <row r="154" spans="1:7" x14ac:dyDescent="0.3">
      <c r="A154" s="2">
        <v>6</v>
      </c>
      <c r="C154" s="27" t="s">
        <v>112</v>
      </c>
      <c r="D154" s="39">
        <f>SUM(D149:D153)</f>
        <v>325850</v>
      </c>
      <c r="E154" s="39">
        <f>SUM(E149:E153)</f>
        <v>1077170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246</v>
      </c>
      <c r="C156" s="55" t="s">
        <v>241</v>
      </c>
      <c r="D156" s="56" t="s">
        <v>234</v>
      </c>
      <c r="E156" s="56" t="s">
        <v>262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TRUNC(42584,-1)</f>
        <v>42580</v>
      </c>
      <c r="E157" s="61">
        <f>TRUNC(+D157*3.3058,-1)</f>
        <v>140760</v>
      </c>
    </row>
    <row r="158" spans="1:7" x14ac:dyDescent="0.3">
      <c r="A158" s="2">
        <v>2</v>
      </c>
      <c r="C158" s="38" t="s">
        <v>52</v>
      </c>
      <c r="D158" s="42">
        <f>TRUNC(49412,-1)</f>
        <v>49410</v>
      </c>
      <c r="E158" s="62">
        <f>TRUNC(+D158*3.3058,-1)</f>
        <v>163330</v>
      </c>
    </row>
    <row r="159" spans="1:7" x14ac:dyDescent="0.3">
      <c r="A159" s="2">
        <v>3</v>
      </c>
      <c r="C159" s="38" t="s">
        <v>47</v>
      </c>
      <c r="D159" s="42">
        <f>TRUNC(11367+3574,-1)</f>
        <v>14940</v>
      </c>
      <c r="E159" s="62">
        <f>TRUNC(+D159*3.3058,-1)</f>
        <v>49380</v>
      </c>
      <c r="F159" s="2" t="s">
        <v>253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3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106930</v>
      </c>
      <c r="E161" s="39">
        <f>SUM(E157:E160)</f>
        <v>353470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2020-12-07T10:09:15Z</dcterms:modified>
</cp:coreProperties>
</file>