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31" i="4"/>
  <c r="D117" i="4"/>
  <c r="D93" i="4"/>
  <c r="D59" i="4"/>
  <c r="D152" i="4" l="1"/>
  <c r="D150" i="4"/>
  <c r="D149" i="4"/>
  <c r="D144" i="4"/>
  <c r="D143" i="4"/>
  <c r="D140" i="4"/>
  <c r="D139" i="4"/>
  <c r="D137" i="4"/>
  <c r="D132" i="4"/>
  <c r="D130" i="4"/>
  <c r="D128" i="4"/>
  <c r="D126" i="4"/>
  <c r="D125" i="4"/>
  <c r="D124" i="4"/>
  <c r="D122" i="4"/>
  <c r="D116" i="4"/>
  <c r="D114" i="4"/>
  <c r="D105" i="4"/>
  <c r="D104" i="4"/>
  <c r="D103" i="4"/>
  <c r="D102" i="4"/>
  <c r="D101" i="4"/>
  <c r="D100" i="4"/>
  <c r="D99" i="4"/>
  <c r="D98" i="4"/>
  <c r="D92" i="4"/>
  <c r="D91" i="4"/>
  <c r="D89" i="4"/>
  <c r="D73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<sst xmlns="http://schemas.openxmlformats.org/spreadsheetml/2006/main" count="391" uniqueCount="268">
  <si>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</si>
  <si>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</si>
  <si>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</si>
  <si>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</si>
  <si>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</si>
  <si>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</si>
  <si>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</si>
  <si>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</si>
  <si>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</si>
  <si>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</si>
  <si>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</si>
  <si>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</si>
  <si>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</si>
  <si>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</si>
  <si>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</si>
  <si>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</si>
  <si>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</si>
  <si>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</si>
  <si>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</si>
  <si>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</si>
  <si>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</si>
  <si>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</si>
  <si>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</si>
  <si>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</si>
  <si>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</si>
  <si>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</si>
  <si>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</si>
  <si>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</si>
  <si>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</si>
  <si>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</si>
  <si>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</si>
  <si>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</si>
  <si>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</si>
  <si>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</si>
  <si>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</si>
  <si>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</si>
  <si>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</si>
  <si>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</si>
  <si>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</si>
  <si>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</si>
  <si>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</si>
  <si>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</si>
  <si>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</si>
  <si>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</si>
  <si>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</si>
  <si>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</si>
  <si>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</si>
  <si>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</si>
  <si>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</si>
  <si>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</si>
  <si>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</si>
  <si>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</si>
  <si>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</si>
  <si>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</si>
  <si>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</si>
  <si>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</si>
  <si>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</si>
  <si>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</si>
  <si>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</si>
  <si>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</si>
  <si>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</si>
  <si>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</si>
  <si>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</si>
  <si>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</si>
  <si>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</si>
  <si>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</si>
  <si>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</si>
  <si>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</si>
  <si>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</si>
  <si>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</si>
  <si>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</si>
  <si>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</si>
  <si>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</si>
  <si>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</si>
  <si>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</si>
  <si>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</si>
  <si>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</si>
  <si>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</si>
  <si>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</si>
  <si>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</si>
  <si>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</si>
  <si>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</si>
  <si>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</si>
  <si>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</si>
  <si>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</si>
  <si>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</si>
  <si>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</si>
  <si>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</si>
  <si>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</si>
  <si>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</si>
  <si>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</si>
  <si>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</si>
  <si>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</si>
  <si>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</si>
  <si>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</si>
  <si>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</si>
  <si>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</si>
  <si>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</si>
  <si>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</si>
  <si>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</si>
  <si>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</si>
  <si>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</si>
  <si>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</si>
  <si>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</si>
  <si>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</si>
  <si>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</si>
  <si>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</si>
  <si>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</si>
  <si>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</si>
  <si>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</si>
  <si>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</si>
  <si>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</si>
  <si>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</si>
  <si>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</si>
  <si>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</si>
  <si>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</si>
  <si>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</si>
  <si>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</si>
  <si>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</si>
  <si>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</si>
  <si>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</si>
  <si>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</si>
  <si>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</si>
  <si>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</si>
  <si>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</si>
  <si>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</si>
  <si>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</si>
  <si>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</si>
  <si>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</si>
  <si>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</si>
  <si>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</si>
  <si>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</si>
  <si>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</si>
  <si>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</si>
  <si>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</si>
  <si>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</si>
  <si>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</si>
  <si>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</si>
  <si>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</si>
  <si>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</si>
  <si>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</si>
  <si>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</si>
  <si>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</si>
  <si>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</si>
  <si>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</si>
  <si>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</si>
  <si>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</si>
  <si>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</si>
  <si>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</si>
  <si>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</si>
  <si>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</si>
  <si>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</si>
  <si>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</si>
  <si>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</si>
  <si>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</si>
  <si>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</si>
  <si>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</si>
  <si>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</si>
  <si>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</si>
  <si>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</si>
  <si>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</si>
  <si>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</si>
  <si>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</si>
  <si>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</si>
  <si>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</si>
  <si>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</si>
  <si>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</si>
  <si>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</si>
  <si>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</si>
  <si>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</si>
  <si>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</si>
  <si>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</si>
  <si>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</si>
  <si>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</si>
  <si>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</si>
  <si>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</si>
  <si>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</si>
  <si>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</si>
  <si>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</si>
  <si>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</si>
  <si>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</si>
  <si>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</si>
  <si>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</si>
  <si>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</si>
  <si>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</si>
  <si>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</si>
  <si>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</si>
  <si>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</si>
  <si>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</si>
  <si>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</si>
  <si>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</si>
  <si>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</si>
  <si>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</si>
  <si>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</si>
  <si>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</si>
  <si>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</si>
  <si>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</si>
  <si>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</si>
  <si>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</si>
  <si>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</si>
  <si>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</si>
  <si>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</si>
  <si>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</si>
  <si>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</si>
  <si>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</si>
  <si>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</si>
  <si>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</si>
  <si>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</si>
  <si>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</si>
  <si>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</si>
  <si>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</si>
  <si>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</si>
  <si>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</si>
  <si>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</si>
  <si>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</si>
  <si>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</si>
  <si>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</si>
  <si>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</si>
  <si>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</si>
  <si>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</si>
  <si>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</si>
  <si>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</si>
  <si>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</si>
  <si>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</si>
  <si>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</si>
  <si>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</si>
  <si>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</si>
  <si>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</si>
  <si>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</si>
  <si>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</si>
  <si>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</si>
  <si>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</si>
  <si>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</si>
  <si>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</si>
  <si>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</si>
  <si>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</si>
  <si>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</si>
  <si>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</si>
  <si>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</si>
  <si>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</si>
  <si>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</si>
  <si>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</si>
  <si>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</si>
  <si>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</si>
  <si>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</si>
  <si>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</si>
  <si>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</si>
  <si>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</si>
  <si>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용암해수산업화지원센터 첨단제조빌딩 신축공사</t>
    <phoneticPr fontId="2" type="noConversion"/>
  </si>
  <si>
    <t>공장</t>
  </si>
  <si>
    <t>제주도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</si>
  <si>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</si>
  <si>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</si>
  <si>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</si>
  <si>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</si>
  <si>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</si>
  <si>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</si>
  <si>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기타공사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</si>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</sst>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3846.23</v>
      </c>
      <c r="D7" s="36">
        <f>+C7/3.3058</f>
        <v>1163.4793393429729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672070</v>
      </c>
      <c r="E25" s="59">
        <f t="shared" si="0"/>
        <v>2221720</v>
      </c>
    </row>
    <row r="26" spans="1:5" x14ac:dyDescent="0.3">
      <c r="B26" s="2">
        <v>3</v>
      </c>
      <c r="C26" s="35" t="s">
        <v>95</v>
      </c>
      <c r="D26" s="45">
        <f>+D66</f>
        <v>3530</v>
      </c>
      <c r="E26" s="59">
        <f t="shared" si="0"/>
        <v>11660</v>
      </c>
    </row>
    <row r="27" spans="1:5" x14ac:dyDescent="0.3">
      <c r="B27" s="2">
        <v>4</v>
      </c>
      <c r="C27" s="35" t="s">
        <v>96</v>
      </c>
      <c r="D27" s="45">
        <f>+D95</f>
        <v>75820</v>
      </c>
      <c r="E27" s="59">
        <f t="shared" si="0"/>
        <v>250640</v>
      </c>
    </row>
    <row r="28" spans="1:5" x14ac:dyDescent="0.3">
      <c r="B28" s="2">
        <v>5</v>
      </c>
      <c r="C28" s="35" t="s">
        <v>97</v>
      </c>
      <c r="D28" s="45">
        <f>+D119</f>
        <v>208250</v>
      </c>
      <c r="E28" s="59">
        <f t="shared" si="0"/>
        <v>688430</v>
      </c>
    </row>
    <row r="29" spans="1:5" x14ac:dyDescent="0.3">
      <c r="B29" s="2">
        <v>6</v>
      </c>
      <c r="C29" s="35" t="s">
        <v>98</v>
      </c>
      <c r="D29" s="45">
        <f>+D133</f>
        <v>41920</v>
      </c>
      <c r="E29" s="59">
        <f t="shared" si="0"/>
        <v>138570</v>
      </c>
    </row>
    <row r="30" spans="1:5" x14ac:dyDescent="0.3">
      <c r="B30" s="2">
        <v>7</v>
      </c>
      <c r="C30" s="35" t="s">
        <v>99</v>
      </c>
      <c r="D30" s="45">
        <f>+D146</f>
        <v>27710</v>
      </c>
      <c r="E30" s="59">
        <f t="shared" si="0"/>
        <v>91600</v>
      </c>
    </row>
    <row r="31" spans="1:5" x14ac:dyDescent="0.3">
      <c r="B31" s="2">
        <v>8</v>
      </c>
      <c r="C31" s="35" t="s">
        <v>100</v>
      </c>
      <c r="D31" s="45">
        <f>+D154</f>
        <v>44230</v>
      </c>
      <c r="E31" s="59">
        <f t="shared" si="0"/>
        <v>146210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295220</v>
      </c>
      <c r="E33" s="60">
        <f t="shared" si="0"/>
        <v>975930</v>
      </c>
    </row>
    <row r="34" spans="1:7" x14ac:dyDescent="0.3">
      <c r="C34" s="35" t="s">
        <v>112</v>
      </c>
      <c r="D34" s="44">
        <f>SUM(D24:D33)</f>
        <v>1368750</v>
      </c>
      <c r="E34" s="44">
        <f>SUM(E24:E33)</f>
        <v>4524760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261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TRUNC(40716,-1)</f>
        <v>40710</v>
      </c>
      <c r="E40" s="62">
        <f t="shared" ref="E40:E59" si="1">TRUNC(+D40*3.3058,-1)</f>
        <v>134570</v>
      </c>
    </row>
    <row r="41" spans="1:7" x14ac:dyDescent="0.3">
      <c r="A41" s="2">
        <v>2</v>
      </c>
      <c r="C41" s="38" t="s">
        <v>13</v>
      </c>
      <c r="D41" s="42">
        <f>TRUNC(138963,-1)</f>
        <v>138960</v>
      </c>
      <c r="E41" s="63">
        <f t="shared" si="1"/>
        <v>459370</v>
      </c>
    </row>
    <row r="42" spans="1:7" x14ac:dyDescent="0.3">
      <c r="A42" s="2">
        <v>3</v>
      </c>
      <c r="C42" s="38" t="s">
        <v>14</v>
      </c>
      <c r="D42" s="42">
        <f>TRUNC(28365,-1)</f>
        <v>28360</v>
      </c>
      <c r="E42" s="63">
        <f t="shared" si="1"/>
        <v>93750</v>
      </c>
    </row>
    <row r="43" spans="1:7" x14ac:dyDescent="0.3">
      <c r="A43" s="2">
        <v>4</v>
      </c>
      <c r="C43" s="38" t="s">
        <v>16</v>
      </c>
      <c r="D43" s="42">
        <f>TRUNC(15817,-1)</f>
        <v>15810</v>
      </c>
      <c r="E43" s="63">
        <f t="shared" si="1"/>
        <v>52260</v>
      </c>
    </row>
    <row r="44" spans="1:7" x14ac:dyDescent="0.3">
      <c r="A44" s="2">
        <v>5</v>
      </c>
      <c r="C44" s="38" t="s">
        <v>17</v>
      </c>
      <c r="D44" s="42">
        <f>TRUNC(15576,-1)</f>
        <v>15570</v>
      </c>
      <c r="E44" s="63">
        <f t="shared" si="1"/>
        <v>51470</v>
      </c>
    </row>
    <row r="45" spans="1:7" x14ac:dyDescent="0.3">
      <c r="A45" s="2">
        <v>6</v>
      </c>
      <c r="C45" s="38" t="s">
        <v>18</v>
      </c>
      <c r="D45" s="42">
        <f>TRUNC(9551,-1)</f>
        <v>9550</v>
      </c>
      <c r="E45" s="63">
        <f t="shared" si="1"/>
        <v>31570</v>
      </c>
    </row>
    <row r="46" spans="1:7" x14ac:dyDescent="0.3">
      <c r="A46" s="2">
        <v>7</v>
      </c>
      <c r="C46" s="38" t="s">
        <v>19</v>
      </c>
      <c r="D46" s="42">
        <f>TRUNC(8370,-1)</f>
        <v>8370</v>
      </c>
      <c r="E46" s="63">
        <f t="shared" si="1"/>
        <v>27660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TRUNC(70942,-1)</f>
        <v>70940</v>
      </c>
      <c r="E48" s="63">
        <f t="shared" si="1"/>
        <v>234510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TRUNC(24936,-1)</f>
        <v>24930</v>
      </c>
      <c r="E49" s="63">
        <f t="shared" si="1"/>
        <v>82410</v>
      </c>
    </row>
    <row r="50" spans="1:7" x14ac:dyDescent="0.3">
      <c r="A50" s="2">
        <v>11</v>
      </c>
      <c r="C50" s="38" t="s">
        <v>155</v>
      </c>
      <c r="D50" s="42">
        <f>TRUNC(37078,-1)</f>
        <v>37070</v>
      </c>
      <c r="E50" s="63">
        <f t="shared" si="1"/>
        <v>122540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TRUNC(28572,-1)</f>
        <v>28570</v>
      </c>
      <c r="E52" s="63">
        <f t="shared" si="1"/>
        <v>94440</v>
      </c>
    </row>
    <row r="53" spans="1:7" x14ac:dyDescent="0.3">
      <c r="A53" s="2">
        <v>14</v>
      </c>
      <c r="C53" s="38" t="s">
        <v>25</v>
      </c>
      <c r="D53" s="42">
        <f>TRUNC(40714,-1)</f>
        <v>40710</v>
      </c>
      <c r="E53" s="63">
        <f t="shared" si="1"/>
        <v>134570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TRUNC(22471+1733+8316,-1)</f>
        <v>32520</v>
      </c>
      <c r="E58" s="63">
        <f t="shared" si="1"/>
        <v>107500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TRUNC(180008,-1)</f>
        <v>180000</v>
      </c>
      <c r="E59" s="64">
        <f t="shared" si="1"/>
        <v>595040</v>
      </c>
    </row>
    <row r="60" spans="1:7" x14ac:dyDescent="0.3">
      <c r="A60" s="2">
        <v>21</v>
      </c>
      <c r="C60" s="27" t="s">
        <v>112</v>
      </c>
      <c r="D60" s="39">
        <f>SUM(D40:D59)</f>
        <v>672070</v>
      </c>
      <c r="E60" s="39">
        <f>SUM(E40:E59)</f>
        <v>2221660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TRUNC(3532,-1)</f>
        <v>3530</v>
      </c>
      <c r="E63" s="62">
        <f>TRUNC(+D63*3.3058,-1)</f>
        <v>11660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3530</v>
      </c>
      <c r="E66" s="65">
        <f>SUM(E63:E65)</f>
        <v>11660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TRUNC(3239,-1)</f>
        <v>3230</v>
      </c>
      <c r="E69" s="62">
        <f t="shared" ref="E69:E94" si="2">TRUNC(+D69*3.3058,-1)</f>
        <v>10670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TRUNC(14266,-1)</f>
        <v>14260</v>
      </c>
      <c r="E73" s="63">
        <f t="shared" si="2"/>
        <v>47140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TRUNC(7219,-1)</f>
        <v>7210</v>
      </c>
      <c r="E89" s="63">
        <f t="shared" si="2"/>
        <v>23830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TRUNC(3134,-1)</f>
        <v>3130</v>
      </c>
      <c r="E91" s="63">
        <f t="shared" si="2"/>
        <v>10340</v>
      </c>
    </row>
    <row r="92" spans="1:7" x14ac:dyDescent="0.3">
      <c r="A92" s="2">
        <v>24</v>
      </c>
      <c r="C92" s="38" t="s">
        <v>38</v>
      </c>
      <c r="D92" s="42">
        <f>TRUNC(6414,-1)</f>
        <v>6410</v>
      </c>
      <c r="E92" s="63">
        <f t="shared" si="2"/>
        <v>21190</v>
      </c>
    </row>
    <row r="93" spans="1:7" x14ac:dyDescent="0.3">
      <c r="A93" s="2">
        <v>25</v>
      </c>
      <c r="C93" s="38" t="s">
        <v>148</v>
      </c>
      <c r="D93" s="42">
        <f>TRUNC(41587,-1)</f>
        <v>41580</v>
      </c>
      <c r="E93" s="63">
        <f t="shared" si="2"/>
        <v>137450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75820</v>
      </c>
      <c r="E95" s="39">
        <f>SUM(E69:E94)</f>
        <v>250620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TRUNC(14214,-1)</f>
        <v>14210</v>
      </c>
      <c r="E98" s="62">
        <f t="shared" ref="E98:E118" si="3">TRUNC(+D98*3.3058,-1)</f>
        <v>46970</v>
      </c>
    </row>
    <row r="99" spans="1:7" x14ac:dyDescent="0.3">
      <c r="A99" s="2">
        <v>2</v>
      </c>
      <c r="C99" s="38" t="s">
        <v>40</v>
      </c>
      <c r="D99" s="42">
        <f>TRUNC(1475,-1)</f>
        <v>1470</v>
      </c>
      <c r="E99" s="63">
        <f t="shared" si="3"/>
        <v>4850</v>
      </c>
    </row>
    <row r="100" spans="1:7" x14ac:dyDescent="0.3">
      <c r="A100" s="2">
        <v>3</v>
      </c>
      <c r="C100" s="38" t="s">
        <v>41</v>
      </c>
      <c r="D100" s="42">
        <f>TRUNC(22688,-1)</f>
        <v>22680</v>
      </c>
      <c r="E100" s="63">
        <f t="shared" si="3"/>
        <v>74970</v>
      </c>
    </row>
    <row r="101" spans="1:7" x14ac:dyDescent="0.3">
      <c r="A101" s="2">
        <v>4</v>
      </c>
      <c r="C101" s="38" t="s">
        <v>42</v>
      </c>
      <c r="D101" s="42">
        <f>TRUNC(1386,-1)</f>
        <v>1380</v>
      </c>
      <c r="E101" s="63">
        <f t="shared" si="3"/>
        <v>4560</v>
      </c>
    </row>
    <row r="102" spans="1:7" x14ac:dyDescent="0.3">
      <c r="A102" s="2">
        <v>5</v>
      </c>
      <c r="C102" s="38" t="s">
        <v>43</v>
      </c>
      <c r="D102" s="42">
        <f>TRUNC(10826,-1)</f>
        <v>10820</v>
      </c>
      <c r="E102" s="63">
        <f t="shared" si="3"/>
        <v>35760</v>
      </c>
    </row>
    <row r="103" spans="1:7" x14ac:dyDescent="0.3">
      <c r="A103" s="2">
        <v>6</v>
      </c>
      <c r="C103" s="38" t="s">
        <v>44</v>
      </c>
      <c r="D103" s="42">
        <f>TRUNC(4465,-1)</f>
        <v>4460</v>
      </c>
      <c r="E103" s="63">
        <f t="shared" si="3"/>
        <v>14740</v>
      </c>
    </row>
    <row r="104" spans="1:7" x14ac:dyDescent="0.3">
      <c r="A104" s="2">
        <v>7</v>
      </c>
      <c r="C104" s="38" t="s">
        <v>45</v>
      </c>
      <c r="D104" s="42">
        <f>TRUNC(24094,-1)</f>
        <v>24090</v>
      </c>
      <c r="E104" s="63">
        <f t="shared" si="3"/>
        <v>79630</v>
      </c>
    </row>
    <row r="105" spans="1:7" x14ac:dyDescent="0.3">
      <c r="A105" s="2">
        <v>8</v>
      </c>
      <c r="C105" s="38" t="s">
        <v>46</v>
      </c>
      <c r="D105" s="42">
        <f>TRUNC(5421,-1)</f>
        <v>5420</v>
      </c>
      <c r="E105" s="63">
        <f t="shared" si="3"/>
        <v>17910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TRUNC(3947,-1)</f>
        <v>3940</v>
      </c>
      <c r="E114" s="63">
        <f t="shared" si="3"/>
        <v>13020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TRUNC(16699,-1)</f>
        <v>16690</v>
      </c>
      <c r="E116" s="63">
        <f t="shared" si="3"/>
        <v>55170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TRUNC(103092,-1)</f>
        <v>103090</v>
      </c>
      <c r="E117" s="63">
        <f t="shared" si="3"/>
        <v>340790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208250</v>
      </c>
      <c r="E119" s="39">
        <f>SUM(E98:E118)</f>
        <v>688370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TRUNC(5980,-1)</f>
        <v>5980</v>
      </c>
      <c r="E122" s="62">
        <f t="shared" ref="E122:E132" si="4">TRUNC(+D122*3.3058,-1)</f>
        <v>19760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TRUNC(961,-1)</f>
        <v>960</v>
      </c>
      <c r="E124" s="63">
        <f t="shared" si="4"/>
        <v>3170</v>
      </c>
    </row>
    <row r="125" spans="1:7" x14ac:dyDescent="0.3">
      <c r="A125" s="2">
        <v>4</v>
      </c>
      <c r="C125" s="38" t="s">
        <v>138</v>
      </c>
      <c r="D125" s="42">
        <f>TRUNC(6414,-1)</f>
        <v>6410</v>
      </c>
      <c r="E125" s="63">
        <f t="shared" si="4"/>
        <v>21190</v>
      </c>
    </row>
    <row r="126" spans="1:7" x14ac:dyDescent="0.3">
      <c r="A126" s="2">
        <v>5</v>
      </c>
      <c r="C126" s="38" t="s">
        <v>53</v>
      </c>
      <c r="D126" s="42">
        <f>TRUNC(3840,-1)</f>
        <v>3840</v>
      </c>
      <c r="E126" s="63">
        <f t="shared" si="4"/>
        <v>12690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TRUNC(4349,-1)</f>
        <v>4340</v>
      </c>
      <c r="E128" s="63">
        <f t="shared" si="4"/>
        <v>14340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TRUNC(10607,-1)</f>
        <v>10600</v>
      </c>
      <c r="E130" s="63">
        <f t="shared" si="4"/>
        <v>35040</v>
      </c>
    </row>
    <row r="131" spans="1:7" x14ac:dyDescent="0.3">
      <c r="A131" s="2">
        <v>10</v>
      </c>
      <c r="C131" s="38" t="s">
        <v>148</v>
      </c>
      <c r="D131" s="42">
        <f>TRUNC(9684,-1)</f>
        <v>9680</v>
      </c>
      <c r="E131" s="63">
        <f t="shared" si="4"/>
        <v>32000</v>
      </c>
    </row>
    <row r="132" spans="1:7" ht="18" thickBot="1" x14ac:dyDescent="0.35">
      <c r="A132" s="2">
        <v>11</v>
      </c>
      <c r="C132" s="38" t="s">
        <v>47</v>
      </c>
      <c r="D132" s="43">
        <f>TRUNC(114,-1)</f>
        <v>110</v>
      </c>
      <c r="E132" s="64">
        <f t="shared" si="4"/>
        <v>360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41920</v>
      </c>
      <c r="E133" s="39">
        <f>SUM(E122:E132)</f>
        <v>138550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TRUNC(3163+5168,-1)</f>
        <v>8330</v>
      </c>
      <c r="E137" s="63">
        <f t="shared" si="5"/>
        <v>27530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TRUNC(1073,-1)</f>
        <v>1070</v>
      </c>
      <c r="E139" s="63">
        <f t="shared" si="5"/>
        <v>3530</v>
      </c>
    </row>
    <row r="140" spans="1:7" x14ac:dyDescent="0.3">
      <c r="A140" s="2">
        <v>5</v>
      </c>
      <c r="C140" s="38" t="s">
        <v>57</v>
      </c>
      <c r="D140" s="42">
        <f>TRUNC(4092,-1)</f>
        <v>4090</v>
      </c>
      <c r="E140" s="63">
        <f t="shared" si="5"/>
        <v>13520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TRUNC(6715,-1)</f>
        <v>6710</v>
      </c>
      <c r="E143" s="63">
        <f t="shared" si="5"/>
        <v>22180</v>
      </c>
    </row>
    <row r="144" spans="1:7" x14ac:dyDescent="0.3">
      <c r="A144" s="2">
        <v>9</v>
      </c>
      <c r="C144" s="38" t="s">
        <v>63</v>
      </c>
      <c r="D144" s="42">
        <f>TRUNC(7511,-1)</f>
        <v>7510</v>
      </c>
      <c r="E144" s="63">
        <f t="shared" si="5"/>
        <v>24820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27710</v>
      </c>
      <c r="E146" s="39">
        <f>SUM(E136:E145)</f>
        <v>91580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TRUNC(6426+1359,-1)</f>
        <v>7780</v>
      </c>
      <c r="E149" s="62">
        <f>TRUNC(+D149*3.3058,-1)</f>
        <v>25710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TRUNC(3603,-1)</f>
        <v>3600</v>
      </c>
      <c r="E150" s="63">
        <f>TRUNC(+D150*3.3058,-1)</f>
        <v>11900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TRUNC(9088+2171+339,-1)</f>
        <v>11590</v>
      </c>
      <c r="E152" s="63">
        <f>TRUNC(+D152*3.3058,-1)</f>
        <v>38310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TRUNC(21268,-1)</f>
        <v>21260</v>
      </c>
      <c r="E153" s="64">
        <f>TRUNC(+D153*3.3058,-1)</f>
        <v>70280</v>
      </c>
    </row>
    <row r="154" spans="1:7" x14ac:dyDescent="0.3">
      <c r="A154" s="2">
        <v>6</v>
      </c>
      <c r="C154" s="27" t="s">
        <v>112</v>
      </c>
      <c r="D154" s="39">
        <f>SUM(D149:D153)</f>
        <v>44230</v>
      </c>
      <c r="E154" s="39">
        <f>SUM(E149:E153)</f>
        <v>146200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2020-12-08T02:07:22Z</dcterms:modified>
</cp:coreProperties>
</file>