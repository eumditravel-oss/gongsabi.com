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60" i="4"/>
  <c r="D159" i="4"/>
  <c r="D158" i="4"/>
  <c r="D157" i="4"/>
  <c r="D153" i="4"/>
  <c r="D152" i="4"/>
  <c r="D150" i="4"/>
  <c r="D149" i="4"/>
  <c r="D145" i="4"/>
  <c r="D144" i="4"/>
  <c r="D143" i="4"/>
  <c r="D142" i="4"/>
  <c r="D141" i="4"/>
  <c r="D140" i="4"/>
  <c r="D139" i="4"/>
  <c r="D138" i="4"/>
  <c r="D137" i="4"/>
  <c r="D130" i="4"/>
  <c r="D128" i="4"/>
  <c r="D127" i="4"/>
  <c r="D126" i="4"/>
  <c r="D124" i="4"/>
  <c r="D122" i="4"/>
  <c r="D117" i="4"/>
  <c r="D116" i="4"/>
  <c r="D105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D118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<sst xmlns="http://schemas.openxmlformats.org/spreadsheetml/2006/main" count="392" uniqueCount="267">
  <si>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</si>
  <si>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</si>
  <si>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</si>
  <si>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</si>
  <si>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</si>
  <si>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</si>
  <si>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</si>
  <si>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</si>
  <si>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</si>
  <si>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</si>
  <si>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</si>
  <si>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</si>
  <si>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</si>
  <si>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</si>
  <si>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</si>
  <si>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</si>
  <si>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</si>
  <si>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</si>
  <si>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</si>
  <si>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</si>
  <si>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</si>
  <si>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</si>
  <si>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</si>
  <si>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</si>
  <si>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</si>
  <si>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</si>
  <si>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</si>
  <si>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</si>
  <si>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</si>
  <si>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</si>
  <si>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</si>
  <si>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</si>
  <si>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</si>
  <si>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</si>
  <si>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</si>
  <si>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</si>
  <si>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</si>
  <si>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</si>
  <si>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</si>
  <si>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</si>
  <si>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</si>
  <si>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</si>
  <si>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</si>
  <si>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</si>
  <si>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</si>
  <si>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</si>
  <si>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</si>
  <si>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</si>
  <si>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</si>
  <si>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</si>
  <si>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</si>
  <si>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</si>
  <si>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</si>
  <si>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</si>
  <si>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</si>
  <si>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</si>
  <si>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</si>
  <si>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</si>
  <si>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</si>
  <si>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</si>
  <si>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</si>
  <si>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</si>
  <si>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</si>
  <si>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</si>
  <si>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</si>
  <si>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</si>
  <si>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</si>
  <si>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</si>
  <si>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</si>
  <si>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</si>
  <si>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</si>
  <si>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</si>
  <si>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</si>
  <si>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</si>
  <si>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</si>
  <si>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</si>
  <si>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</si>
  <si>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</si>
  <si>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</si>
  <si>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</si>
  <si>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</si>
  <si>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</si>
  <si>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</si>
  <si>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</si>
  <si>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</si>
  <si>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</si>
  <si>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</si>
  <si>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</si>
  <si>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</si>
  <si>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</si>
  <si>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</si>
  <si>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</si>
  <si>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</si>
  <si>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</si>
  <si>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</si>
  <si>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</si>
  <si>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</si>
  <si>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</si>
  <si>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</si>
  <si>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</si>
  <si>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</si>
  <si>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</si>
  <si>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</si>
  <si>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</si>
  <si>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</si>
  <si>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</si>
  <si>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</si>
  <si>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</si>
  <si>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</si>
  <si>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</si>
  <si>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</si>
  <si>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</si>
  <si>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</si>
  <si>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</si>
  <si>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</si>
  <si>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</si>
  <si>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</si>
  <si>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</si>
  <si>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</si>
  <si>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</si>
  <si>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</si>
  <si>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</si>
  <si>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</si>
  <si>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</si>
  <si>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</si>
  <si>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</si>
  <si>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</si>
  <si>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</si>
  <si>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</si>
  <si>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</si>
  <si>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</si>
  <si>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</si>
  <si>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</si>
  <si>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</si>
  <si>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</si>
  <si>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</si>
  <si>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</si>
  <si>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</si>
  <si>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</si>
  <si>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</si>
  <si>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</si>
  <si>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</si>
  <si>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</si>
  <si>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</si>
  <si>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</si>
  <si>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</si>
  <si>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</si>
  <si>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</si>
  <si>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</si>
  <si>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</si>
  <si>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</si>
  <si>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</si>
  <si>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</si>
  <si>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</si>
  <si>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</si>
  <si>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</si>
  <si>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</si>
  <si>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</si>
  <si>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</si>
  <si>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</si>
  <si>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</si>
  <si>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</si>
  <si>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</si>
  <si>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</si>
  <si>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</si>
  <si>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</si>
  <si>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</si>
  <si>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</si>
  <si>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</si>
  <si>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</si>
  <si>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</si>
  <si>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</si>
  <si>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</si>
  <si>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</si>
  <si>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</si>
  <si>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</si>
  <si>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</si>
  <si>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</si>
  <si>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</si>
  <si>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</si>
  <si>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</si>
  <si>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</si>
  <si>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</si>
  <si>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</si>
  <si>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</si>
  <si>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</si>
  <si>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</si>
  <si>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</si>
  <si>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</si>
  <si>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</si>
  <si>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</si>
  <si>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</si>
  <si>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</si>
  <si>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</si>
  <si>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</si>
  <si>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</si>
  <si>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</si>
  <si>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</si>
  <si>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</si>
  <si>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</si>
  <si>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</si>
  <si>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</si>
  <si>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</si>
  <si>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</si>
  <si>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</si>
  <si>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</si>
  <si>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</si>
  <si>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</si>
  <si>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</si>
  <si>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</si>
  <si>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</si>
  <si>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</si>
  <si>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</si>
  <si>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</si>
  <si>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</si>
  <si>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</si>
  <si>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</si>
  <si>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</si>
  <si>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</si>
  <si>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</si>
  <si>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</si>
  <si>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</si>
  <si>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</si>
  <si>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</si>
  <si>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</si>
  <si>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</si>
  <si>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</si>
  <si>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</si>
  <si>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</si>
  <si>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</si>
  <si>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</si>
  <si>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</si>
  <si>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</si>
  <si>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</si>
  <si>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</si>
  <si>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</si>
  <si>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</si>
  <si>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</si>
  <si>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</si>
  <si>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</si>
  <si>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</si>
  <si>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</si>
  <si>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</si>
  <si>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</si>
  <si>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</si>
  <si>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</si>
  <si>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</si>
  <si>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</si>
  <si>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동물세포실증지원센터 생물의약품 GMP 건축 공사</t>
    <phoneticPr fontId="2" type="noConversion"/>
  </si>
  <si>
    <t>경상도</t>
  </si>
  <si>
    <t>공장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</si>
  <si>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</si>
  <si>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</si>
  <si>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</si>
  <si>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</si>
  <si>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우수처리시설공사, 기타공사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</si>
  <si>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</si>
  <si>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</si>
  <si>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</si>
  <si>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</si>
  <si>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</t>
    <phoneticPr fontId="2" type="noConversion"/>
  </si>
  <si>
    <t>상수도공사,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</si>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</sst>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15933.49</v>
      </c>
      <c r="D7" s="36">
        <f>+C7/3.3058</f>
        <v>4819.8590356343393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848510</v>
      </c>
      <c r="E25" s="59">
        <f t="shared" si="0"/>
        <v>2805000</v>
      </c>
    </row>
    <row r="26" spans="1:5" x14ac:dyDescent="0.3">
      <c r="B26" s="2">
        <v>3</v>
      </c>
      <c r="C26" s="35" t="s">
        <v>95</v>
      </c>
      <c r="D26" s="45">
        <f>+D66</f>
        <v>12180</v>
      </c>
      <c r="E26" s="59">
        <f t="shared" si="0"/>
        <v>40260</v>
      </c>
    </row>
    <row r="27" spans="1:5" x14ac:dyDescent="0.3">
      <c r="B27" s="2">
        <v>4</v>
      </c>
      <c r="C27" s="35" t="s">
        <v>96</v>
      </c>
      <c r="D27" s="45">
        <f>+D95</f>
        <v>703500</v>
      </c>
      <c r="E27" s="59">
        <f t="shared" si="0"/>
        <v>2325630</v>
      </c>
    </row>
    <row r="28" spans="1:5" x14ac:dyDescent="0.3">
      <c r="B28" s="2">
        <v>5</v>
      </c>
      <c r="C28" s="35" t="s">
        <v>97</v>
      </c>
      <c r="D28" s="45">
        <f>+D119</f>
        <v>264760</v>
      </c>
      <c r="E28" s="59">
        <f t="shared" si="0"/>
        <v>875240</v>
      </c>
    </row>
    <row r="29" spans="1:5" x14ac:dyDescent="0.3">
      <c r="B29" s="2">
        <v>6</v>
      </c>
      <c r="C29" s="35" t="s">
        <v>98</v>
      </c>
      <c r="D29" s="45">
        <f>+D133</f>
        <v>83420</v>
      </c>
      <c r="E29" s="59">
        <f t="shared" si="0"/>
        <v>275760</v>
      </c>
    </row>
    <row r="30" spans="1:5" x14ac:dyDescent="0.3">
      <c r="B30" s="2">
        <v>7</v>
      </c>
      <c r="C30" s="35" t="s">
        <v>99</v>
      </c>
      <c r="D30" s="45">
        <f>+D146</f>
        <v>119680</v>
      </c>
      <c r="E30" s="59">
        <f t="shared" si="0"/>
        <v>395630</v>
      </c>
    </row>
    <row r="31" spans="1:5" x14ac:dyDescent="0.3">
      <c r="B31" s="2">
        <v>8</v>
      </c>
      <c r="C31" s="35" t="s">
        <v>100</v>
      </c>
      <c r="D31" s="45">
        <f>+D154</f>
        <v>44940</v>
      </c>
      <c r="E31" s="59">
        <f t="shared" si="0"/>
        <v>148560</v>
      </c>
    </row>
    <row r="32" spans="1:5" x14ac:dyDescent="0.3">
      <c r="B32" s="2">
        <v>9</v>
      </c>
      <c r="C32" s="35" t="s">
        <v>101</v>
      </c>
      <c r="D32" s="45">
        <f>+D161</f>
        <v>16310</v>
      </c>
      <c r="E32" s="59">
        <f t="shared" si="0"/>
        <v>53910</v>
      </c>
    </row>
    <row r="33" spans="1:7" x14ac:dyDescent="0.3">
      <c r="B33" s="2">
        <v>10</v>
      </c>
      <c r="C33" s="35" t="s">
        <v>154</v>
      </c>
      <c r="D33" s="53">
        <f>TRUNC(SUM(D24:D32)*0.275,-1)</f>
        <v>575650</v>
      </c>
      <c r="E33" s="60">
        <f t="shared" si="0"/>
        <v>1902980</v>
      </c>
    </row>
    <row r="34" spans="1:7" x14ac:dyDescent="0.3">
      <c r="C34" s="35" t="s">
        <v>112</v>
      </c>
      <c r="D34" s="44">
        <f>SUM(D24:D33)</f>
        <v>2668950</v>
      </c>
      <c r="E34" s="44">
        <f>SUM(E24:E33)</f>
        <v>8822970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TRUNC(35655,-1)</f>
        <v>35650</v>
      </c>
      <c r="E40" s="62">
        <f t="shared" ref="E40:E59" si="1">TRUNC(+D40*3.3058,-1)</f>
        <v>117850</v>
      </c>
    </row>
    <row r="41" spans="1:7" x14ac:dyDescent="0.3">
      <c r="A41" s="2">
        <v>2</v>
      </c>
      <c r="C41" s="38" t="s">
        <v>13</v>
      </c>
      <c r="D41" s="42">
        <f>TRUNC(54163,-1)</f>
        <v>54160</v>
      </c>
      <c r="E41" s="63">
        <f t="shared" si="1"/>
        <v>179040</v>
      </c>
    </row>
    <row r="42" spans="1:7" x14ac:dyDescent="0.3">
      <c r="A42" s="2">
        <v>3</v>
      </c>
      <c r="C42" s="38" t="s">
        <v>14</v>
      </c>
      <c r="D42" s="42">
        <f>TRUNC(131548,-1)</f>
        <v>131540</v>
      </c>
      <c r="E42" s="63">
        <f t="shared" si="1"/>
        <v>434840</v>
      </c>
    </row>
    <row r="43" spans="1:7" x14ac:dyDescent="0.3">
      <c r="A43" s="2">
        <v>4</v>
      </c>
      <c r="C43" s="38" t="s">
        <v>16</v>
      </c>
      <c r="D43" s="42">
        <f>TRUNC(5137,-1)</f>
        <v>5130</v>
      </c>
      <c r="E43" s="63">
        <f t="shared" si="1"/>
        <v>16950</v>
      </c>
    </row>
    <row r="44" spans="1:7" x14ac:dyDescent="0.3">
      <c r="A44" s="2">
        <v>5</v>
      </c>
      <c r="C44" s="38" t="s">
        <v>17</v>
      </c>
      <c r="D44" s="42">
        <f>TRUNC(13332,-1)</f>
        <v>13330</v>
      </c>
      <c r="E44" s="63">
        <f t="shared" si="1"/>
        <v>44060</v>
      </c>
    </row>
    <row r="45" spans="1:7" x14ac:dyDescent="0.3">
      <c r="A45" s="2">
        <v>6</v>
      </c>
      <c r="C45" s="38" t="s">
        <v>18</v>
      </c>
      <c r="D45" s="42">
        <f>TRUNC(4496,-1)</f>
        <v>4490</v>
      </c>
      <c r="E45" s="63">
        <f t="shared" si="1"/>
        <v>14840</v>
      </c>
    </row>
    <row r="46" spans="1:7" x14ac:dyDescent="0.3">
      <c r="A46" s="2">
        <v>7</v>
      </c>
      <c r="C46" s="38" t="s">
        <v>19</v>
      </c>
      <c r="D46" s="42">
        <f>TRUNC(2627,-1)</f>
        <v>2620</v>
      </c>
      <c r="E46" s="63">
        <f t="shared" si="1"/>
        <v>8660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TRUNC(8298,-1)</f>
        <v>8290</v>
      </c>
      <c r="E48" s="63">
        <f t="shared" si="1"/>
        <v>27400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TRUNC(2176,-1)</f>
        <v>2170</v>
      </c>
      <c r="E49" s="63">
        <f t="shared" si="1"/>
        <v>7170</v>
      </c>
    </row>
    <row r="50" spans="1:7" x14ac:dyDescent="0.3">
      <c r="A50" s="2">
        <v>11</v>
      </c>
      <c r="C50" s="38" t="s">
        <v>155</v>
      </c>
      <c r="D50" s="42">
        <v>30030</v>
      </c>
      <c r="E50" s="63">
        <f t="shared" si="1"/>
        <v>99270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TRUNC(11803,-1)</f>
        <v>11800</v>
      </c>
      <c r="E52" s="63">
        <f t="shared" si="1"/>
        <v>39000</v>
      </c>
    </row>
    <row r="53" spans="1:7" x14ac:dyDescent="0.3">
      <c r="A53" s="2">
        <v>14</v>
      </c>
      <c r="C53" s="38" t="s">
        <v>25</v>
      </c>
      <c r="D53" s="42">
        <f>TRUNC(73889,-1)</f>
        <v>73880</v>
      </c>
      <c r="E53" s="63">
        <f t="shared" si="1"/>
        <v>244230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TRUNC(13467+6082-1609+1480+13595,-1)</f>
        <v>33010</v>
      </c>
      <c r="E58" s="63">
        <f t="shared" si="1"/>
        <v>109120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TRUNC(442415,-1)</f>
        <v>442410</v>
      </c>
      <c r="E59" s="64">
        <f t="shared" si="1"/>
        <v>1462510</v>
      </c>
    </row>
    <row r="60" spans="1:7" ht="18" customHeight="1" x14ac:dyDescent="0.3">
      <c r="A60" s="2">
        <v>21</v>
      </c>
      <c r="C60" s="27" t="s">
        <v>112</v>
      </c>
      <c r="D60" s="39">
        <f>SUM(D40:D59)</f>
        <v>848510</v>
      </c>
      <c r="E60" s="39">
        <f>SUM(E40:E59)</f>
        <v>2804940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TRUNC(12181,-1)</f>
        <v>12180</v>
      </c>
      <c r="E63" s="62">
        <f>TRUNC(+D63*3.3058,-1)</f>
        <v>40260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12180</v>
      </c>
      <c r="E66" s="65">
        <f>SUM(E63:E65)</f>
        <v>40260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TRUNC(62327,-1)</f>
        <v>62320</v>
      </c>
      <c r="E69" s="62">
        <f t="shared" ref="E69:E94" si="2">TRUNC(+D69*3.3058,-1)</f>
        <v>206010</v>
      </c>
    </row>
    <row r="70" spans="1:7" ht="16.5" customHeight="1" x14ac:dyDescent="0.3">
      <c r="A70" s="2">
        <v>2</v>
      </c>
      <c r="C70" s="38" t="s">
        <v>31</v>
      </c>
      <c r="D70" s="42">
        <f>TRUNC(811,-1)</f>
        <v>810</v>
      </c>
      <c r="E70" s="63">
        <f t="shared" si="2"/>
        <v>2670</v>
      </c>
    </row>
    <row r="71" spans="1:7" x14ac:dyDescent="0.3">
      <c r="A71" s="2">
        <v>3</v>
      </c>
      <c r="C71" s="38" t="s">
        <v>32</v>
      </c>
      <c r="D71" s="42">
        <f>TRUNC(28944,-1)</f>
        <v>28940</v>
      </c>
      <c r="E71" s="63">
        <f t="shared" si="2"/>
        <v>95660</v>
      </c>
    </row>
    <row r="72" spans="1:7" x14ac:dyDescent="0.3">
      <c r="A72" s="2">
        <v>4</v>
      </c>
      <c r="C72" s="38" t="s">
        <v>33</v>
      </c>
      <c r="D72" s="42">
        <f>TRUNC(896,-1)</f>
        <v>890</v>
      </c>
      <c r="E72" s="63">
        <f t="shared" si="2"/>
        <v>2940</v>
      </c>
    </row>
    <row r="73" spans="1:7" x14ac:dyDescent="0.3">
      <c r="A73" s="2">
        <v>5</v>
      </c>
      <c r="C73" s="38" t="s">
        <v>34</v>
      </c>
      <c r="D73" s="42">
        <f>TRUNC(3891,-1)</f>
        <v>3890</v>
      </c>
      <c r="E73" s="63">
        <f t="shared" si="2"/>
        <v>12850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TRUNC(6081,-1)</f>
        <v>6080</v>
      </c>
      <c r="E89" s="63">
        <f t="shared" si="2"/>
        <v>20090</v>
      </c>
    </row>
    <row r="90" spans="1:7" x14ac:dyDescent="0.3">
      <c r="A90" s="2">
        <v>22</v>
      </c>
      <c r="C90" s="38" t="s">
        <v>36</v>
      </c>
      <c r="D90" s="42">
        <f>TRUNC(2969,-1)</f>
        <v>2960</v>
      </c>
      <c r="E90" s="63">
        <f t="shared" si="2"/>
        <v>9780</v>
      </c>
    </row>
    <row r="91" spans="1:7" x14ac:dyDescent="0.3">
      <c r="A91" s="2">
        <v>23</v>
      </c>
      <c r="C91" s="38" t="s">
        <v>37</v>
      </c>
      <c r="D91" s="42">
        <f>TRUNC(168967,-1)</f>
        <v>168960</v>
      </c>
      <c r="E91" s="63">
        <f t="shared" si="2"/>
        <v>558540</v>
      </c>
    </row>
    <row r="92" spans="1:7" x14ac:dyDescent="0.3">
      <c r="A92" s="2">
        <v>24</v>
      </c>
      <c r="C92" s="38" t="s">
        <v>38</v>
      </c>
      <c r="D92" s="42">
        <f>TRUNC(2193,-1)</f>
        <v>2190</v>
      </c>
      <c r="E92" s="63">
        <f t="shared" si="2"/>
        <v>7230</v>
      </c>
    </row>
    <row r="93" spans="1:7" x14ac:dyDescent="0.3">
      <c r="A93" s="2">
        <v>25</v>
      </c>
      <c r="C93" s="38" t="s">
        <v>148</v>
      </c>
      <c r="D93" s="42">
        <f>TRUNC(265602,-1)</f>
        <v>265600</v>
      </c>
      <c r="E93" s="63">
        <f t="shared" si="2"/>
        <v>878020</v>
      </c>
    </row>
    <row r="94" spans="1:7" ht="17.25" thickBot="1" x14ac:dyDescent="0.35">
      <c r="A94" s="2">
        <v>26</v>
      </c>
      <c r="C94" s="38" t="s">
        <v>47</v>
      </c>
      <c r="D94" s="43">
        <f>TRUNC(45144+10391+105333,-1)</f>
        <v>160860</v>
      </c>
      <c r="E94" s="64">
        <f t="shared" si="2"/>
        <v>531770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703500</v>
      </c>
      <c r="E95" s="39">
        <f>SUM(E69:E94)</f>
        <v>2325560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TRUNC(46038,-1)</f>
        <v>46030</v>
      </c>
      <c r="E98" s="62">
        <f t="shared" ref="E98:E118" si="3">TRUNC(+D98*3.3058,-1)</f>
        <v>152160</v>
      </c>
    </row>
    <row r="99" spans="1:7" x14ac:dyDescent="0.3">
      <c r="A99" s="2">
        <v>2</v>
      </c>
      <c r="C99" s="38" t="s">
        <v>40</v>
      </c>
      <c r="D99" s="42">
        <f>TRUNC(25615,-1)</f>
        <v>25610</v>
      </c>
      <c r="E99" s="63">
        <f t="shared" si="3"/>
        <v>84660</v>
      </c>
    </row>
    <row r="100" spans="1:7" x14ac:dyDescent="0.3">
      <c r="A100" s="2">
        <v>3</v>
      </c>
      <c r="C100" s="38" t="s">
        <v>41</v>
      </c>
      <c r="D100" s="42">
        <f>TRUNC(43609,-1)</f>
        <v>43600</v>
      </c>
      <c r="E100" s="63">
        <f t="shared" si="3"/>
        <v>144130</v>
      </c>
    </row>
    <row r="101" spans="1:7" x14ac:dyDescent="0.3">
      <c r="A101" s="2">
        <v>4</v>
      </c>
      <c r="C101" s="38" t="s">
        <v>42</v>
      </c>
      <c r="D101" s="42">
        <f>TRUNC(1681,-1)</f>
        <v>1680</v>
      </c>
      <c r="E101" s="63">
        <f t="shared" si="3"/>
        <v>5550</v>
      </c>
    </row>
    <row r="102" spans="1:7" x14ac:dyDescent="0.3">
      <c r="A102" s="2">
        <v>5</v>
      </c>
      <c r="C102" s="38" t="s">
        <v>43</v>
      </c>
      <c r="D102" s="42">
        <f>TRUNC(20232,-1)</f>
        <v>20230</v>
      </c>
      <c r="E102" s="63">
        <f t="shared" si="3"/>
        <v>66870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5850</v>
      </c>
      <c r="E104" s="63">
        <f t="shared" si="3"/>
        <v>19330</v>
      </c>
    </row>
    <row r="105" spans="1:7" x14ac:dyDescent="0.3">
      <c r="A105" s="2">
        <v>8</v>
      </c>
      <c r="C105" s="38" t="s">
        <v>46</v>
      </c>
      <c r="D105" s="42">
        <f>TRUNC(13377,-1)</f>
        <v>13370</v>
      </c>
      <c r="E105" s="63">
        <f t="shared" si="3"/>
        <v>44190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2520</v>
      </c>
      <c r="E114" s="63">
        <f t="shared" si="3"/>
        <v>8330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TRUNC(12647,-1)</f>
        <v>12640</v>
      </c>
      <c r="E116" s="63">
        <f t="shared" si="3"/>
        <v>41780</v>
      </c>
    </row>
    <row r="117" spans="1:7" x14ac:dyDescent="0.3">
      <c r="A117" s="2">
        <v>20</v>
      </c>
      <c r="C117" s="38" t="s">
        <v>148</v>
      </c>
      <c r="D117" s="42">
        <f>TRUNC(87499,-1)</f>
        <v>87490</v>
      </c>
      <c r="E117" s="63">
        <f t="shared" si="3"/>
        <v>289220</v>
      </c>
    </row>
    <row r="118" spans="1:7" ht="17.25" thickBot="1" x14ac:dyDescent="0.35">
      <c r="A118" s="2">
        <v>21</v>
      </c>
      <c r="C118" s="38" t="s">
        <v>47</v>
      </c>
      <c r="D118" s="43">
        <f>5678+62</f>
        <v>5740</v>
      </c>
      <c r="E118" s="64">
        <f t="shared" si="3"/>
        <v>18970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264760</v>
      </c>
      <c r="E119" s="39">
        <f>SUM(E98:E118)</f>
        <v>875190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TRUNC(2455,-1)</f>
        <v>2450</v>
      </c>
      <c r="E122" s="62">
        <f t="shared" ref="E122:E132" si="4">TRUNC(+D122*3.3058,-1)</f>
        <v>8090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TRUNC(948,-1)</f>
        <v>940</v>
      </c>
      <c r="E124" s="63">
        <f t="shared" si="4"/>
        <v>3100</v>
      </c>
    </row>
    <row r="125" spans="1:7" x14ac:dyDescent="0.3">
      <c r="A125" s="2">
        <v>4</v>
      </c>
      <c r="C125" s="38" t="s">
        <v>138</v>
      </c>
      <c r="D125" s="42">
        <v>10830</v>
      </c>
      <c r="E125" s="63">
        <f t="shared" si="4"/>
        <v>35800</v>
      </c>
    </row>
    <row r="126" spans="1:7" x14ac:dyDescent="0.3">
      <c r="A126" s="2">
        <v>5</v>
      </c>
      <c r="C126" s="38" t="s">
        <v>53</v>
      </c>
      <c r="D126" s="42">
        <f>TRUNC(6994,-1)</f>
        <v>6990</v>
      </c>
      <c r="E126" s="63">
        <f t="shared" si="4"/>
        <v>23100</v>
      </c>
    </row>
    <row r="127" spans="1:7" x14ac:dyDescent="0.3">
      <c r="A127" s="2">
        <v>6</v>
      </c>
      <c r="C127" s="38" t="s">
        <v>56</v>
      </c>
      <c r="D127" s="42">
        <f>TRUNC(4999,-1)</f>
        <v>4990</v>
      </c>
      <c r="E127" s="63">
        <f t="shared" si="4"/>
        <v>16490</v>
      </c>
    </row>
    <row r="128" spans="1:7" x14ac:dyDescent="0.3">
      <c r="A128" s="2">
        <v>7</v>
      </c>
      <c r="C128" s="38" t="s">
        <v>46</v>
      </c>
      <c r="D128" s="42">
        <f>TRUNC(4415,-1)</f>
        <v>4410</v>
      </c>
      <c r="E128" s="63">
        <f t="shared" si="4"/>
        <v>14570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TRUNC(18177,-1)</f>
        <v>18170</v>
      </c>
      <c r="E130" s="63">
        <f t="shared" si="4"/>
        <v>60060</v>
      </c>
    </row>
    <row r="131" spans="1:7" x14ac:dyDescent="0.3">
      <c r="A131" s="2">
        <v>10</v>
      </c>
      <c r="C131" s="38" t="s">
        <v>148</v>
      </c>
      <c r="D131" s="42">
        <v>29490</v>
      </c>
      <c r="E131" s="63">
        <f t="shared" si="4"/>
        <v>97480</v>
      </c>
    </row>
    <row r="132" spans="1:7" ht="18" thickBot="1" x14ac:dyDescent="0.35">
      <c r="A132" s="2">
        <v>11</v>
      </c>
      <c r="C132" s="38" t="s">
        <v>47</v>
      </c>
      <c r="D132" s="43">
        <f>TRUNC(4893+80+182,-1)</f>
        <v>5150</v>
      </c>
      <c r="E132" s="64">
        <f t="shared" si="4"/>
        <v>17020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83420</v>
      </c>
      <c r="E133" s="39">
        <f>SUM(E122:E132)</f>
        <v>275710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TRUNC(1239+1995+880,-1)</f>
        <v>4110</v>
      </c>
      <c r="E137" s="63">
        <f t="shared" si="5"/>
        <v>13580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TRUNC(7301,-1)</f>
        <v>7300</v>
      </c>
      <c r="E138" s="63">
        <f t="shared" si="5"/>
        <v>24130</v>
      </c>
    </row>
    <row r="139" spans="1:7" x14ac:dyDescent="0.3">
      <c r="A139" s="2">
        <v>4</v>
      </c>
      <c r="C139" s="38" t="s">
        <v>61</v>
      </c>
      <c r="D139" s="42">
        <f>TRUNC(4931,-1)</f>
        <v>4930</v>
      </c>
      <c r="E139" s="63">
        <f t="shared" si="5"/>
        <v>16290</v>
      </c>
    </row>
    <row r="140" spans="1:7" x14ac:dyDescent="0.3">
      <c r="A140" s="2">
        <v>5</v>
      </c>
      <c r="C140" s="38" t="s">
        <v>57</v>
      </c>
      <c r="D140" s="42">
        <f>TRUNC(2261,-1)</f>
        <v>2260</v>
      </c>
      <c r="E140" s="63">
        <f t="shared" si="5"/>
        <v>7470</v>
      </c>
    </row>
    <row r="141" spans="1:7" x14ac:dyDescent="0.3">
      <c r="A141" s="2">
        <v>6</v>
      </c>
      <c r="C141" s="38" t="s">
        <v>59</v>
      </c>
      <c r="D141" s="42">
        <f>TRUNC(48218,-1)</f>
        <v>48210</v>
      </c>
      <c r="E141" s="63">
        <f t="shared" si="5"/>
        <v>159370</v>
      </c>
    </row>
    <row r="142" spans="1:7" x14ac:dyDescent="0.3">
      <c r="A142" s="2">
        <v>7</v>
      </c>
      <c r="C142" s="38" t="s">
        <v>58</v>
      </c>
      <c r="D142" s="42">
        <f>TRUNC(8044,-1)</f>
        <v>8040</v>
      </c>
      <c r="E142" s="63">
        <f t="shared" si="5"/>
        <v>26570</v>
      </c>
    </row>
    <row r="143" spans="1:7" x14ac:dyDescent="0.3">
      <c r="A143" s="2">
        <v>8</v>
      </c>
      <c r="C143" s="38" t="s">
        <v>62</v>
      </c>
      <c r="D143" s="42">
        <f>TRUNC(13368,-1)</f>
        <v>13360</v>
      </c>
      <c r="E143" s="63">
        <f t="shared" si="5"/>
        <v>44160</v>
      </c>
    </row>
    <row r="144" spans="1:7" x14ac:dyDescent="0.3">
      <c r="A144" s="2">
        <v>9</v>
      </c>
      <c r="C144" s="38" t="s">
        <v>63</v>
      </c>
      <c r="D144" s="42">
        <f>TRUNC(29293,-1)</f>
        <v>29290</v>
      </c>
      <c r="E144" s="63">
        <f t="shared" si="5"/>
        <v>96820</v>
      </c>
    </row>
    <row r="145" spans="1:7" ht="17.25" thickBot="1" x14ac:dyDescent="0.35">
      <c r="A145" s="2">
        <v>10</v>
      </c>
      <c r="C145" s="38" t="s">
        <v>148</v>
      </c>
      <c r="D145" s="43">
        <f>TRUNC(2182,-1)</f>
        <v>2180</v>
      </c>
      <c r="E145" s="64">
        <f t="shared" si="5"/>
        <v>7200</v>
      </c>
    </row>
    <row r="146" spans="1:7" x14ac:dyDescent="0.3">
      <c r="A146" s="2">
        <v>11</v>
      </c>
      <c r="C146" s="27" t="s">
        <v>112</v>
      </c>
      <c r="D146" s="39">
        <f>SUM(D136:D145)</f>
        <v>119680</v>
      </c>
      <c r="E146" s="39">
        <f>SUM(E136:E145)</f>
        <v>395590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TRUNC(13135+2757,-1)</f>
        <v>15890</v>
      </c>
      <c r="E149" s="62">
        <f>TRUNC(+D149*3.3058,-1)</f>
        <v>52520</v>
      </c>
    </row>
    <row r="150" spans="1:7" x14ac:dyDescent="0.3">
      <c r="A150" s="2">
        <v>2</v>
      </c>
      <c r="C150" s="38" t="s">
        <v>49</v>
      </c>
      <c r="D150" s="42">
        <f>TRUNC(4964,-1)</f>
        <v>4960</v>
      </c>
      <c r="E150" s="63">
        <f>TRUNC(+D150*3.3058,-1)</f>
        <v>16390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TRUNC(415+4562+31,-1)</f>
        <v>5000</v>
      </c>
      <c r="E152" s="63">
        <f>TRUNC(+D152*3.3058,-1)</f>
        <v>16520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TRUNC(19098,-1)</f>
        <v>19090</v>
      </c>
      <c r="E153" s="64">
        <f>TRUNC(+D153*3.3058,-1)</f>
        <v>63100</v>
      </c>
    </row>
    <row r="154" spans="1:7" x14ac:dyDescent="0.3">
      <c r="A154" s="2">
        <v>6</v>
      </c>
      <c r="C154" s="27" t="s">
        <v>112</v>
      </c>
      <c r="D154" s="39">
        <f>SUM(D149:D153)</f>
        <v>44940</v>
      </c>
      <c r="E154" s="39">
        <f>SUM(E149:E153)</f>
        <v>148530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TRUNC(8599,-1)</f>
        <v>8590</v>
      </c>
      <c r="E157" s="62">
        <f>TRUNC(+D157*3.3058,-1)</f>
        <v>28390</v>
      </c>
    </row>
    <row r="158" spans="1:7" x14ac:dyDescent="0.3">
      <c r="A158" s="2">
        <v>2</v>
      </c>
      <c r="C158" s="38" t="s">
        <v>52</v>
      </c>
      <c r="D158" s="42">
        <f>TRUNC(241,-1)</f>
        <v>240</v>
      </c>
      <c r="E158" s="63">
        <f>TRUNC(+D158*3.3058,-1)</f>
        <v>790</v>
      </c>
    </row>
    <row r="159" spans="1:7" x14ac:dyDescent="0.3">
      <c r="A159" s="2">
        <v>3</v>
      </c>
      <c r="C159" s="38" t="s">
        <v>47</v>
      </c>
      <c r="D159" s="42">
        <f>TRUNC(1959,-1)</f>
        <v>1950</v>
      </c>
      <c r="E159" s="63">
        <f>TRUNC(+D159*3.3058,-1)</f>
        <v>6440</v>
      </c>
    </row>
    <row r="160" spans="1:7" ht="17.25" thickBot="1" x14ac:dyDescent="0.35">
      <c r="A160" s="2">
        <v>4</v>
      </c>
      <c r="C160" s="38" t="s">
        <v>148</v>
      </c>
      <c r="D160" s="43">
        <f>TRUNC(5534,-1)</f>
        <v>5530</v>
      </c>
      <c r="E160" s="64">
        <f>TRUNC(+D160*3.3058,-1)</f>
        <v>18280</v>
      </c>
    </row>
    <row r="161" spans="1:5" x14ac:dyDescent="0.3">
      <c r="A161" s="2">
        <v>5</v>
      </c>
      <c r="C161" s="27" t="s">
        <v>112</v>
      </c>
      <c r="D161" s="39">
        <f>SUM(D157:D160)</f>
        <v>16310</v>
      </c>
      <c r="E161" s="39">
        <f>SUM(E157:E160)</f>
        <v>53900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2020-12-08T04:00:30Z</dcterms:modified>
</cp:coreProperties>
</file>