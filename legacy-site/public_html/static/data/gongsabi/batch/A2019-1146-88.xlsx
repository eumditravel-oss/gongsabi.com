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18" i="4"/>
  <c r="D117" i="4"/>
  <c r="D116" i="4"/>
  <c r="D104" i="4"/>
  <c r="D103" i="4"/>
  <c r="D102" i="4"/>
  <c r="D101" i="4"/>
  <c r="D100" i="4"/>
  <c r="D99" i="4"/>
  <c r="D98" i="4"/>
  <c r="D94" i="4"/>
  <c r="D93" i="4"/>
  <c r="D92" i="4"/>
  <c r="D91" i="4"/>
  <c r="D89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<sst xmlns="http://schemas.openxmlformats.org/spreadsheetml/2006/main" count="389" uniqueCount="263">
  <si>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</si>
  <si>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</si>
  <si>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</si>
  <si>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</si>
  <si>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</si>
  <si>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</si>
  <si>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</si>
  <si>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</si>
  <si>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</si>
  <si>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</si>
  <si>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</si>
  <si>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</si>
  <si>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</si>
  <si>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</si>
  <si>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</si>
  <si>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</si>
  <si>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</si>
  <si>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</si>
  <si>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</si>
  <si>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</si>
  <si>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</si>
  <si>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</si>
  <si>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</si>
  <si>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</si>
  <si>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</si>
  <si>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</si>
  <si>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</si>
  <si>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</si>
  <si>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</si>
  <si>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</si>
  <si>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</si>
  <si>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</si>
  <si>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</si>
  <si>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</si>
  <si>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</si>
  <si>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</si>
  <si>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</si>
  <si>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</si>
  <si>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</si>
  <si>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</si>
  <si>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</si>
  <si>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</si>
  <si>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</si>
  <si>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</si>
  <si>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</si>
  <si>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</si>
  <si>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</si>
  <si>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</si>
  <si>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</si>
  <si>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</si>
  <si>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</si>
  <si>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</si>
  <si>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</si>
  <si>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</si>
  <si>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</si>
  <si>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</si>
  <si>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</si>
  <si>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</si>
  <si>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</si>
  <si>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</si>
  <si>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</si>
  <si>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</si>
  <si>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</si>
  <si>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</si>
  <si>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</si>
  <si>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</si>
  <si>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</si>
  <si>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</si>
  <si>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</si>
  <si>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</si>
  <si>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</si>
  <si>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</si>
  <si>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</si>
  <si>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</si>
  <si>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</si>
  <si>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</si>
  <si>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</si>
  <si>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</si>
  <si>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</si>
  <si>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</si>
  <si>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</si>
  <si>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</si>
  <si>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</si>
  <si>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</si>
  <si>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</si>
  <si>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</si>
  <si>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</si>
  <si>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</si>
  <si>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</si>
  <si>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</si>
  <si>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</si>
  <si>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</si>
  <si>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</si>
  <si>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</si>
  <si>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</si>
  <si>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</si>
  <si>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</si>
  <si>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</si>
  <si>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</si>
  <si>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</si>
  <si>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</si>
  <si>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</si>
  <si>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</si>
  <si>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</si>
  <si>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</si>
  <si>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</si>
  <si>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</si>
  <si>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</si>
  <si>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</si>
  <si>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</si>
  <si>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</si>
  <si>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</si>
  <si>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</si>
  <si>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</si>
  <si>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</si>
  <si>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</si>
  <si>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</si>
  <si>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</si>
  <si>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</si>
  <si>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</si>
  <si>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</si>
  <si>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</si>
  <si>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</si>
  <si>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</si>
  <si>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</si>
  <si>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</si>
  <si>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</si>
  <si>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</si>
  <si>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</si>
  <si>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</si>
  <si>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</si>
  <si>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</si>
  <si>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</si>
  <si>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</si>
  <si>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</si>
  <si>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</si>
  <si>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</si>
  <si>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</si>
  <si>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</si>
  <si>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</si>
  <si>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</si>
  <si>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</si>
  <si>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</si>
  <si>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</si>
  <si>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</si>
  <si>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</si>
  <si>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</si>
  <si>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</si>
  <si>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</si>
  <si>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</si>
  <si>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</si>
  <si>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</si>
  <si>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</si>
  <si>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</si>
  <si>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</si>
  <si>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</si>
  <si>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</si>
  <si>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</si>
  <si>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</si>
  <si>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</si>
  <si>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</si>
  <si>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</si>
  <si>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</si>
  <si>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</si>
  <si>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</si>
  <si>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</si>
  <si>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</si>
  <si>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</si>
  <si>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</si>
  <si>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</si>
  <si>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</si>
  <si>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</si>
  <si>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</si>
  <si>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</si>
  <si>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</si>
  <si>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</si>
  <si>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</si>
  <si>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</si>
  <si>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</si>
  <si>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</si>
  <si>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</si>
  <si>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</si>
  <si>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</si>
  <si>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</si>
  <si>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</si>
  <si>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</si>
  <si>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</si>
  <si>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</si>
  <si>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</si>
  <si>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</si>
  <si>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</si>
  <si>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</si>
  <si>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</si>
  <si>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</si>
  <si>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</si>
  <si>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</si>
  <si>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</si>
  <si>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</si>
  <si>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</si>
  <si>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</si>
  <si>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</si>
  <si>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</si>
  <si>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</si>
  <si>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</si>
  <si>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</si>
  <si>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</si>
  <si>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</si>
  <si>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</si>
  <si>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</si>
  <si>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</si>
  <si>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</si>
  <si>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</si>
  <si>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</si>
  <si>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</si>
  <si>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</si>
  <si>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</si>
  <si>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</si>
  <si>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</si>
  <si>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</si>
  <si>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</si>
  <si>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</si>
  <si>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</si>
  <si>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</si>
  <si>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</si>
  <si>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</si>
  <si>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</si>
  <si>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</si>
  <si>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</si>
  <si>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</si>
  <si>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</si>
  <si>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</si>
  <si>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</si>
  <si>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</si>
  <si>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</si>
  <si>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</si>
  <si>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</si>
  <si>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</si>
  <si>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</si>
  <si>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</si>
  <si>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</si>
  <si>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</si>
  <si>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</si>
  <si>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</si>
  <si>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</si>
  <si>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</si>
  <si>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</si>
  <si>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</si>
  <si>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</si>
  <si>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</si>
  <si>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</si>
  <si>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(가칭)대구연경지구2초등학교 및 2유치원 신축공사(장기계속)</t>
    <phoneticPr fontId="2" type="noConversion"/>
  </si>
  <si>
    <t>대구시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</si>
  <si>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</si>
  <si>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</si>
  <si>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</si>
  <si>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</si>
  <si>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공조배관공사, 난방배관공사, 기타공사</t>
    <phoneticPr fontId="2" type="noConversion"/>
  </si>
  <si>
    <t>전기인입 및 수변전 설비공사</t>
    <phoneticPr fontId="2" type="noConversion"/>
  </si>
  <si>
    <t>CCTV설비공사, 주차관제설비공사,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</si>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</sst>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16401.2</v>
      </c>
      <c r="D7" s="36">
        <f>+C7/3.3058</f>
        <v>4961.3406739669672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948880</v>
      </c>
      <c r="E25" s="59">
        <f t="shared" si="0"/>
        <v>3136800</v>
      </c>
    </row>
    <row r="26" spans="1:5" x14ac:dyDescent="0.3">
      <c r="B26" s="2">
        <v>3</v>
      </c>
      <c r="C26" s="35" t="s">
        <v>95</v>
      </c>
      <c r="D26" s="45">
        <f>+D66</f>
        <v>1140</v>
      </c>
      <c r="E26" s="59">
        <f t="shared" si="0"/>
        <v>3760</v>
      </c>
    </row>
    <row r="27" spans="1:5" x14ac:dyDescent="0.3">
      <c r="B27" s="2">
        <v>4</v>
      </c>
      <c r="C27" s="35" t="s">
        <v>96</v>
      </c>
      <c r="D27" s="45">
        <f>+D95</f>
        <v>235540</v>
      </c>
      <c r="E27" s="59">
        <f t="shared" si="0"/>
        <v>778640</v>
      </c>
    </row>
    <row r="28" spans="1:5" x14ac:dyDescent="0.3">
      <c r="B28" s="2">
        <v>5</v>
      </c>
      <c r="C28" s="35" t="s">
        <v>97</v>
      </c>
      <c r="D28" s="45">
        <f>+D119</f>
        <v>263710</v>
      </c>
      <c r="E28" s="59">
        <f t="shared" si="0"/>
        <v>871770</v>
      </c>
    </row>
    <row r="29" spans="1:5" x14ac:dyDescent="0.3">
      <c r="B29" s="2">
        <v>6</v>
      </c>
      <c r="C29" s="35" t="s">
        <v>98</v>
      </c>
      <c r="D29" s="45">
        <f>+D133</f>
        <v>52150</v>
      </c>
      <c r="E29" s="59">
        <f t="shared" si="0"/>
        <v>172390</v>
      </c>
    </row>
    <row r="30" spans="1:5" x14ac:dyDescent="0.3">
      <c r="B30" s="2">
        <v>7</v>
      </c>
      <c r="C30" s="35" t="s">
        <v>99</v>
      </c>
      <c r="D30" s="45">
        <f>+D146</f>
        <v>67170</v>
      </c>
      <c r="E30" s="59">
        <f t="shared" si="0"/>
        <v>222050</v>
      </c>
    </row>
    <row r="31" spans="1:5" x14ac:dyDescent="0.3">
      <c r="B31" s="2">
        <v>8</v>
      </c>
      <c r="C31" s="35" t="s">
        <v>100</v>
      </c>
      <c r="D31" s="45">
        <f>+D154</f>
        <v>112140</v>
      </c>
      <c r="E31" s="59">
        <f t="shared" si="0"/>
        <v>370710</v>
      </c>
    </row>
    <row r="32" spans="1:5" x14ac:dyDescent="0.3">
      <c r="B32" s="2">
        <v>9</v>
      </c>
      <c r="C32" s="35" t="s">
        <v>101</v>
      </c>
      <c r="D32" s="45">
        <f>+D161</f>
        <v>20</v>
      </c>
      <c r="E32" s="59">
        <f t="shared" si="0"/>
        <v>60</v>
      </c>
    </row>
    <row r="33" spans="1:7" x14ac:dyDescent="0.3">
      <c r="B33" s="2">
        <v>10</v>
      </c>
      <c r="C33" s="35" t="s">
        <v>155</v>
      </c>
      <c r="D33" s="53">
        <f>TRUNC(SUM(D24:D32)*0.275,-1)</f>
        <v>462200</v>
      </c>
      <c r="E33" s="60">
        <f t="shared" si="0"/>
        <v>1527940</v>
      </c>
    </row>
    <row r="34" spans="1:7" x14ac:dyDescent="0.3">
      <c r="C34" s="35" t="s">
        <v>112</v>
      </c>
      <c r="D34" s="44">
        <f>SUM(D24:D33)</f>
        <v>2142950</v>
      </c>
      <c r="E34" s="44">
        <f>SUM(E24:E33)</f>
        <v>7084120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TRUNC(45356,-1)</f>
        <v>45350</v>
      </c>
      <c r="E40" s="62">
        <f t="shared" ref="E40:E59" si="1">TRUNC(+D40*3.3058,-1)</f>
        <v>149910</v>
      </c>
    </row>
    <row r="41" spans="1:7" x14ac:dyDescent="0.3">
      <c r="A41" s="2">
        <v>2</v>
      </c>
      <c r="C41" s="38" t="s">
        <v>13</v>
      </c>
      <c r="D41" s="42">
        <f>TRUNC(195664,-1)</f>
        <v>195660</v>
      </c>
      <c r="E41" s="63">
        <f t="shared" si="1"/>
        <v>646810</v>
      </c>
    </row>
    <row r="42" spans="1:7" x14ac:dyDescent="0.3">
      <c r="A42" s="2">
        <v>3</v>
      </c>
      <c r="C42" s="38" t="s">
        <v>14</v>
      </c>
      <c r="D42" s="42">
        <f>TRUNC(25155,-1)</f>
        <v>25150</v>
      </c>
      <c r="E42" s="63">
        <f t="shared" si="1"/>
        <v>83140</v>
      </c>
    </row>
    <row r="43" spans="1:7" x14ac:dyDescent="0.3">
      <c r="A43" s="2">
        <v>4</v>
      </c>
      <c r="C43" s="38" t="s">
        <v>16</v>
      </c>
      <c r="D43" s="42">
        <f>TRUNC(47695,-1)</f>
        <v>47690</v>
      </c>
      <c r="E43" s="63">
        <f t="shared" si="1"/>
        <v>157650</v>
      </c>
    </row>
    <row r="44" spans="1:7" x14ac:dyDescent="0.3">
      <c r="A44" s="2">
        <v>5</v>
      </c>
      <c r="C44" s="38" t="s">
        <v>17</v>
      </c>
      <c r="D44" s="42">
        <v>26500</v>
      </c>
      <c r="E44" s="63">
        <f t="shared" si="1"/>
        <v>87600</v>
      </c>
    </row>
    <row r="45" spans="1:7" x14ac:dyDescent="0.3">
      <c r="A45" s="2">
        <v>6</v>
      </c>
      <c r="C45" s="38" t="s">
        <v>18</v>
      </c>
      <c r="D45" s="42">
        <f>TRUNC(8169,-1)</f>
        <v>8160</v>
      </c>
      <c r="E45" s="63">
        <f t="shared" si="1"/>
        <v>26970</v>
      </c>
    </row>
    <row r="46" spans="1:7" x14ac:dyDescent="0.3">
      <c r="A46" s="2">
        <v>7</v>
      </c>
      <c r="C46" s="38" t="s">
        <v>19</v>
      </c>
      <c r="D46" s="42">
        <f>TRUNC(20632,-1)</f>
        <v>20630</v>
      </c>
      <c r="E46" s="63">
        <f t="shared" si="1"/>
        <v>68190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TRUNC(82127,-1)</f>
        <v>82120</v>
      </c>
      <c r="E48" s="63">
        <f t="shared" si="1"/>
        <v>271470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TRUNC(27215,-1)</f>
        <v>27210</v>
      </c>
      <c r="E49" s="63">
        <f t="shared" si="1"/>
        <v>89950</v>
      </c>
    </row>
    <row r="50" spans="1:7" x14ac:dyDescent="0.3">
      <c r="A50" s="2">
        <v>11</v>
      </c>
      <c r="C50" s="38" t="s">
        <v>156</v>
      </c>
      <c r="D50" s="42">
        <f>TRUNC(52471,-1)</f>
        <v>52470</v>
      </c>
      <c r="E50" s="63">
        <f t="shared" si="1"/>
        <v>173450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TRUNC(17274,-1)</f>
        <v>17270</v>
      </c>
      <c r="E52" s="63">
        <f t="shared" si="1"/>
        <v>57090</v>
      </c>
    </row>
    <row r="53" spans="1:7" x14ac:dyDescent="0.3">
      <c r="A53" s="2">
        <v>14</v>
      </c>
      <c r="C53" s="38" t="s">
        <v>25</v>
      </c>
      <c r="D53" s="42">
        <f>TRUNC(127429,-1)</f>
        <v>127420</v>
      </c>
      <c r="E53" s="63">
        <f t="shared" si="1"/>
        <v>421220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TRUNC(20001+5022+702+19873,-1)</f>
        <v>45590</v>
      </c>
      <c r="E58" s="63">
        <f t="shared" si="1"/>
        <v>150710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TRUNC(227665,-1)</f>
        <v>227660</v>
      </c>
      <c r="E59" s="64">
        <f t="shared" si="1"/>
        <v>752590</v>
      </c>
    </row>
    <row r="60" spans="1:7" x14ac:dyDescent="0.3">
      <c r="A60" s="2">
        <v>21</v>
      </c>
      <c r="C60" s="27" t="s">
        <v>112</v>
      </c>
      <c r="D60" s="39">
        <f>SUM(D40:D59)</f>
        <v>948880</v>
      </c>
      <c r="E60" s="39">
        <f>SUM(E40:E59)</f>
        <v>3136750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TRUNC(1143,-1)</f>
        <v>1140</v>
      </c>
      <c r="E63" s="62">
        <f>TRUNC(+D63*3.3058,-1)</f>
        <v>3760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1140</v>
      </c>
      <c r="E66" s="65">
        <f>SUM(E63:E65)</f>
        <v>3760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TRUNC(11638,-1)</f>
        <v>11630</v>
      </c>
      <c r="E69" s="62">
        <f t="shared" ref="E69:E94" si="2">TRUNC(+D69*3.3058,-1)</f>
        <v>38440</v>
      </c>
    </row>
    <row r="70" spans="1:7" ht="16.5" customHeight="1" x14ac:dyDescent="0.3">
      <c r="A70" s="2">
        <v>2</v>
      </c>
      <c r="C70" s="38" t="s">
        <v>31</v>
      </c>
      <c r="D70" s="42">
        <f>TRUNC(1611,-1)</f>
        <v>1610</v>
      </c>
      <c r="E70" s="63">
        <f t="shared" si="2"/>
        <v>5320</v>
      </c>
    </row>
    <row r="71" spans="1:7" x14ac:dyDescent="0.3">
      <c r="A71" s="2">
        <v>3</v>
      </c>
      <c r="C71" s="38" t="s">
        <v>32</v>
      </c>
      <c r="D71" s="42">
        <f>TRUNC(6509,-1)</f>
        <v>6500</v>
      </c>
      <c r="E71" s="63">
        <f t="shared" si="2"/>
        <v>21480</v>
      </c>
    </row>
    <row r="72" spans="1:7" x14ac:dyDescent="0.3">
      <c r="A72" s="2">
        <v>4</v>
      </c>
      <c r="C72" s="38" t="s">
        <v>33</v>
      </c>
      <c r="D72" s="42">
        <f>TRUNC(4739,-1)</f>
        <v>4730</v>
      </c>
      <c r="E72" s="63">
        <f t="shared" si="2"/>
        <v>15630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TRUNC(32121,-1)</f>
        <v>32120</v>
      </c>
      <c r="E89" s="63">
        <f t="shared" si="2"/>
        <v>106180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TRUNC(3567,-1)</f>
        <v>3560</v>
      </c>
      <c r="E91" s="63">
        <f t="shared" si="2"/>
        <v>11760</v>
      </c>
    </row>
    <row r="92" spans="1:7" x14ac:dyDescent="0.3">
      <c r="A92" s="2">
        <v>24</v>
      </c>
      <c r="C92" s="38" t="s">
        <v>38</v>
      </c>
      <c r="D92" s="42">
        <f>TRUNC(17506,-1)</f>
        <v>17500</v>
      </c>
      <c r="E92" s="63">
        <f t="shared" si="2"/>
        <v>57850</v>
      </c>
    </row>
    <row r="93" spans="1:7" x14ac:dyDescent="0.3">
      <c r="A93" s="2">
        <v>25</v>
      </c>
      <c r="C93" s="38" t="s">
        <v>149</v>
      </c>
      <c r="D93" s="42">
        <f>TRUNC(144702,-1)</f>
        <v>144700</v>
      </c>
      <c r="E93" s="63">
        <f t="shared" si="2"/>
        <v>478340</v>
      </c>
    </row>
    <row r="94" spans="1:7" ht="17.25" thickBot="1" x14ac:dyDescent="0.35">
      <c r="A94" s="2">
        <v>26</v>
      </c>
      <c r="C94" s="38" t="s">
        <v>47</v>
      </c>
      <c r="D94" s="43">
        <f>TRUNC(412+10736+2043,-1)</f>
        <v>13190</v>
      </c>
      <c r="E94" s="64">
        <f t="shared" si="2"/>
        <v>43600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235540</v>
      </c>
      <c r="E95" s="39">
        <f>SUM(E69:E94)</f>
        <v>778600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TRUNC(11644,-1)</f>
        <v>11640</v>
      </c>
      <c r="E98" s="62">
        <f t="shared" ref="E98:E118" si="3">TRUNC(+D98*3.3058,-1)</f>
        <v>38470</v>
      </c>
    </row>
    <row r="99" spans="1:7" x14ac:dyDescent="0.3">
      <c r="A99" s="2">
        <v>2</v>
      </c>
      <c r="C99" s="38" t="s">
        <v>40</v>
      </c>
      <c r="D99" s="42">
        <f>TRUNC(2995,-1)</f>
        <v>2990</v>
      </c>
      <c r="E99" s="63">
        <f t="shared" si="3"/>
        <v>9880</v>
      </c>
    </row>
    <row r="100" spans="1:7" x14ac:dyDescent="0.3">
      <c r="A100" s="2">
        <v>3</v>
      </c>
      <c r="C100" s="38" t="s">
        <v>41</v>
      </c>
      <c r="D100" s="42">
        <f>TRUNC(32845,-1)</f>
        <v>32840</v>
      </c>
      <c r="E100" s="63">
        <f t="shared" si="3"/>
        <v>108560</v>
      </c>
    </row>
    <row r="101" spans="1:7" x14ac:dyDescent="0.3">
      <c r="A101" s="2">
        <v>4</v>
      </c>
      <c r="C101" s="38" t="s">
        <v>42</v>
      </c>
      <c r="D101" s="42">
        <f>TRUNC(3041,-1)</f>
        <v>3040</v>
      </c>
      <c r="E101" s="63">
        <f t="shared" si="3"/>
        <v>10040</v>
      </c>
    </row>
    <row r="102" spans="1:7" x14ac:dyDescent="0.3">
      <c r="A102" s="2">
        <v>5</v>
      </c>
      <c r="C102" s="38" t="s">
        <v>43</v>
      </c>
      <c r="D102" s="42">
        <f>TRUNC(11679,-1)</f>
        <v>11670</v>
      </c>
      <c r="E102" s="63">
        <f t="shared" si="3"/>
        <v>38570</v>
      </c>
    </row>
    <row r="103" spans="1:7" x14ac:dyDescent="0.3">
      <c r="A103" s="2">
        <v>6</v>
      </c>
      <c r="C103" s="38" t="s">
        <v>44</v>
      </c>
      <c r="D103" s="42">
        <f>TRUNC(19685,-1)</f>
        <v>19680</v>
      </c>
      <c r="E103" s="63">
        <f t="shared" si="3"/>
        <v>65050</v>
      </c>
    </row>
    <row r="104" spans="1:7" x14ac:dyDescent="0.3">
      <c r="A104" s="2">
        <v>7</v>
      </c>
      <c r="C104" s="38" t="s">
        <v>45</v>
      </c>
      <c r="D104" s="42">
        <f>TRUNC(3045,-1)</f>
        <v>3040</v>
      </c>
      <c r="E104" s="63">
        <f t="shared" si="3"/>
        <v>10040</v>
      </c>
    </row>
    <row r="105" spans="1:7" x14ac:dyDescent="0.3">
      <c r="A105" s="2">
        <v>8</v>
      </c>
      <c r="C105" s="38" t="s">
        <v>46</v>
      </c>
      <c r="D105" s="42">
        <v>4810</v>
      </c>
      <c r="E105" s="63">
        <f t="shared" si="3"/>
        <v>15900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TRUNC(8918,-1)</f>
        <v>8910</v>
      </c>
      <c r="E116" s="63">
        <f t="shared" si="3"/>
        <v>29450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TRUNC(162367,-1)</f>
        <v>162360</v>
      </c>
      <c r="E117" s="63">
        <f t="shared" si="3"/>
        <v>536720</v>
      </c>
    </row>
    <row r="118" spans="1:7" ht="17.25" thickBot="1" x14ac:dyDescent="0.35">
      <c r="A118" s="2">
        <v>21</v>
      </c>
      <c r="C118" s="38" t="s">
        <v>47</v>
      </c>
      <c r="D118" s="43">
        <f>TRUNC(2738,-1)</f>
        <v>2730</v>
      </c>
      <c r="E118" s="64">
        <f t="shared" si="3"/>
        <v>9020</v>
      </c>
    </row>
    <row r="119" spans="1:7" x14ac:dyDescent="0.3">
      <c r="A119" s="2">
        <v>22</v>
      </c>
      <c r="C119" s="27" t="s">
        <v>112</v>
      </c>
      <c r="D119" s="39">
        <f>SUM(D98:D118)</f>
        <v>263710</v>
      </c>
      <c r="E119" s="39">
        <f>SUM(E98:E118)</f>
        <v>871700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TRUNC(10422,-1)</f>
        <v>10420</v>
      </c>
      <c r="E125" s="63">
        <f t="shared" si="4"/>
        <v>34440</v>
      </c>
    </row>
    <row r="126" spans="1:7" x14ac:dyDescent="0.3">
      <c r="A126" s="2">
        <v>5</v>
      </c>
      <c r="C126" s="38" t="s">
        <v>53</v>
      </c>
      <c r="D126" s="42">
        <f>TRUNC(1247,-1)</f>
        <v>1240</v>
      </c>
      <c r="E126" s="63">
        <f t="shared" si="4"/>
        <v>4090</v>
      </c>
    </row>
    <row r="127" spans="1:7" x14ac:dyDescent="0.3">
      <c r="A127" s="2">
        <v>6</v>
      </c>
      <c r="C127" s="38" t="s">
        <v>56</v>
      </c>
      <c r="D127" s="42">
        <f>TRUNC(933,-1)</f>
        <v>930</v>
      </c>
      <c r="E127" s="63">
        <f t="shared" si="4"/>
        <v>3070</v>
      </c>
    </row>
    <row r="128" spans="1:7" x14ac:dyDescent="0.3">
      <c r="A128" s="2">
        <v>7</v>
      </c>
      <c r="C128" s="38" t="s">
        <v>46</v>
      </c>
      <c r="D128" s="42">
        <f>TRUNC(4064,-1)</f>
        <v>4060</v>
      </c>
      <c r="E128" s="63">
        <f t="shared" si="4"/>
        <v>13420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TRUNC(10816,-1)</f>
        <v>10810</v>
      </c>
      <c r="E130" s="63">
        <f t="shared" si="4"/>
        <v>35730</v>
      </c>
    </row>
    <row r="131" spans="1:7" x14ac:dyDescent="0.3">
      <c r="A131" s="2">
        <v>10</v>
      </c>
      <c r="C131" s="38" t="s">
        <v>149</v>
      </c>
      <c r="D131" s="42">
        <f>TRUNC(22033,-1)</f>
        <v>22030</v>
      </c>
      <c r="E131" s="63">
        <f t="shared" si="4"/>
        <v>72820</v>
      </c>
    </row>
    <row r="132" spans="1:7" ht="18" thickBot="1" x14ac:dyDescent="0.35">
      <c r="A132" s="2">
        <v>11</v>
      </c>
      <c r="C132" s="38" t="s">
        <v>47</v>
      </c>
      <c r="D132" s="43">
        <f>TRUNC(1853+644+170,-1)</f>
        <v>2660</v>
      </c>
      <c r="E132" s="64">
        <f t="shared" si="4"/>
        <v>8790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52150</v>
      </c>
      <c r="E133" s="39">
        <f>SUM(E122:E132)</f>
        <v>172360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TRUNC(294,-1)</f>
        <v>290</v>
      </c>
      <c r="E137" s="63">
        <f t="shared" si="5"/>
        <v>950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TRUNC(2577,-1)</f>
        <v>2570</v>
      </c>
      <c r="E139" s="63">
        <f t="shared" si="5"/>
        <v>8490</v>
      </c>
    </row>
    <row r="140" spans="1:7" x14ac:dyDescent="0.3">
      <c r="A140" s="2">
        <v>5</v>
      </c>
      <c r="C140" s="38" t="s">
        <v>57</v>
      </c>
      <c r="D140" s="42">
        <f>TRUNC(2218,-1)</f>
        <v>2210</v>
      </c>
      <c r="E140" s="63">
        <f t="shared" si="5"/>
        <v>7300</v>
      </c>
    </row>
    <row r="141" spans="1:7" x14ac:dyDescent="0.3">
      <c r="A141" s="2">
        <v>6</v>
      </c>
      <c r="C141" s="38" t="s">
        <v>59</v>
      </c>
      <c r="D141" s="42">
        <f>TRUNC(23367,-1)</f>
        <v>23360</v>
      </c>
      <c r="E141" s="63">
        <f t="shared" si="5"/>
        <v>77220</v>
      </c>
    </row>
    <row r="142" spans="1:7" x14ac:dyDescent="0.3">
      <c r="A142" s="2">
        <v>7</v>
      </c>
      <c r="C142" s="38" t="s">
        <v>58</v>
      </c>
      <c r="D142" s="42">
        <f>TRUNC(25411,-1)</f>
        <v>25410</v>
      </c>
      <c r="E142" s="63">
        <f t="shared" si="5"/>
        <v>84000</v>
      </c>
    </row>
    <row r="143" spans="1:7" x14ac:dyDescent="0.3">
      <c r="A143" s="2">
        <v>8</v>
      </c>
      <c r="C143" s="38" t="s">
        <v>62</v>
      </c>
      <c r="D143" s="42">
        <f>TRUNC(8296,-1)</f>
        <v>8290</v>
      </c>
      <c r="E143" s="63">
        <f t="shared" si="5"/>
        <v>27400</v>
      </c>
    </row>
    <row r="144" spans="1:7" x14ac:dyDescent="0.3">
      <c r="A144" s="2">
        <v>9</v>
      </c>
      <c r="C144" s="38" t="s">
        <v>63</v>
      </c>
      <c r="D144" s="42">
        <f>TRUNC(5043,-1)</f>
        <v>5040</v>
      </c>
      <c r="E144" s="63">
        <f t="shared" si="5"/>
        <v>16660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67170</v>
      </c>
      <c r="E146" s="39">
        <f>SUM(E136:E145)</f>
        <v>222020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TRUNC(8427+845,-1)</f>
        <v>9270</v>
      </c>
      <c r="E149" s="62">
        <f>TRUNC(+D149*3.3058,-1)</f>
        <v>30640</v>
      </c>
    </row>
    <row r="150" spans="1:7" x14ac:dyDescent="0.3">
      <c r="A150" s="2">
        <v>2</v>
      </c>
      <c r="C150" s="38" t="s">
        <v>49</v>
      </c>
      <c r="D150" s="42">
        <f>TRUNC(7178,-1)</f>
        <v>7170</v>
      </c>
      <c r="E150" s="63">
        <f>TRUNC(+D150*3.3058,-1)</f>
        <v>23700</v>
      </c>
    </row>
    <row r="151" spans="1:7" x14ac:dyDescent="0.3">
      <c r="A151" s="2">
        <v>3</v>
      </c>
      <c r="C151" s="38" t="s">
        <v>50</v>
      </c>
      <c r="D151" s="42">
        <f>TRUNC(20667,-1)</f>
        <v>20660</v>
      </c>
      <c r="E151" s="63">
        <f>TRUNC(+D151*3.3058,-1)</f>
        <v>68290</v>
      </c>
    </row>
    <row r="152" spans="1:7" x14ac:dyDescent="0.3">
      <c r="A152" s="2">
        <v>4</v>
      </c>
      <c r="C152" s="38" t="s">
        <v>47</v>
      </c>
      <c r="D152" s="42">
        <f>TRUNC(29+592,-1)</f>
        <v>620</v>
      </c>
      <c r="E152" s="63">
        <f>TRUNC(+D152*3.3058,-1)</f>
        <v>2040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f>TRUNC(74428,-1)</f>
        <v>74420</v>
      </c>
      <c r="E153" s="64">
        <f>TRUNC(+D153*3.3058,-1)</f>
        <v>246010</v>
      </c>
    </row>
    <row r="154" spans="1:7" x14ac:dyDescent="0.3">
      <c r="A154" s="2">
        <v>6</v>
      </c>
      <c r="C154" s="27" t="s">
        <v>112</v>
      </c>
      <c r="D154" s="39">
        <f>SUM(D149:D153)</f>
        <v>112140</v>
      </c>
      <c r="E154" s="39">
        <f>SUM(E149:E153)</f>
        <v>370680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TRUNC(27,-1)</f>
        <v>20</v>
      </c>
      <c r="E157" s="62">
        <f>TRUNC(+D157*3.3058,-1)</f>
        <v>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</v>
      </c>
      <c r="E161" s="39">
        <f>SUM(E157:E160)</f>
        <v>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2020-12-08T04:20:46Z</dcterms:modified>
</cp:coreProperties>
</file>