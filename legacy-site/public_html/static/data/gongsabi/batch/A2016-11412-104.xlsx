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31" i="4"/>
  <c r="D117" i="4"/>
  <c r="D59" i="4"/>
  <c r="D58" i="4"/>
  <c r="D159" i="4" l="1"/>
  <c r="D158" i="4"/>
  <c r="D157" i="4"/>
  <c r="D152" i="4"/>
  <c r="D151" i="4"/>
  <c r="D150" i="4"/>
  <c r="D149" i="4"/>
  <c r="D144" i="4"/>
  <c r="D143" i="4"/>
  <c r="D142" i="4"/>
  <c r="D141" i="4"/>
  <c r="D137" i="4"/>
  <c r="D132" i="4"/>
  <c r="D130" i="4"/>
  <c r="D128" i="4"/>
  <c r="D125" i="4"/>
  <c r="D124" i="4"/>
  <c r="D122" i="4"/>
  <c r="D118" i="4"/>
  <c r="D116" i="4"/>
  <c r="D114" i="4"/>
  <c r="D105" i="4"/>
  <c r="D104" i="4"/>
  <c r="D100" i="4"/>
  <c r="D99" i="4"/>
  <c r="D98" i="4"/>
  <c r="D63" i="4"/>
  <c r="D49" i="4"/>
  <c r="D48" i="4"/>
  <c r="D47" i="4"/>
  <c r="D46" i="4"/>
  <c r="D42" i="4"/>
  <c r="D41" i="4"/>
  <c r="D40" i="4"/>
  <c r="E150" i="4" l="1"/>
  <c r="E160" i="4" l="1"/>
  <c r="E159" i="4"/>
  <c r="E158" i="4"/>
  <c r="E157" i="4"/>
  <c r="E161" i="4" s="1"/>
  <c r="E153" i="4"/>
  <c r="E152" i="4"/>
  <c r="E151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95" i="4" s="1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D24" i="4"/>
  <c r="E24" i="4" s="1"/>
  <c r="D27" i="4"/>
  <c r="E27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<sst xmlns="http://schemas.openxmlformats.org/spreadsheetml/2006/main" count="391" uniqueCount="265">
  <si>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</si>
  <si>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</si>
  <si>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</si>
  <si>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</si>
  <si>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</si>
  <si>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</si>
  <si>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</si>
  <si>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</si>
  <si>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</si>
  <si>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</si>
  <si>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</si>
  <si>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</si>
  <si>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</si>
  <si>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</si>
  <si>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</si>
  <si>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</si>
  <si>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</si>
  <si>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</si>
  <si>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</si>
  <si>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</si>
  <si>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</si>
  <si>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</si>
  <si>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</si>
  <si>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</si>
  <si>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</si>
  <si>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</si>
  <si>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</si>
  <si>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</si>
  <si>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</si>
  <si>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</si>
  <si>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</si>
  <si>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</si>
  <si>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</si>
  <si>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</si>
  <si>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</si>
  <si>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</si>
  <si>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</si>
  <si>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</si>
  <si>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</si>
  <si>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</si>
  <si>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</si>
  <si>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</si>
  <si>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</si>
  <si>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</si>
  <si>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</si>
  <si>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</si>
  <si>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</si>
  <si>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</si>
  <si>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</si>
  <si>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</si>
  <si>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</si>
  <si>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</si>
  <si>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</si>
  <si>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</si>
  <si>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</si>
  <si>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</si>
  <si>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</si>
  <si>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</si>
  <si>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</si>
  <si>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</si>
  <si>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</si>
  <si>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</si>
  <si>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</si>
  <si>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</si>
  <si>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</si>
  <si>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</si>
  <si>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</si>
  <si>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</si>
  <si>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</si>
  <si>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</si>
  <si>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</si>
  <si>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</si>
  <si>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</si>
  <si>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</si>
  <si>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</si>
  <si>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</si>
  <si>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</si>
  <si>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</si>
  <si>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</si>
  <si>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</si>
  <si>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</si>
  <si>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</si>
  <si>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</si>
  <si>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</si>
  <si>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</si>
  <si>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</si>
  <si>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</si>
  <si>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</si>
  <si>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</si>
  <si>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</si>
  <si>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</si>
  <si>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</si>
  <si>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</si>
  <si>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</si>
  <si>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</si>
  <si>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</si>
  <si>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</si>
  <si>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</si>
  <si>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</si>
  <si>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</si>
  <si>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</si>
  <si>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</si>
  <si>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</si>
  <si>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</si>
  <si>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</si>
  <si>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</si>
  <si>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</si>
  <si>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</si>
  <si>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</si>
  <si>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</si>
  <si>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</si>
  <si>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</si>
  <si>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</si>
  <si>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</si>
  <si>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</si>
  <si>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</si>
  <si>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</si>
  <si>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</si>
  <si>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</si>
  <si>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</si>
  <si>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</si>
  <si>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</si>
  <si>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</si>
  <si>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</si>
  <si>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</si>
  <si>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</si>
  <si>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</si>
  <si>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</si>
  <si>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</si>
  <si>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</si>
  <si>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</si>
  <si>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</si>
  <si>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</si>
  <si>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</si>
  <si>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</si>
  <si>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</si>
  <si>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</si>
  <si>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</si>
  <si>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</si>
  <si>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</si>
  <si>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</si>
  <si>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</si>
  <si>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</si>
  <si>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</si>
  <si>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</si>
  <si>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</si>
  <si>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</si>
  <si>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</si>
  <si>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</si>
  <si>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</si>
  <si>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</si>
  <si>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</si>
  <si>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</si>
  <si>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</si>
  <si>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</si>
  <si>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</si>
  <si>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</si>
  <si>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</si>
  <si>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</si>
  <si>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</si>
  <si>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</si>
  <si>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</si>
  <si>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</si>
  <si>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</si>
  <si>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</si>
  <si>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</si>
  <si>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</si>
  <si>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</si>
  <si>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</si>
  <si>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</si>
  <si>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</si>
  <si>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</si>
  <si>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</si>
  <si>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</si>
  <si>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</si>
  <si>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</si>
  <si>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</si>
  <si>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</si>
  <si>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</si>
  <si>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</si>
  <si>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</si>
  <si>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</si>
  <si>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</si>
  <si>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</si>
  <si>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</si>
  <si>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</si>
  <si>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</si>
  <si>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</si>
  <si>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</si>
  <si>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</si>
  <si>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</si>
  <si>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</si>
  <si>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</si>
  <si>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</si>
  <si>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</si>
  <si>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</si>
  <si>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</si>
  <si>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</si>
  <si>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</si>
  <si>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</si>
  <si>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</si>
  <si>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</si>
  <si>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</si>
  <si>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</si>
  <si>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</si>
  <si>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</si>
  <si>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</si>
  <si>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</si>
  <si>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</si>
  <si>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</si>
  <si>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</si>
  <si>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</si>
  <si>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</si>
  <si>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</si>
  <si>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</si>
  <si>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</si>
  <si>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</si>
  <si>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</si>
  <si>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</si>
  <si>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</si>
  <si>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</si>
  <si>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</si>
  <si>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</si>
  <si>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</si>
  <si>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</si>
  <si>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</si>
  <si>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</si>
  <si>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</si>
  <si>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</si>
  <si>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</si>
  <si>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</si>
  <si>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</si>
  <si>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</si>
  <si>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</si>
  <si>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</si>
  <si>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</si>
  <si>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</si>
  <si>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</si>
  <si>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</si>
  <si>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</si>
  <si>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</si>
  <si>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</si>
  <si>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</si>
  <si>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</si>
  <si>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</si>
  <si>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</si>
  <si>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</si>
  <si>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</si>
  <si>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</si>
  <si>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</si>
  <si>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</si>
  <si>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</si>
  <si>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</si>
  <si>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</si>
  <si>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</si>
  <si>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</si>
  <si>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 xml:space="preserve"> 경북체육중고등학교 교사 증축공사</t>
    <phoneticPr fontId="2" type="noConversion"/>
  </si>
  <si>
    <t>경상도</t>
  </si>
  <si>
    <t>기초공사, 골재비및운반비, 기타공사</t>
    <phoneticPr fontId="2" type="noConversion"/>
  </si>
  <si>
    <t>CCTV설비공사, 기타공사</t>
    <phoneticPr fontId="2" type="noConversion"/>
  </si>
  <si>
    <t>옥외소화배관공사, 펌프실배관공사, 기타공사</t>
    <phoneticPr fontId="2" type="noConversion"/>
  </si>
  <si>
    <t>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</si>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</sst>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6" ht="17.25" thickBot="1" x14ac:dyDescent="0.35"/>
    <row r="2" spans="1:6" ht="17.25" thickBot="1" x14ac:dyDescent="0.35">
      <c r="A2" s="2">
        <v>1</v>
      </c>
      <c r="B2" s="2" t="s">
        <v>102</v>
      </c>
      <c r="C2" s="36" t="s">
        <v>256</v>
      </c>
    </row>
    <row r="3" spans="1:6" ht="17.25" thickBot="1" x14ac:dyDescent="0.35"/>
    <row r="4" spans="1:6" ht="17.25" thickBot="1" x14ac:dyDescent="0.35">
      <c r="A4" s="2">
        <v>2</v>
      </c>
      <c r="B4" s="2" t="s">
        <v>103</v>
      </c>
      <c r="C4" s="36" t="s">
        <v>255</v>
      </c>
    </row>
    <row r="6" spans="1:6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6" ht="17.25" thickBot="1" x14ac:dyDescent="0.35">
      <c r="C7" s="37">
        <v>10308.66</v>
      </c>
      <c r="D7" s="36">
        <f>+C7/3.3058</f>
        <v>3118.3556173997217</v>
      </c>
    </row>
    <row r="8" spans="1:6" ht="17.25" thickBot="1" x14ac:dyDescent="0.35"/>
    <row r="9" spans="1:6" ht="17.25" thickBot="1" x14ac:dyDescent="0.35">
      <c r="A9" s="2">
        <v>4</v>
      </c>
      <c r="B9" s="2" t="s">
        <v>105</v>
      </c>
      <c r="C9" s="36" t="s">
        <v>257</v>
      </c>
    </row>
    <row r="10" spans="1:6" ht="17.25" thickBot="1" x14ac:dyDescent="0.35">
      <c r="F10" s="35"/>
    </row>
    <row r="11" spans="1:6" ht="17.25" thickBot="1" x14ac:dyDescent="0.35">
      <c r="A11" s="2">
        <v>5</v>
      </c>
      <c r="B11" s="2" t="s">
        <v>106</v>
      </c>
      <c r="C11" s="36" t="s">
        <v>206</v>
      </c>
    </row>
    <row r="12" spans="1:6" ht="17.25" thickBot="1" x14ac:dyDescent="0.35"/>
    <row r="13" spans="1:6" ht="17.25" thickBot="1" x14ac:dyDescent="0.35">
      <c r="A13" s="2">
        <v>6</v>
      </c>
      <c r="B13" s="2" t="s">
        <v>107</v>
      </c>
      <c r="C13" s="36" t="s">
        <v>114</v>
      </c>
    </row>
    <row r="14" spans="1:6" ht="17.25" thickBot="1" x14ac:dyDescent="0.35"/>
    <row r="15" spans="1:6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1056400</v>
      </c>
      <c r="E25" s="59">
        <f t="shared" si="0"/>
        <v>3492240</v>
      </c>
    </row>
    <row r="26" spans="1:5" x14ac:dyDescent="0.3">
      <c r="B26" s="2">
        <v>3</v>
      </c>
      <c r="C26" s="35" t="s">
        <v>95</v>
      </c>
      <c r="D26" s="45">
        <f>+D66</f>
        <v>5580</v>
      </c>
      <c r="E26" s="59">
        <f t="shared" si="0"/>
        <v>18440</v>
      </c>
    </row>
    <row r="27" spans="1:5" x14ac:dyDescent="0.3">
      <c r="B27" s="2">
        <v>4</v>
      </c>
      <c r="C27" s="35" t="s">
        <v>96</v>
      </c>
      <c r="D27" s="45">
        <f>+D95</f>
        <v>0</v>
      </c>
      <c r="E27" s="59">
        <f t="shared" si="0"/>
        <v>0</v>
      </c>
    </row>
    <row r="28" spans="1:5" x14ac:dyDescent="0.3">
      <c r="B28" s="2">
        <v>5</v>
      </c>
      <c r="C28" s="35" t="s">
        <v>97</v>
      </c>
      <c r="D28" s="45">
        <f>+D119</f>
        <v>183880</v>
      </c>
      <c r="E28" s="59">
        <f t="shared" si="0"/>
        <v>607870</v>
      </c>
    </row>
    <row r="29" spans="1:5" x14ac:dyDescent="0.3">
      <c r="B29" s="2">
        <v>6</v>
      </c>
      <c r="C29" s="35" t="s">
        <v>98</v>
      </c>
      <c r="D29" s="45">
        <f>+D133</f>
        <v>66710</v>
      </c>
      <c r="E29" s="59">
        <f t="shared" si="0"/>
        <v>220520</v>
      </c>
    </row>
    <row r="30" spans="1:5" x14ac:dyDescent="0.3">
      <c r="B30" s="2">
        <v>7</v>
      </c>
      <c r="C30" s="35" t="s">
        <v>99</v>
      </c>
      <c r="D30" s="45">
        <f>+D146</f>
        <v>38290</v>
      </c>
      <c r="E30" s="59">
        <f t="shared" si="0"/>
        <v>126570</v>
      </c>
    </row>
    <row r="31" spans="1:5" x14ac:dyDescent="0.3">
      <c r="B31" s="2">
        <v>8</v>
      </c>
      <c r="C31" s="35" t="s">
        <v>100</v>
      </c>
      <c r="D31" s="45">
        <f>+D154</f>
        <v>67890</v>
      </c>
      <c r="E31" s="59">
        <f t="shared" si="0"/>
        <v>224430</v>
      </c>
    </row>
    <row r="32" spans="1:5" x14ac:dyDescent="0.3">
      <c r="B32" s="2">
        <v>9</v>
      </c>
      <c r="C32" s="35" t="s">
        <v>101</v>
      </c>
      <c r="D32" s="45">
        <f>+D161</f>
        <v>21150</v>
      </c>
      <c r="E32" s="59">
        <f t="shared" si="0"/>
        <v>69910</v>
      </c>
    </row>
    <row r="33" spans="1:7" x14ac:dyDescent="0.3">
      <c r="B33" s="2">
        <v>10</v>
      </c>
      <c r="C33" s="35" t="s">
        <v>155</v>
      </c>
      <c r="D33" s="53">
        <f>TRUNC(SUM(D24:D32)*0.275,-1)</f>
        <v>395970</v>
      </c>
      <c r="E33" s="60">
        <f t="shared" si="0"/>
        <v>1308990</v>
      </c>
    </row>
    <row r="34" spans="1:7" x14ac:dyDescent="0.3">
      <c r="C34" s="35" t="s">
        <v>112</v>
      </c>
      <c r="D34" s="44">
        <f>SUM(D24:D33)</f>
        <v>1835870</v>
      </c>
      <c r="E34" s="44">
        <f>SUM(E24:E33)</f>
        <v>6068970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TRUNC(35215,-1)</f>
        <v>35210</v>
      </c>
      <c r="E40" s="62">
        <f t="shared" ref="E40:E59" si="1">TRUNC(+D40*3.3058,-1)</f>
        <v>116390</v>
      </c>
    </row>
    <row r="41" spans="1:7" x14ac:dyDescent="0.3">
      <c r="A41" s="2">
        <v>2</v>
      </c>
      <c r="C41" s="38" t="s">
        <v>13</v>
      </c>
      <c r="D41" s="42">
        <f>TRUNC(158231,-1)</f>
        <v>158230</v>
      </c>
      <c r="E41" s="63">
        <f t="shared" si="1"/>
        <v>523070</v>
      </c>
    </row>
    <row r="42" spans="1:7" x14ac:dyDescent="0.3">
      <c r="A42" s="2">
        <v>3</v>
      </c>
      <c r="C42" s="38" t="s">
        <v>14</v>
      </c>
      <c r="D42" s="42">
        <f>TRUNC(36968,-1)</f>
        <v>36960</v>
      </c>
      <c r="E42" s="63">
        <f t="shared" si="1"/>
        <v>122180</v>
      </c>
    </row>
    <row r="43" spans="1:7" x14ac:dyDescent="0.3">
      <c r="A43" s="2">
        <v>4</v>
      </c>
      <c r="C43" s="38" t="s">
        <v>16</v>
      </c>
      <c r="D43" s="42">
        <v>29230</v>
      </c>
      <c r="E43" s="63">
        <f t="shared" si="1"/>
        <v>96620</v>
      </c>
    </row>
    <row r="44" spans="1:7" x14ac:dyDescent="0.3">
      <c r="A44" s="2">
        <v>5</v>
      </c>
      <c r="C44" s="38" t="s">
        <v>17</v>
      </c>
      <c r="D44" s="42">
        <v>25840</v>
      </c>
      <c r="E44" s="63">
        <f t="shared" si="1"/>
        <v>85420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TRUNC(97978,-1)</f>
        <v>97970</v>
      </c>
      <c r="E46" s="63">
        <f t="shared" si="1"/>
        <v>323860</v>
      </c>
    </row>
    <row r="47" spans="1:7" x14ac:dyDescent="0.3">
      <c r="A47" s="2">
        <v>8</v>
      </c>
      <c r="C47" s="38" t="s">
        <v>20</v>
      </c>
      <c r="D47" s="42">
        <f>TRUNC(89573,-1)</f>
        <v>89570</v>
      </c>
      <c r="E47" s="63">
        <f t="shared" si="1"/>
        <v>296100</v>
      </c>
    </row>
    <row r="48" spans="1:7" x14ac:dyDescent="0.3">
      <c r="A48" s="2">
        <v>9</v>
      </c>
      <c r="C48" s="38" t="s">
        <v>21</v>
      </c>
      <c r="D48" s="42">
        <f>TRUNC(103258,-1)</f>
        <v>103250</v>
      </c>
      <c r="E48" s="63">
        <f t="shared" si="1"/>
        <v>341320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TRUNC(19683,-1)</f>
        <v>19680</v>
      </c>
      <c r="E49" s="63">
        <f t="shared" si="1"/>
        <v>65050</v>
      </c>
    </row>
    <row r="50" spans="1:7" x14ac:dyDescent="0.3">
      <c r="A50" s="2">
        <v>11</v>
      </c>
      <c r="C50" s="38" t="s">
        <v>156</v>
      </c>
      <c r="D50" s="42">
        <v>80550</v>
      </c>
      <c r="E50" s="63">
        <f t="shared" si="1"/>
        <v>266280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16080</v>
      </c>
      <c r="E52" s="63">
        <f t="shared" si="1"/>
        <v>53150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TRUNC(21176+8685+33188,-1)</f>
        <v>63040</v>
      </c>
      <c r="E58" s="63">
        <f t="shared" si="1"/>
        <v>208390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TRUNC(300795,-1)</f>
        <v>300790</v>
      </c>
      <c r="E59" s="64">
        <f t="shared" si="1"/>
        <v>994350</v>
      </c>
    </row>
    <row r="60" spans="1:7" x14ac:dyDescent="0.3">
      <c r="A60" s="2">
        <v>21</v>
      </c>
      <c r="C60" s="27" t="s">
        <v>112</v>
      </c>
      <c r="D60" s="39">
        <f>SUM(D40:D59)</f>
        <v>1056400</v>
      </c>
      <c r="E60" s="39">
        <f>SUM(E40:E59)</f>
        <v>3492180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TRUNC(5581,-1)</f>
        <v>5580</v>
      </c>
      <c r="E63" s="62">
        <f>TRUNC(+D63*3.3058,-1)</f>
        <v>18440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5580</v>
      </c>
      <c r="E66" s="65">
        <f>SUM(E63:E65)</f>
        <v>18440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0</v>
      </c>
      <c r="E95" s="39">
        <f>SUM(E69:E94)</f>
        <v>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TRUNC(23606,-1)</f>
        <v>23600</v>
      </c>
      <c r="E98" s="62">
        <f t="shared" ref="E98:E118" si="3">TRUNC(+D98*3.3058,-1)</f>
        <v>78010</v>
      </c>
    </row>
    <row r="99" spans="1:7" x14ac:dyDescent="0.3">
      <c r="A99" s="2">
        <v>2</v>
      </c>
      <c r="C99" s="38" t="s">
        <v>40</v>
      </c>
      <c r="D99" s="42">
        <f>TRUNC(1862,-1)</f>
        <v>1860</v>
      </c>
      <c r="E99" s="63">
        <f t="shared" si="3"/>
        <v>6140</v>
      </c>
    </row>
    <row r="100" spans="1:7" x14ac:dyDescent="0.3">
      <c r="A100" s="2">
        <v>3</v>
      </c>
      <c r="C100" s="38" t="s">
        <v>41</v>
      </c>
      <c r="D100" s="42">
        <f>TRUNC(26529,-1)</f>
        <v>26520</v>
      </c>
      <c r="E100" s="63">
        <f t="shared" si="3"/>
        <v>87660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9320</v>
      </c>
      <c r="E102" s="63">
        <f t="shared" si="3"/>
        <v>30810</v>
      </c>
    </row>
    <row r="103" spans="1:7" x14ac:dyDescent="0.3">
      <c r="A103" s="2">
        <v>6</v>
      </c>
      <c r="C103" s="38" t="s">
        <v>44</v>
      </c>
      <c r="D103" s="42">
        <v>5620</v>
      </c>
      <c r="E103" s="63">
        <f t="shared" si="3"/>
        <v>18570</v>
      </c>
    </row>
    <row r="104" spans="1:7" x14ac:dyDescent="0.3">
      <c r="A104" s="2">
        <v>7</v>
      </c>
      <c r="C104" s="38" t="s">
        <v>45</v>
      </c>
      <c r="D104" s="42">
        <f>TRUNC(576,-1)</f>
        <v>570</v>
      </c>
      <c r="E104" s="63">
        <f t="shared" si="3"/>
        <v>1880</v>
      </c>
    </row>
    <row r="105" spans="1:7" x14ac:dyDescent="0.3">
      <c r="A105" s="2">
        <v>8</v>
      </c>
      <c r="C105" s="38" t="s">
        <v>46</v>
      </c>
      <c r="D105" s="42">
        <f>TRUNC(3963,-1)</f>
        <v>3960</v>
      </c>
      <c r="E105" s="63">
        <f t="shared" si="3"/>
        <v>13090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TRUNC(1443,-1)</f>
        <v>1440</v>
      </c>
      <c r="E114" s="63">
        <f t="shared" si="3"/>
        <v>4760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TRUNC(3347,-1)</f>
        <v>3340</v>
      </c>
      <c r="E116" s="63">
        <f t="shared" si="3"/>
        <v>11040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TRUNC(101809,-1)</f>
        <v>101800</v>
      </c>
      <c r="E117" s="63">
        <f t="shared" si="3"/>
        <v>336530</v>
      </c>
    </row>
    <row r="118" spans="1:7" ht="17.25" thickBot="1" x14ac:dyDescent="0.35">
      <c r="A118" s="2">
        <v>21</v>
      </c>
      <c r="C118" s="38" t="s">
        <v>47</v>
      </c>
      <c r="D118" s="43">
        <f>TRUNC(5857,-1)</f>
        <v>5850</v>
      </c>
      <c r="E118" s="64">
        <f t="shared" si="3"/>
        <v>19330</v>
      </c>
    </row>
    <row r="119" spans="1:7" x14ac:dyDescent="0.3">
      <c r="A119" s="2">
        <v>22</v>
      </c>
      <c r="C119" s="27" t="s">
        <v>112</v>
      </c>
      <c r="D119" s="39">
        <f>SUM(D98:D118)</f>
        <v>183880</v>
      </c>
      <c r="E119" s="39">
        <f>SUM(E98:E118)</f>
        <v>607820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TRUNC(6284,-1)</f>
        <v>6280</v>
      </c>
      <c r="E122" s="62">
        <f t="shared" ref="E122:E132" si="4">TRUNC(+D122*3.3058,-1)</f>
        <v>20760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TRUNC(988,-1)</f>
        <v>980</v>
      </c>
      <c r="E124" s="63">
        <f t="shared" si="4"/>
        <v>3230</v>
      </c>
    </row>
    <row r="125" spans="1:7" x14ac:dyDescent="0.3">
      <c r="A125" s="2">
        <v>4</v>
      </c>
      <c r="C125" s="38" t="s">
        <v>138</v>
      </c>
      <c r="D125" s="42">
        <f>TRUNC(8215,-1)</f>
        <v>8210</v>
      </c>
      <c r="E125" s="63">
        <f t="shared" si="4"/>
        <v>27140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TRUNC(5258,-1)</f>
        <v>5250</v>
      </c>
      <c r="E128" s="63">
        <f t="shared" si="4"/>
        <v>17350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TRUNC(14131,-1)</f>
        <v>14130</v>
      </c>
      <c r="E130" s="63">
        <f t="shared" si="4"/>
        <v>46710</v>
      </c>
    </row>
    <row r="131" spans="1:7" x14ac:dyDescent="0.3">
      <c r="A131" s="2">
        <v>10</v>
      </c>
      <c r="C131" s="38" t="s">
        <v>149</v>
      </c>
      <c r="D131" s="42">
        <f>TRUNC(28487,-1)</f>
        <v>28480</v>
      </c>
      <c r="E131" s="63">
        <f t="shared" si="4"/>
        <v>94140</v>
      </c>
    </row>
    <row r="132" spans="1:7" ht="18" thickBot="1" x14ac:dyDescent="0.35">
      <c r="A132" s="2">
        <v>11</v>
      </c>
      <c r="C132" s="38" t="s">
        <v>47</v>
      </c>
      <c r="D132" s="43">
        <f>TRUNC(1883+1503,-1)</f>
        <v>3380</v>
      </c>
      <c r="E132" s="64">
        <f t="shared" si="4"/>
        <v>11170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66710</v>
      </c>
      <c r="E133" s="39">
        <f>SUM(E122:E132)</f>
        <v>220500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TRUNC(176+3931+6152,-1)</f>
        <v>10250</v>
      </c>
      <c r="E137" s="63">
        <f t="shared" si="5"/>
        <v>33880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TRUNC(3103,-1)</f>
        <v>3100</v>
      </c>
      <c r="E141" s="63">
        <f t="shared" si="5"/>
        <v>10240</v>
      </c>
    </row>
    <row r="142" spans="1:7" x14ac:dyDescent="0.3">
      <c r="A142" s="2">
        <v>7</v>
      </c>
      <c r="C142" s="38" t="s">
        <v>58</v>
      </c>
      <c r="D142" s="42">
        <f>TRUNC(5774,-1)</f>
        <v>5770</v>
      </c>
      <c r="E142" s="63">
        <f t="shared" si="5"/>
        <v>19070</v>
      </c>
    </row>
    <row r="143" spans="1:7" x14ac:dyDescent="0.3">
      <c r="A143" s="2">
        <v>8</v>
      </c>
      <c r="C143" s="38" t="s">
        <v>62</v>
      </c>
      <c r="D143" s="42">
        <f>TRUNC(3774,-1)</f>
        <v>3770</v>
      </c>
      <c r="E143" s="63">
        <f t="shared" si="5"/>
        <v>12460</v>
      </c>
    </row>
    <row r="144" spans="1:7" x14ac:dyDescent="0.3">
      <c r="A144" s="2">
        <v>9</v>
      </c>
      <c r="C144" s="38" t="s">
        <v>63</v>
      </c>
      <c r="D144" s="42">
        <f>TRUNC(15405,-1)</f>
        <v>15400</v>
      </c>
      <c r="E144" s="63">
        <f t="shared" si="5"/>
        <v>50900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38290</v>
      </c>
      <c r="E146" s="39">
        <f>SUM(E136:E145)</f>
        <v>126550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TRUNC(9900+2073,-1)</f>
        <v>11970</v>
      </c>
      <c r="E149" s="62">
        <f>TRUNC(+D149*3.3058,-1)</f>
        <v>39570</v>
      </c>
    </row>
    <row r="150" spans="1:7" x14ac:dyDescent="0.3">
      <c r="A150" s="2">
        <v>2</v>
      </c>
      <c r="C150" s="38" t="s">
        <v>49</v>
      </c>
      <c r="D150" s="42">
        <f>TRUNC(7954,-1)</f>
        <v>7950</v>
      </c>
      <c r="E150" s="63">
        <f>TRUNC(+D150*3.3058,-1)</f>
        <v>26280</v>
      </c>
    </row>
    <row r="151" spans="1:7" x14ac:dyDescent="0.3">
      <c r="A151" s="2">
        <v>3</v>
      </c>
      <c r="C151" s="38" t="s">
        <v>50</v>
      </c>
      <c r="D151" s="42">
        <f>TRUNC(1266,-1)</f>
        <v>1260</v>
      </c>
      <c r="E151" s="63">
        <f>TRUNC(+D151*3.3058,-1)</f>
        <v>4160</v>
      </c>
    </row>
    <row r="152" spans="1:7" x14ac:dyDescent="0.3">
      <c r="A152" s="2">
        <v>4</v>
      </c>
      <c r="C152" s="38" t="s">
        <v>47</v>
      </c>
      <c r="D152" s="42">
        <f>TRUNC(5837+2061,-1)</f>
        <v>7890</v>
      </c>
      <c r="E152" s="63">
        <f>TRUNC(+D152*3.3058,-1)</f>
        <v>26080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f>TRUNC(38827,-1)</f>
        <v>38820</v>
      </c>
      <c r="E153" s="64">
        <f>TRUNC(+D153*3.3058,-1)</f>
        <v>128330</v>
      </c>
    </row>
    <row r="154" spans="1:7" x14ac:dyDescent="0.3">
      <c r="A154" s="2">
        <v>6</v>
      </c>
      <c r="C154" s="27" t="s">
        <v>112</v>
      </c>
      <c r="D154" s="39">
        <f>SUM(D149:D153)</f>
        <v>67890</v>
      </c>
      <c r="E154" s="39">
        <f>SUM(E149:E153)</f>
        <v>224420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TRUNC(17395,-1)</f>
        <v>17390</v>
      </c>
      <c r="E157" s="62">
        <f>TRUNC(+D157*3.3058,-1)</f>
        <v>57480</v>
      </c>
    </row>
    <row r="158" spans="1:7" x14ac:dyDescent="0.3">
      <c r="A158" s="2">
        <v>2</v>
      </c>
      <c r="C158" s="38" t="s">
        <v>52</v>
      </c>
      <c r="D158" s="42">
        <f>TRUNC(3742,-1)</f>
        <v>3740</v>
      </c>
      <c r="E158" s="63">
        <f>TRUNC(+D158*3.3058,-1)</f>
        <v>12360</v>
      </c>
    </row>
    <row r="159" spans="1:7" x14ac:dyDescent="0.3">
      <c r="A159" s="2">
        <v>3</v>
      </c>
      <c r="C159" s="38" t="s">
        <v>47</v>
      </c>
      <c r="D159" s="42">
        <f>TRUNC(25,-1)</f>
        <v>20</v>
      </c>
      <c r="E159" s="63">
        <f>TRUNC(+D159*3.3058,-1)</f>
        <v>60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21150</v>
      </c>
      <c r="E161" s="39">
        <f>SUM(E157:E160)</f>
        <v>69900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2020-12-08T01:31:27Z</dcterms:modified>
</cp:coreProperties>
</file>