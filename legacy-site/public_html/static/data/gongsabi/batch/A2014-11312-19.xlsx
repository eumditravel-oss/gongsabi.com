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4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12" i="4" l="1"/>
  <c r="D118" i="4"/>
  <c r="D128" i="4" l="1"/>
  <c r="D124" i="4"/>
  <c r="D125" i="4"/>
  <c r="D122" i="4"/>
  <c r="D132" i="4"/>
  <c r="D105" i="4"/>
  <c r="D104" i="4"/>
  <c r="D103" i="4"/>
  <c r="D108" i="4"/>
  <c r="D100" i="4"/>
  <c r="D102" i="4"/>
  <c r="D98" i="4"/>
  <c r="D99" i="4"/>
  <c r="D115" i="4"/>
  <c r="D94" i="4"/>
  <c r="D81" i="4"/>
  <c r="D75" i="4"/>
  <c r="D74" i="4"/>
  <c r="D92" i="4"/>
  <c r="D79" i="4"/>
  <c r="D71" i="4"/>
  <c r="D70" i="4"/>
  <c r="D69" i="4"/>
  <c r="D58" i="4"/>
  <c r="D55" i="4"/>
  <c r="D53" i="4"/>
  <c r="D52" i="4"/>
  <c r="D51" i="4"/>
  <c r="D50" i="4"/>
  <c r="D49" i="4"/>
  <c r="D48" i="4"/>
  <c r="D47" i="4"/>
  <c r="D46" i="4"/>
  <c r="D45" i="4"/>
  <c r="D44" i="4"/>
  <c r="D43" i="4"/>
  <c r="D42" i="4"/>
  <c r="D41" i="4"/>
  <c r="D40" i="4"/>
  <c r="D37" i="4"/>
  <c r="D137" i="4"/>
  <c r="D136" i="4"/>
  <c r="D152" i="4"/>
  <c r="E160" i="4" l="1"/>
  <c r="E159" i="4"/>
  <c r="E158" i="4"/>
  <c r="E157" i="4"/>
  <c r="E153" i="4"/>
  <c r="E152" i="4"/>
  <c r="E151" i="4"/>
  <c r="E150" i="4"/>
  <c r="E149" i="4"/>
  <c r="E145" i="4"/>
  <c r="E144" i="4"/>
  <c r="E143" i="4"/>
  <c r="E142" i="4"/>
  <c r="E141" i="4"/>
  <c r="E140" i="4"/>
  <c r="E139" i="4"/>
  <c r="E138" i="4"/>
  <c r="E137" i="4"/>
  <c r="E136" i="4"/>
  <c r="E132" i="4"/>
  <c r="E131" i="4"/>
  <c r="E130" i="4"/>
  <c r="E129" i="4"/>
  <c r="E128" i="4"/>
  <c r="E127" i="4"/>
  <c r="E126" i="4"/>
  <c r="E125" i="4"/>
  <c r="E124" i="4"/>
  <c r="E123" i="4"/>
  <c r="E122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5" i="4"/>
  <c r="E64" i="4"/>
  <c r="E63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7" i="4"/>
  <c r="E66" i="4" l="1"/>
  <c r="E161" i="4"/>
  <c r="E133" i="4"/>
  <c r="E119" i="4"/>
  <c r="E95" i="4"/>
  <c r="E60" i="4"/>
  <c r="E146" i="4"/>
  <c r="E154" i="4"/>
  <c r="D161" i="4"/>
  <c r="D154" i="4"/>
  <c r="D31" i="4" s="1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2" i="4"/>
  <c r="E32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E31" i="4" l="1"/>
  <c r="D33" i="4"/>
  <c r="E33" i="4" s="1"/>
  <c r="D34" i="4" l="1"/>
  <c r="E34" i="4"/>
</calcChain>
</file>

<file path=xl/sharedStrings.xml><?xml version="1.0" encoding="utf-8"?>
<sst xmlns="http://schemas.openxmlformats.org/spreadsheetml/2006/main" count="392" uniqueCount="267">
  <si>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</si>
  <si>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</si>
  <si>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</si>
  <si>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</si>
  <si>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</si>
  <si>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</si>
  <si>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</si>
  <si>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</si>
  <si>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</si>
  <si>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</si>
  <si>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</si>
  <si>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</si>
  <si>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</si>
  <si>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</si>
  <si>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</si>
  <si>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</si>
  <si>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</si>
  <si>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</si>
  <si>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</si>
  <si>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</si>
  <si>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</si>
  <si>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</si>
  <si>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</si>
  <si>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</si>
  <si>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</si>
  <si>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</si>
  <si>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</si>
  <si>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</si>
  <si>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</si>
  <si>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</si>
  <si>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</si>
  <si>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</si>
  <si>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</si>
  <si>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</si>
  <si>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</si>
  <si>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</si>
  <si>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</si>
  <si>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</si>
  <si>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</si>
  <si>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</si>
  <si>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</si>
  <si>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</si>
  <si>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</si>
  <si>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</si>
  <si>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</si>
  <si>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</si>
  <si>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</si>
  <si>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</si>
  <si>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</si>
  <si>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</si>
  <si>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</si>
  <si>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</si>
  <si>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</si>
  <si>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</si>
  <si>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</si>
  <si>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</si>
  <si>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</si>
  <si>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</si>
  <si>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</si>
  <si>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</si>
  <si>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</si>
  <si>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</si>
  <si>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</si>
  <si>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</si>
  <si>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</si>
  <si>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</si>
  <si>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</si>
  <si>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</si>
  <si>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</si>
  <si>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</si>
  <si>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</si>
  <si>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</si>
  <si>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</si>
  <si>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</si>
  <si>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</si>
  <si>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</si>
  <si>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</si>
  <si>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</si>
  <si>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</si>
  <si>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</si>
  <si>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</si>
  <si>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</si>
  <si>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</si>
  <si>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</si>
  <si>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</si>
  <si>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</si>
  <si>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</si>
  <si>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</si>
  <si>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</si>
  <si>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</si>
  <si>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</si>
  <si>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</si>
  <si>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</si>
  <si>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</si>
  <si>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</si>
  <si>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</si>
  <si>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</si>
  <si>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</si>
  <si>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</si>
  <si>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</si>
  <si>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</si>
  <si>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</si>
  <si>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</si>
  <si>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</si>
  <si>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</si>
  <si>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</si>
  <si>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</si>
  <si>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</si>
  <si>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</si>
  <si>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</si>
  <si>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</si>
  <si>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</si>
  <si>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</si>
  <si>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</si>
  <si>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</si>
  <si>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</si>
  <si>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</si>
  <si>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</si>
  <si>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</si>
  <si>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</si>
  <si>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</si>
  <si>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</si>
  <si>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</si>
  <si>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</si>
  <si>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</si>
  <si>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</si>
  <si>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</si>
  <si>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</si>
  <si>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</si>
  <si>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</si>
  <si>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</si>
  <si>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</si>
  <si>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</si>
  <si>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</si>
  <si>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</si>
  <si>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</si>
  <si>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</si>
  <si>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</si>
  <si>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</si>
  <si>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</si>
  <si>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</si>
  <si>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</si>
  <si>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</si>
  <si>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</si>
  <si>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</si>
  <si>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</si>
  <si>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</si>
  <si>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</si>
  <si>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</si>
  <si>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</si>
  <si>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</si>
  <si>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</si>
  <si>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</si>
  <si>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</si>
  <si>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</si>
  <si>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</si>
  <si>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</si>
  <si>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</si>
  <si>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</si>
  <si>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</si>
  <si>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</si>
  <si>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</si>
  <si>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</si>
  <si>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</si>
  <si>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</si>
  <si>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</si>
  <si>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</si>
  <si>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</si>
  <si>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</si>
  <si>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</si>
  <si>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</si>
  <si>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</si>
  <si>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</si>
  <si>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</si>
  <si>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</si>
  <si>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</si>
  <si>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</si>
  <si>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</si>
  <si>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</si>
  <si>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</si>
  <si>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</si>
  <si>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</si>
  <si>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</si>
  <si>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</si>
  <si>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</si>
  <si>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</si>
  <si>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</si>
  <si>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</si>
  <si>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</si>
  <si>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</si>
  <si>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</si>
  <si>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</si>
  <si>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</si>
  <si>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</si>
  <si>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</si>
  <si>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</si>
  <si>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</si>
  <si>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</si>
  <si>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</si>
  <si>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</si>
  <si>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</si>
  <si>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</si>
  <si>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</si>
  <si>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</si>
  <si>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</si>
  <si>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</si>
  <si>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</si>
  <si>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</si>
  <si>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</si>
  <si>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</si>
  <si>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</si>
  <si>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</si>
  <si>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</si>
  <si>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</si>
  <si>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</si>
  <si>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</si>
  <si>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</si>
  <si>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</si>
  <si>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</si>
  <si>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</si>
  <si>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</si>
  <si>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</si>
  <si>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</si>
  <si>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</si>
  <si>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</si>
  <si>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</si>
  <si>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</si>
  <si>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</si>
  <si>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</si>
  <si>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</si>
  <si>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</si>
  <si>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</si>
  <si>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</si>
  <si>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</si>
  <si>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</si>
  <si>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</si>
  <si>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</si>
  <si>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</si>
  <si>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</si>
  <si>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</si>
  <si>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</si>
  <si>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</si>
  <si>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</si>
  <si>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</si>
  <si>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</si>
  <si>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</si>
  <si>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</si>
  <si>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</si>
  <si>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0000과학대학 00관 신축공사</t>
    <phoneticPr fontId="2" type="noConversion"/>
  </si>
  <si>
    <t>교육연구</t>
  </si>
  <si>
    <t>경상도</t>
  </si>
  <si>
    <t>부대토목공사 · 조경공사</t>
    <phoneticPr fontId="2" type="noConversion"/>
  </si>
  <si>
    <t>기계 소화설비공사</t>
    <phoneticPr fontId="2" type="noConversion"/>
  </si>
  <si>
    <t>전기 소방공사</t>
    <phoneticPr fontId="2" type="noConversion"/>
  </si>
  <si>
    <t>콘크리트파일공사,기타공사,장애인편의시설,엘리베이터공사,골재비,운반비</t>
    <phoneticPr fontId="2" type="noConversion"/>
  </si>
  <si>
    <t>위생설비공사</t>
    <phoneticPr fontId="2" type="noConversion"/>
  </si>
  <si>
    <t>환기덕트설치공사</t>
    <phoneticPr fontId="2" type="noConversion"/>
  </si>
  <si>
    <t>초절전온수난방공사</t>
    <phoneticPr fontId="2" type="noConversion"/>
  </si>
  <si>
    <t>환기설비공사</t>
    <phoneticPr fontId="2" type="noConversion"/>
  </si>
  <si>
    <t>옥외설비공사,정보통신설비공사</t>
    <phoneticPr fontId="2" type="noConversion"/>
  </si>
  <si>
    <t>옥외설비공사,태양광설비공사</t>
    <phoneticPr fontId="2" type="noConversion"/>
  </si>
  <si>
    <t>자동승강장장치설비공사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</si>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</sst>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/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264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9390</v>
      </c>
      <c r="D7" s="36">
        <f>+C7/3.3058</f>
        <v>2840.4622179200192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201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265</v>
      </c>
    </row>
    <row r="19" spans="1:5" x14ac:dyDescent="0.3">
      <c r="A19" s="2">
        <v>9</v>
      </c>
      <c r="B19" s="2" t="s">
        <v>266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4400</v>
      </c>
      <c r="E24" s="58">
        <f t="shared" ref="E24:E33" si="0">TRUNC(+D24*3.3058,-1)</f>
        <v>14540</v>
      </c>
    </row>
    <row r="25" spans="1:5" x14ac:dyDescent="0.3">
      <c r="B25" s="2">
        <v>2</v>
      </c>
      <c r="C25" s="35" t="s">
        <v>111</v>
      </c>
      <c r="D25" s="45">
        <f>+D60</f>
        <v>502250</v>
      </c>
      <c r="E25" s="59">
        <f t="shared" si="0"/>
        <v>1660330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49330</v>
      </c>
      <c r="E27" s="59">
        <f t="shared" si="0"/>
        <v>163070</v>
      </c>
    </row>
    <row r="28" spans="1:5" x14ac:dyDescent="0.3">
      <c r="B28" s="2">
        <v>5</v>
      </c>
      <c r="C28" s="35" t="s">
        <v>97</v>
      </c>
      <c r="D28" s="45">
        <f>+D119</f>
        <v>69150</v>
      </c>
      <c r="E28" s="59">
        <f t="shared" si="0"/>
        <v>228590</v>
      </c>
    </row>
    <row r="29" spans="1:5" x14ac:dyDescent="0.3">
      <c r="B29" s="2">
        <v>6</v>
      </c>
      <c r="C29" s="35" t="s">
        <v>98</v>
      </c>
      <c r="D29" s="45">
        <f>+D133</f>
        <v>27080</v>
      </c>
      <c r="E29" s="59">
        <f t="shared" si="0"/>
        <v>89520</v>
      </c>
    </row>
    <row r="30" spans="1:5" x14ac:dyDescent="0.3">
      <c r="B30" s="2">
        <v>7</v>
      </c>
      <c r="C30" s="35" t="s">
        <v>99</v>
      </c>
      <c r="D30" s="45">
        <f>+D146</f>
        <v>26500</v>
      </c>
      <c r="E30" s="59">
        <f t="shared" si="0"/>
        <v>87600</v>
      </c>
    </row>
    <row r="31" spans="1:5" x14ac:dyDescent="0.3">
      <c r="B31" s="2">
        <v>8</v>
      </c>
      <c r="C31" s="35" t="s">
        <v>100</v>
      </c>
      <c r="D31" s="45">
        <f>+D154</f>
        <v>65030</v>
      </c>
      <c r="E31" s="59">
        <f t="shared" si="0"/>
        <v>214970</v>
      </c>
    </row>
    <row r="32" spans="1:5" x14ac:dyDescent="0.3">
      <c r="B32" s="2">
        <v>9</v>
      </c>
      <c r="C32" s="35" t="s">
        <v>101</v>
      </c>
      <c r="D32" s="45">
        <f>+D161</f>
        <v>0</v>
      </c>
      <c r="E32" s="59">
        <f t="shared" si="0"/>
        <v>0</v>
      </c>
    </row>
    <row r="33" spans="1:7" x14ac:dyDescent="0.3">
      <c r="B33" s="2">
        <v>10</v>
      </c>
      <c r="C33" s="35" t="s">
        <v>154</v>
      </c>
      <c r="D33" s="53">
        <f>TRUNC(SUM(D24:D32)*0.275,-1)</f>
        <v>204520</v>
      </c>
      <c r="E33" s="60">
        <f t="shared" si="0"/>
        <v>676100</v>
      </c>
    </row>
    <row r="34" spans="1:7" x14ac:dyDescent="0.3">
      <c r="C34" s="35" t="s">
        <v>112</v>
      </c>
      <c r="D34" s="44">
        <f>SUM(D24:D33)</f>
        <v>948260</v>
      </c>
      <c r="E34" s="44">
        <f>SUM(E24:E33)</f>
        <v>3134720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TRUNC(4409,-1)</f>
        <v>4400</v>
      </c>
      <c r="E37" s="61">
        <f>TRUNC(+D37*3.3058,-1)</f>
        <v>14540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262</v>
      </c>
      <c r="E39" s="67" t="s">
        <v>263</v>
      </c>
      <c r="G39" s="68"/>
    </row>
    <row r="40" spans="1:7" x14ac:dyDescent="0.3">
      <c r="A40" s="2">
        <v>1</v>
      </c>
      <c r="C40" s="38" t="s">
        <v>15</v>
      </c>
      <c r="D40" s="40">
        <f>TRUNC(29239,-1)</f>
        <v>29230</v>
      </c>
      <c r="E40" s="62">
        <f t="shared" ref="E40:E59" si="1">TRUNC(+D40*3.3058,-1)</f>
        <v>96620</v>
      </c>
    </row>
    <row r="41" spans="1:7" x14ac:dyDescent="0.3">
      <c r="A41" s="2">
        <v>2</v>
      </c>
      <c r="C41" s="38" t="s">
        <v>13</v>
      </c>
      <c r="D41" s="42">
        <f>TRUNC(83606,-1)</f>
        <v>83600</v>
      </c>
      <c r="E41" s="63">
        <f t="shared" si="1"/>
        <v>276360</v>
      </c>
    </row>
    <row r="42" spans="1:7" x14ac:dyDescent="0.3">
      <c r="A42" s="2">
        <v>3</v>
      </c>
      <c r="C42" s="38" t="s">
        <v>14</v>
      </c>
      <c r="D42" s="42">
        <f>TRUNC(5639,-1)</f>
        <v>5630</v>
      </c>
      <c r="E42" s="63">
        <f t="shared" si="1"/>
        <v>18610</v>
      </c>
    </row>
    <row r="43" spans="1:7" x14ac:dyDescent="0.3">
      <c r="A43" s="2">
        <v>4</v>
      </c>
      <c r="C43" s="38" t="s">
        <v>16</v>
      </c>
      <c r="D43" s="42">
        <f>TRUNC(14892,-1)</f>
        <v>14890</v>
      </c>
      <c r="E43" s="63">
        <f t="shared" si="1"/>
        <v>49220</v>
      </c>
    </row>
    <row r="44" spans="1:7" x14ac:dyDescent="0.3">
      <c r="A44" s="2">
        <v>5</v>
      </c>
      <c r="C44" s="38" t="s">
        <v>17</v>
      </c>
      <c r="D44" s="42">
        <f>TRUNC(22227,-1)</f>
        <v>22220</v>
      </c>
      <c r="E44" s="63">
        <f t="shared" si="1"/>
        <v>73450</v>
      </c>
    </row>
    <row r="45" spans="1:7" x14ac:dyDescent="0.3">
      <c r="A45" s="2">
        <v>6</v>
      </c>
      <c r="C45" s="38" t="s">
        <v>18</v>
      </c>
      <c r="D45" s="42">
        <f>TRUNC(6581,-1)</f>
        <v>6580</v>
      </c>
      <c r="E45" s="63">
        <f t="shared" si="1"/>
        <v>21750</v>
      </c>
    </row>
    <row r="46" spans="1:7" x14ac:dyDescent="0.3">
      <c r="A46" s="2">
        <v>7</v>
      </c>
      <c r="C46" s="38" t="s">
        <v>19</v>
      </c>
      <c r="D46" s="42">
        <f>TRUNC(45646,-1)</f>
        <v>45640</v>
      </c>
      <c r="E46" s="63">
        <f t="shared" si="1"/>
        <v>150870</v>
      </c>
    </row>
    <row r="47" spans="1:7" x14ac:dyDescent="0.3">
      <c r="A47" s="2">
        <v>8</v>
      </c>
      <c r="C47" s="38" t="s">
        <v>20</v>
      </c>
      <c r="D47" s="42">
        <f>TRUNC(16730,-1)</f>
        <v>16730</v>
      </c>
      <c r="E47" s="63">
        <f t="shared" si="1"/>
        <v>55300</v>
      </c>
    </row>
    <row r="48" spans="1:7" x14ac:dyDescent="0.3">
      <c r="A48" s="2">
        <v>9</v>
      </c>
      <c r="C48" s="38" t="s">
        <v>21</v>
      </c>
      <c r="D48" s="42">
        <f>TRUNC(34152,-1)</f>
        <v>34150</v>
      </c>
      <c r="E48" s="63">
        <f t="shared" si="1"/>
        <v>112890</v>
      </c>
    </row>
    <row r="49" spans="1:7" x14ac:dyDescent="0.3">
      <c r="A49" s="2">
        <v>10</v>
      </c>
      <c r="C49" s="38" t="s">
        <v>22</v>
      </c>
      <c r="D49" s="42">
        <f>TRUNC(17607,-1)</f>
        <v>17600</v>
      </c>
      <c r="E49" s="63">
        <f t="shared" si="1"/>
        <v>58180</v>
      </c>
    </row>
    <row r="50" spans="1:7" x14ac:dyDescent="0.3">
      <c r="A50" s="2">
        <v>11</v>
      </c>
      <c r="C50" s="38" t="s">
        <v>155</v>
      </c>
      <c r="D50" s="42">
        <f>TRUNC(17799,-1)</f>
        <v>17790</v>
      </c>
      <c r="E50" s="63">
        <f t="shared" si="1"/>
        <v>58810</v>
      </c>
    </row>
    <row r="51" spans="1:7" x14ac:dyDescent="0.3">
      <c r="A51" s="2">
        <v>12</v>
      </c>
      <c r="C51" s="38" t="s">
        <v>23</v>
      </c>
      <c r="D51" s="42">
        <f>TRUNC(18861,-1)</f>
        <v>18860</v>
      </c>
      <c r="E51" s="63">
        <f t="shared" si="1"/>
        <v>62340</v>
      </c>
    </row>
    <row r="52" spans="1:7" x14ac:dyDescent="0.3">
      <c r="A52" s="2">
        <v>13</v>
      </c>
      <c r="C52" s="38" t="s">
        <v>24</v>
      </c>
      <c r="D52" s="42">
        <f>TRUNC(12289,-1)</f>
        <v>12280</v>
      </c>
      <c r="E52" s="63">
        <f t="shared" si="1"/>
        <v>40590</v>
      </c>
    </row>
    <row r="53" spans="1:7" x14ac:dyDescent="0.3">
      <c r="A53" s="2">
        <v>14</v>
      </c>
      <c r="C53" s="38" t="s">
        <v>25</v>
      </c>
      <c r="D53" s="42">
        <f>TRUNC(131746,-1)</f>
        <v>131740</v>
      </c>
      <c r="E53" s="63">
        <f t="shared" si="1"/>
        <v>435500</v>
      </c>
    </row>
    <row r="54" spans="1:7" x14ac:dyDescent="0.3">
      <c r="A54" s="2">
        <v>15</v>
      </c>
      <c r="C54" s="38" t="s">
        <v>147</v>
      </c>
      <c r="D54" s="42">
        <v>0</v>
      </c>
      <c r="E54" s="63">
        <f t="shared" si="1"/>
        <v>0</v>
      </c>
    </row>
    <row r="55" spans="1:7" x14ac:dyDescent="0.3">
      <c r="A55" s="2">
        <v>16</v>
      </c>
      <c r="C55" s="38" t="s">
        <v>144</v>
      </c>
      <c r="D55" s="42">
        <f>TRUNC(2108,-1)</f>
        <v>2100</v>
      </c>
      <c r="E55" s="63">
        <f t="shared" si="1"/>
        <v>6940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TRUNC(12748+11111+887+11022+5531+1915,-1)</f>
        <v>43210</v>
      </c>
      <c r="E58" s="63">
        <f t="shared" si="1"/>
        <v>142840</v>
      </c>
      <c r="F58" s="2" t="s">
        <v>254</v>
      </c>
    </row>
    <row r="59" spans="1:7" ht="17.25" thickBot="1" x14ac:dyDescent="0.35">
      <c r="A59" s="2">
        <v>20</v>
      </c>
      <c r="C59" s="38" t="s">
        <v>148</v>
      </c>
      <c r="D59" s="43">
        <v>0</v>
      </c>
      <c r="E59" s="64">
        <f t="shared" si="1"/>
        <v>0</v>
      </c>
    </row>
    <row r="60" spans="1:7" x14ac:dyDescent="0.3">
      <c r="A60" s="2">
        <v>21</v>
      </c>
      <c r="C60" s="27" t="s">
        <v>112</v>
      </c>
      <c r="D60" s="39">
        <f>SUM(D40:D59)</f>
        <v>502250</v>
      </c>
      <c r="E60" s="39">
        <f>SUM(E40:E59)</f>
        <v>1660270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TRUNC(3226,-1)</f>
        <v>3220</v>
      </c>
      <c r="E69" s="62">
        <f t="shared" ref="E69:E94" si="2">TRUNC(+D69*3.3058,-1)</f>
        <v>10640</v>
      </c>
    </row>
    <row r="70" spans="1:7" ht="16.5" customHeight="1" x14ac:dyDescent="0.3">
      <c r="A70" s="2">
        <v>2</v>
      </c>
      <c r="C70" s="38" t="s">
        <v>31</v>
      </c>
      <c r="D70" s="42">
        <f>TRUNC(1624,-1)</f>
        <v>1620</v>
      </c>
      <c r="E70" s="63">
        <f t="shared" si="2"/>
        <v>5350</v>
      </c>
    </row>
    <row r="71" spans="1:7" x14ac:dyDescent="0.3">
      <c r="A71" s="2">
        <v>3</v>
      </c>
      <c r="C71" s="38" t="s">
        <v>32</v>
      </c>
      <c r="D71" s="42">
        <f>TRUNC(6841,-1)</f>
        <v>6840</v>
      </c>
      <c r="E71" s="63">
        <f t="shared" si="2"/>
        <v>22610</v>
      </c>
    </row>
    <row r="72" spans="1:7" x14ac:dyDescent="0.3">
      <c r="A72" s="2">
        <v>4</v>
      </c>
      <c r="C72" s="38" t="s">
        <v>33</v>
      </c>
      <c r="D72" s="42">
        <v>0</v>
      </c>
      <c r="E72" s="63">
        <f t="shared" si="2"/>
        <v>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f>TRUNC(3891,-1)</f>
        <v>3890</v>
      </c>
      <c r="E74" s="63">
        <f t="shared" si="2"/>
        <v>12850</v>
      </c>
    </row>
    <row r="75" spans="1:7" x14ac:dyDescent="0.3">
      <c r="A75" s="2">
        <v>7</v>
      </c>
      <c r="C75" s="38" t="s">
        <v>140</v>
      </c>
      <c r="D75" s="42">
        <f>TRUNC(72,-1)</f>
        <v>70</v>
      </c>
      <c r="E75" s="63">
        <f t="shared" si="2"/>
        <v>230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v>0</v>
      </c>
      <c r="E78" s="63">
        <f t="shared" si="2"/>
        <v>0</v>
      </c>
    </row>
    <row r="79" spans="1:7" x14ac:dyDescent="0.3">
      <c r="A79" s="2">
        <v>11</v>
      </c>
      <c r="C79" s="38" t="s">
        <v>133</v>
      </c>
      <c r="D79" s="42">
        <f>TRUNC(6960,-1)</f>
        <v>6960</v>
      </c>
      <c r="E79" s="63">
        <f t="shared" si="2"/>
        <v>23000</v>
      </c>
      <c r="F79" s="2" t="s">
        <v>256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f>TRUNC(2937,-1)</f>
        <v>2930</v>
      </c>
      <c r="E81" s="63">
        <f t="shared" si="2"/>
        <v>9680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v>0</v>
      </c>
      <c r="E84" s="63">
        <f t="shared" si="2"/>
        <v>0</v>
      </c>
    </row>
    <row r="85" spans="1:7" x14ac:dyDescent="0.3">
      <c r="A85" s="2">
        <v>17</v>
      </c>
      <c r="C85" s="38" t="s">
        <v>123</v>
      </c>
      <c r="D85" s="42">
        <v>0</v>
      </c>
      <c r="E85" s="63">
        <f t="shared" si="2"/>
        <v>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v>0</v>
      </c>
      <c r="E88" s="63">
        <f t="shared" si="2"/>
        <v>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v>0</v>
      </c>
      <c r="E90" s="63">
        <f t="shared" si="2"/>
        <v>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f>TRUNC(23560,-1)</f>
        <v>23560</v>
      </c>
      <c r="E92" s="63">
        <f t="shared" si="2"/>
        <v>77880</v>
      </c>
      <c r="F92" s="2" t="s">
        <v>255</v>
      </c>
    </row>
    <row r="93" spans="1:7" x14ac:dyDescent="0.3">
      <c r="A93" s="2">
        <v>25</v>
      </c>
      <c r="C93" s="38" t="s">
        <v>148</v>
      </c>
      <c r="D93" s="42">
        <v>0</v>
      </c>
      <c r="E93" s="63">
        <f t="shared" si="2"/>
        <v>0</v>
      </c>
    </row>
    <row r="94" spans="1:7" ht="17.25" thickBot="1" x14ac:dyDescent="0.35">
      <c r="A94" s="2">
        <v>26</v>
      </c>
      <c r="C94" s="38" t="s">
        <v>47</v>
      </c>
      <c r="D94" s="43">
        <f>TRUNC(249,-1)</f>
        <v>240</v>
      </c>
      <c r="E94" s="64">
        <f t="shared" si="2"/>
        <v>790</v>
      </c>
      <c r="F94" s="2" t="s">
        <v>257</v>
      </c>
    </row>
    <row r="95" spans="1:7" x14ac:dyDescent="0.3">
      <c r="A95" s="2">
        <v>27</v>
      </c>
      <c r="C95" s="27" t="s">
        <v>112</v>
      </c>
      <c r="D95" s="39">
        <f>SUM(D69:D94)</f>
        <v>49330</v>
      </c>
      <c r="E95" s="39">
        <f>SUM(E69:E94)</f>
        <v>163030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TRUNC(10545,-1)</f>
        <v>10540</v>
      </c>
      <c r="E98" s="62">
        <f t="shared" ref="E98:E118" si="3">TRUNC(+D98*3.3058,-1)</f>
        <v>34840</v>
      </c>
    </row>
    <row r="99" spans="1:7" x14ac:dyDescent="0.3">
      <c r="A99" s="2">
        <v>2</v>
      </c>
      <c r="C99" s="38" t="s">
        <v>40</v>
      </c>
      <c r="D99" s="42">
        <f>TRUNC(1411,-1)</f>
        <v>1410</v>
      </c>
      <c r="E99" s="63">
        <f t="shared" si="3"/>
        <v>4660</v>
      </c>
    </row>
    <row r="100" spans="1:7" x14ac:dyDescent="0.3">
      <c r="A100" s="2">
        <v>3</v>
      </c>
      <c r="C100" s="38" t="s">
        <v>41</v>
      </c>
      <c r="D100" s="42">
        <f>TRUNC(19054,-1)</f>
        <v>19050</v>
      </c>
      <c r="E100" s="63">
        <f t="shared" si="3"/>
        <v>62970</v>
      </c>
    </row>
    <row r="101" spans="1:7" x14ac:dyDescent="0.3">
      <c r="A101" s="2">
        <v>4</v>
      </c>
      <c r="C101" s="38" t="s">
        <v>42</v>
      </c>
      <c r="D101" s="42">
        <v>0</v>
      </c>
      <c r="E101" s="63">
        <f t="shared" si="3"/>
        <v>0</v>
      </c>
    </row>
    <row r="102" spans="1:7" x14ac:dyDescent="0.3">
      <c r="A102" s="2">
        <v>5</v>
      </c>
      <c r="C102" s="38" t="s">
        <v>43</v>
      </c>
      <c r="D102" s="42">
        <f>TRUNC(14361,-1)</f>
        <v>14360</v>
      </c>
      <c r="E102" s="63">
        <f t="shared" si="3"/>
        <v>47470</v>
      </c>
    </row>
    <row r="103" spans="1:7" x14ac:dyDescent="0.3">
      <c r="A103" s="2">
        <v>6</v>
      </c>
      <c r="C103" s="38" t="s">
        <v>44</v>
      </c>
      <c r="D103" s="42">
        <f>TRUNC(2119,-1)</f>
        <v>2110</v>
      </c>
      <c r="E103" s="63">
        <f t="shared" si="3"/>
        <v>6970</v>
      </c>
      <c r="F103" s="2" t="s">
        <v>258</v>
      </c>
    </row>
    <row r="104" spans="1:7" x14ac:dyDescent="0.3">
      <c r="A104" s="2">
        <v>7</v>
      </c>
      <c r="C104" s="38" t="s">
        <v>45</v>
      </c>
      <c r="D104" s="42">
        <f>TRUNC(3247,-1)</f>
        <v>3240</v>
      </c>
      <c r="E104" s="63">
        <f t="shared" si="3"/>
        <v>10710</v>
      </c>
    </row>
    <row r="105" spans="1:7" x14ac:dyDescent="0.3">
      <c r="A105" s="2">
        <v>8</v>
      </c>
      <c r="C105" s="38" t="s">
        <v>46</v>
      </c>
      <c r="D105" s="42">
        <f>TRUNC(5967,-1)</f>
        <v>5960</v>
      </c>
      <c r="E105" s="63">
        <f t="shared" si="3"/>
        <v>19700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f>TRUNC(2828,-1)</f>
        <v>2820</v>
      </c>
      <c r="E108" s="63">
        <f t="shared" si="3"/>
        <v>9320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f>TRUNC(379,-1)</f>
        <v>370</v>
      </c>
      <c r="E112" s="63">
        <f t="shared" si="3"/>
        <v>1220</v>
      </c>
      <c r="F112" s="2" t="s">
        <v>261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v>0</v>
      </c>
      <c r="E114" s="63">
        <f t="shared" si="3"/>
        <v>0</v>
      </c>
    </row>
    <row r="115" spans="1:7" x14ac:dyDescent="0.3">
      <c r="A115" s="2">
        <v>18</v>
      </c>
      <c r="C115" s="38" t="s">
        <v>116</v>
      </c>
      <c r="D115" s="42">
        <f>TRUNC(3994,-1)</f>
        <v>3990</v>
      </c>
      <c r="E115" s="63">
        <f t="shared" si="3"/>
        <v>13190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v>0</v>
      </c>
      <c r="E117" s="63">
        <f t="shared" si="3"/>
        <v>0</v>
      </c>
    </row>
    <row r="118" spans="1:7" ht="17.25" thickBot="1" x14ac:dyDescent="0.35">
      <c r="A118" s="2">
        <v>21</v>
      </c>
      <c r="C118" s="38" t="s">
        <v>47</v>
      </c>
      <c r="D118" s="43">
        <f>TRUNC(5098+209,-1)</f>
        <v>5300</v>
      </c>
      <c r="E118" s="64">
        <f t="shared" si="3"/>
        <v>17520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69150</v>
      </c>
      <c r="E119" s="39">
        <f>SUM(E98:E118)</f>
        <v>228570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TRUNC(3648,-1)</f>
        <v>3640</v>
      </c>
      <c r="E122" s="62">
        <f t="shared" ref="E122:E132" si="4">TRUNC(+D122*3.3058,-1)</f>
        <v>12030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TRUNC(698,-1)</f>
        <v>690</v>
      </c>
      <c r="E124" s="63">
        <f t="shared" si="4"/>
        <v>2280</v>
      </c>
    </row>
    <row r="125" spans="1:7" x14ac:dyDescent="0.3">
      <c r="A125" s="2">
        <v>4</v>
      </c>
      <c r="C125" s="38" t="s">
        <v>138</v>
      </c>
      <c r="D125" s="42">
        <f>TRUNC(3667,-1)</f>
        <v>3660</v>
      </c>
      <c r="E125" s="63">
        <f t="shared" si="4"/>
        <v>12090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v>0</v>
      </c>
      <c r="E127" s="63">
        <f t="shared" si="4"/>
        <v>0</v>
      </c>
    </row>
    <row r="128" spans="1:7" x14ac:dyDescent="0.3">
      <c r="A128" s="2">
        <v>7</v>
      </c>
      <c r="C128" s="38" t="s">
        <v>46</v>
      </c>
      <c r="D128" s="42">
        <f>TRUNC(6181,-1)</f>
        <v>6180</v>
      </c>
      <c r="E128" s="63">
        <f t="shared" si="4"/>
        <v>20420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v>0</v>
      </c>
      <c r="E130" s="63">
        <f t="shared" si="4"/>
        <v>0</v>
      </c>
    </row>
    <row r="131" spans="1:7" x14ac:dyDescent="0.3">
      <c r="A131" s="2">
        <v>10</v>
      </c>
      <c r="C131" s="38" t="s">
        <v>148</v>
      </c>
      <c r="D131" s="42">
        <v>0</v>
      </c>
      <c r="E131" s="63">
        <f t="shared" si="4"/>
        <v>0</v>
      </c>
    </row>
    <row r="132" spans="1:7" ht="18" thickBot="1" x14ac:dyDescent="0.35">
      <c r="A132" s="2">
        <v>11</v>
      </c>
      <c r="C132" s="38" t="s">
        <v>47</v>
      </c>
      <c r="D132" s="43">
        <f>TRUNC(1450+11469,-1)</f>
        <v>12910</v>
      </c>
      <c r="E132" s="64">
        <f t="shared" si="4"/>
        <v>42670</v>
      </c>
      <c r="F132" s="54" t="s">
        <v>259</v>
      </c>
    </row>
    <row r="133" spans="1:7" x14ac:dyDescent="0.3">
      <c r="A133" s="2">
        <v>12</v>
      </c>
      <c r="C133" s="27" t="s">
        <v>112</v>
      </c>
      <c r="D133" s="39">
        <f>SUM(D122:D132)</f>
        <v>27080</v>
      </c>
      <c r="E133" s="39">
        <f>SUM(E122:E132)</f>
        <v>89490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f>TRUNC(15161,-1)</f>
        <v>15160</v>
      </c>
      <c r="E136" s="62">
        <f t="shared" ref="E136:E145" si="5">TRUNC(+D136*3.3058,-1)</f>
        <v>50110</v>
      </c>
      <c r="F136" s="2" t="s">
        <v>252</v>
      </c>
    </row>
    <row r="137" spans="1:7" x14ac:dyDescent="0.3">
      <c r="A137" s="2">
        <v>2</v>
      </c>
      <c r="C137" s="38" t="s">
        <v>47</v>
      </c>
      <c r="D137" s="42">
        <f>TRUNC(11346,-1)</f>
        <v>11340</v>
      </c>
      <c r="E137" s="63">
        <f t="shared" si="5"/>
        <v>37480</v>
      </c>
      <c r="F137" s="2" t="s">
        <v>253</v>
      </c>
    </row>
    <row r="138" spans="1:7" x14ac:dyDescent="0.3">
      <c r="A138" s="2">
        <v>3</v>
      </c>
      <c r="C138" s="38" t="s">
        <v>60</v>
      </c>
      <c r="D138" s="42">
        <v>0</v>
      </c>
      <c r="E138" s="63">
        <f t="shared" si="5"/>
        <v>0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v>0</v>
      </c>
      <c r="E140" s="63">
        <f t="shared" si="5"/>
        <v>0</v>
      </c>
    </row>
    <row r="141" spans="1:7" x14ac:dyDescent="0.3">
      <c r="A141" s="2">
        <v>6</v>
      </c>
      <c r="C141" s="38" t="s">
        <v>59</v>
      </c>
      <c r="D141" s="42">
        <v>0</v>
      </c>
      <c r="E141" s="63">
        <f t="shared" si="5"/>
        <v>0</v>
      </c>
    </row>
    <row r="142" spans="1:7" x14ac:dyDescent="0.3">
      <c r="A142" s="2">
        <v>7</v>
      </c>
      <c r="C142" s="38" t="s">
        <v>58</v>
      </c>
      <c r="D142" s="42">
        <v>0</v>
      </c>
      <c r="E142" s="63">
        <f t="shared" si="5"/>
        <v>0</v>
      </c>
    </row>
    <row r="143" spans="1:7" x14ac:dyDescent="0.3">
      <c r="A143" s="2">
        <v>8</v>
      </c>
      <c r="C143" s="38" t="s">
        <v>62</v>
      </c>
      <c r="D143" s="42">
        <v>0</v>
      </c>
      <c r="E143" s="63">
        <f t="shared" si="5"/>
        <v>0</v>
      </c>
    </row>
    <row r="144" spans="1:7" x14ac:dyDescent="0.3">
      <c r="A144" s="2">
        <v>9</v>
      </c>
      <c r="C144" s="38" t="s">
        <v>63</v>
      </c>
      <c r="D144" s="42">
        <v>0</v>
      </c>
      <c r="E144" s="63">
        <f t="shared" si="5"/>
        <v>0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26500</v>
      </c>
      <c r="E146" s="39">
        <f>SUM(E136:E145)</f>
        <v>87590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TRUNC(65033,-1)</f>
        <v>65030</v>
      </c>
      <c r="E152" s="63">
        <f>TRUNC(+D152*3.3058,-1)</f>
        <v>214970</v>
      </c>
      <c r="F152" s="2" t="s">
        <v>251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65030</v>
      </c>
      <c r="E154" s="39">
        <f>SUM(E149:E153)</f>
        <v>214970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v>0</v>
      </c>
      <c r="E159" s="63">
        <f>TRUNC(+D159*3.3058,-1)</f>
        <v>0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0</v>
      </c>
      <c r="E161" s="39">
        <f>SUM(E157:E160)</f>
        <v>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2020-12-07T09:51:35Z</dcterms:modified>
</cp:coreProperties>
</file>