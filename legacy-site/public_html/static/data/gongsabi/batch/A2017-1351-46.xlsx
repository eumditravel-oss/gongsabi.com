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0" i="4"/>
  <c r="D149" i="4"/>
  <c r="D144" i="4"/>
  <c r="D143" i="4"/>
  <c r="D142" i="4"/>
  <c r="D141" i="4"/>
  <c r="D140" i="4"/>
  <c r="D139" i="4"/>
  <c r="D137" i="4"/>
  <c r="D132" i="4"/>
  <c r="D130" i="4"/>
  <c r="D128" i="4"/>
  <c r="D127" i="4"/>
  <c r="D124" i="4"/>
  <c r="D122" i="4"/>
  <c r="D118" i="4"/>
  <c r="D116" i="4"/>
  <c r="D114" i="4"/>
  <c r="D105" i="4"/>
  <c r="D104" i="4"/>
  <c r="D103" i="4"/>
  <c r="D102" i="4"/>
  <c r="D101" i="4"/>
  <c r="D98" i="4"/>
  <c r="D94" i="4"/>
  <c r="D93" i="4"/>
  <c r="D92" i="4"/>
  <c r="D91" i="4"/>
  <c r="D90" i="4"/>
  <c r="D89" i="4"/>
  <c r="D75" i="4"/>
  <c r="D73" i="4"/>
  <c r="D72" i="4"/>
  <c r="D71" i="4"/>
  <c r="D70" i="4"/>
  <c r="D69" i="4"/>
  <c r="D65" i="4"/>
  <c r="D63" i="4"/>
  <c r="D59" i="4"/>
  <c r="D53" i="4"/>
  <c r="D52" i="4"/>
  <c r="D50" i="4"/>
  <c r="D49" i="4"/>
  <c r="D48" i="4"/>
  <c r="D46" i="4"/>
  <c r="D45" i="4"/>
  <c r="D44" i="4"/>
  <c r="D43" i="4"/>
  <c r="D42" i="4"/>
  <c r="D41" i="4"/>
  <c r="D40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<sst xmlns="http://schemas.openxmlformats.org/spreadsheetml/2006/main" count="394" uniqueCount="271">
  <si>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</si>
  <si>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</si>
  <si>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</si>
  <si>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</si>
  <si>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</si>
  <si>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</si>
  <si>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</si>
  <si>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</si>
  <si>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</si>
  <si>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</si>
  <si>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</si>
  <si>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</si>
  <si>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</si>
  <si>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</si>
  <si>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</si>
  <si>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</si>
  <si>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</si>
  <si>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</si>
  <si>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</si>
  <si>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</si>
  <si>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</si>
  <si>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</si>
  <si>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</si>
  <si>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</si>
  <si>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</si>
  <si>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</si>
  <si>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</si>
  <si>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</si>
  <si>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</si>
  <si>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</si>
  <si>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</si>
  <si>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</si>
  <si>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</si>
  <si>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</si>
  <si>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</si>
  <si>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</si>
  <si>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</si>
  <si>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</si>
  <si>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</si>
  <si>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</si>
  <si>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</si>
  <si>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</si>
  <si>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</si>
  <si>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</si>
  <si>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</si>
  <si>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</si>
  <si>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</si>
  <si>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</si>
  <si>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</si>
  <si>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</si>
  <si>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</si>
  <si>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</si>
  <si>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</si>
  <si>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</si>
  <si>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</si>
  <si>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</si>
  <si>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</si>
  <si>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</si>
  <si>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</si>
  <si>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</si>
  <si>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</si>
  <si>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</si>
  <si>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</si>
  <si>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</si>
  <si>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</si>
  <si>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</si>
  <si>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</si>
  <si>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</si>
  <si>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</si>
  <si>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</si>
  <si>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</si>
  <si>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</si>
  <si>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</si>
  <si>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</si>
  <si>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</si>
  <si>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</si>
  <si>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</si>
  <si>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</si>
  <si>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</si>
  <si>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</si>
  <si>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</si>
  <si>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</si>
  <si>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</si>
  <si>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</si>
  <si>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</si>
  <si>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</si>
  <si>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</si>
  <si>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</si>
  <si>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</si>
  <si>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</si>
  <si>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</si>
  <si>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</si>
  <si>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</si>
  <si>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</si>
  <si>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</si>
  <si>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</si>
  <si>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</si>
  <si>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</si>
  <si>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</si>
  <si>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</si>
  <si>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</si>
  <si>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</si>
  <si>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</si>
  <si>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</si>
  <si>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</si>
  <si>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</si>
  <si>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</si>
  <si>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</si>
  <si>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</si>
  <si>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</si>
  <si>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</si>
  <si>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</si>
  <si>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</si>
  <si>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</si>
  <si>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</si>
  <si>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</si>
  <si>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</si>
  <si>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</si>
  <si>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</si>
  <si>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</si>
  <si>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</si>
  <si>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</si>
  <si>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</si>
  <si>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</si>
  <si>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</si>
  <si>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</si>
  <si>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</si>
  <si>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</si>
  <si>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</si>
  <si>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</si>
  <si>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</si>
  <si>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</si>
  <si>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</si>
  <si>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</si>
  <si>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</si>
  <si>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</si>
  <si>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</si>
  <si>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</si>
  <si>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</si>
  <si>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</si>
  <si>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</si>
  <si>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</si>
  <si>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</si>
  <si>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</si>
  <si>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</si>
  <si>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</si>
  <si>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</si>
  <si>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</si>
  <si>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</si>
  <si>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</si>
  <si>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</si>
  <si>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</si>
  <si>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</si>
  <si>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</si>
  <si>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</si>
  <si>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</si>
  <si>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</si>
  <si>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</si>
  <si>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</si>
  <si>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</si>
  <si>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</si>
  <si>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</si>
  <si>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</si>
  <si>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</si>
  <si>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</si>
  <si>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</si>
  <si>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</si>
  <si>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</si>
  <si>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</si>
  <si>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</si>
  <si>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</si>
  <si>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</si>
  <si>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</si>
  <si>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</si>
  <si>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</si>
  <si>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</si>
  <si>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</si>
  <si>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</si>
  <si>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</si>
  <si>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</si>
  <si>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</si>
  <si>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</si>
  <si>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</si>
  <si>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</si>
  <si>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</si>
  <si>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</si>
  <si>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</si>
  <si>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</si>
  <si>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</si>
  <si>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</si>
  <si>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</si>
  <si>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</si>
  <si>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</si>
  <si>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</si>
  <si>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</si>
  <si>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</si>
  <si>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</si>
  <si>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</si>
  <si>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</si>
  <si>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</si>
  <si>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</si>
  <si>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</si>
  <si>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</si>
  <si>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</si>
  <si>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</si>
  <si>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</si>
  <si>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</si>
  <si>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</si>
  <si>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</si>
  <si>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</si>
  <si>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</si>
  <si>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</si>
  <si>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</si>
  <si>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</si>
  <si>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</si>
  <si>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</si>
  <si>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</si>
  <si>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</si>
  <si>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</si>
  <si>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</si>
  <si>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</si>
  <si>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</si>
  <si>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</si>
  <si>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</si>
  <si>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</si>
  <si>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</si>
  <si>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</si>
  <si>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</si>
  <si>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</si>
  <si>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</si>
  <si>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</si>
  <si>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</si>
  <si>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</si>
  <si>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</si>
  <si>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</si>
  <si>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</si>
  <si>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</si>
  <si>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</si>
  <si>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</si>
  <si>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</si>
  <si>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</si>
  <si>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</si>
  <si>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</si>
  <si>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</si>
  <si>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</si>
  <si>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</si>
  <si>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</si>
  <si>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</si>
  <si>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</si>
  <si>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</si>
  <si>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</si>
  <si>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</si>
  <si>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</si>
  <si>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</si>
  <si>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</si>
  <si>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</si>
  <si>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</si>
  <si>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국회 스마트워크센터 및 프레스센터 건립공사</t>
    <phoneticPr fontId="2" type="noConversion"/>
  </si>
  <si>
    <t>서울</t>
  </si>
  <si>
    <t>기초공사, 해체및철거공사, 골재비및운반비, 기타공사</t>
    <phoneticPr fontId="2" type="noConversion"/>
  </si>
  <si>
    <t>원격검침 설비공사, 기타공사</t>
    <phoneticPr fontId="2" type="noConversion"/>
  </si>
  <si>
    <t>CCTV설비공사,주차관제설비공사, 기타공사</t>
    <phoneticPr fontId="2" type="noConversion"/>
  </si>
  <si>
    <t>옥외소화배관공사, 펌프실배관공사, 무선통신보조설비공사, 기타공사</t>
    <phoneticPr fontId="2" type="noConversion"/>
  </si>
  <si>
    <t xml:space="preserve"> 사급자재비,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</si>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</sst>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24732.58</v>
      </c>
      <c r="D7" s="36">
        <f>+C7/3.3058</f>
        <v>7481.571782926977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865060</v>
      </c>
      <c r="E25" s="59">
        <f t="shared" si="0"/>
        <v>2859710</v>
      </c>
    </row>
    <row r="26" spans="1:5" x14ac:dyDescent="0.3">
      <c r="B26" s="2">
        <v>3</v>
      </c>
      <c r="C26" s="35" t="s">
        <v>95</v>
      </c>
      <c r="D26" s="45">
        <f>+D66</f>
        <v>67360</v>
      </c>
      <c r="E26" s="59">
        <f t="shared" si="0"/>
        <v>222670</v>
      </c>
    </row>
    <row r="27" spans="1:5" x14ac:dyDescent="0.3">
      <c r="B27" s="2">
        <v>4</v>
      </c>
      <c r="C27" s="35" t="s">
        <v>96</v>
      </c>
      <c r="D27" s="45">
        <f>+D95</f>
        <v>246580</v>
      </c>
      <c r="E27" s="59">
        <f t="shared" si="0"/>
        <v>815140</v>
      </c>
    </row>
    <row r="28" spans="1:5" x14ac:dyDescent="0.3">
      <c r="B28" s="2">
        <v>5</v>
      </c>
      <c r="C28" s="35" t="s">
        <v>97</v>
      </c>
      <c r="D28" s="45">
        <f>+D119</f>
        <v>266140</v>
      </c>
      <c r="E28" s="59">
        <f t="shared" si="0"/>
        <v>879800</v>
      </c>
    </row>
    <row r="29" spans="1:5" x14ac:dyDescent="0.3">
      <c r="B29" s="2">
        <v>6</v>
      </c>
      <c r="C29" s="35" t="s">
        <v>98</v>
      </c>
      <c r="D29" s="45">
        <f>+D133</f>
        <v>190300</v>
      </c>
      <c r="E29" s="59">
        <f t="shared" si="0"/>
        <v>629090</v>
      </c>
    </row>
    <row r="30" spans="1:5" x14ac:dyDescent="0.3">
      <c r="B30" s="2">
        <v>7</v>
      </c>
      <c r="C30" s="35" t="s">
        <v>99</v>
      </c>
      <c r="D30" s="45">
        <f>+D146</f>
        <v>73650</v>
      </c>
      <c r="E30" s="59">
        <f t="shared" si="0"/>
        <v>243470</v>
      </c>
    </row>
    <row r="31" spans="1:5" x14ac:dyDescent="0.3">
      <c r="B31" s="2">
        <v>8</v>
      </c>
      <c r="C31" s="35" t="s">
        <v>100</v>
      </c>
      <c r="D31" s="45">
        <f>+D154</f>
        <v>17310</v>
      </c>
      <c r="E31" s="59">
        <f t="shared" si="0"/>
        <v>57220</v>
      </c>
    </row>
    <row r="32" spans="1:5" x14ac:dyDescent="0.3">
      <c r="B32" s="2">
        <v>9</v>
      </c>
      <c r="C32" s="35" t="s">
        <v>101</v>
      </c>
      <c r="D32" s="45">
        <f>+D161</f>
        <v>68100</v>
      </c>
      <c r="E32" s="59">
        <f t="shared" si="0"/>
        <v>225120</v>
      </c>
    </row>
    <row r="33" spans="1:7" x14ac:dyDescent="0.3">
      <c r="B33" s="2">
        <v>10</v>
      </c>
      <c r="C33" s="35" t="s">
        <v>154</v>
      </c>
      <c r="D33" s="53">
        <f>TRUNC(SUM(D24:D32)*0.275,-1)</f>
        <v>493480</v>
      </c>
      <c r="E33" s="60">
        <f t="shared" si="0"/>
        <v>1631340</v>
      </c>
    </row>
    <row r="34" spans="1:7" x14ac:dyDescent="0.3">
      <c r="C34" s="35" t="s">
        <v>112</v>
      </c>
      <c r="D34" s="44">
        <f>SUM(D24:D33)</f>
        <v>2287980</v>
      </c>
      <c r="E34" s="44">
        <f>SUM(E24:E33)</f>
        <v>7563560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TRUNC(37373,-1)</f>
        <v>37370</v>
      </c>
      <c r="E40" s="62">
        <f t="shared" ref="E40:E59" si="1">TRUNC(+D40*3.3058,-1)</f>
        <v>123530</v>
      </c>
    </row>
    <row r="41" spans="1:7" x14ac:dyDescent="0.3">
      <c r="A41" s="2">
        <v>2</v>
      </c>
      <c r="C41" s="38" t="s">
        <v>13</v>
      </c>
      <c r="D41" s="42">
        <f>TRUNC(63295,-1)</f>
        <v>63290</v>
      </c>
      <c r="E41" s="63">
        <f t="shared" si="1"/>
        <v>209220</v>
      </c>
    </row>
    <row r="42" spans="1:7" x14ac:dyDescent="0.3">
      <c r="A42" s="2">
        <v>3</v>
      </c>
      <c r="C42" s="38" t="s">
        <v>14</v>
      </c>
      <c r="D42" s="42">
        <f>TRUNC(111625,-1)</f>
        <v>111620</v>
      </c>
      <c r="E42" s="63">
        <f t="shared" si="1"/>
        <v>368990</v>
      </c>
    </row>
    <row r="43" spans="1:7" x14ac:dyDescent="0.3">
      <c r="A43" s="2">
        <v>4</v>
      </c>
      <c r="C43" s="38" t="s">
        <v>16</v>
      </c>
      <c r="D43" s="42">
        <f>TRUNC(9933,-1)</f>
        <v>9930</v>
      </c>
      <c r="E43" s="63">
        <f t="shared" si="1"/>
        <v>32820</v>
      </c>
    </row>
    <row r="44" spans="1:7" x14ac:dyDescent="0.3">
      <c r="A44" s="2">
        <v>5</v>
      </c>
      <c r="C44" s="38" t="s">
        <v>17</v>
      </c>
      <c r="D44" s="42">
        <f>TRUNC(13154,-1)</f>
        <v>13150</v>
      </c>
      <c r="E44" s="63">
        <f t="shared" si="1"/>
        <v>43470</v>
      </c>
    </row>
    <row r="45" spans="1:7" x14ac:dyDescent="0.3">
      <c r="A45" s="2">
        <v>6</v>
      </c>
      <c r="C45" s="38" t="s">
        <v>18</v>
      </c>
      <c r="D45" s="42">
        <f>TRUNC(3537,-1)</f>
        <v>3530</v>
      </c>
      <c r="E45" s="63">
        <f t="shared" si="1"/>
        <v>11660</v>
      </c>
    </row>
    <row r="46" spans="1:7" x14ac:dyDescent="0.3">
      <c r="A46" s="2">
        <v>7</v>
      </c>
      <c r="C46" s="38" t="s">
        <v>19</v>
      </c>
      <c r="D46" s="42">
        <f>TRUNC(12474,-1)</f>
        <v>12470</v>
      </c>
      <c r="E46" s="63">
        <f t="shared" si="1"/>
        <v>41220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TRUNC(19594,-1)</f>
        <v>19590</v>
      </c>
      <c r="E48" s="63">
        <f t="shared" si="1"/>
        <v>64760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TRUNC(7471,-1)</f>
        <v>7470</v>
      </c>
      <c r="E49" s="63">
        <f t="shared" si="1"/>
        <v>24690</v>
      </c>
    </row>
    <row r="50" spans="1:7" x14ac:dyDescent="0.3">
      <c r="A50" s="2">
        <v>11</v>
      </c>
      <c r="C50" s="38" t="s">
        <v>155</v>
      </c>
      <c r="D50" s="42">
        <f>TRUNC(177731,-1)</f>
        <v>177730</v>
      </c>
      <c r="E50" s="63">
        <f t="shared" si="1"/>
        <v>587530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TRUNC(12616,-1)</f>
        <v>12610</v>
      </c>
      <c r="E52" s="63">
        <f t="shared" si="1"/>
        <v>41680</v>
      </c>
    </row>
    <row r="53" spans="1:7" x14ac:dyDescent="0.3">
      <c r="A53" s="2">
        <v>14</v>
      </c>
      <c r="C53" s="38" t="s">
        <v>25</v>
      </c>
      <c r="D53" s="42">
        <f>TRUNC(154711,-1)</f>
        <v>154710</v>
      </c>
      <c r="E53" s="63">
        <f t="shared" si="1"/>
        <v>511440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15124+23475+3746+36075</f>
        <v>78420</v>
      </c>
      <c r="E58" s="63">
        <f t="shared" si="1"/>
        <v>259240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TRUNC(163177,-1)</f>
        <v>163170</v>
      </c>
      <c r="E59" s="64">
        <f t="shared" si="1"/>
        <v>539400</v>
      </c>
    </row>
    <row r="60" spans="1:7" x14ac:dyDescent="0.3">
      <c r="A60" s="2">
        <v>21</v>
      </c>
      <c r="C60" s="27" t="s">
        <v>112</v>
      </c>
      <c r="D60" s="39">
        <f>SUM(D40:D59)</f>
        <v>865060</v>
      </c>
      <c r="E60" s="39">
        <f>SUM(E40:E59)</f>
        <v>2859650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TRUNC(34481,-1)</f>
        <v>34480</v>
      </c>
      <c r="E63" s="62">
        <f>TRUNC(+D63*3.3058,-1)</f>
        <v>113980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TRUNC(32881,-1)</f>
        <v>32880</v>
      </c>
      <c r="E65" s="64">
        <f>TRUNC(+D65*3.3058,-1)</f>
        <v>108690</v>
      </c>
    </row>
    <row r="66" spans="1:7" x14ac:dyDescent="0.3">
      <c r="A66" s="2">
        <v>4</v>
      </c>
      <c r="C66" s="27" t="s">
        <v>112</v>
      </c>
      <c r="D66" s="39">
        <f>SUM(D63:D65)</f>
        <v>67360</v>
      </c>
      <c r="E66" s="65">
        <f>SUM(E63:E65)</f>
        <v>222670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TRUNC(7546,-1)</f>
        <v>7540</v>
      </c>
      <c r="E69" s="62">
        <f t="shared" ref="E69:E94" si="2">TRUNC(+D69*3.3058,-1)</f>
        <v>24920</v>
      </c>
    </row>
    <row r="70" spans="1:7" ht="16.5" customHeight="1" x14ac:dyDescent="0.3">
      <c r="A70" s="2">
        <v>2</v>
      </c>
      <c r="C70" s="38" t="s">
        <v>31</v>
      </c>
      <c r="D70" s="42">
        <f>TRUNC(876,-1)</f>
        <v>870</v>
      </c>
      <c r="E70" s="63">
        <f t="shared" si="2"/>
        <v>2870</v>
      </c>
    </row>
    <row r="71" spans="1:7" x14ac:dyDescent="0.3">
      <c r="A71" s="2">
        <v>3</v>
      </c>
      <c r="C71" s="38" t="s">
        <v>32</v>
      </c>
      <c r="D71" s="42">
        <f>TRUNC(3876,-1)</f>
        <v>3870</v>
      </c>
      <c r="E71" s="63">
        <f t="shared" si="2"/>
        <v>12790</v>
      </c>
    </row>
    <row r="72" spans="1:7" x14ac:dyDescent="0.3">
      <c r="A72" s="2">
        <v>4</v>
      </c>
      <c r="C72" s="38" t="s">
        <v>33</v>
      </c>
      <c r="D72" s="42">
        <f>TRUNC(4038,-1)</f>
        <v>4030</v>
      </c>
      <c r="E72" s="63">
        <f t="shared" si="2"/>
        <v>13320</v>
      </c>
    </row>
    <row r="73" spans="1:7" x14ac:dyDescent="0.3">
      <c r="A73" s="2">
        <v>5</v>
      </c>
      <c r="C73" s="38" t="s">
        <v>34</v>
      </c>
      <c r="D73" s="42">
        <f>TRUNC(5469,-1)</f>
        <v>5460</v>
      </c>
      <c r="E73" s="63">
        <f t="shared" si="2"/>
        <v>18040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TRUNC(2631,-1)</f>
        <v>2630</v>
      </c>
      <c r="E75" s="63">
        <f t="shared" si="2"/>
        <v>8690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TRUNC(10285,-1)</f>
        <v>10280</v>
      </c>
      <c r="E89" s="63">
        <f t="shared" si="2"/>
        <v>33980</v>
      </c>
    </row>
    <row r="90" spans="1:7" x14ac:dyDescent="0.3">
      <c r="A90" s="2">
        <v>22</v>
      </c>
      <c r="C90" s="38" t="s">
        <v>36</v>
      </c>
      <c r="D90" s="42">
        <f>TRUNC(1037,-1)</f>
        <v>1030</v>
      </c>
      <c r="E90" s="63">
        <f t="shared" si="2"/>
        <v>3400</v>
      </c>
    </row>
    <row r="91" spans="1:7" x14ac:dyDescent="0.3">
      <c r="A91" s="2">
        <v>23</v>
      </c>
      <c r="C91" s="38" t="s">
        <v>37</v>
      </c>
      <c r="D91" s="42">
        <f>TRUNC(59972,-1)</f>
        <v>59970</v>
      </c>
      <c r="E91" s="63">
        <f t="shared" si="2"/>
        <v>198240</v>
      </c>
    </row>
    <row r="92" spans="1:7" x14ac:dyDescent="0.3">
      <c r="A92" s="2">
        <v>24</v>
      </c>
      <c r="C92" s="38" t="s">
        <v>38</v>
      </c>
      <c r="D92" s="42">
        <f>TRUNC(3649,-1)</f>
        <v>3640</v>
      </c>
      <c r="E92" s="63">
        <f t="shared" si="2"/>
        <v>12030</v>
      </c>
    </row>
    <row r="93" spans="1:7" x14ac:dyDescent="0.3">
      <c r="A93" s="2">
        <v>25</v>
      </c>
      <c r="C93" s="38" t="s">
        <v>148</v>
      </c>
      <c r="D93" s="42">
        <f>TRUNC(134967,-1)</f>
        <v>134960</v>
      </c>
      <c r="E93" s="63">
        <f t="shared" si="2"/>
        <v>446150</v>
      </c>
    </row>
    <row r="94" spans="1:7" ht="17.25" thickBot="1" x14ac:dyDescent="0.35">
      <c r="A94" s="2">
        <v>26</v>
      </c>
      <c r="C94" s="38" t="s">
        <v>47</v>
      </c>
      <c r="D94" s="43">
        <f>TRUNC(7152+460+4695,-1)</f>
        <v>12300</v>
      </c>
      <c r="E94" s="64">
        <f t="shared" si="2"/>
        <v>40660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246580</v>
      </c>
      <c r="E95" s="39">
        <f>SUM(E69:E94)</f>
        <v>815090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TRUNC(30272,-1)</f>
        <v>30270</v>
      </c>
      <c r="E98" s="62">
        <f t="shared" ref="E98:E118" si="3">TRUNC(+D98*3.3058,-1)</f>
        <v>100060</v>
      </c>
    </row>
    <row r="99" spans="1:7" x14ac:dyDescent="0.3">
      <c r="A99" s="2">
        <v>2</v>
      </c>
      <c r="C99" s="38" t="s">
        <v>40</v>
      </c>
      <c r="D99" s="42">
        <v>7170</v>
      </c>
      <c r="E99" s="63">
        <f t="shared" si="3"/>
        <v>23700</v>
      </c>
    </row>
    <row r="100" spans="1:7" x14ac:dyDescent="0.3">
      <c r="A100" s="2">
        <v>3</v>
      </c>
      <c r="C100" s="38" t="s">
        <v>41</v>
      </c>
      <c r="D100" s="42">
        <v>27970</v>
      </c>
      <c r="E100" s="63">
        <f t="shared" si="3"/>
        <v>92460</v>
      </c>
    </row>
    <row r="101" spans="1:7" x14ac:dyDescent="0.3">
      <c r="A101" s="2">
        <v>4</v>
      </c>
      <c r="C101" s="38" t="s">
        <v>42</v>
      </c>
      <c r="D101" s="42">
        <f>TRUNC(3037,-1)</f>
        <v>3030</v>
      </c>
      <c r="E101" s="63">
        <f t="shared" si="3"/>
        <v>10010</v>
      </c>
    </row>
    <row r="102" spans="1:7" x14ac:dyDescent="0.3">
      <c r="A102" s="2">
        <v>5</v>
      </c>
      <c r="C102" s="38" t="s">
        <v>43</v>
      </c>
      <c r="D102" s="42">
        <f>TRUNC(12069,-1)</f>
        <v>12060</v>
      </c>
      <c r="E102" s="63">
        <f t="shared" si="3"/>
        <v>39860</v>
      </c>
    </row>
    <row r="103" spans="1:7" x14ac:dyDescent="0.3">
      <c r="A103" s="2">
        <v>6</v>
      </c>
      <c r="C103" s="38" t="s">
        <v>44</v>
      </c>
      <c r="D103" s="42">
        <f>TRUNC(2909,-1)</f>
        <v>2900</v>
      </c>
      <c r="E103" s="63">
        <f t="shared" si="3"/>
        <v>9580</v>
      </c>
    </row>
    <row r="104" spans="1:7" x14ac:dyDescent="0.3">
      <c r="A104" s="2">
        <v>7</v>
      </c>
      <c r="C104" s="38" t="s">
        <v>45</v>
      </c>
      <c r="D104" s="42">
        <f>TRUNC(2279,-1)</f>
        <v>2270</v>
      </c>
      <c r="E104" s="63">
        <f t="shared" si="3"/>
        <v>7500</v>
      </c>
    </row>
    <row r="105" spans="1:7" x14ac:dyDescent="0.3">
      <c r="A105" s="2">
        <v>8</v>
      </c>
      <c r="C105" s="38" t="s">
        <v>46</v>
      </c>
      <c r="D105" s="42">
        <f>TRUNC(5307,-1)</f>
        <v>5300</v>
      </c>
      <c r="E105" s="63">
        <f t="shared" si="3"/>
        <v>17520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TRUNC(2917,-1)</f>
        <v>2910</v>
      </c>
      <c r="E114" s="63">
        <f t="shared" si="3"/>
        <v>9610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TRUNC(8625,-1)</f>
        <v>8620</v>
      </c>
      <c r="E116" s="63">
        <f t="shared" si="3"/>
        <v>28490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157030</v>
      </c>
      <c r="E117" s="63">
        <f t="shared" si="3"/>
        <v>519100</v>
      </c>
    </row>
    <row r="118" spans="1:7" ht="17.25" thickBot="1" x14ac:dyDescent="0.35">
      <c r="A118" s="2">
        <v>21</v>
      </c>
      <c r="C118" s="38" t="s">
        <v>47</v>
      </c>
      <c r="D118" s="43">
        <f>TRUNC(2205+4412,-1)</f>
        <v>6610</v>
      </c>
      <c r="E118" s="64">
        <f t="shared" si="3"/>
        <v>21850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266140</v>
      </c>
      <c r="E119" s="39">
        <f>SUM(E98:E118)</f>
        <v>879740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TRUNC(4462,-1)</f>
        <v>4460</v>
      </c>
      <c r="E122" s="62">
        <f t="shared" ref="E122:E132" si="4">TRUNC(+D122*3.3058,-1)</f>
        <v>14740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TRUNC(656,-1)</f>
        <v>650</v>
      </c>
      <c r="E124" s="63">
        <f t="shared" si="4"/>
        <v>2140</v>
      </c>
    </row>
    <row r="125" spans="1:7" x14ac:dyDescent="0.3">
      <c r="A125" s="2">
        <v>4</v>
      </c>
      <c r="C125" s="38" t="s">
        <v>138</v>
      </c>
      <c r="D125" s="42">
        <v>10630</v>
      </c>
      <c r="E125" s="63">
        <f t="shared" si="4"/>
        <v>35140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TRUNC(25653,-1)</f>
        <v>25650</v>
      </c>
      <c r="E127" s="63">
        <f t="shared" si="4"/>
        <v>84790</v>
      </c>
    </row>
    <row r="128" spans="1:7" x14ac:dyDescent="0.3">
      <c r="A128" s="2">
        <v>7</v>
      </c>
      <c r="C128" s="38" t="s">
        <v>46</v>
      </c>
      <c r="D128" s="42">
        <f>TRUNC(6848,-1)</f>
        <v>6840</v>
      </c>
      <c r="E128" s="63">
        <f t="shared" si="4"/>
        <v>22610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TRUNC(51775,-1)</f>
        <v>51770</v>
      </c>
      <c r="E130" s="63">
        <f t="shared" si="4"/>
        <v>171140</v>
      </c>
    </row>
    <row r="131" spans="1:7" x14ac:dyDescent="0.3">
      <c r="A131" s="2">
        <v>10</v>
      </c>
      <c r="C131" s="38" t="s">
        <v>148</v>
      </c>
      <c r="D131" s="42">
        <v>81220</v>
      </c>
      <c r="E131" s="63">
        <f t="shared" si="4"/>
        <v>268490</v>
      </c>
    </row>
    <row r="132" spans="1:7" ht="18" thickBot="1" x14ac:dyDescent="0.35">
      <c r="A132" s="2">
        <v>11</v>
      </c>
      <c r="C132" s="38" t="s">
        <v>47</v>
      </c>
      <c r="D132" s="43">
        <f>TRUNC(4643+412+4032,-1)</f>
        <v>9080</v>
      </c>
      <c r="E132" s="64">
        <f t="shared" si="4"/>
        <v>30010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190300</v>
      </c>
      <c r="E133" s="39">
        <f>SUM(E122:E132)</f>
        <v>629060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TRUNC(512+1729+2020+192,-1)</f>
        <v>4450</v>
      </c>
      <c r="E137" s="63">
        <f t="shared" si="5"/>
        <v>14710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TRUNC(4309,-1)</f>
        <v>4300</v>
      </c>
      <c r="E139" s="63">
        <f t="shared" si="5"/>
        <v>14210</v>
      </c>
    </row>
    <row r="140" spans="1:7" x14ac:dyDescent="0.3">
      <c r="A140" s="2">
        <v>5</v>
      </c>
      <c r="C140" s="38" t="s">
        <v>57</v>
      </c>
      <c r="D140" s="42">
        <f>TRUNC(9144,-1)</f>
        <v>9140</v>
      </c>
      <c r="E140" s="63">
        <f t="shared" si="5"/>
        <v>30210</v>
      </c>
    </row>
    <row r="141" spans="1:7" x14ac:dyDescent="0.3">
      <c r="A141" s="2">
        <v>6</v>
      </c>
      <c r="C141" s="38" t="s">
        <v>59</v>
      </c>
      <c r="D141" s="42">
        <f>TRUNC(27125,-1)</f>
        <v>27120</v>
      </c>
      <c r="E141" s="63">
        <f t="shared" si="5"/>
        <v>89650</v>
      </c>
    </row>
    <row r="142" spans="1:7" x14ac:dyDescent="0.3">
      <c r="A142" s="2">
        <v>7</v>
      </c>
      <c r="C142" s="38" t="s">
        <v>58</v>
      </c>
      <c r="D142" s="42">
        <f>TRUNC(4232,-1)</f>
        <v>4230</v>
      </c>
      <c r="E142" s="63">
        <f t="shared" si="5"/>
        <v>13980</v>
      </c>
    </row>
    <row r="143" spans="1:7" x14ac:dyDescent="0.3">
      <c r="A143" s="2">
        <v>8</v>
      </c>
      <c r="C143" s="38" t="s">
        <v>62</v>
      </c>
      <c r="D143" s="42">
        <f>TRUNC(3046,-1)</f>
        <v>3040</v>
      </c>
      <c r="E143" s="63">
        <f t="shared" si="5"/>
        <v>10040</v>
      </c>
    </row>
    <row r="144" spans="1:7" x14ac:dyDescent="0.3">
      <c r="A144" s="2">
        <v>9</v>
      </c>
      <c r="C144" s="38" t="s">
        <v>63</v>
      </c>
      <c r="D144" s="42">
        <f>TRUNC(21375,-1)</f>
        <v>21370</v>
      </c>
      <c r="E144" s="63">
        <f t="shared" si="5"/>
        <v>70640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73650</v>
      </c>
      <c r="E146" s="39">
        <f>SUM(E136:E145)</f>
        <v>243440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TRUNC(3463+396,-1)</f>
        <v>3850</v>
      </c>
      <c r="E149" s="62">
        <f>TRUNC(+D149*3.3058,-1)</f>
        <v>12720</v>
      </c>
    </row>
    <row r="150" spans="1:7" x14ac:dyDescent="0.3">
      <c r="A150" s="2">
        <v>2</v>
      </c>
      <c r="C150" s="38" t="s">
        <v>49</v>
      </c>
      <c r="D150" s="42">
        <f>TRUNC(1079,-1)</f>
        <v>1070</v>
      </c>
      <c r="E150" s="63">
        <f>TRUNC(+D150*3.3058,-1)</f>
        <v>3530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TRUNC(1449+1110,-1)</f>
        <v>2550</v>
      </c>
      <c r="E152" s="63">
        <f>TRUNC(+D152*3.3058,-1)</f>
        <v>8420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9840</v>
      </c>
      <c r="E153" s="64">
        <f>TRUNC(+D153*3.3058,-1)</f>
        <v>32520</v>
      </c>
    </row>
    <row r="154" spans="1:7" x14ac:dyDescent="0.3">
      <c r="A154" s="2">
        <v>6</v>
      </c>
      <c r="C154" s="27" t="s">
        <v>112</v>
      </c>
      <c r="D154" s="39">
        <f>SUM(D149:D153)</f>
        <v>17310</v>
      </c>
      <c r="E154" s="39">
        <f>SUM(E149:E153)</f>
        <v>57190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TRUNC(32225,-1)</f>
        <v>32220</v>
      </c>
      <c r="E157" s="62">
        <f>TRUNC(+D157*3.3058,-1)</f>
        <v>106510</v>
      </c>
    </row>
    <row r="158" spans="1:7" x14ac:dyDescent="0.3">
      <c r="A158" s="2">
        <v>2</v>
      </c>
      <c r="C158" s="38" t="s">
        <v>52</v>
      </c>
      <c r="D158" s="42">
        <v>15820</v>
      </c>
      <c r="E158" s="63">
        <f>TRUNC(+D158*3.3058,-1)</f>
        <v>52290</v>
      </c>
    </row>
    <row r="159" spans="1:7" x14ac:dyDescent="0.3">
      <c r="A159" s="2">
        <v>3</v>
      </c>
      <c r="C159" s="38" t="s">
        <v>47</v>
      </c>
      <c r="D159" s="42">
        <f>TRUNC(8005+12059,-1)</f>
        <v>20060</v>
      </c>
      <c r="E159" s="63">
        <f>TRUNC(+D159*3.3058,-1)</f>
        <v>66310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68100</v>
      </c>
      <c r="E161" s="39">
        <f>SUM(E156:E160)</f>
        <v>225110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2020-12-08T01:55:18Z</dcterms:modified>
</cp:coreProperties>
</file>