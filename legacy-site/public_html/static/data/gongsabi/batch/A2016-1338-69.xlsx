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2" i="4"/>
  <c r="D141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3" i="4"/>
  <c r="D92" i="4"/>
  <c r="D90" i="4"/>
  <c r="D89" i="4"/>
  <c r="D75" i="4"/>
  <c r="D73" i="4"/>
  <c r="D72" i="4"/>
  <c r="D71" i="4"/>
  <c r="D70" i="4"/>
  <c r="D69" i="4"/>
  <c r="D65" i="4"/>
  <c r="D63" i="4"/>
  <c r="D59" i="4"/>
  <c r="D58" i="4"/>
  <c r="D53" i="4"/>
  <c r="D52" i="4"/>
  <c r="D49" i="4"/>
  <c r="D48" i="4"/>
  <c r="D46" i="4"/>
  <c r="D45" i="4"/>
  <c r="D44" i="4"/>
  <c r="D43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<sst xmlns="http://schemas.openxmlformats.org/spreadsheetml/2006/main" count="393" uniqueCount="267">
  <si>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</si>
  <si>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</si>
  <si>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</si>
  <si>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</si>
  <si>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</si>
  <si>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</si>
  <si>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</si>
  <si>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</si>
  <si>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</si>
  <si>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</si>
  <si>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</si>
  <si>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</si>
  <si>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</si>
  <si>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</si>
  <si>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</si>
  <si>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</si>
  <si>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</si>
  <si>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</si>
  <si>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</si>
  <si>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</si>
  <si>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</si>
  <si>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</si>
  <si>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</si>
  <si>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</si>
  <si>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</si>
  <si>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</si>
  <si>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</si>
  <si>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</si>
  <si>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</si>
  <si>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</si>
  <si>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</si>
  <si>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</si>
  <si>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</si>
  <si>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</si>
  <si>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</si>
  <si>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</si>
  <si>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</si>
  <si>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</si>
  <si>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</si>
  <si>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</si>
  <si>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</si>
  <si>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</si>
  <si>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</si>
  <si>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</si>
  <si>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</si>
  <si>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</si>
  <si>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</si>
  <si>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</si>
  <si>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</si>
  <si>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</si>
  <si>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</si>
  <si>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</si>
  <si>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</si>
  <si>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</si>
  <si>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</si>
  <si>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</si>
  <si>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</si>
  <si>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</si>
  <si>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</si>
  <si>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</si>
  <si>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</si>
  <si>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</si>
  <si>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</si>
  <si>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</si>
  <si>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</si>
  <si>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</si>
  <si>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</si>
  <si>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</si>
  <si>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</si>
  <si>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</si>
  <si>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</si>
  <si>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</si>
  <si>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</si>
  <si>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</si>
  <si>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</si>
  <si>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</si>
  <si>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</si>
  <si>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</si>
  <si>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</si>
  <si>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</si>
  <si>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</si>
  <si>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</si>
  <si>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</si>
  <si>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</si>
  <si>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</si>
  <si>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</si>
  <si>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</si>
  <si>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</si>
  <si>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</si>
  <si>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</si>
  <si>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</si>
  <si>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</si>
  <si>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</si>
  <si>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</si>
  <si>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</si>
  <si>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</si>
  <si>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</si>
  <si>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</si>
  <si>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</si>
  <si>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</si>
  <si>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</si>
  <si>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</si>
  <si>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</si>
  <si>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</si>
  <si>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</si>
  <si>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</si>
  <si>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</si>
  <si>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</si>
  <si>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</si>
  <si>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</si>
  <si>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</si>
  <si>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</si>
  <si>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</si>
  <si>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</si>
  <si>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</si>
  <si>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</si>
  <si>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</si>
  <si>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</si>
  <si>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</si>
  <si>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</si>
  <si>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</si>
  <si>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</si>
  <si>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</si>
  <si>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</si>
  <si>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</si>
  <si>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</si>
  <si>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</si>
  <si>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</si>
  <si>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</si>
  <si>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</si>
  <si>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</si>
  <si>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</si>
  <si>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</si>
  <si>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</si>
  <si>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</si>
  <si>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</si>
  <si>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</si>
  <si>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</si>
  <si>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</si>
  <si>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</si>
  <si>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</si>
  <si>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</si>
  <si>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</si>
  <si>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</si>
  <si>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</si>
  <si>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</si>
  <si>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</si>
  <si>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</si>
  <si>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</si>
  <si>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</si>
  <si>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</si>
  <si>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</si>
  <si>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</si>
  <si>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</si>
  <si>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</si>
  <si>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</si>
  <si>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</si>
  <si>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</si>
  <si>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</si>
  <si>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</si>
  <si>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</si>
  <si>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</si>
  <si>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</si>
  <si>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</si>
  <si>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</si>
  <si>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</si>
  <si>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</si>
  <si>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</si>
  <si>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</si>
  <si>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</si>
  <si>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</si>
  <si>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</si>
  <si>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</si>
  <si>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</si>
  <si>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</si>
  <si>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</si>
  <si>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</si>
  <si>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</si>
  <si>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</si>
  <si>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</si>
  <si>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</si>
  <si>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</si>
  <si>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</si>
  <si>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</si>
  <si>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</si>
  <si>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</si>
  <si>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</si>
  <si>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</si>
  <si>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</si>
  <si>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</si>
  <si>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</si>
  <si>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</si>
  <si>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</si>
  <si>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</si>
  <si>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</si>
  <si>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</si>
  <si>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</si>
  <si>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</si>
  <si>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</si>
  <si>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</si>
  <si>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</si>
  <si>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</si>
  <si>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</si>
  <si>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</si>
  <si>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</si>
  <si>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</si>
  <si>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</si>
  <si>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</si>
  <si>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</si>
  <si>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</si>
  <si>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</si>
  <si>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</si>
  <si>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</si>
  <si>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</si>
  <si>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</si>
  <si>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</si>
  <si>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</si>
  <si>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</si>
  <si>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</si>
  <si>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</si>
  <si>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</si>
  <si>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</si>
  <si>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</si>
  <si>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</si>
  <si>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</si>
  <si>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</si>
  <si>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</si>
  <si>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</si>
  <si>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</si>
  <si>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</si>
  <si>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</si>
  <si>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</si>
  <si>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</si>
  <si>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</si>
  <si>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</si>
  <si>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</si>
  <si>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</si>
  <si>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</si>
  <si>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</si>
  <si>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</si>
  <si>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</si>
  <si>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</si>
  <si>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</si>
  <si>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</si>
  <si>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</si>
  <si>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</si>
  <si>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</si>
  <si>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</si>
  <si>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</si>
  <si>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</si>
  <si>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</si>
  <si>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</si>
  <si>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</si>
  <si>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</si>
  <si>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</si>
  <si>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</si>
  <si>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</si>
  <si>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</si>
  <si>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세종우체국 건립공사</t>
    <phoneticPr fontId="2" type="noConversion"/>
  </si>
  <si>
    <t>세종시</t>
  </si>
  <si>
    <t>공조배관공사, 우수처리시설공사,바닥난방공사, 기타공사</t>
    <phoneticPr fontId="2" type="noConversion"/>
  </si>
  <si>
    <t>CCTV설비공사, 기타공사</t>
    <phoneticPr fontId="2" type="noConversion"/>
  </si>
  <si>
    <t>옥외소화배관공사, 펌프실배관공사, 기타공사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</si>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</sst>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5937.7</v>
      </c>
      <c r="D7" s="36">
        <f>+C7/3.3058</f>
        <v>1796.1461673422468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975180</v>
      </c>
      <c r="E25" s="59">
        <f t="shared" si="0"/>
        <v>3223750</v>
      </c>
    </row>
    <row r="26" spans="1:5" x14ac:dyDescent="0.3">
      <c r="B26" s="2">
        <v>3</v>
      </c>
      <c r="C26" s="35" t="s">
        <v>95</v>
      </c>
      <c r="D26" s="45">
        <f>+D66</f>
        <v>17440</v>
      </c>
      <c r="E26" s="59">
        <f t="shared" si="0"/>
        <v>57650</v>
      </c>
    </row>
    <row r="27" spans="1:5" x14ac:dyDescent="0.3">
      <c r="B27" s="2">
        <v>4</v>
      </c>
      <c r="C27" s="35" t="s">
        <v>96</v>
      </c>
      <c r="D27" s="45">
        <f>+D95</f>
        <v>329300</v>
      </c>
      <c r="E27" s="59">
        <f t="shared" si="0"/>
        <v>1088590</v>
      </c>
    </row>
    <row r="28" spans="1:5" x14ac:dyDescent="0.3">
      <c r="B28" s="2">
        <v>5</v>
      </c>
      <c r="C28" s="35" t="s">
        <v>97</v>
      </c>
      <c r="D28" s="45">
        <f>+D119</f>
        <v>283610</v>
      </c>
      <c r="E28" s="59">
        <f t="shared" si="0"/>
        <v>937550</v>
      </c>
    </row>
    <row r="29" spans="1:5" x14ac:dyDescent="0.3">
      <c r="B29" s="2">
        <v>6</v>
      </c>
      <c r="C29" s="35" t="s">
        <v>98</v>
      </c>
      <c r="D29" s="45">
        <f>+D133</f>
        <v>88030</v>
      </c>
      <c r="E29" s="59">
        <f t="shared" si="0"/>
        <v>291000</v>
      </c>
    </row>
    <row r="30" spans="1:5" x14ac:dyDescent="0.3">
      <c r="B30" s="2">
        <v>7</v>
      </c>
      <c r="C30" s="35" t="s">
        <v>99</v>
      </c>
      <c r="D30" s="45">
        <f>+D146</f>
        <v>31570</v>
      </c>
      <c r="E30" s="59">
        <f t="shared" si="0"/>
        <v>104360</v>
      </c>
    </row>
    <row r="31" spans="1:5" x14ac:dyDescent="0.3">
      <c r="B31" s="2">
        <v>8</v>
      </c>
      <c r="C31" s="35" t="s">
        <v>100</v>
      </c>
      <c r="D31" s="45">
        <f>+D154</f>
        <v>101320</v>
      </c>
      <c r="E31" s="59">
        <f t="shared" si="0"/>
        <v>334940</v>
      </c>
    </row>
    <row r="32" spans="1:5" x14ac:dyDescent="0.3">
      <c r="B32" s="2">
        <v>9</v>
      </c>
      <c r="C32" s="35" t="s">
        <v>101</v>
      </c>
      <c r="D32" s="45">
        <f>+D161</f>
        <v>89000</v>
      </c>
      <c r="E32" s="59">
        <f t="shared" si="0"/>
        <v>294210</v>
      </c>
    </row>
    <row r="33" spans="1:7" x14ac:dyDescent="0.3">
      <c r="B33" s="2">
        <v>10</v>
      </c>
      <c r="C33" s="35" t="s">
        <v>155</v>
      </c>
      <c r="D33" s="53">
        <f>TRUNC(SUM(D24:D32)*0.275,-1)</f>
        <v>526740</v>
      </c>
      <c r="E33" s="60">
        <f t="shared" si="0"/>
        <v>1741290</v>
      </c>
    </row>
    <row r="34" spans="1:7" x14ac:dyDescent="0.3">
      <c r="C34" s="35" t="s">
        <v>112</v>
      </c>
      <c r="D34" s="44">
        <f>SUM(D24:D33)</f>
        <v>2442190</v>
      </c>
      <c r="E34" s="44">
        <f>SUM(E24:E33)</f>
        <v>8073340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77260</v>
      </c>
      <c r="E40" s="62">
        <f t="shared" ref="E40:E59" si="1">TRUNC(+D40*3.3058,-1)</f>
        <v>255400</v>
      </c>
    </row>
    <row r="41" spans="1:7" x14ac:dyDescent="0.3">
      <c r="A41" s="2">
        <v>2</v>
      </c>
      <c r="C41" s="38" t="s">
        <v>13</v>
      </c>
      <c r="D41" s="42">
        <f>TRUNC(149874,-1)</f>
        <v>149870</v>
      </c>
      <c r="E41" s="63">
        <f t="shared" si="1"/>
        <v>495440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TRUNC(18987,-1)</f>
        <v>18980</v>
      </c>
      <c r="E43" s="63">
        <f t="shared" si="1"/>
        <v>62740</v>
      </c>
    </row>
    <row r="44" spans="1:7" x14ac:dyDescent="0.3">
      <c r="A44" s="2">
        <v>5</v>
      </c>
      <c r="C44" s="38" t="s">
        <v>17</v>
      </c>
      <c r="D44" s="42">
        <f>TRUNC(33273,-1)</f>
        <v>33270</v>
      </c>
      <c r="E44" s="63">
        <f t="shared" si="1"/>
        <v>109980</v>
      </c>
    </row>
    <row r="45" spans="1:7" x14ac:dyDescent="0.3">
      <c r="A45" s="2">
        <v>6</v>
      </c>
      <c r="C45" s="38" t="s">
        <v>18</v>
      </c>
      <c r="D45" s="42">
        <f>TRUNC(4898,-1)</f>
        <v>4890</v>
      </c>
      <c r="E45" s="63">
        <f t="shared" si="1"/>
        <v>16160</v>
      </c>
    </row>
    <row r="46" spans="1:7" x14ac:dyDescent="0.3">
      <c r="A46" s="2">
        <v>7</v>
      </c>
      <c r="C46" s="38" t="s">
        <v>19</v>
      </c>
      <c r="D46" s="42">
        <f>TRUNC(30603,-1)</f>
        <v>30600</v>
      </c>
      <c r="E46" s="63">
        <f t="shared" si="1"/>
        <v>101150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TRUNC(26055,-1)</f>
        <v>26050</v>
      </c>
      <c r="E48" s="63">
        <f t="shared" si="1"/>
        <v>86110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TRUNC(34266,-1)</f>
        <v>34260</v>
      </c>
      <c r="E49" s="63">
        <f t="shared" si="1"/>
        <v>113250</v>
      </c>
    </row>
    <row r="50" spans="1:7" x14ac:dyDescent="0.3">
      <c r="A50" s="2">
        <v>11</v>
      </c>
      <c r="C50" s="38" t="s">
        <v>156</v>
      </c>
      <c r="D50" s="42">
        <v>50860</v>
      </c>
      <c r="E50" s="63">
        <f t="shared" si="1"/>
        <v>168130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TRUNC(9415,-1)</f>
        <v>9410</v>
      </c>
      <c r="E52" s="63">
        <f t="shared" si="1"/>
        <v>31100</v>
      </c>
    </row>
    <row r="53" spans="1:7" x14ac:dyDescent="0.3">
      <c r="A53" s="2">
        <v>14</v>
      </c>
      <c r="C53" s="38" t="s">
        <v>25</v>
      </c>
      <c r="D53" s="42">
        <f>TRUNC(132692,-1)</f>
        <v>132690</v>
      </c>
      <c r="E53" s="63">
        <f t="shared" si="1"/>
        <v>438640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TRUNC(48555+9313-293+2226+9555,-1)</f>
        <v>69350</v>
      </c>
      <c r="E58" s="63">
        <f t="shared" si="1"/>
        <v>229250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TRUNC(337696,-1)</f>
        <v>337690</v>
      </c>
      <c r="E59" s="64">
        <f t="shared" si="1"/>
        <v>1116330</v>
      </c>
    </row>
    <row r="60" spans="1:7" x14ac:dyDescent="0.3">
      <c r="A60" s="2">
        <v>21</v>
      </c>
      <c r="C60" s="27" t="s">
        <v>112</v>
      </c>
      <c r="D60" s="39">
        <f>SUM(D40:D59)</f>
        <v>975180</v>
      </c>
      <c r="E60" s="39">
        <f>SUM(E40:E59)</f>
        <v>3223680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TRUNC(5792,-1)</f>
        <v>5790</v>
      </c>
      <c r="E63" s="62">
        <f>TRUNC(+D63*3.3058,-1)</f>
        <v>19140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TRUNC(11656,-1)</f>
        <v>11650</v>
      </c>
      <c r="E65" s="64">
        <f>TRUNC(+D65*3.3058,-1)</f>
        <v>38510</v>
      </c>
    </row>
    <row r="66" spans="1:7" x14ac:dyDescent="0.3">
      <c r="A66" s="2">
        <v>4</v>
      </c>
      <c r="C66" s="27" t="s">
        <v>112</v>
      </c>
      <c r="D66" s="39">
        <f>SUM(D63:D65)</f>
        <v>17440</v>
      </c>
      <c r="E66" s="65">
        <f>SUM(E63:E65)</f>
        <v>57650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TRUNC(46703,-1)</f>
        <v>46700</v>
      </c>
      <c r="E69" s="62">
        <f t="shared" ref="E69:E94" si="2">TRUNC(+D69*3.3058,-1)</f>
        <v>154380</v>
      </c>
    </row>
    <row r="70" spans="1:7" ht="16.5" customHeight="1" x14ac:dyDescent="0.3">
      <c r="A70" s="2">
        <v>2</v>
      </c>
      <c r="C70" s="38" t="s">
        <v>31</v>
      </c>
      <c r="D70" s="42">
        <f>TRUNC(1795,-1)</f>
        <v>1790</v>
      </c>
      <c r="E70" s="63">
        <f t="shared" si="2"/>
        <v>5910</v>
      </c>
    </row>
    <row r="71" spans="1:7" x14ac:dyDescent="0.3">
      <c r="A71" s="2">
        <v>3</v>
      </c>
      <c r="C71" s="38" t="s">
        <v>32</v>
      </c>
      <c r="D71" s="42">
        <f>TRUNC(42963,-1)</f>
        <v>42960</v>
      </c>
      <c r="E71" s="63">
        <f t="shared" si="2"/>
        <v>142010</v>
      </c>
    </row>
    <row r="72" spans="1:7" x14ac:dyDescent="0.3">
      <c r="A72" s="2">
        <v>4</v>
      </c>
      <c r="C72" s="38" t="s">
        <v>33</v>
      </c>
      <c r="D72" s="42">
        <f>TRUNC(3216,-1)</f>
        <v>3210</v>
      </c>
      <c r="E72" s="63">
        <f t="shared" si="2"/>
        <v>10610</v>
      </c>
    </row>
    <row r="73" spans="1:7" x14ac:dyDescent="0.3">
      <c r="A73" s="2">
        <v>5</v>
      </c>
      <c r="C73" s="38" t="s">
        <v>34</v>
      </c>
      <c r="D73" s="42">
        <f>TRUNC(8146,-1)</f>
        <v>8140</v>
      </c>
      <c r="E73" s="63">
        <f t="shared" si="2"/>
        <v>26900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TRUNC(872,-1)</f>
        <v>870</v>
      </c>
      <c r="E75" s="63">
        <f t="shared" si="2"/>
        <v>2870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TRUNC(10252,-1)</f>
        <v>10250</v>
      </c>
      <c r="E89" s="63">
        <f t="shared" si="2"/>
        <v>33880</v>
      </c>
    </row>
    <row r="90" spans="1:7" x14ac:dyDescent="0.3">
      <c r="A90" s="2">
        <v>22</v>
      </c>
      <c r="C90" s="38" t="s">
        <v>36</v>
      </c>
      <c r="D90" s="42">
        <f>TRUNC(3428,-1)</f>
        <v>3420</v>
      </c>
      <c r="E90" s="63">
        <f t="shared" si="2"/>
        <v>11300</v>
      </c>
    </row>
    <row r="91" spans="1:7" x14ac:dyDescent="0.3">
      <c r="A91" s="2">
        <v>23</v>
      </c>
      <c r="C91" s="38" t="s">
        <v>37</v>
      </c>
      <c r="D91" s="42">
        <v>21890</v>
      </c>
      <c r="E91" s="63">
        <f t="shared" si="2"/>
        <v>72360</v>
      </c>
    </row>
    <row r="92" spans="1:7" x14ac:dyDescent="0.3">
      <c r="A92" s="2">
        <v>24</v>
      </c>
      <c r="C92" s="38" t="s">
        <v>38</v>
      </c>
      <c r="D92" s="42">
        <f>TRUNC(6823,-1)</f>
        <v>6820</v>
      </c>
      <c r="E92" s="63">
        <f t="shared" si="2"/>
        <v>22540</v>
      </c>
    </row>
    <row r="93" spans="1:7" x14ac:dyDescent="0.3">
      <c r="A93" s="2">
        <v>25</v>
      </c>
      <c r="C93" s="38" t="s">
        <v>149</v>
      </c>
      <c r="D93" s="42">
        <f>TRUNC(73966,-1)</f>
        <v>73960</v>
      </c>
      <c r="E93" s="63">
        <f t="shared" si="2"/>
        <v>244490</v>
      </c>
    </row>
    <row r="94" spans="1:7" ht="17.25" thickBot="1" x14ac:dyDescent="0.35">
      <c r="A94" s="2">
        <v>26</v>
      </c>
      <c r="C94" s="38" t="s">
        <v>47</v>
      </c>
      <c r="D94" s="43">
        <f>TRUNC(40726+5692+1885+60989,-1)</f>
        <v>109290</v>
      </c>
      <c r="E94" s="64">
        <f t="shared" si="2"/>
        <v>361290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329300</v>
      </c>
      <c r="E95" s="39">
        <f>SUM(E69:E94)</f>
        <v>1088540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TRUNC(20371,-1)</f>
        <v>20370</v>
      </c>
      <c r="E98" s="62">
        <f t="shared" ref="E98:E118" si="3">TRUNC(+D98*3.3058,-1)</f>
        <v>67330</v>
      </c>
    </row>
    <row r="99" spans="1:7" x14ac:dyDescent="0.3">
      <c r="A99" s="2">
        <v>2</v>
      </c>
      <c r="C99" s="38" t="s">
        <v>40</v>
      </c>
      <c r="D99" s="42">
        <f>TRUNC(15845,-1)</f>
        <v>15840</v>
      </c>
      <c r="E99" s="63">
        <f t="shared" si="3"/>
        <v>52360</v>
      </c>
    </row>
    <row r="100" spans="1:7" x14ac:dyDescent="0.3">
      <c r="A100" s="2">
        <v>3</v>
      </c>
      <c r="C100" s="38" t="s">
        <v>41</v>
      </c>
      <c r="D100" s="42">
        <f>TRUNC(34371,-1)</f>
        <v>34370</v>
      </c>
      <c r="E100" s="63">
        <f t="shared" si="3"/>
        <v>113620</v>
      </c>
    </row>
    <row r="101" spans="1:7" x14ac:dyDescent="0.3">
      <c r="A101" s="2">
        <v>4</v>
      </c>
      <c r="C101" s="38" t="s">
        <v>42</v>
      </c>
      <c r="D101" s="42">
        <v>2380</v>
      </c>
      <c r="E101" s="63">
        <f t="shared" si="3"/>
        <v>7860</v>
      </c>
    </row>
    <row r="102" spans="1:7" x14ac:dyDescent="0.3">
      <c r="A102" s="2">
        <v>5</v>
      </c>
      <c r="C102" s="38" t="s">
        <v>43</v>
      </c>
      <c r="D102" s="42">
        <f>TRUNC(16533,-1)</f>
        <v>16530</v>
      </c>
      <c r="E102" s="63">
        <f t="shared" si="3"/>
        <v>54640</v>
      </c>
    </row>
    <row r="103" spans="1:7" x14ac:dyDescent="0.3">
      <c r="A103" s="2">
        <v>6</v>
      </c>
      <c r="C103" s="38" t="s">
        <v>44</v>
      </c>
      <c r="D103" s="42">
        <f>TRUNC(6758,-1)</f>
        <v>6750</v>
      </c>
      <c r="E103" s="63">
        <f t="shared" si="3"/>
        <v>22310</v>
      </c>
    </row>
    <row r="104" spans="1:7" x14ac:dyDescent="0.3">
      <c r="A104" s="2">
        <v>7</v>
      </c>
      <c r="C104" s="38" t="s">
        <v>45</v>
      </c>
      <c r="D104" s="42">
        <f>TRUNC(8077,-1)</f>
        <v>8070</v>
      </c>
      <c r="E104" s="63">
        <f t="shared" si="3"/>
        <v>26670</v>
      </c>
    </row>
    <row r="105" spans="1:7" x14ac:dyDescent="0.3">
      <c r="A105" s="2">
        <v>8</v>
      </c>
      <c r="C105" s="38" t="s">
        <v>46</v>
      </c>
      <c r="D105" s="42">
        <f>TRUNC(6957,-1)</f>
        <v>6950</v>
      </c>
      <c r="E105" s="63">
        <f t="shared" si="3"/>
        <v>22970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TRUNC(7217,-1)</f>
        <v>7210</v>
      </c>
      <c r="E114" s="63">
        <f t="shared" si="3"/>
        <v>23830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TRUNC(4462,-1)</f>
        <v>4460</v>
      </c>
      <c r="E116" s="63">
        <f t="shared" si="3"/>
        <v>14740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TRUNC(157273,-1)</f>
        <v>157270</v>
      </c>
      <c r="E117" s="63">
        <f t="shared" si="3"/>
        <v>519900</v>
      </c>
    </row>
    <row r="118" spans="1:7" ht="17.25" thickBot="1" x14ac:dyDescent="0.35">
      <c r="A118" s="2">
        <v>21</v>
      </c>
      <c r="C118" s="38" t="s">
        <v>47</v>
      </c>
      <c r="D118" s="43">
        <f>TRUNC(3414,-1)</f>
        <v>3410</v>
      </c>
      <c r="E118" s="64">
        <f t="shared" si="3"/>
        <v>11270</v>
      </c>
    </row>
    <row r="119" spans="1:7" x14ac:dyDescent="0.3">
      <c r="A119" s="2">
        <v>22</v>
      </c>
      <c r="C119" s="27" t="s">
        <v>112</v>
      </c>
      <c r="D119" s="39">
        <f>SUM(D98:D118)</f>
        <v>283610</v>
      </c>
      <c r="E119" s="39">
        <f>SUM(E98:E118)</f>
        <v>937500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TRUNC(3695,-1)</f>
        <v>3690</v>
      </c>
      <c r="E122" s="62">
        <f t="shared" ref="E122:E132" si="4">TRUNC(+D122*3.3058,-1)</f>
        <v>12190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TRUNC(4882,-1)</f>
        <v>4880</v>
      </c>
      <c r="E124" s="63">
        <f t="shared" si="4"/>
        <v>16130</v>
      </c>
    </row>
    <row r="125" spans="1:7" x14ac:dyDescent="0.3">
      <c r="A125" s="2">
        <v>4</v>
      </c>
      <c r="C125" s="38" t="s">
        <v>138</v>
      </c>
      <c r="D125" s="42">
        <f>TRUNC(11314,-1)</f>
        <v>11310</v>
      </c>
      <c r="E125" s="63">
        <f t="shared" si="4"/>
        <v>37380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TRUNC(7091,-1)</f>
        <v>7090</v>
      </c>
      <c r="E128" s="63">
        <f t="shared" si="4"/>
        <v>23430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TRUNC(26914,-1)</f>
        <v>26910</v>
      </c>
      <c r="E130" s="63">
        <f t="shared" si="4"/>
        <v>88950</v>
      </c>
    </row>
    <row r="131" spans="1:7" x14ac:dyDescent="0.3">
      <c r="A131" s="2">
        <v>10</v>
      </c>
      <c r="C131" s="38" t="s">
        <v>149</v>
      </c>
      <c r="D131" s="42">
        <f>TRUNC(28324,-1)</f>
        <v>28320</v>
      </c>
      <c r="E131" s="63">
        <f t="shared" si="4"/>
        <v>93620</v>
      </c>
    </row>
    <row r="132" spans="1:7" ht="18" thickBot="1" x14ac:dyDescent="0.35">
      <c r="A132" s="2">
        <v>11</v>
      </c>
      <c r="C132" s="38" t="s">
        <v>47</v>
      </c>
      <c r="D132" s="43">
        <f>TRUNC(5666+169,-1)</f>
        <v>5830</v>
      </c>
      <c r="E132" s="64">
        <f t="shared" si="4"/>
        <v>19270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88030</v>
      </c>
      <c r="E133" s="39">
        <f>SUM(E122:E132)</f>
        <v>290970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TRUNC(341+4216+1156,-1)</f>
        <v>5710</v>
      </c>
      <c r="E137" s="63">
        <f t="shared" si="5"/>
        <v>18870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570</v>
      </c>
      <c r="E140" s="63">
        <f t="shared" si="5"/>
        <v>1880</v>
      </c>
    </row>
    <row r="141" spans="1:7" x14ac:dyDescent="0.3">
      <c r="A141" s="2">
        <v>6</v>
      </c>
      <c r="C141" s="38" t="s">
        <v>59</v>
      </c>
      <c r="D141" s="42">
        <f>TRUNC(19657,-1)</f>
        <v>19650</v>
      </c>
      <c r="E141" s="63">
        <f t="shared" si="5"/>
        <v>64950</v>
      </c>
    </row>
    <row r="142" spans="1:7" x14ac:dyDescent="0.3">
      <c r="A142" s="2">
        <v>7</v>
      </c>
      <c r="C142" s="38" t="s">
        <v>58</v>
      </c>
      <c r="D142" s="42">
        <f>TRUNC(5648,-1)</f>
        <v>5640</v>
      </c>
      <c r="E142" s="63">
        <f t="shared" si="5"/>
        <v>18640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31570</v>
      </c>
      <c r="E146" s="39">
        <f>SUM(E136:E145)</f>
        <v>104340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TRUNC(35008+6580,-1)</f>
        <v>41580</v>
      </c>
      <c r="E149" s="62">
        <f>TRUNC(+D149*3.3058,-1)</f>
        <v>137450</v>
      </c>
    </row>
    <row r="150" spans="1:7" x14ac:dyDescent="0.3">
      <c r="A150" s="2">
        <v>2</v>
      </c>
      <c r="C150" s="38" t="s">
        <v>49</v>
      </c>
      <c r="D150" s="42">
        <f>TRUNC(10402,-1)</f>
        <v>10400</v>
      </c>
      <c r="E150" s="63">
        <f>TRUNC(+D150*3.3058,-1)</f>
        <v>34380</v>
      </c>
    </row>
    <row r="151" spans="1:7" x14ac:dyDescent="0.3">
      <c r="A151" s="2">
        <v>3</v>
      </c>
      <c r="C151" s="38" t="s">
        <v>50</v>
      </c>
      <c r="D151" s="42">
        <v>3340</v>
      </c>
      <c r="E151" s="63">
        <f>TRUNC(+D151*3.3058,-1)</f>
        <v>11040</v>
      </c>
    </row>
    <row r="152" spans="1:7" x14ac:dyDescent="0.3">
      <c r="A152" s="2">
        <v>4</v>
      </c>
      <c r="C152" s="38" t="s">
        <v>47</v>
      </c>
      <c r="D152" s="42">
        <f>TRUNC(145+713,-1)</f>
        <v>850</v>
      </c>
      <c r="E152" s="63">
        <f>TRUNC(+D152*3.3058,-1)</f>
        <v>2800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TRUNC(45155,-1)</f>
        <v>45150</v>
      </c>
      <c r="E153" s="64">
        <f>TRUNC(+D153*3.3058,-1)</f>
        <v>149250</v>
      </c>
    </row>
    <row r="154" spans="1:7" x14ac:dyDescent="0.3">
      <c r="A154" s="2">
        <v>6</v>
      </c>
      <c r="C154" s="27" t="s">
        <v>112</v>
      </c>
      <c r="D154" s="39">
        <f>SUM(D149:D153)</f>
        <v>101320</v>
      </c>
      <c r="E154" s="39">
        <f>SUM(E149:E153)</f>
        <v>334920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TRUNC(46037,-1)</f>
        <v>46030</v>
      </c>
      <c r="E157" s="62">
        <f>TRUNC(+D157*3.3058,-1)</f>
        <v>152160</v>
      </c>
    </row>
    <row r="158" spans="1:7" x14ac:dyDescent="0.3">
      <c r="A158" s="2">
        <v>2</v>
      </c>
      <c r="C158" s="38" t="s">
        <v>52</v>
      </c>
      <c r="D158" s="42">
        <f>TRUNC(20553,-1)</f>
        <v>20550</v>
      </c>
      <c r="E158" s="63">
        <f>TRUNC(+D158*3.3058,-1)</f>
        <v>67930</v>
      </c>
    </row>
    <row r="159" spans="1:7" x14ac:dyDescent="0.3">
      <c r="A159" s="2">
        <v>3</v>
      </c>
      <c r="C159" s="38" t="s">
        <v>47</v>
      </c>
      <c r="D159" s="42">
        <f>TRUNC(22383+46,-1)</f>
        <v>22420</v>
      </c>
      <c r="E159" s="63">
        <f>TRUNC(+D159*3.3058,-1)</f>
        <v>74110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89000</v>
      </c>
      <c r="E161" s="39">
        <f>SUM(E157:E160)</f>
        <v>294200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2020-12-08T01:19:29Z</dcterms:modified>
</cp:coreProperties>
</file>