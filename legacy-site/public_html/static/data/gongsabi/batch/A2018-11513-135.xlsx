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2" i="4"/>
  <c r="D76" i="4"/>
  <c r="D84" i="4"/>
  <c r="D73" i="4"/>
  <c r="D72" i="4"/>
  <c r="D71" i="4"/>
  <c r="D70" i="4"/>
  <c r="D69" i="4"/>
  <c r="D118" i="4"/>
  <c r="D105" i="4"/>
  <c r="D104" i="4"/>
  <c r="D103" i="4"/>
  <c r="D102" i="4"/>
  <c r="D101" i="4"/>
  <c r="D100" i="4"/>
  <c r="D99" i="4"/>
  <c r="D98" i="4"/>
  <c r="D132" i="4"/>
  <c r="D128" i="4"/>
  <c r="D127" i="4"/>
  <c r="D125" i="4"/>
  <c r="D122" i="4"/>
  <c r="D130" i="4"/>
  <c r="D126" i="4"/>
  <c r="D65" i="4"/>
  <c r="D63" i="4"/>
  <c r="D142" i="4"/>
  <c r="D140" i="4"/>
  <c r="D152" i="4"/>
  <c r="D151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0" i="4"/>
  <c r="E95" i="4"/>
  <c r="E119" i="4"/>
  <c r="E133" i="4"/>
  <c r="E66" i="4"/>
  <c r="E14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<sst xmlns="http://schemas.openxmlformats.org/spreadsheetml/2006/main" count="393" uniqueCount="268">
  <si>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</si>
  <si>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</si>
  <si>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</si>
  <si>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</si>
  <si>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</si>
  <si>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</si>
  <si>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</si>
  <si>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</si>
  <si>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</si>
  <si>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</si>
  <si>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</si>
  <si>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</si>
  <si>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</si>
  <si>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</si>
  <si>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</si>
  <si>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</si>
  <si>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</si>
  <si>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</si>
  <si>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</si>
  <si>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</si>
  <si>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</si>
  <si>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</si>
  <si>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</si>
  <si>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</si>
  <si>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</si>
  <si>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</si>
  <si>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</si>
  <si>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</si>
  <si>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</si>
  <si>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</si>
  <si>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</si>
  <si>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</si>
  <si>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</si>
  <si>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</si>
  <si>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</si>
  <si>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</si>
  <si>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</si>
  <si>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</si>
  <si>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</si>
  <si>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</si>
  <si>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</si>
  <si>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</si>
  <si>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</si>
  <si>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</si>
  <si>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</si>
  <si>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</si>
  <si>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</si>
  <si>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</si>
  <si>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</si>
  <si>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</si>
  <si>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</si>
  <si>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</si>
  <si>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</si>
  <si>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</si>
  <si>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</si>
  <si>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</si>
  <si>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</si>
  <si>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</si>
  <si>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</si>
  <si>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</si>
  <si>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</si>
  <si>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</si>
  <si>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</si>
  <si>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</si>
  <si>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</si>
  <si>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</si>
  <si>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</si>
  <si>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</si>
  <si>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</si>
  <si>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</si>
  <si>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</si>
  <si>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</si>
  <si>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</si>
  <si>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</si>
  <si>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</si>
  <si>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</si>
  <si>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</si>
  <si>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</si>
  <si>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</si>
  <si>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</si>
  <si>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</si>
  <si>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</si>
  <si>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</si>
  <si>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</si>
  <si>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</si>
  <si>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</si>
  <si>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</si>
  <si>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</si>
  <si>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</si>
  <si>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</si>
  <si>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</si>
  <si>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</si>
  <si>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</si>
  <si>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</si>
  <si>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</si>
  <si>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</si>
  <si>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</si>
  <si>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</si>
  <si>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</si>
  <si>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</si>
  <si>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</si>
  <si>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</si>
  <si>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</si>
  <si>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</si>
  <si>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</si>
  <si>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</si>
  <si>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</si>
  <si>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</si>
  <si>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</si>
  <si>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</si>
  <si>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</si>
  <si>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</si>
  <si>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</si>
  <si>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</si>
  <si>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</si>
  <si>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</si>
  <si>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</si>
  <si>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</si>
  <si>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</si>
  <si>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</si>
  <si>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</si>
  <si>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</si>
  <si>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</si>
  <si>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</si>
  <si>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</si>
  <si>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</si>
  <si>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</si>
  <si>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</si>
  <si>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</si>
  <si>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</si>
  <si>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</si>
  <si>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</si>
  <si>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</si>
  <si>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</si>
  <si>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</si>
  <si>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</si>
  <si>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</si>
  <si>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</si>
  <si>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</si>
  <si>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</si>
  <si>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</si>
  <si>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</si>
  <si>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</si>
  <si>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</si>
  <si>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</si>
  <si>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</si>
  <si>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</si>
  <si>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</si>
  <si>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</si>
  <si>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</si>
  <si>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</si>
  <si>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</si>
  <si>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</si>
  <si>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</si>
  <si>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</si>
  <si>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</si>
  <si>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</si>
  <si>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</si>
  <si>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</si>
  <si>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</si>
  <si>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</si>
  <si>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</si>
  <si>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</si>
  <si>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</si>
  <si>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</si>
  <si>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</si>
  <si>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</si>
  <si>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</si>
  <si>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</si>
  <si>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</si>
  <si>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</si>
  <si>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</si>
  <si>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</si>
  <si>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</si>
  <si>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</si>
  <si>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</si>
  <si>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</si>
  <si>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</si>
  <si>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</si>
  <si>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</si>
  <si>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</si>
  <si>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</si>
  <si>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</si>
  <si>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</si>
  <si>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</si>
  <si>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</si>
  <si>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</si>
  <si>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</si>
  <si>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</si>
  <si>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</si>
  <si>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</si>
  <si>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</si>
  <si>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</si>
  <si>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</si>
  <si>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</si>
  <si>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</si>
  <si>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</si>
  <si>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</si>
  <si>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</si>
  <si>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</si>
  <si>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</si>
  <si>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</si>
  <si>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</si>
  <si>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</si>
  <si>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</si>
  <si>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</si>
  <si>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</si>
  <si>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</si>
  <si>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</si>
  <si>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</si>
  <si>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</si>
  <si>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</si>
  <si>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</si>
  <si>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</si>
  <si>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</si>
  <si>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</si>
  <si>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</si>
  <si>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</si>
  <si>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</si>
  <si>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</si>
  <si>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</si>
  <si>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</si>
  <si>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</si>
  <si>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</si>
  <si>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</si>
  <si>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</si>
  <si>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</si>
  <si>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</si>
  <si>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</si>
  <si>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</si>
  <si>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</si>
  <si>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</si>
  <si>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</si>
  <si>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</si>
  <si>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</si>
  <si>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</si>
  <si>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</si>
  <si>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</si>
  <si>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</si>
  <si>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</si>
  <si>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</si>
  <si>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</si>
  <si>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</si>
  <si>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</si>
  <si>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</si>
  <si>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</si>
  <si>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</si>
  <si>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</si>
  <si>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 매성중,고 신축공사</t>
    <phoneticPr fontId="2" type="noConversion"/>
  </si>
  <si>
    <t>교육연구</t>
  </si>
  <si>
    <t>전라도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</si>
  <si>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</si>
  <si>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</si>
  <si>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</si>
  <si>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</si>
  <si>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</si>
  <si>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</si>
  <si>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</si>
  <si>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</si>
  <si>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</si>
  <si>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포장공사</t>
    <phoneticPr fontId="2" type="noConversion"/>
  </si>
  <si>
    <t>조경시설물</t>
    <phoneticPr fontId="2" type="noConversion"/>
  </si>
  <si>
    <t>공조배관공사,우수처리시설공사,기타공사,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</si>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</sst>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22575.91</v>
      </c>
      <c r="D7" s="36">
        <f>+C7/3.3058</f>
        <v>6829.182043680803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941250</v>
      </c>
      <c r="E25" s="59">
        <f t="shared" si="0"/>
        <v>3111580</v>
      </c>
    </row>
    <row r="26" spans="1:5" x14ac:dyDescent="0.3">
      <c r="B26" s="2">
        <v>3</v>
      </c>
      <c r="C26" s="35" t="s">
        <v>95</v>
      </c>
      <c r="D26" s="45">
        <f>+D66</f>
        <v>26150</v>
      </c>
      <c r="E26" s="59">
        <f t="shared" si="0"/>
        <v>86440</v>
      </c>
    </row>
    <row r="27" spans="1:5" x14ac:dyDescent="0.3">
      <c r="B27" s="2">
        <v>4</v>
      </c>
      <c r="C27" s="35" t="s">
        <v>96</v>
      </c>
      <c r="D27" s="45">
        <f>+D95</f>
        <v>140930</v>
      </c>
      <c r="E27" s="59">
        <f t="shared" si="0"/>
        <v>465880</v>
      </c>
    </row>
    <row r="28" spans="1:5" x14ac:dyDescent="0.3">
      <c r="B28" s="2">
        <v>5</v>
      </c>
      <c r="C28" s="35" t="s">
        <v>97</v>
      </c>
      <c r="D28" s="45">
        <f>+D119</f>
        <v>184390</v>
      </c>
      <c r="E28" s="59">
        <f t="shared" si="0"/>
        <v>609550</v>
      </c>
    </row>
    <row r="29" spans="1:5" x14ac:dyDescent="0.3">
      <c r="B29" s="2">
        <v>6</v>
      </c>
      <c r="C29" s="35" t="s">
        <v>98</v>
      </c>
      <c r="D29" s="45">
        <f>+D133</f>
        <v>77740</v>
      </c>
      <c r="E29" s="59">
        <f t="shared" si="0"/>
        <v>256990</v>
      </c>
    </row>
    <row r="30" spans="1:5" x14ac:dyDescent="0.3">
      <c r="B30" s="2">
        <v>7</v>
      </c>
      <c r="C30" s="35" t="s">
        <v>99</v>
      </c>
      <c r="D30" s="45">
        <f>+D146</f>
        <v>17070</v>
      </c>
      <c r="E30" s="59">
        <f t="shared" si="0"/>
        <v>56430</v>
      </c>
    </row>
    <row r="31" spans="1:5" x14ac:dyDescent="0.3">
      <c r="B31" s="2">
        <v>8</v>
      </c>
      <c r="C31" s="35" t="s">
        <v>100</v>
      </c>
      <c r="D31" s="45">
        <f>+D154</f>
        <v>80860</v>
      </c>
      <c r="E31" s="59">
        <f t="shared" si="0"/>
        <v>267300</v>
      </c>
    </row>
    <row r="32" spans="1:5" x14ac:dyDescent="0.3">
      <c r="B32" s="2">
        <v>9</v>
      </c>
      <c r="C32" s="35" t="s">
        <v>101</v>
      </c>
      <c r="D32" s="45">
        <f>+D161</f>
        <v>26570</v>
      </c>
      <c r="E32" s="59">
        <f t="shared" si="0"/>
        <v>87830</v>
      </c>
    </row>
    <row r="33" spans="1:7" x14ac:dyDescent="0.3">
      <c r="B33" s="2">
        <v>10</v>
      </c>
      <c r="C33" s="35" t="s">
        <v>154</v>
      </c>
      <c r="D33" s="53">
        <f>TRUNC(SUM(D24:D32)*0.275,-1)</f>
        <v>411110</v>
      </c>
      <c r="E33" s="60">
        <f t="shared" si="0"/>
        <v>1359040</v>
      </c>
    </row>
    <row r="34" spans="1:7" x14ac:dyDescent="0.3">
      <c r="C34" s="35" t="s">
        <v>112</v>
      </c>
      <c r="D34" s="44">
        <f>SUM(D24:D33)</f>
        <v>1906070</v>
      </c>
      <c r="E34" s="44">
        <f>SUM(E24:E33)</f>
        <v>6301040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TRUNC(44371,-1)</f>
        <v>44370</v>
      </c>
      <c r="E40" s="62">
        <f t="shared" ref="E40:E59" si="1">TRUNC(+D40*3.3058,-1)</f>
        <v>146670</v>
      </c>
    </row>
    <row r="41" spans="1:7" x14ac:dyDescent="0.3">
      <c r="A41" s="2">
        <v>2</v>
      </c>
      <c r="C41" s="38" t="s">
        <v>13</v>
      </c>
      <c r="D41" s="42">
        <f>TRUNC(171773,-1)</f>
        <v>171770</v>
      </c>
      <c r="E41" s="63">
        <f t="shared" si="1"/>
        <v>567830</v>
      </c>
    </row>
    <row r="42" spans="1:7" x14ac:dyDescent="0.3">
      <c r="A42" s="2">
        <v>3</v>
      </c>
      <c r="C42" s="38" t="s">
        <v>14</v>
      </c>
      <c r="D42" s="42">
        <f>TRUNC(11345,-1)</f>
        <v>11340</v>
      </c>
      <c r="E42" s="63">
        <f t="shared" si="1"/>
        <v>37480</v>
      </c>
    </row>
    <row r="43" spans="1:7" x14ac:dyDescent="0.3">
      <c r="A43" s="2">
        <v>4</v>
      </c>
      <c r="C43" s="38" t="s">
        <v>16</v>
      </c>
      <c r="D43" s="42">
        <f>TRUNC(24947,-1)</f>
        <v>24940</v>
      </c>
      <c r="E43" s="63">
        <f t="shared" si="1"/>
        <v>82440</v>
      </c>
    </row>
    <row r="44" spans="1:7" x14ac:dyDescent="0.3">
      <c r="A44" s="2">
        <v>5</v>
      </c>
      <c r="C44" s="38" t="s">
        <v>17</v>
      </c>
      <c r="D44" s="42">
        <f>TRUNC(12009,-1)</f>
        <v>12000</v>
      </c>
      <c r="E44" s="63">
        <f t="shared" si="1"/>
        <v>39660</v>
      </c>
    </row>
    <row r="45" spans="1:7" x14ac:dyDescent="0.3">
      <c r="A45" s="2">
        <v>6</v>
      </c>
      <c r="C45" s="38" t="s">
        <v>18</v>
      </c>
      <c r="D45" s="42">
        <f>TRUNC(3367,-1)</f>
        <v>3360</v>
      </c>
      <c r="E45" s="63">
        <f t="shared" si="1"/>
        <v>11100</v>
      </c>
    </row>
    <row r="46" spans="1:7" x14ac:dyDescent="0.3">
      <c r="A46" s="2">
        <v>7</v>
      </c>
      <c r="C46" s="38" t="s">
        <v>19</v>
      </c>
      <c r="D46" s="42">
        <f>TRUNC(19559,-1)</f>
        <v>19550</v>
      </c>
      <c r="E46" s="63">
        <f t="shared" si="1"/>
        <v>64620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TRUNC(26777,-1)</f>
        <v>26770</v>
      </c>
      <c r="E48" s="63">
        <f t="shared" si="1"/>
        <v>88490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TRUNC(16728,-1)</f>
        <v>16720</v>
      </c>
      <c r="E49" s="63">
        <f t="shared" si="1"/>
        <v>55270</v>
      </c>
    </row>
    <row r="50" spans="1:7" x14ac:dyDescent="0.3">
      <c r="A50" s="2">
        <v>11</v>
      </c>
      <c r="C50" s="38" t="s">
        <v>155</v>
      </c>
      <c r="D50" s="42">
        <f>TRUNC(48231,-1)</f>
        <v>48230</v>
      </c>
      <c r="E50" s="63">
        <f t="shared" si="1"/>
        <v>159430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TRUNC(15497,-1)</f>
        <v>15490</v>
      </c>
      <c r="E52" s="63">
        <f t="shared" si="1"/>
        <v>51200</v>
      </c>
    </row>
    <row r="53" spans="1:7" x14ac:dyDescent="0.3">
      <c r="A53" s="2">
        <v>14</v>
      </c>
      <c r="C53" s="38" t="s">
        <v>25</v>
      </c>
      <c r="D53" s="42">
        <f>TRUNC(48352,-1)</f>
        <v>48350</v>
      </c>
      <c r="E53" s="63">
        <f t="shared" si="1"/>
        <v>159830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TRUNC(53173+4865+3182,-1)</f>
        <v>61220</v>
      </c>
      <c r="E58" s="63">
        <f t="shared" si="1"/>
        <v>202380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TRUNC(437149,-1)</f>
        <v>437140</v>
      </c>
      <c r="E59" s="64">
        <f t="shared" si="1"/>
        <v>1445090</v>
      </c>
    </row>
    <row r="60" spans="1:7" x14ac:dyDescent="0.3">
      <c r="A60" s="2">
        <v>21</v>
      </c>
      <c r="C60" s="27" t="s">
        <v>112</v>
      </c>
      <c r="D60" s="39">
        <f>SUM(D40:D59)</f>
        <v>941250</v>
      </c>
      <c r="E60" s="39">
        <f>SUM(E40:E59)</f>
        <v>3111490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TRUNC(2598,-1)</f>
        <v>2590</v>
      </c>
      <c r="E63" s="62">
        <f>TRUNC(+D63*3.3058,-1)</f>
        <v>8560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TRUNC(23562,-1)</f>
        <v>23560</v>
      </c>
      <c r="E65" s="64">
        <f>TRUNC(+D65*3.3058,-1)</f>
        <v>77880</v>
      </c>
    </row>
    <row r="66" spans="1:7" x14ac:dyDescent="0.3">
      <c r="A66" s="2">
        <v>4</v>
      </c>
      <c r="C66" s="27" t="s">
        <v>112</v>
      </c>
      <c r="D66" s="39">
        <f>SUM(D63:D65)</f>
        <v>26150</v>
      </c>
      <c r="E66" s="65">
        <f>SUM(E63:E65)</f>
        <v>86440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TRUNC(5791,-1)</f>
        <v>5790</v>
      </c>
      <c r="E69" s="62">
        <f t="shared" ref="E69:E94" si="2">TRUNC(+D69*3.3058,-1)</f>
        <v>19140</v>
      </c>
    </row>
    <row r="70" spans="1:7" ht="16.5" customHeight="1" x14ac:dyDescent="0.3">
      <c r="A70" s="2">
        <v>2</v>
      </c>
      <c r="C70" s="38" t="s">
        <v>31</v>
      </c>
      <c r="D70" s="42">
        <f>TRUNC(1136,-1)</f>
        <v>1130</v>
      </c>
      <c r="E70" s="63">
        <f t="shared" si="2"/>
        <v>3730</v>
      </c>
    </row>
    <row r="71" spans="1:7" x14ac:dyDescent="0.3">
      <c r="A71" s="2">
        <v>3</v>
      </c>
      <c r="C71" s="38" t="s">
        <v>32</v>
      </c>
      <c r="D71" s="42">
        <f>TRUNC(6706,-1)</f>
        <v>6700</v>
      </c>
      <c r="E71" s="63">
        <f t="shared" si="2"/>
        <v>22140</v>
      </c>
    </row>
    <row r="72" spans="1:7" x14ac:dyDescent="0.3">
      <c r="A72" s="2">
        <v>4</v>
      </c>
      <c r="C72" s="38" t="s">
        <v>33</v>
      </c>
      <c r="D72" s="42">
        <f>TRUNC(3155,-1)</f>
        <v>3150</v>
      </c>
      <c r="E72" s="63">
        <f t="shared" si="2"/>
        <v>10410</v>
      </c>
    </row>
    <row r="73" spans="1:7" x14ac:dyDescent="0.3">
      <c r="A73" s="2">
        <v>5</v>
      </c>
      <c r="C73" s="38" t="s">
        <v>34</v>
      </c>
      <c r="D73" s="42">
        <f>TRUNC(13687,-1)</f>
        <v>13680</v>
      </c>
      <c r="E73" s="63">
        <f t="shared" si="2"/>
        <v>45220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TRUNC(20034,-1)</f>
        <v>20030</v>
      </c>
      <c r="E76" s="63">
        <f t="shared" si="2"/>
        <v>66210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TRUNC(226,-1)</f>
        <v>220</v>
      </c>
      <c r="E84" s="63">
        <f t="shared" si="2"/>
        <v>720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TRUNC(8176,-1)</f>
        <v>8170</v>
      </c>
      <c r="E92" s="63">
        <f t="shared" si="2"/>
        <v>27000</v>
      </c>
    </row>
    <row r="93" spans="1:7" x14ac:dyDescent="0.3">
      <c r="A93" s="2">
        <v>25</v>
      </c>
      <c r="C93" s="38" t="s">
        <v>148</v>
      </c>
      <c r="D93" s="42">
        <f>TRUNC(74027,-1)</f>
        <v>74020</v>
      </c>
      <c r="E93" s="63">
        <f t="shared" si="2"/>
        <v>244690</v>
      </c>
    </row>
    <row r="94" spans="1:7" ht="17.25" thickBot="1" x14ac:dyDescent="0.35">
      <c r="A94" s="2">
        <v>26</v>
      </c>
      <c r="C94" s="38" t="s">
        <v>47</v>
      </c>
      <c r="D94" s="43">
        <f>TRUNC(7307+110+402+226,-1)</f>
        <v>8040</v>
      </c>
      <c r="E94" s="64">
        <f t="shared" si="2"/>
        <v>26570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140930</v>
      </c>
      <c r="E95" s="39">
        <f>SUM(E69:E94)</f>
        <v>465830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TRUNC(18825,-1)</f>
        <v>18820</v>
      </c>
      <c r="E98" s="62">
        <f t="shared" ref="E98:E118" si="3">TRUNC(+D98*3.3058,-1)</f>
        <v>62210</v>
      </c>
    </row>
    <row r="99" spans="1:7" x14ac:dyDescent="0.3">
      <c r="A99" s="2">
        <v>2</v>
      </c>
      <c r="C99" s="38" t="s">
        <v>40</v>
      </c>
      <c r="D99" s="42">
        <f>TRUNC(1512,-1)</f>
        <v>1510</v>
      </c>
      <c r="E99" s="63">
        <f t="shared" si="3"/>
        <v>4990</v>
      </c>
    </row>
    <row r="100" spans="1:7" x14ac:dyDescent="0.3">
      <c r="A100" s="2">
        <v>3</v>
      </c>
      <c r="C100" s="38" t="s">
        <v>41</v>
      </c>
      <c r="D100" s="42">
        <f>TRUNC(23436,-1)</f>
        <v>23430</v>
      </c>
      <c r="E100" s="63">
        <f t="shared" si="3"/>
        <v>77450</v>
      </c>
    </row>
    <row r="101" spans="1:7" x14ac:dyDescent="0.3">
      <c r="A101" s="2">
        <v>4</v>
      </c>
      <c r="C101" s="38" t="s">
        <v>42</v>
      </c>
      <c r="D101" s="42">
        <f>TRUNC(1284,-1)</f>
        <v>1280</v>
      </c>
      <c r="E101" s="63">
        <f t="shared" si="3"/>
        <v>4230</v>
      </c>
    </row>
    <row r="102" spans="1:7" x14ac:dyDescent="0.3">
      <c r="A102" s="2">
        <v>5</v>
      </c>
      <c r="C102" s="38" t="s">
        <v>43</v>
      </c>
      <c r="D102" s="42">
        <f>TRUNC(16435,-1)</f>
        <v>16430</v>
      </c>
      <c r="E102" s="63">
        <f t="shared" si="3"/>
        <v>54310</v>
      </c>
    </row>
    <row r="103" spans="1:7" x14ac:dyDescent="0.3">
      <c r="A103" s="2">
        <v>6</v>
      </c>
      <c r="C103" s="38" t="s">
        <v>44</v>
      </c>
      <c r="D103" s="42">
        <f>TRUNC(8021,-1)</f>
        <v>8020</v>
      </c>
      <c r="E103" s="63">
        <f t="shared" si="3"/>
        <v>26510</v>
      </c>
    </row>
    <row r="104" spans="1:7" x14ac:dyDescent="0.3">
      <c r="A104" s="2">
        <v>7</v>
      </c>
      <c r="C104" s="38" t="s">
        <v>45</v>
      </c>
      <c r="D104" s="42">
        <f>TRUNC(1089,-1)</f>
        <v>1080</v>
      </c>
      <c r="E104" s="63">
        <f t="shared" si="3"/>
        <v>3570</v>
      </c>
    </row>
    <row r="105" spans="1:7" x14ac:dyDescent="0.3">
      <c r="A105" s="2">
        <v>8</v>
      </c>
      <c r="C105" s="38" t="s">
        <v>46</v>
      </c>
      <c r="D105" s="42">
        <f>TRUNC(2099,-1)</f>
        <v>2090</v>
      </c>
      <c r="E105" s="63">
        <f t="shared" si="3"/>
        <v>6900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TRUNC(95188,-1)</f>
        <v>95180</v>
      </c>
      <c r="E117" s="63">
        <f t="shared" si="3"/>
        <v>314640</v>
      </c>
    </row>
    <row r="118" spans="1:7" ht="17.25" thickBot="1" x14ac:dyDescent="0.35">
      <c r="A118" s="2">
        <v>21</v>
      </c>
      <c r="C118" s="38" t="s">
        <v>47</v>
      </c>
      <c r="D118" s="43">
        <f>TRUNC(16558,-1)</f>
        <v>16550</v>
      </c>
      <c r="E118" s="64">
        <f t="shared" si="3"/>
        <v>54710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184390</v>
      </c>
      <c r="E119" s="39">
        <f>SUM(E98:E118)</f>
        <v>609520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TRUNC(1246,-1)</f>
        <v>1240</v>
      </c>
      <c r="E122" s="62">
        <f t="shared" ref="E122:E132" si="4">TRUNC(+D122*3.3058,-1)</f>
        <v>4090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TRUNC(7170,-1)</f>
        <v>7170</v>
      </c>
      <c r="E125" s="63">
        <f t="shared" si="4"/>
        <v>23700</v>
      </c>
    </row>
    <row r="126" spans="1:7" x14ac:dyDescent="0.3">
      <c r="A126" s="2">
        <v>5</v>
      </c>
      <c r="C126" s="38" t="s">
        <v>53</v>
      </c>
      <c r="D126" s="42">
        <f>TRUNC(1291,-1)</f>
        <v>1290</v>
      </c>
      <c r="E126" s="63">
        <f t="shared" si="4"/>
        <v>4260</v>
      </c>
    </row>
    <row r="127" spans="1:7" x14ac:dyDescent="0.3">
      <c r="A127" s="2">
        <v>6</v>
      </c>
      <c r="C127" s="38" t="s">
        <v>56</v>
      </c>
      <c r="D127" s="42">
        <f>TRUNC(395,-1)</f>
        <v>390</v>
      </c>
      <c r="E127" s="63">
        <f t="shared" si="4"/>
        <v>1280</v>
      </c>
    </row>
    <row r="128" spans="1:7" x14ac:dyDescent="0.3">
      <c r="A128" s="2">
        <v>7</v>
      </c>
      <c r="C128" s="38" t="s">
        <v>46</v>
      </c>
      <c r="D128" s="42">
        <f>TRUNC(3376,-1)</f>
        <v>3370</v>
      </c>
      <c r="E128" s="63">
        <f t="shared" si="4"/>
        <v>11140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TRUNC(15038,-1)</f>
        <v>15030</v>
      </c>
      <c r="E130" s="63">
        <f t="shared" si="4"/>
        <v>49680</v>
      </c>
    </row>
    <row r="131" spans="1:7" x14ac:dyDescent="0.3">
      <c r="A131" s="2">
        <v>10</v>
      </c>
      <c r="C131" s="38" t="s">
        <v>148</v>
      </c>
      <c r="D131" s="42">
        <f>TRUNC(48672,-1)</f>
        <v>48670</v>
      </c>
      <c r="E131" s="63">
        <f t="shared" si="4"/>
        <v>160890</v>
      </c>
    </row>
    <row r="132" spans="1:7" ht="18" thickBot="1" x14ac:dyDescent="0.35">
      <c r="A132" s="2">
        <v>11</v>
      </c>
      <c r="C132" s="38" t="s">
        <v>47</v>
      </c>
      <c r="D132" s="43">
        <f>TRUNC(587,-1)</f>
        <v>580</v>
      </c>
      <c r="E132" s="64">
        <f t="shared" si="4"/>
        <v>1910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77740</v>
      </c>
      <c r="E133" s="39">
        <f>SUM(E122:E132)</f>
        <v>256950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TRUNC(1631,-1)</f>
        <v>1630</v>
      </c>
      <c r="E140" s="63">
        <f t="shared" si="5"/>
        <v>5380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TRUNC(15442,-1)</f>
        <v>15440</v>
      </c>
      <c r="E142" s="63">
        <f t="shared" si="5"/>
        <v>51040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17070</v>
      </c>
      <c r="E146" s="39">
        <f>SUM(E136:E145)</f>
        <v>56420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TRUNC(23562,-1)</f>
        <v>23560</v>
      </c>
      <c r="E149" s="62">
        <f>TRUNC(+D149*3.3058,-1)</f>
        <v>77880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TRUNC(12097,-1)</f>
        <v>12090</v>
      </c>
      <c r="E150" s="63">
        <f>TRUNC(+D150*3.3058,-1)</f>
        <v>39960</v>
      </c>
    </row>
    <row r="151" spans="1:7" x14ac:dyDescent="0.3">
      <c r="A151" s="2">
        <v>3</v>
      </c>
      <c r="C151" s="38" t="s">
        <v>50</v>
      </c>
      <c r="D151" s="42">
        <f>TRUNC(4126,-1)</f>
        <v>4120</v>
      </c>
      <c r="E151" s="63">
        <f>TRUNC(+D151*3.3058,-1)</f>
        <v>13610</v>
      </c>
    </row>
    <row r="152" spans="1:7" x14ac:dyDescent="0.3">
      <c r="A152" s="2">
        <v>4</v>
      </c>
      <c r="C152" s="38" t="s">
        <v>47</v>
      </c>
      <c r="D152" s="42">
        <f>TRUNC(188+2466,-1)</f>
        <v>2650</v>
      </c>
      <c r="E152" s="63">
        <f>TRUNC(+D152*3.3058,-1)</f>
        <v>8760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TRUNC(38447,-1)</f>
        <v>38440</v>
      </c>
      <c r="E153" s="64">
        <f>TRUNC(+D153*3.3058,-1)</f>
        <v>127070</v>
      </c>
    </row>
    <row r="154" spans="1:7" x14ac:dyDescent="0.3">
      <c r="A154" s="2">
        <v>6</v>
      </c>
      <c r="C154" s="27" t="s">
        <v>112</v>
      </c>
      <c r="D154" s="39">
        <f>SUM(D149:D153)</f>
        <v>80860</v>
      </c>
      <c r="E154" s="39">
        <f>SUM(E149:E153)</f>
        <v>267280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TRUNC(20979,-1)</f>
        <v>20970</v>
      </c>
      <c r="E157" s="62">
        <f>TRUNC(+D157*3.3058,-1)</f>
        <v>69320</v>
      </c>
    </row>
    <row r="158" spans="1:7" x14ac:dyDescent="0.3">
      <c r="A158" s="2">
        <v>2</v>
      </c>
      <c r="C158" s="38" t="s">
        <v>52</v>
      </c>
      <c r="D158" s="42">
        <f>TRUNC(1787,-1)</f>
        <v>1780</v>
      </c>
      <c r="E158" s="63">
        <f>TRUNC(+D158*3.3058,-1)</f>
        <v>5880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TRUNC(3005,-1)</f>
        <v>3000</v>
      </c>
      <c r="E159" s="63">
        <f>TRUNC(+D159*3.3058,-1)</f>
        <v>9910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TRUNC(822,-1)</f>
        <v>820</v>
      </c>
      <c r="E160" s="64">
        <f>TRUNC(+D160*3.3058,-1)</f>
        <v>2710</v>
      </c>
    </row>
    <row r="161" spans="1:5" x14ac:dyDescent="0.3">
      <c r="A161" s="2">
        <v>5</v>
      </c>
      <c r="C161" s="27" t="s">
        <v>112</v>
      </c>
      <c r="D161" s="39">
        <f>SUM(D157:D160)</f>
        <v>26570</v>
      </c>
      <c r="E161" s="39">
        <f>SUM(E157:E160)</f>
        <v>87820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2020-12-08T04:03:19Z</dcterms:modified>
</cp:coreProperties>
</file>