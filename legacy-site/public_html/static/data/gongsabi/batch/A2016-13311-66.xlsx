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3" i="4"/>
  <c r="D152" i="4"/>
  <c r="D150" i="4"/>
  <c r="D144" i="4"/>
  <c r="D143" i="4"/>
  <c r="D142" i="4"/>
  <c r="D141" i="4"/>
  <c r="D140" i="4"/>
  <c r="D137" i="4"/>
  <c r="D132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1" i="4"/>
  <c r="D90" i="4"/>
  <c r="D89" i="4"/>
  <c r="D73" i="4"/>
  <c r="D72" i="4"/>
  <c r="D70" i="4"/>
  <c r="D69" i="4"/>
  <c r="D65" i="4"/>
  <c r="D63" i="4"/>
  <c r="D59" i="4"/>
  <c r="D58" i="4"/>
  <c r="D53" i="4"/>
  <c r="D50" i="4"/>
  <c r="D49" i="4"/>
  <c r="D48" i="4"/>
  <c r="D45" i="4"/>
  <c r="D44" i="4"/>
  <c r="D43" i="4"/>
  <c r="D42" i="4"/>
  <c r="D41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<sst xmlns="http://schemas.openxmlformats.org/spreadsheetml/2006/main" count="394" uniqueCount="268">
  <si>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</si>
  <si>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</si>
  <si>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</si>
  <si>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</si>
  <si>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</si>
  <si>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</si>
  <si>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</si>
  <si>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</si>
  <si>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</si>
  <si>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</si>
  <si>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</si>
  <si>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</si>
  <si>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</si>
  <si>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</si>
  <si>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</si>
  <si>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</si>
  <si>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</si>
  <si>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</si>
  <si>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</si>
  <si>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</si>
  <si>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</si>
  <si>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</si>
  <si>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</si>
  <si>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</si>
  <si>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</si>
  <si>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</si>
  <si>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</si>
  <si>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</si>
  <si>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</si>
  <si>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</si>
  <si>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</si>
  <si>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</si>
  <si>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</si>
  <si>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</si>
  <si>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</si>
  <si>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</si>
  <si>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</si>
  <si>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</si>
  <si>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</si>
  <si>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</si>
  <si>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</si>
  <si>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</si>
  <si>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</si>
  <si>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</si>
  <si>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</si>
  <si>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</si>
  <si>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</si>
  <si>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</si>
  <si>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</si>
  <si>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</si>
  <si>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</si>
  <si>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</si>
  <si>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</si>
  <si>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</si>
  <si>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</si>
  <si>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</si>
  <si>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</si>
  <si>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</si>
  <si>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</si>
  <si>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</si>
  <si>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</si>
  <si>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</si>
  <si>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</si>
  <si>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</si>
  <si>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</si>
  <si>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</si>
  <si>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</si>
  <si>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</si>
  <si>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</si>
  <si>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</si>
  <si>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</si>
  <si>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</si>
  <si>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</si>
  <si>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</si>
  <si>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</si>
  <si>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</si>
  <si>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</si>
  <si>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</si>
  <si>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</si>
  <si>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</si>
  <si>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</si>
  <si>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</si>
  <si>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</si>
  <si>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</si>
  <si>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</si>
  <si>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</si>
  <si>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</si>
  <si>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</si>
  <si>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</si>
  <si>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</si>
  <si>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</si>
  <si>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</si>
  <si>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</si>
  <si>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</si>
  <si>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</si>
  <si>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</si>
  <si>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</si>
  <si>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</si>
  <si>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</si>
  <si>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</si>
  <si>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</si>
  <si>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</si>
  <si>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</si>
  <si>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</si>
  <si>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</si>
  <si>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</si>
  <si>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</si>
  <si>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</si>
  <si>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</si>
  <si>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</si>
  <si>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</si>
  <si>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</si>
  <si>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</si>
  <si>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</si>
  <si>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</si>
  <si>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</si>
  <si>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</si>
  <si>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</si>
  <si>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</si>
  <si>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</si>
  <si>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</si>
  <si>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</si>
  <si>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</si>
  <si>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</si>
  <si>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</si>
  <si>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</si>
  <si>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</si>
  <si>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</si>
  <si>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</si>
  <si>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</si>
  <si>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</si>
  <si>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</si>
  <si>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</si>
  <si>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</si>
  <si>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</si>
  <si>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</si>
  <si>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</si>
  <si>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</si>
  <si>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</si>
  <si>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</si>
  <si>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</si>
  <si>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</si>
  <si>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</si>
  <si>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</si>
  <si>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</si>
  <si>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</si>
  <si>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</si>
  <si>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</si>
  <si>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</si>
  <si>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</si>
  <si>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</si>
  <si>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</si>
  <si>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</si>
  <si>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</si>
  <si>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</si>
  <si>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</si>
  <si>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</si>
  <si>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</si>
  <si>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</si>
  <si>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</si>
  <si>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</si>
  <si>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</si>
  <si>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</si>
  <si>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</si>
  <si>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</si>
  <si>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</si>
  <si>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</si>
  <si>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</si>
  <si>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</si>
  <si>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</si>
  <si>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</si>
  <si>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</si>
  <si>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</si>
  <si>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</si>
  <si>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</si>
  <si>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</si>
  <si>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</si>
  <si>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</si>
  <si>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</si>
  <si>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</si>
  <si>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</si>
  <si>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</si>
  <si>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</si>
  <si>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</si>
  <si>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</si>
  <si>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</si>
  <si>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</si>
  <si>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</si>
  <si>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</si>
  <si>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</si>
  <si>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</si>
  <si>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</si>
  <si>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</si>
  <si>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</si>
  <si>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</si>
  <si>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</si>
  <si>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</si>
  <si>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</si>
  <si>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</si>
  <si>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</si>
  <si>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</si>
  <si>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</si>
  <si>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</si>
  <si>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</si>
  <si>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</si>
  <si>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</si>
  <si>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</si>
  <si>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</si>
  <si>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</si>
  <si>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</si>
  <si>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</si>
  <si>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</si>
  <si>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</si>
  <si>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</si>
  <si>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</si>
  <si>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</si>
  <si>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</si>
  <si>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</si>
  <si>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</si>
  <si>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</si>
  <si>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</si>
  <si>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</si>
  <si>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</si>
  <si>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</si>
  <si>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</si>
  <si>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</si>
  <si>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</si>
  <si>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</si>
  <si>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</si>
  <si>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</si>
  <si>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</si>
  <si>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</si>
  <si>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</si>
  <si>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</si>
  <si>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</si>
  <si>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</si>
  <si>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</si>
  <si>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</si>
  <si>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</si>
  <si>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</si>
  <si>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</si>
  <si>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</si>
  <si>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</si>
  <si>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</si>
  <si>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</si>
  <si>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</si>
  <si>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</si>
  <si>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</si>
  <si>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</si>
  <si>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</si>
  <si>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</si>
  <si>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</si>
  <si>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</si>
  <si>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</si>
  <si>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</si>
  <si>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</si>
  <si>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 xml:space="preserve"> 충남지방경찰청 태안경찰서 신축공사</t>
    <phoneticPr fontId="2" type="noConversion"/>
  </si>
  <si>
    <t>충청도</t>
  </si>
  <si>
    <t>공조배관공사, 난방배관공사,우수처리시설공사, 기타공사</t>
    <phoneticPr fontId="2" type="noConversion"/>
  </si>
  <si>
    <t>원격검침 설비공사, 기타공사</t>
    <phoneticPr fontId="2" type="noConversion"/>
  </si>
  <si>
    <t>CCTV설비공사, 기타공사</t>
    <phoneticPr fontId="2" type="noConversion"/>
  </si>
  <si>
    <t>펌프실배관공사</t>
    <phoneticPr fontId="2" type="noConversion"/>
  </si>
  <si>
    <t>상수도공사, 사급자재비, 기타공사</t>
    <phoneticPr fontId="2" type="noConversion"/>
  </si>
  <si>
    <t>기초공사, 골재비및운반비,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</si>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</sst>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6076</v>
      </c>
      <c r="D7" s="36">
        <f>+C7/3.3058</f>
        <v>1837.9817290822191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795780</v>
      </c>
      <c r="E25" s="59">
        <f t="shared" si="0"/>
        <v>2630680</v>
      </c>
    </row>
    <row r="26" spans="1:5" x14ac:dyDescent="0.3">
      <c r="B26" s="2">
        <v>3</v>
      </c>
      <c r="C26" s="35" t="s">
        <v>95</v>
      </c>
      <c r="D26" s="45">
        <f>+D66</f>
        <v>26230</v>
      </c>
      <c r="E26" s="59">
        <f t="shared" si="0"/>
        <v>86710</v>
      </c>
    </row>
    <row r="27" spans="1:5" x14ac:dyDescent="0.3">
      <c r="B27" s="2">
        <v>4</v>
      </c>
      <c r="C27" s="35" t="s">
        <v>96</v>
      </c>
      <c r="D27" s="45">
        <f>+D95</f>
        <v>89570</v>
      </c>
      <c r="E27" s="59">
        <f t="shared" si="0"/>
        <v>296100</v>
      </c>
    </row>
    <row r="28" spans="1:5" x14ac:dyDescent="0.3">
      <c r="B28" s="2">
        <v>5</v>
      </c>
      <c r="C28" s="35" t="s">
        <v>97</v>
      </c>
      <c r="D28" s="45">
        <f>+D119</f>
        <v>277210</v>
      </c>
      <c r="E28" s="59">
        <f t="shared" si="0"/>
        <v>916400</v>
      </c>
    </row>
    <row r="29" spans="1:5" x14ac:dyDescent="0.3">
      <c r="B29" s="2">
        <v>6</v>
      </c>
      <c r="C29" s="35" t="s">
        <v>98</v>
      </c>
      <c r="D29" s="45">
        <f>+D133</f>
        <v>194380</v>
      </c>
      <c r="E29" s="59">
        <f t="shared" si="0"/>
        <v>642580</v>
      </c>
    </row>
    <row r="30" spans="1:5" x14ac:dyDescent="0.3">
      <c r="B30" s="2">
        <v>7</v>
      </c>
      <c r="C30" s="35" t="s">
        <v>99</v>
      </c>
      <c r="D30" s="45">
        <f>+D146</f>
        <v>54800</v>
      </c>
      <c r="E30" s="59">
        <f t="shared" si="0"/>
        <v>181150</v>
      </c>
    </row>
    <row r="31" spans="1:5" x14ac:dyDescent="0.3">
      <c r="B31" s="2">
        <v>8</v>
      </c>
      <c r="C31" s="35" t="s">
        <v>100</v>
      </c>
      <c r="D31" s="45">
        <f>+D154</f>
        <v>191220</v>
      </c>
      <c r="E31" s="59">
        <f t="shared" si="0"/>
        <v>632130</v>
      </c>
    </row>
    <row r="32" spans="1:5" x14ac:dyDescent="0.3">
      <c r="B32" s="2">
        <v>9</v>
      </c>
      <c r="C32" s="35" t="s">
        <v>101</v>
      </c>
      <c r="D32" s="45">
        <f>+D161</f>
        <v>41500</v>
      </c>
      <c r="E32" s="59">
        <f t="shared" si="0"/>
        <v>137190</v>
      </c>
    </row>
    <row r="33" spans="1:7" x14ac:dyDescent="0.3">
      <c r="B33" s="2">
        <v>10</v>
      </c>
      <c r="C33" s="35" t="s">
        <v>155</v>
      </c>
      <c r="D33" s="53">
        <f>TRUNC(SUM(D24:D32)*0.275,-1)</f>
        <v>459430</v>
      </c>
      <c r="E33" s="60">
        <f t="shared" si="0"/>
        <v>1518780</v>
      </c>
    </row>
    <row r="34" spans="1:7" x14ac:dyDescent="0.3">
      <c r="C34" s="35" t="s">
        <v>112</v>
      </c>
      <c r="D34" s="44">
        <f>SUM(D24:D33)</f>
        <v>2130120</v>
      </c>
      <c r="E34" s="44">
        <f>SUM(E24:E33)</f>
        <v>7041720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48050</v>
      </c>
      <c r="E40" s="62">
        <f t="shared" ref="E40:E59" si="1">TRUNC(+D40*3.3058,-1)</f>
        <v>158840</v>
      </c>
    </row>
    <row r="41" spans="1:7" x14ac:dyDescent="0.3">
      <c r="A41" s="2">
        <v>2</v>
      </c>
      <c r="C41" s="38" t="s">
        <v>13</v>
      </c>
      <c r="D41" s="42">
        <f>TRUNC(144823,-1)</f>
        <v>144820</v>
      </c>
      <c r="E41" s="63">
        <f t="shared" si="1"/>
        <v>478740</v>
      </c>
    </row>
    <row r="42" spans="1:7" x14ac:dyDescent="0.3">
      <c r="A42" s="2">
        <v>3</v>
      </c>
      <c r="C42" s="38" t="s">
        <v>14</v>
      </c>
      <c r="D42" s="42">
        <f>TRUNC(15411,-1)</f>
        <v>15410</v>
      </c>
      <c r="E42" s="63">
        <f t="shared" si="1"/>
        <v>50940</v>
      </c>
    </row>
    <row r="43" spans="1:7" x14ac:dyDescent="0.3">
      <c r="A43" s="2">
        <v>4</v>
      </c>
      <c r="C43" s="38" t="s">
        <v>16</v>
      </c>
      <c r="D43" s="42">
        <f>TRUNC(21457,-1)</f>
        <v>21450</v>
      </c>
      <c r="E43" s="63">
        <f t="shared" si="1"/>
        <v>70900</v>
      </c>
    </row>
    <row r="44" spans="1:7" x14ac:dyDescent="0.3">
      <c r="A44" s="2">
        <v>5</v>
      </c>
      <c r="C44" s="38" t="s">
        <v>17</v>
      </c>
      <c r="D44" s="42">
        <f>TRUNC(28722,-1)</f>
        <v>28720</v>
      </c>
      <c r="E44" s="63">
        <f t="shared" si="1"/>
        <v>94940</v>
      </c>
    </row>
    <row r="45" spans="1:7" x14ac:dyDescent="0.3">
      <c r="A45" s="2">
        <v>6</v>
      </c>
      <c r="C45" s="38" t="s">
        <v>18</v>
      </c>
      <c r="D45" s="42">
        <f>TRUNC(8853,-1)</f>
        <v>8850</v>
      </c>
      <c r="E45" s="63">
        <f t="shared" si="1"/>
        <v>29250</v>
      </c>
    </row>
    <row r="46" spans="1:7" x14ac:dyDescent="0.3">
      <c r="A46" s="2">
        <v>7</v>
      </c>
      <c r="C46" s="38" t="s">
        <v>19</v>
      </c>
      <c r="D46" s="42">
        <v>53360</v>
      </c>
      <c r="E46" s="63">
        <f t="shared" si="1"/>
        <v>176390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TRUNC(40194,-1)</f>
        <v>40190</v>
      </c>
      <c r="E48" s="63">
        <f t="shared" si="1"/>
        <v>132860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TRUNC(9038,-1)</f>
        <v>9030</v>
      </c>
      <c r="E49" s="63">
        <f t="shared" si="1"/>
        <v>29850</v>
      </c>
    </row>
    <row r="50" spans="1:7" x14ac:dyDescent="0.3">
      <c r="A50" s="2">
        <v>11</v>
      </c>
      <c r="C50" s="38" t="s">
        <v>156</v>
      </c>
      <c r="D50" s="42">
        <f>TRUNC(45952,-1)</f>
        <v>45950</v>
      </c>
      <c r="E50" s="63">
        <f t="shared" si="1"/>
        <v>151900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11240</v>
      </c>
      <c r="E52" s="63">
        <f t="shared" si="1"/>
        <v>37150</v>
      </c>
    </row>
    <row r="53" spans="1:7" x14ac:dyDescent="0.3">
      <c r="A53" s="2">
        <v>14</v>
      </c>
      <c r="C53" s="38" t="s">
        <v>25</v>
      </c>
      <c r="D53" s="42">
        <f>TRUNC(77866,-1)</f>
        <v>77860</v>
      </c>
      <c r="E53" s="63">
        <f t="shared" si="1"/>
        <v>257380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TRUNC(25+3851+15903,-1)</f>
        <v>19770</v>
      </c>
      <c r="E58" s="63">
        <f t="shared" si="1"/>
        <v>65350</v>
      </c>
      <c r="F58" s="2" t="s">
        <v>263</v>
      </c>
    </row>
    <row r="59" spans="1:7" ht="17.25" thickBot="1" x14ac:dyDescent="0.35">
      <c r="A59" s="2">
        <v>20</v>
      </c>
      <c r="C59" s="38" t="s">
        <v>149</v>
      </c>
      <c r="D59" s="43">
        <f>TRUNC(271082,-1)</f>
        <v>271080</v>
      </c>
      <c r="E59" s="64">
        <f t="shared" si="1"/>
        <v>896130</v>
      </c>
    </row>
    <row r="60" spans="1:7" x14ac:dyDescent="0.3">
      <c r="A60" s="2">
        <v>21</v>
      </c>
      <c r="C60" s="27" t="s">
        <v>112</v>
      </c>
      <c r="D60" s="39">
        <f>SUM(D40:D59)</f>
        <v>795780</v>
      </c>
      <c r="E60" s="39">
        <f>SUM(E40:E59)</f>
        <v>2630620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TRUNC(13776,-1)</f>
        <v>13770</v>
      </c>
      <c r="E63" s="62">
        <f>TRUNC(+D63*3.3058,-1)</f>
        <v>45520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TRUNC(12467,-1)</f>
        <v>12460</v>
      </c>
      <c r="E65" s="64">
        <f>TRUNC(+D65*3.3058,-1)</f>
        <v>41190</v>
      </c>
    </row>
    <row r="66" spans="1:7" x14ac:dyDescent="0.3">
      <c r="A66" s="2">
        <v>4</v>
      </c>
      <c r="C66" s="27" t="s">
        <v>112</v>
      </c>
      <c r="D66" s="39">
        <f>SUM(D63:D65)</f>
        <v>26230</v>
      </c>
      <c r="E66" s="65">
        <f>SUM(E63:E65)</f>
        <v>86710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TRUNC(6272,-1)</f>
        <v>6270</v>
      </c>
      <c r="E69" s="62">
        <f t="shared" ref="E69:E94" si="2">TRUNC(+D69*3.3058,-1)</f>
        <v>20720</v>
      </c>
    </row>
    <row r="70" spans="1:7" ht="16.5" customHeight="1" x14ac:dyDescent="0.3">
      <c r="A70" s="2">
        <v>2</v>
      </c>
      <c r="C70" s="38" t="s">
        <v>31</v>
      </c>
      <c r="D70" s="42">
        <f>TRUNC(2664,-1)</f>
        <v>2660</v>
      </c>
      <c r="E70" s="63">
        <f t="shared" si="2"/>
        <v>8790</v>
      </c>
    </row>
    <row r="71" spans="1:7" x14ac:dyDescent="0.3">
      <c r="A71" s="2">
        <v>3</v>
      </c>
      <c r="C71" s="38" t="s">
        <v>32</v>
      </c>
      <c r="D71" s="42">
        <v>10050</v>
      </c>
      <c r="E71" s="63">
        <f t="shared" si="2"/>
        <v>33220</v>
      </c>
    </row>
    <row r="72" spans="1:7" x14ac:dyDescent="0.3">
      <c r="A72" s="2">
        <v>4</v>
      </c>
      <c r="C72" s="38" t="s">
        <v>33</v>
      </c>
      <c r="D72" s="42">
        <f>TRUNC(4405,-1)</f>
        <v>4400</v>
      </c>
      <c r="E72" s="63">
        <f t="shared" si="2"/>
        <v>14540</v>
      </c>
    </row>
    <row r="73" spans="1:7" x14ac:dyDescent="0.3">
      <c r="A73" s="2">
        <v>5</v>
      </c>
      <c r="C73" s="38" t="s">
        <v>34</v>
      </c>
      <c r="D73" s="42">
        <f>TRUNC(9545,-1)</f>
        <v>9540</v>
      </c>
      <c r="E73" s="63">
        <f t="shared" si="2"/>
        <v>31530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TRUNC(17531,-1)</f>
        <v>17530</v>
      </c>
      <c r="E89" s="63">
        <f t="shared" si="2"/>
        <v>57950</v>
      </c>
    </row>
    <row r="90" spans="1:7" x14ac:dyDescent="0.3">
      <c r="A90" s="2">
        <v>22</v>
      </c>
      <c r="C90" s="38" t="s">
        <v>36</v>
      </c>
      <c r="D90" s="42">
        <f>TRUNC(3383,-1)</f>
        <v>3380</v>
      </c>
      <c r="E90" s="63">
        <f t="shared" si="2"/>
        <v>11170</v>
      </c>
    </row>
    <row r="91" spans="1:7" x14ac:dyDescent="0.3">
      <c r="A91" s="2">
        <v>23</v>
      </c>
      <c r="C91" s="38" t="s">
        <v>37</v>
      </c>
      <c r="D91" s="42">
        <f>TRUNC(11833,-1)</f>
        <v>11830</v>
      </c>
      <c r="E91" s="63">
        <f t="shared" si="2"/>
        <v>39100</v>
      </c>
    </row>
    <row r="92" spans="1:7" x14ac:dyDescent="0.3">
      <c r="A92" s="2">
        <v>24</v>
      </c>
      <c r="C92" s="38" t="s">
        <v>38</v>
      </c>
      <c r="D92" s="42">
        <v>6780</v>
      </c>
      <c r="E92" s="63">
        <f t="shared" si="2"/>
        <v>22410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TRUNC(1071+1058+5847+9159,-1)</f>
        <v>17130</v>
      </c>
      <c r="E94" s="64">
        <f t="shared" si="2"/>
        <v>56620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89570</v>
      </c>
      <c r="E95" s="39">
        <f>SUM(E69:E94)</f>
        <v>296050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TRUNC(10406,-1)</f>
        <v>10400</v>
      </c>
      <c r="E98" s="62">
        <f t="shared" ref="E98:E118" si="3">TRUNC(+D98*3.3058,-1)</f>
        <v>34380</v>
      </c>
    </row>
    <row r="99" spans="1:7" x14ac:dyDescent="0.3">
      <c r="A99" s="2">
        <v>2</v>
      </c>
      <c r="C99" s="38" t="s">
        <v>40</v>
      </c>
      <c r="D99" s="42">
        <f>TRUNC(4088,-1)</f>
        <v>4080</v>
      </c>
      <c r="E99" s="63">
        <f t="shared" si="3"/>
        <v>13480</v>
      </c>
    </row>
    <row r="100" spans="1:7" x14ac:dyDescent="0.3">
      <c r="A100" s="2">
        <v>3</v>
      </c>
      <c r="C100" s="38" t="s">
        <v>41</v>
      </c>
      <c r="D100" s="42">
        <f>TRUNC(39418,-1)</f>
        <v>39410</v>
      </c>
      <c r="E100" s="63">
        <f t="shared" si="3"/>
        <v>130280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TRUNC(15948,-1)</f>
        <v>15940</v>
      </c>
      <c r="E102" s="63">
        <f t="shared" si="3"/>
        <v>52690</v>
      </c>
    </row>
    <row r="103" spans="1:7" x14ac:dyDescent="0.3">
      <c r="A103" s="2">
        <v>6</v>
      </c>
      <c r="C103" s="38" t="s">
        <v>44</v>
      </c>
      <c r="D103" s="42">
        <f>TRUNC(5206,-1)</f>
        <v>5200</v>
      </c>
      <c r="E103" s="63">
        <f t="shared" si="3"/>
        <v>17190</v>
      </c>
    </row>
    <row r="104" spans="1:7" x14ac:dyDescent="0.3">
      <c r="A104" s="2">
        <v>7</v>
      </c>
      <c r="C104" s="38" t="s">
        <v>45</v>
      </c>
      <c r="D104" s="42">
        <f>TRUNC(1887,-1)</f>
        <v>1880</v>
      </c>
      <c r="E104" s="63">
        <f t="shared" si="3"/>
        <v>6210</v>
      </c>
    </row>
    <row r="105" spans="1:7" x14ac:dyDescent="0.3">
      <c r="A105" s="2">
        <v>8</v>
      </c>
      <c r="C105" s="38" t="s">
        <v>46</v>
      </c>
      <c r="D105" s="42">
        <f>TRUNC(6359,-1)</f>
        <v>6350</v>
      </c>
      <c r="E105" s="63">
        <f t="shared" si="3"/>
        <v>20990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TRUNC(3182,-1)</f>
        <v>3180</v>
      </c>
      <c r="E114" s="63">
        <f t="shared" si="3"/>
        <v>10510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TRUNC(6636,-1)</f>
        <v>6630</v>
      </c>
      <c r="E116" s="63">
        <f t="shared" si="3"/>
        <v>21910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TRUNC(178265,-1)</f>
        <v>178260</v>
      </c>
      <c r="E117" s="63">
        <f t="shared" si="3"/>
        <v>589290</v>
      </c>
    </row>
    <row r="118" spans="1:7" ht="17.25" thickBot="1" x14ac:dyDescent="0.35">
      <c r="A118" s="2">
        <v>21</v>
      </c>
      <c r="C118" s="38" t="s">
        <v>47</v>
      </c>
      <c r="D118" s="43">
        <f>TRUNC(2657+3227,-1)</f>
        <v>5880</v>
      </c>
      <c r="E118" s="64">
        <f t="shared" si="3"/>
        <v>19430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277210</v>
      </c>
      <c r="E119" s="39">
        <f>SUM(E98:E118)</f>
        <v>916360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TRUNC(2974,-1)</f>
        <v>2970</v>
      </c>
      <c r="E122" s="62">
        <f t="shared" ref="E122:E132" si="4">TRUNC(+D122*3.3058,-1)</f>
        <v>9810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TRUNC(1487,-1)</f>
        <v>1480</v>
      </c>
      <c r="E124" s="63">
        <f t="shared" si="4"/>
        <v>4890</v>
      </c>
    </row>
    <row r="125" spans="1:7" x14ac:dyDescent="0.3">
      <c r="A125" s="2">
        <v>4</v>
      </c>
      <c r="C125" s="38" t="s">
        <v>138</v>
      </c>
      <c r="D125" s="42">
        <f>TRUNC(6534,-1)</f>
        <v>6530</v>
      </c>
      <c r="E125" s="63">
        <f t="shared" si="4"/>
        <v>21580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TRUNC(4058,-1)</f>
        <v>4050</v>
      </c>
      <c r="E127" s="63">
        <f t="shared" si="4"/>
        <v>13380</v>
      </c>
    </row>
    <row r="128" spans="1:7" x14ac:dyDescent="0.3">
      <c r="A128" s="2">
        <v>7</v>
      </c>
      <c r="C128" s="38" t="s">
        <v>46</v>
      </c>
      <c r="D128" s="42">
        <f>TRUNC(5557,-1)</f>
        <v>5550</v>
      </c>
      <c r="E128" s="63">
        <f t="shared" si="4"/>
        <v>18340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TRUNC(27491,-1)</f>
        <v>27490</v>
      </c>
      <c r="E130" s="63">
        <f t="shared" si="4"/>
        <v>90870</v>
      </c>
    </row>
    <row r="131" spans="1:7" x14ac:dyDescent="0.3">
      <c r="A131" s="2">
        <v>10</v>
      </c>
      <c r="C131" s="38" t="s">
        <v>149</v>
      </c>
      <c r="D131" s="42">
        <v>136640</v>
      </c>
      <c r="E131" s="63">
        <f t="shared" si="4"/>
        <v>451700</v>
      </c>
    </row>
    <row r="132" spans="1:7" ht="18" thickBot="1" x14ac:dyDescent="0.35">
      <c r="A132" s="2">
        <v>11</v>
      </c>
      <c r="C132" s="38" t="s">
        <v>47</v>
      </c>
      <c r="D132" s="43">
        <f>TRUNC(5896+3782,-1)</f>
        <v>9670</v>
      </c>
      <c r="E132" s="64">
        <f t="shared" si="4"/>
        <v>31960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194380</v>
      </c>
      <c r="E133" s="39">
        <f>SUM(E122:E132)</f>
        <v>642530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TRUNC(3655,-1)</f>
        <v>3650</v>
      </c>
      <c r="E137" s="63">
        <f t="shared" si="5"/>
        <v>12060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TRUNC(2089,-1)</f>
        <v>2080</v>
      </c>
      <c r="E140" s="63">
        <f t="shared" si="5"/>
        <v>6870</v>
      </c>
    </row>
    <row r="141" spans="1:7" x14ac:dyDescent="0.3">
      <c r="A141" s="2">
        <v>6</v>
      </c>
      <c r="C141" s="38" t="s">
        <v>59</v>
      </c>
      <c r="D141" s="42">
        <f>TRUNC(23269,-1)</f>
        <v>23260</v>
      </c>
      <c r="E141" s="63">
        <f t="shared" si="5"/>
        <v>76890</v>
      </c>
    </row>
    <row r="142" spans="1:7" x14ac:dyDescent="0.3">
      <c r="A142" s="2">
        <v>7</v>
      </c>
      <c r="C142" s="38" t="s">
        <v>58</v>
      </c>
      <c r="D142" s="42">
        <f>TRUNC(6994,-1)</f>
        <v>6990</v>
      </c>
      <c r="E142" s="63">
        <f t="shared" si="5"/>
        <v>23100</v>
      </c>
    </row>
    <row r="143" spans="1:7" x14ac:dyDescent="0.3">
      <c r="A143" s="2">
        <v>8</v>
      </c>
      <c r="C143" s="38" t="s">
        <v>62</v>
      </c>
      <c r="D143" s="42">
        <f>TRUNC(4301,-1)</f>
        <v>4300</v>
      </c>
      <c r="E143" s="63">
        <f t="shared" si="5"/>
        <v>14210</v>
      </c>
    </row>
    <row r="144" spans="1:7" x14ac:dyDescent="0.3">
      <c r="A144" s="2">
        <v>9</v>
      </c>
      <c r="C144" s="38" t="s">
        <v>63</v>
      </c>
      <c r="D144" s="42">
        <f>TRUNC(14528,-1)</f>
        <v>14520</v>
      </c>
      <c r="E144" s="63">
        <f t="shared" si="5"/>
        <v>48000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54800</v>
      </c>
      <c r="E146" s="39">
        <f>SUM(E136:E145)</f>
        <v>181130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7991+4359</f>
        <v>12350</v>
      </c>
      <c r="E149" s="62">
        <f>TRUNC(+D149*3.3058,-1)</f>
        <v>40820</v>
      </c>
    </row>
    <row r="150" spans="1:7" x14ac:dyDescent="0.3">
      <c r="A150" s="2">
        <v>2</v>
      </c>
      <c r="C150" s="38" t="s">
        <v>49</v>
      </c>
      <c r="D150" s="42">
        <f>TRUNC(4445,-1)</f>
        <v>4440</v>
      </c>
      <c r="E150" s="63">
        <f>TRUNC(+D150*3.3058,-1)</f>
        <v>14670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TRUNC(133+6702+5131,-1)</f>
        <v>11960</v>
      </c>
      <c r="E152" s="63">
        <f>TRUNC(+D152*3.3058,-1)</f>
        <v>39530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TRUNC(162473,-1)</f>
        <v>162470</v>
      </c>
      <c r="E153" s="64">
        <f>TRUNC(+D153*3.3058,-1)</f>
        <v>537090</v>
      </c>
    </row>
    <row r="154" spans="1:7" x14ac:dyDescent="0.3">
      <c r="A154" s="2">
        <v>6</v>
      </c>
      <c r="C154" s="27" t="s">
        <v>112</v>
      </c>
      <c r="D154" s="39">
        <f>SUM(D149:D153)</f>
        <v>191220</v>
      </c>
      <c r="E154" s="39">
        <f>SUM(E149:E153)</f>
        <v>632110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TRUNC(22115,-1)</f>
        <v>22110</v>
      </c>
      <c r="E157" s="62">
        <f>TRUNC(+D157*3.3058,-1)</f>
        <v>73090</v>
      </c>
    </row>
    <row r="158" spans="1:7" x14ac:dyDescent="0.3">
      <c r="A158" s="2">
        <v>2</v>
      </c>
      <c r="C158" s="38" t="s">
        <v>52</v>
      </c>
      <c r="D158" s="42">
        <f>TRUNC(4371,-1)</f>
        <v>4370</v>
      </c>
      <c r="E158" s="63">
        <f>TRUNC(+D158*3.3058,-1)</f>
        <v>14440</v>
      </c>
    </row>
    <row r="159" spans="1:7" x14ac:dyDescent="0.3">
      <c r="A159" s="2">
        <v>3</v>
      </c>
      <c r="C159" s="38" t="s">
        <v>47</v>
      </c>
      <c r="D159" s="42">
        <v>15020</v>
      </c>
      <c r="E159" s="63">
        <f>TRUNC(+D159*3.3058,-1)</f>
        <v>49650</v>
      </c>
      <c r="F159" s="2" t="s">
        <v>264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41500</v>
      </c>
      <c r="E161" s="39">
        <f>SUM(E157:E160)</f>
        <v>137180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2020-12-08T01:28:48Z</dcterms:modified>
</cp:coreProperties>
</file>