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5" i="4" l="1"/>
  <c r="D132" i="4"/>
  <c r="E160" i="4" l="1"/>
  <c r="E159" i="4"/>
  <c r="E158" i="4"/>
  <c r="E157" i="4"/>
  <c r="E153" i="4"/>
  <c r="E145" i="4"/>
  <c r="E140" i="4"/>
  <c r="E139" i="4"/>
  <c r="E138" i="4"/>
  <c r="E136" i="4"/>
  <c r="E132" i="4"/>
  <c r="E130" i="4"/>
  <c r="E129" i="4"/>
  <c r="E128" i="4"/>
  <c r="E127" i="4"/>
  <c r="E126" i="4"/>
  <c r="E125" i="4"/>
  <c r="E124" i="4"/>
  <c r="E116" i="4"/>
  <c r="E115" i="4"/>
  <c r="E114" i="4"/>
  <c r="E113" i="4"/>
  <c r="E112" i="4"/>
  <c r="E111" i="4"/>
  <c r="E110" i="4"/>
  <c r="E109" i="4"/>
  <c r="E107" i="4"/>
  <c r="E106" i="4"/>
  <c r="E105" i="4"/>
  <c r="E104" i="4"/>
  <c r="E103" i="4"/>
  <c r="E101" i="4"/>
  <c r="E99" i="4"/>
  <c r="E92" i="4"/>
  <c r="E91" i="4"/>
  <c r="E90" i="4"/>
  <c r="E89" i="4"/>
  <c r="E88" i="4"/>
  <c r="E87" i="4"/>
  <c r="E86" i="4"/>
  <c r="E85" i="4"/>
  <c r="E84" i="4"/>
  <c r="E83" i="4"/>
  <c r="E82" i="4"/>
  <c r="E80" i="4"/>
  <c r="E79" i="4"/>
  <c r="E77" i="4"/>
  <c r="E76" i="4"/>
  <c r="E74" i="4"/>
  <c r="E73" i="4"/>
  <c r="E71" i="4"/>
  <c r="E65" i="4"/>
  <c r="E64" i="4"/>
  <c r="E57" i="4"/>
  <c r="E56" i="4"/>
  <c r="E54" i="4"/>
  <c r="E37" i="4"/>
  <c r="E161" i="4" l="1"/>
  <c r="D131" i="4"/>
  <c r="E131" i="4" s="1"/>
  <c r="D117" i="4"/>
  <c r="E117" i="4" s="1"/>
  <c r="D93" i="4"/>
  <c r="E93" i="4" s="1"/>
  <c r="D58" i="4" l="1"/>
  <c r="E58" i="4" s="1"/>
  <c r="D59" i="4"/>
  <c r="E59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152" i="4"/>
  <c r="E152" i="4" s="1"/>
  <c r="D151" i="4"/>
  <c r="E151" i="4" s="1"/>
  <c r="D150" i="4"/>
  <c r="E150" i="4" s="1"/>
  <c r="D149" i="4"/>
  <c r="E149" i="4" s="1"/>
  <c r="E154" i="4" s="1"/>
  <c r="D63" i="4"/>
  <c r="E63" i="4" s="1"/>
  <c r="E66" i="4" s="1"/>
  <c r="D94" i="4"/>
  <c r="E94" i="4" s="1"/>
  <c r="D141" i="4"/>
  <c r="E141" i="4" s="1"/>
  <c r="D142" i="4"/>
  <c r="E142" i="4" s="1"/>
  <c r="D81" i="4"/>
  <c r="E81" i="4" s="1"/>
  <c r="D75" i="4"/>
  <c r="E75" i="4" s="1"/>
  <c r="D72" i="4"/>
  <c r="E72" i="4" s="1"/>
  <c r="D78" i="4"/>
  <c r="E78" i="4" s="1"/>
  <c r="D70" i="4"/>
  <c r="E70" i="4" s="1"/>
  <c r="D69" i="4"/>
  <c r="E69" i="4" s="1"/>
  <c r="D118" i="4"/>
  <c r="E118" i="4" s="1"/>
  <c r="D108" i="4"/>
  <c r="E108" i="4" s="1"/>
  <c r="D100" i="4"/>
  <c r="E100" i="4" s="1"/>
  <c r="D102" i="4"/>
  <c r="E102" i="4" s="1"/>
  <c r="D98" i="4"/>
  <c r="E98" i="4" s="1"/>
  <c r="D143" i="4"/>
  <c r="E143" i="4" s="1"/>
  <c r="D144" i="4"/>
  <c r="E144" i="4" s="1"/>
  <c r="D137" i="4"/>
  <c r="E137" i="4" s="1"/>
  <c r="D122" i="4"/>
  <c r="E122" i="4" s="1"/>
  <c r="D123" i="4"/>
  <c r="E123" i="4" s="1"/>
  <c r="E133" i="4" l="1"/>
  <c r="E119" i="4"/>
  <c r="E146" i="4"/>
  <c r="E95" i="4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27" i="4"/>
  <c r="E27" i="4" s="1"/>
  <c r="D7" i="4"/>
  <c r="O31" i="1"/>
  <c r="M31" i="1"/>
  <c r="D26" i="4" l="1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<sst xmlns="http://schemas.openxmlformats.org/spreadsheetml/2006/main" count="390" uniqueCount="325">
  <si>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</si>
  <si>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</si>
  <si>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</si>
  <si>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</si>
  <si>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</si>
  <si>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</si>
  <si>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</si>
  <si>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</si>
  <si>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</si>
  <si>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</si>
  <si>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</si>
  <si>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</si>
  <si>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</si>
  <si>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</si>
  <si>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</si>
  <si>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</si>
  <si>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</si>
  <si>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</si>
  <si>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</si>
  <si>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</si>
  <si>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</si>
  <si>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</si>
  <si>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</si>
  <si>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</si>
  <si>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</si>
  <si>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</si>
  <si>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</si>
  <si>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</si>
  <si>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</si>
  <si>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</si>
  <si>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</si>
  <si>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</si>
  <si>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</si>
  <si>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</si>
  <si>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</si>
  <si>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</si>
  <si>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</si>
  <si>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</si>
  <si>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</si>
  <si>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</si>
  <si>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</si>
  <si>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</si>
  <si>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</si>
  <si>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</si>
  <si>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</si>
  <si>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</si>
  <si>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</si>
  <si>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</si>
  <si>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</si>
  <si>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</si>
  <si>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</si>
  <si>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</si>
  <si>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</si>
  <si>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</si>
  <si>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</si>
  <si>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</si>
  <si>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</si>
  <si>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</si>
  <si>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</si>
  <si>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</si>
  <si>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</si>
  <si>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</si>
  <si>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</si>
  <si>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</si>
  <si>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</si>
  <si>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</si>
  <si>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</si>
  <si>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</si>
  <si>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</si>
  <si>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</si>
  <si>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</si>
  <si>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</si>
  <si>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</si>
  <si>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</si>
  <si>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</si>
  <si>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</si>
  <si>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</si>
  <si>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</si>
  <si>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</si>
  <si>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</si>
  <si>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</si>
  <si>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</si>
  <si>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</si>
  <si>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</si>
  <si>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</si>
  <si>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</si>
  <si>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</si>
  <si>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</si>
  <si>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</si>
  <si>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</si>
  <si>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</si>
  <si>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</si>
  <si>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</si>
  <si>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</si>
  <si>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</si>
  <si>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</si>
  <si>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</si>
  <si>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</si>
  <si>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</si>
  <si>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</si>
  <si>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</si>
  <si>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</si>
  <si>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</si>
  <si>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</si>
  <si>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</si>
  <si>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</si>
  <si>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</si>
  <si>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</si>
  <si>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</si>
  <si>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</si>
  <si>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</si>
  <si>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</si>
  <si>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</si>
  <si>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</si>
  <si>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</si>
  <si>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</si>
  <si>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</si>
  <si>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</si>
  <si>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</si>
  <si>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</si>
  <si>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</si>
  <si>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</si>
  <si>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</si>
  <si>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</si>
  <si>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</si>
  <si>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</si>
  <si>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</si>
  <si>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</si>
  <si>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</si>
  <si>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</si>
  <si>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</si>
  <si>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</si>
  <si>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</si>
  <si>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</si>
  <si>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</si>
  <si>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</si>
  <si>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</si>
  <si>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</si>
  <si>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</si>
  <si>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</si>
  <si>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</si>
  <si>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</si>
  <si>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</si>
  <si>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</si>
  <si>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</si>
  <si>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</si>
  <si>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</si>
  <si>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</si>
  <si>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</si>
  <si>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</si>
  <si>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</si>
  <si>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</si>
  <si>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</si>
  <si>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</si>
  <si>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</si>
  <si>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</si>
  <si>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</si>
  <si>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</si>
  <si>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</si>
  <si>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</si>
  <si>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</si>
  <si>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</si>
  <si>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</si>
  <si>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</si>
  <si>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</si>
  <si>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</si>
  <si>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</si>
  <si>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</si>
  <si>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</si>
  <si>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</si>
  <si>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</si>
  <si>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</si>
  <si>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</si>
  <si>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</si>
  <si>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</si>
  <si>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</si>
  <si>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</si>
  <si>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</si>
  <si>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</si>
  <si>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</si>
  <si>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</si>
  <si>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</si>
  <si>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</si>
  <si>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</si>
  <si>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</si>
  <si>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</si>
  <si>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</si>
  <si>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</si>
  <si>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</si>
  <si>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</si>
  <si>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</si>
  <si>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</si>
  <si>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</si>
  <si>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</si>
  <si>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</si>
  <si>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</si>
  <si>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</si>
  <si>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</si>
  <si>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</si>
  <si>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</si>
  <si>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</si>
  <si>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</si>
  <si>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</si>
  <si>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</si>
  <si>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</si>
  <si>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</si>
  <si>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</si>
  <si>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</si>
  <si>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</si>
  <si>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</si>
  <si>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</si>
  <si>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</si>
  <si>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</si>
  <si>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</si>
  <si>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</si>
  <si>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</si>
  <si>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</si>
  <si>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</si>
  <si>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</si>
  <si>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</si>
  <si>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</si>
  <si>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</si>
  <si>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</si>
  <si>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</si>
  <si>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</si>
  <si>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</si>
  <si>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</si>
  <si>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</si>
  <si>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</si>
  <si>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</si>
  <si>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</si>
  <si>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</si>
  <si>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</si>
  <si>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</si>
  <si>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</si>
  <si>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</si>
  <si>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</si>
  <si>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</si>
  <si>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</si>
  <si>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</si>
  <si>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</si>
  <si>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</si>
  <si>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</si>
  <si>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</si>
  <si>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</si>
  <si>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</si>
  <si>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</si>
  <si>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</si>
  <si>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</si>
  <si>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</si>
  <si>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</si>
  <si>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</si>
  <si>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</si>
  <si>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</si>
  <si>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</si>
  <si>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</si>
  <si>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</si>
  <si>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</si>
  <si>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</si>
  <si>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</si>
  <si>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</si>
  <si>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</si>
  <si>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</si>
  <si>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</si>
  <si>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</si>
  <si>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</si>
  <si>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</si>
  <si>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</si>
  <si>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</si>
  <si>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</si>
  <si>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</si>
  <si>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</si>
  <si>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</si>
  <si>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</si>
  <si>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</si>
  <si>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</si>
  <si>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</si>
  <si>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</si>
  <si>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</si>
  <si>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</si>
  <si>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</si>
  <si>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</si>
  <si>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</si>
  <si>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</si>
  <si>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</si>
  <si>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</si>
  <si>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</si>
  <si>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</si>
  <si>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</si>
  <si>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</si>
  <si>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</si>
  <si>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</si>
  <si>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</si>
  <si>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</si>
  <si>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</si>
  <si>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</si>
  <si>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</si>
  <si>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</si>
  <si>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</si>
  <si>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</si>
  <si>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</si>
  <si>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</si>
  <si>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</si>
  <si>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</si>
  <si>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</si>
  <si>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</si>
  <si>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</si>
  <si>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</si>
  <si>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00대학교 제2예술관 신축공사</t>
  </si>
  <si>
    <t>교육연구</t>
  </si>
  <si>
    <t>부산시</t>
  </si>
  <si>
    <t>LAN 및 TEL 공사</t>
  </si>
  <si>
    <t>전열환기</t>
    <phoneticPr fontId="2" type="noConversion"/>
  </si>
  <si>
    <t>공조및환기덕트 설치공사</t>
  </si>
  <si>
    <t>소방간선공사,비상방송설비공사,옥외소화배관공사,제요율적용제외공종</t>
    <phoneticPr fontId="2" type="noConversion"/>
  </si>
  <si>
    <t>위생배관공사</t>
    <phoneticPr fontId="2" type="noConversion"/>
  </si>
  <si>
    <t>운반공사,폐자재처리비</t>
    <phoneticPr fontId="2" type="noConversion"/>
  </si>
  <si>
    <t>압축성형패널공사,부대공사,조경공사,우수배관공사,운반비</t>
    <phoneticPr fontId="2" type="noConversion"/>
  </si>
  <si>
    <t>CCTV공사,방범설비공사</t>
    <phoneticPr fontId="2" type="noConversion"/>
  </si>
  <si>
    <t>방송장비설비공사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</si>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</sst>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322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5166</v>
      </c>
      <c r="D7" s="36">
        <f>+C7/3.3058</f>
        <v>1562.7079678141447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66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323</v>
      </c>
    </row>
    <row r="19" spans="1:5" x14ac:dyDescent="0.3">
      <c r="A19" s="2">
        <v>9</v>
      </c>
      <c r="B19" s="2" t="s">
        <v>324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639950</v>
      </c>
      <c r="E25" s="60">
        <f t="shared" si="0"/>
        <v>2115540</v>
      </c>
    </row>
    <row r="26" spans="1:5" x14ac:dyDescent="0.3">
      <c r="B26" s="2">
        <v>3</v>
      </c>
      <c r="C26" s="35" t="s">
        <v>29</v>
      </c>
      <c r="D26" s="47">
        <f>+D66</f>
        <v>8360</v>
      </c>
      <c r="E26" s="60">
        <f t="shared" si="0"/>
        <v>27630</v>
      </c>
    </row>
    <row r="27" spans="1:5" x14ac:dyDescent="0.3">
      <c r="B27" s="2">
        <v>4</v>
      </c>
      <c r="C27" s="35" t="s">
        <v>30</v>
      </c>
      <c r="D27" s="47">
        <f>+D95</f>
        <v>161930</v>
      </c>
      <c r="E27" s="60">
        <f t="shared" si="0"/>
        <v>535300</v>
      </c>
    </row>
    <row r="28" spans="1:5" x14ac:dyDescent="0.3">
      <c r="B28" s="2">
        <v>5</v>
      </c>
      <c r="C28" s="35" t="s">
        <v>31</v>
      </c>
      <c r="D28" s="47">
        <f>+D119</f>
        <v>71700</v>
      </c>
      <c r="E28" s="60">
        <f t="shared" si="0"/>
        <v>237020</v>
      </c>
    </row>
    <row r="29" spans="1:5" x14ac:dyDescent="0.3">
      <c r="B29" s="2">
        <v>6</v>
      </c>
      <c r="C29" s="35" t="s">
        <v>32</v>
      </c>
      <c r="D29" s="47">
        <f>+D133</f>
        <v>28950</v>
      </c>
      <c r="E29" s="60">
        <f t="shared" si="0"/>
        <v>95700</v>
      </c>
    </row>
    <row r="30" spans="1:5" x14ac:dyDescent="0.3">
      <c r="B30" s="2">
        <v>7</v>
      </c>
      <c r="C30" s="35" t="s">
        <v>33</v>
      </c>
      <c r="D30" s="47">
        <f>+D146</f>
        <v>29650</v>
      </c>
      <c r="E30" s="60">
        <f t="shared" si="0"/>
        <v>98010</v>
      </c>
    </row>
    <row r="31" spans="1:5" x14ac:dyDescent="0.3">
      <c r="B31" s="2">
        <v>8</v>
      </c>
      <c r="C31" s="35" t="s">
        <v>34</v>
      </c>
      <c r="D31" s="47">
        <f>+D154</f>
        <v>7230</v>
      </c>
      <c r="E31" s="60">
        <f t="shared" si="0"/>
        <v>23900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260630</v>
      </c>
      <c r="E33" s="61">
        <f t="shared" si="0"/>
        <v>861590</v>
      </c>
    </row>
    <row r="34" spans="1:5" x14ac:dyDescent="0.3">
      <c r="C34" s="35" t="s">
        <v>46</v>
      </c>
      <c r="D34" s="46">
        <f>SUM(D24:D33)</f>
        <v>1208400</v>
      </c>
      <c r="E34" s="46">
        <f>SUM(E24:E33)</f>
        <v>3994690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320</v>
      </c>
      <c r="E39" s="68" t="s">
        <v>321</v>
      </c>
    </row>
    <row r="40" spans="1:5" x14ac:dyDescent="0.3">
      <c r="A40" s="2">
        <v>1</v>
      </c>
      <c r="C40" s="39" t="s">
        <v>75</v>
      </c>
      <c r="D40" s="42">
        <f>TRUNC(31213.9467673248,-1)</f>
        <v>31210</v>
      </c>
      <c r="E40" s="63">
        <f t="shared" ref="E40:E59" si="1">TRUNC(+D40*3.3058,-1)</f>
        <v>103170</v>
      </c>
    </row>
    <row r="41" spans="1:5" x14ac:dyDescent="0.3">
      <c r="A41" s="2">
        <v>2</v>
      </c>
      <c r="C41" s="39" t="s">
        <v>6</v>
      </c>
      <c r="D41" s="44">
        <f>TRUNC(77517.9690282617,-1)</f>
        <v>77510</v>
      </c>
      <c r="E41" s="64">
        <f t="shared" si="1"/>
        <v>256230</v>
      </c>
    </row>
    <row r="42" spans="1:5" x14ac:dyDescent="0.3">
      <c r="A42" s="2">
        <v>3</v>
      </c>
      <c r="C42" s="39" t="s">
        <v>7</v>
      </c>
      <c r="D42" s="44">
        <f>TRUNC(85679.2284165699,-1)</f>
        <v>85670</v>
      </c>
      <c r="E42" s="64">
        <f t="shared" si="1"/>
        <v>283200</v>
      </c>
    </row>
    <row r="43" spans="1:5" x14ac:dyDescent="0.3">
      <c r="A43" s="2">
        <v>4</v>
      </c>
      <c r="C43" s="39" t="s">
        <v>8</v>
      </c>
      <c r="D43" s="44">
        <f>TRUNC(29258.2030584592,-1)</f>
        <v>29250</v>
      </c>
      <c r="E43" s="64">
        <f t="shared" si="1"/>
        <v>96690</v>
      </c>
    </row>
    <row r="44" spans="1:5" x14ac:dyDescent="0.3">
      <c r="A44" s="2">
        <v>5</v>
      </c>
      <c r="C44" s="39" t="s">
        <v>9</v>
      </c>
      <c r="D44" s="44">
        <f>TRUNC(5381.57200929152,-1)</f>
        <v>5380</v>
      </c>
      <c r="E44" s="64">
        <f t="shared" si="1"/>
        <v>17780</v>
      </c>
    </row>
    <row r="45" spans="1:5" x14ac:dyDescent="0.3">
      <c r="A45" s="2">
        <v>6</v>
      </c>
      <c r="C45" s="39" t="s">
        <v>10</v>
      </c>
      <c r="D45" s="44">
        <f>TRUNC(5381.57200929152,-1)</f>
        <v>5380</v>
      </c>
      <c r="E45" s="64">
        <f t="shared" si="1"/>
        <v>17780</v>
      </c>
    </row>
    <row r="46" spans="1:5" x14ac:dyDescent="0.3">
      <c r="A46" s="2">
        <v>7</v>
      </c>
      <c r="C46" s="39" t="s">
        <v>11</v>
      </c>
      <c r="D46" s="44">
        <f>TRUNC(25484.397986837,-1)</f>
        <v>25480</v>
      </c>
      <c r="E46" s="64">
        <f t="shared" si="1"/>
        <v>84230</v>
      </c>
    </row>
    <row r="47" spans="1:5" x14ac:dyDescent="0.3">
      <c r="A47" s="2">
        <v>8</v>
      </c>
      <c r="C47" s="39" t="s">
        <v>12</v>
      </c>
      <c r="D47" s="44">
        <f>TRUNC(16281.3811459543,-1)</f>
        <v>16280</v>
      </c>
      <c r="E47" s="64">
        <f t="shared" si="1"/>
        <v>53810</v>
      </c>
    </row>
    <row r="48" spans="1:5" x14ac:dyDescent="0.3">
      <c r="A48" s="2">
        <v>9</v>
      </c>
      <c r="C48" s="39" t="s">
        <v>13</v>
      </c>
      <c r="D48" s="44">
        <f>TRUNC(58623.8890824623,-1)</f>
        <v>58620</v>
      </c>
      <c r="E48" s="64">
        <f t="shared" si="1"/>
        <v>193780</v>
      </c>
    </row>
    <row r="49" spans="1:6" x14ac:dyDescent="0.3">
      <c r="A49" s="2">
        <v>10</v>
      </c>
      <c r="C49" s="39" t="s">
        <v>14</v>
      </c>
      <c r="D49" s="44">
        <f>TRUNC(29174.6296941541,-1)</f>
        <v>29170</v>
      </c>
      <c r="E49" s="64">
        <f t="shared" si="1"/>
        <v>96430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TRUNC(47694.5507162214,-1)</f>
        <v>47690</v>
      </c>
      <c r="E50" s="64">
        <f t="shared" si="1"/>
        <v>157650</v>
      </c>
      <c r="F50" s="2"/>
    </row>
    <row r="51" spans="1:6" x14ac:dyDescent="0.3">
      <c r="A51" s="2">
        <v>12</v>
      </c>
      <c r="C51" s="39" t="s">
        <v>16</v>
      </c>
      <c r="D51" s="44">
        <f>TRUNC(22337.3435927216,-1)</f>
        <v>22330</v>
      </c>
      <c r="E51" s="64">
        <f t="shared" si="1"/>
        <v>73810</v>
      </c>
    </row>
    <row r="52" spans="1:6" x14ac:dyDescent="0.3">
      <c r="A52" s="2">
        <v>13</v>
      </c>
      <c r="C52" s="39" t="s">
        <v>17</v>
      </c>
      <c r="D52" s="44">
        <f>TRUNC(28588.3451413086,-1)</f>
        <v>28580</v>
      </c>
      <c r="E52" s="64">
        <f t="shared" si="1"/>
        <v>94470</v>
      </c>
    </row>
    <row r="53" spans="1:6" x14ac:dyDescent="0.3">
      <c r="A53" s="2">
        <v>14</v>
      </c>
      <c r="C53" s="39" t="s">
        <v>18</v>
      </c>
      <c r="D53" s="44">
        <f>TRUNC(48928.0092915215,-1)</f>
        <v>48920</v>
      </c>
      <c r="E53" s="64">
        <f t="shared" si="1"/>
        <v>161710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TRUNC(4280.2950058072,-1)</f>
        <v>4280</v>
      </c>
      <c r="E55" s="64">
        <f t="shared" si="1"/>
        <v>14140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TRUNC(21072.7835849787+11615.8590785908+1044.03116531165+9007.82365466512+1765.35230352304,-1)</f>
        <v>44500</v>
      </c>
      <c r="E58" s="64">
        <f t="shared" si="1"/>
        <v>147100</v>
      </c>
      <c r="F58" s="2" t="s">
        <v>317</v>
      </c>
    </row>
    <row r="59" spans="1:6" ht="17.25" thickBot="1" x14ac:dyDescent="0.35">
      <c r="A59" s="2">
        <v>20</v>
      </c>
      <c r="C59" s="39" t="s">
        <v>56</v>
      </c>
      <c r="D59" s="45">
        <f>TRUNC(79700.7355787844,-1)</f>
        <v>79700</v>
      </c>
      <c r="E59" s="65">
        <f t="shared" si="1"/>
        <v>263470</v>
      </c>
    </row>
    <row r="60" spans="1:6" x14ac:dyDescent="0.3">
      <c r="A60" s="2">
        <v>21</v>
      </c>
      <c r="C60" s="27" t="s">
        <v>46</v>
      </c>
      <c r="D60" s="40">
        <f>SUM(D40:D59)</f>
        <v>639950</v>
      </c>
      <c r="E60" s="40">
        <f>SUM(E40:E59)</f>
        <v>2115450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TRUNC(8365.05865272938,-1)</f>
        <v>8360</v>
      </c>
      <c r="E63" s="63">
        <f>TRUNC(+D63*3.3058,-1)</f>
        <v>27630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6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6" x14ac:dyDescent="0.3">
      <c r="A66" s="2">
        <v>4</v>
      </c>
      <c r="C66" s="27" t="s">
        <v>46</v>
      </c>
      <c r="D66" s="40">
        <f>SUM(D63:D65)</f>
        <v>8360</v>
      </c>
      <c r="E66" s="66">
        <f>SUM(E63:E65)</f>
        <v>27630</v>
      </c>
    </row>
    <row r="67" spans="1:6" s="48" customFormat="1" x14ac:dyDescent="0.3">
      <c r="C67" s="49"/>
      <c r="D67" s="49"/>
      <c r="E67" s="49"/>
    </row>
    <row r="68" spans="1:6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6" x14ac:dyDescent="0.3">
      <c r="A69" s="2">
        <v>1</v>
      </c>
      <c r="C69" s="39" t="s">
        <v>78</v>
      </c>
      <c r="D69" s="42">
        <f>TRUNC(2056.98664343786,-1)</f>
        <v>2050</v>
      </c>
      <c r="E69" s="63">
        <f t="shared" ref="E69:E94" si="2">TRUNC(+D69*3.3058,-1)</f>
        <v>6770</v>
      </c>
    </row>
    <row r="70" spans="1:6" ht="16.5" customHeight="1" x14ac:dyDescent="0.3">
      <c r="A70" s="2">
        <v>2</v>
      </c>
      <c r="C70" s="39" t="s">
        <v>79</v>
      </c>
      <c r="D70" s="44">
        <f>TRUNC(745.438056523422,-1)</f>
        <v>740</v>
      </c>
      <c r="E70" s="64">
        <f t="shared" si="2"/>
        <v>2440</v>
      </c>
    </row>
    <row r="71" spans="1:6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6" x14ac:dyDescent="0.3">
      <c r="A72" s="2">
        <v>4</v>
      </c>
      <c r="C72" s="39" t="s">
        <v>81</v>
      </c>
      <c r="D72" s="44">
        <f>TRUNC(3111.69337979094,-1)</f>
        <v>3110</v>
      </c>
      <c r="E72" s="64">
        <f t="shared" si="2"/>
        <v>10280</v>
      </c>
    </row>
    <row r="73" spans="1:6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6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6" x14ac:dyDescent="0.3">
      <c r="A75" s="2">
        <v>7</v>
      </c>
      <c r="C75" s="39" t="s">
        <v>84</v>
      </c>
      <c r="D75" s="44">
        <f>TRUNC(1755.93844367015,-1)</f>
        <v>1750</v>
      </c>
      <c r="E75" s="64">
        <f t="shared" si="2"/>
        <v>5780</v>
      </c>
    </row>
    <row r="76" spans="1:6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6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6" x14ac:dyDescent="0.3">
      <c r="A78" s="2">
        <v>10</v>
      </c>
      <c r="C78" s="39" t="s">
        <v>87</v>
      </c>
      <c r="D78" s="44">
        <f>TRUNC(13383.3093302362,-1)</f>
        <v>13380</v>
      </c>
      <c r="E78" s="64">
        <f t="shared" si="2"/>
        <v>44230</v>
      </c>
      <c r="F78" s="2" t="s">
        <v>313</v>
      </c>
    </row>
    <row r="79" spans="1:6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6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90</v>
      </c>
      <c r="D81" s="44">
        <f>TRUNC(4466.16066589237,-1)</f>
        <v>4460</v>
      </c>
      <c r="E81" s="64">
        <f t="shared" si="2"/>
        <v>14740</v>
      </c>
    </row>
    <row r="82" spans="1:6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6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6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6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6" x14ac:dyDescent="0.3">
      <c r="A93" s="2">
        <v>25</v>
      </c>
      <c r="C93" s="39" t="s">
        <v>102</v>
      </c>
      <c r="D93" s="44">
        <f>TRUNC(121933.58168796,-1)</f>
        <v>121930</v>
      </c>
      <c r="E93" s="64">
        <f t="shared" si="2"/>
        <v>403070</v>
      </c>
    </row>
    <row r="94" spans="1:6" ht="17.25" thickBot="1" x14ac:dyDescent="0.35">
      <c r="A94" s="2">
        <v>26</v>
      </c>
      <c r="C94" s="39" t="s">
        <v>103</v>
      </c>
      <c r="D94" s="45">
        <f>TRUNC(14511.3931475029,-1)</f>
        <v>14510</v>
      </c>
      <c r="E94" s="65">
        <f t="shared" si="2"/>
        <v>47960</v>
      </c>
      <c r="F94" s="2" t="s">
        <v>315</v>
      </c>
    </row>
    <row r="95" spans="1:6" x14ac:dyDescent="0.3">
      <c r="A95" s="2">
        <v>27</v>
      </c>
      <c r="C95" s="27" t="s">
        <v>104</v>
      </c>
      <c r="D95" s="40">
        <f>SUM(D69:D94)</f>
        <v>161930</v>
      </c>
      <c r="E95" s="40">
        <f>SUM(E69:E94)</f>
        <v>535270</v>
      </c>
    </row>
    <row r="96" spans="1:6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f>TRUNC(15520.7185443283,-1)</f>
        <v>15520</v>
      </c>
      <c r="E98" s="63">
        <f t="shared" ref="E98:E118" si="3">TRUNC(+D98*3.3058,-1)</f>
        <v>51300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f>TRUNC(13337.6151761518,-1)</f>
        <v>13330</v>
      </c>
      <c r="E100" s="64">
        <f t="shared" si="3"/>
        <v>44060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f>TRUNC(6761.6149825784,-1)</f>
        <v>6760</v>
      </c>
      <c r="E102" s="64">
        <f t="shared" si="3"/>
        <v>22340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f>TRUNC(827.722996515679,-1)</f>
        <v>820</v>
      </c>
      <c r="E108" s="64">
        <f t="shared" si="3"/>
        <v>2710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6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6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102</v>
      </c>
      <c r="D117" s="44">
        <f>TRUNC(10838.172667441+24215.4471544715,-1)</f>
        <v>35050</v>
      </c>
      <c r="E117" s="64">
        <f t="shared" si="3"/>
        <v>115860</v>
      </c>
    </row>
    <row r="118" spans="1:6" ht="17.25" thickBot="1" x14ac:dyDescent="0.35">
      <c r="A118" s="2">
        <v>21</v>
      </c>
      <c r="C118" s="29" t="s">
        <v>103</v>
      </c>
      <c r="D118" s="45">
        <f>TRUNC(225.748161053039,-1)</f>
        <v>220</v>
      </c>
      <c r="E118" s="65">
        <f t="shared" si="3"/>
        <v>720</v>
      </c>
      <c r="F118" s="2" t="s">
        <v>312</v>
      </c>
    </row>
    <row r="119" spans="1:6" x14ac:dyDescent="0.3">
      <c r="A119" s="2">
        <v>22</v>
      </c>
      <c r="C119" s="27" t="s">
        <v>104</v>
      </c>
      <c r="D119" s="40">
        <f>SUM(D98:D118)</f>
        <v>71700</v>
      </c>
      <c r="E119" s="40">
        <f>SUM(E98:E118)</f>
        <v>236990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6" x14ac:dyDescent="0.3">
      <c r="A122" s="2">
        <v>1</v>
      </c>
      <c r="C122" s="29" t="s">
        <v>126</v>
      </c>
      <c r="D122" s="42">
        <f>TRUNC(1338.06407278359,-1)</f>
        <v>1330</v>
      </c>
      <c r="E122" s="63">
        <f t="shared" ref="E122:E132" si="4">TRUNC(+D122*3.3058,-1)</f>
        <v>4390</v>
      </c>
    </row>
    <row r="123" spans="1:6" x14ac:dyDescent="0.3">
      <c r="A123" s="2">
        <v>2</v>
      </c>
      <c r="C123" s="29" t="s">
        <v>127</v>
      </c>
      <c r="D123" s="44">
        <f>TRUNC(10255.7591947348,-1)</f>
        <v>10250</v>
      </c>
      <c r="E123" s="64">
        <f t="shared" si="4"/>
        <v>33880</v>
      </c>
      <c r="F123" s="2" t="s">
        <v>311</v>
      </c>
    </row>
    <row r="124" spans="1:6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6" x14ac:dyDescent="0.3">
      <c r="A125" s="2">
        <v>4</v>
      </c>
      <c r="C125" s="29" t="s">
        <v>129</v>
      </c>
      <c r="D125" s="44">
        <f>TRUNC(495.909794812234,-1)</f>
        <v>490</v>
      </c>
      <c r="E125" s="64">
        <f t="shared" si="4"/>
        <v>1610</v>
      </c>
      <c r="F125" s="2" t="s">
        <v>319</v>
      </c>
    </row>
    <row r="126" spans="1:6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6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6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6" x14ac:dyDescent="0.3">
      <c r="A131" s="2">
        <v>10</v>
      </c>
      <c r="C131" s="29" t="s">
        <v>102</v>
      </c>
      <c r="D131" s="44">
        <f>TRUNC(10978.9005032907,-1)</f>
        <v>10970</v>
      </c>
      <c r="E131" s="64">
        <f t="shared" si="4"/>
        <v>36260</v>
      </c>
    </row>
    <row r="132" spans="1:6" ht="17.25" thickBot="1" x14ac:dyDescent="0.35">
      <c r="A132" s="2">
        <v>11</v>
      </c>
      <c r="C132" s="29" t="s">
        <v>103</v>
      </c>
      <c r="D132" s="45">
        <f>TRUNC(3270.46631823461+2647.16066589237,-1)</f>
        <v>5910</v>
      </c>
      <c r="E132" s="65">
        <f t="shared" si="4"/>
        <v>19530</v>
      </c>
      <c r="F132" s="2" t="s">
        <v>318</v>
      </c>
    </row>
    <row r="133" spans="1:6" x14ac:dyDescent="0.3">
      <c r="A133" s="2">
        <v>12</v>
      </c>
      <c r="C133" s="41" t="s">
        <v>104</v>
      </c>
      <c r="D133" s="40">
        <f>SUM(D122:D132)</f>
        <v>28950</v>
      </c>
      <c r="E133" s="40">
        <f>SUM(E122:E132)</f>
        <v>95670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6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6" x14ac:dyDescent="0.3">
      <c r="A137" s="2">
        <v>2</v>
      </c>
      <c r="C137" s="39" t="s">
        <v>103</v>
      </c>
      <c r="D137" s="44">
        <f>TRUNC(2019.88695315525+1695.0873015873,-1)</f>
        <v>3710</v>
      </c>
      <c r="E137" s="64">
        <f t="shared" si="5"/>
        <v>12260</v>
      </c>
      <c r="F137" s="2" t="s">
        <v>314</v>
      </c>
    </row>
    <row r="138" spans="1:6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139</v>
      </c>
      <c r="D141" s="44">
        <f>TRUNC(16160.4289585753,-1)</f>
        <v>16160</v>
      </c>
      <c r="E141" s="64">
        <f t="shared" si="5"/>
        <v>53420</v>
      </c>
    </row>
    <row r="142" spans="1:6" x14ac:dyDescent="0.3">
      <c r="A142" s="2">
        <v>7</v>
      </c>
      <c r="C142" s="39" t="s">
        <v>140</v>
      </c>
      <c r="D142" s="44">
        <f>TRUNC(4496.27932636469,-1)</f>
        <v>4490</v>
      </c>
      <c r="E142" s="64">
        <f t="shared" si="5"/>
        <v>14840</v>
      </c>
    </row>
    <row r="143" spans="1:6" x14ac:dyDescent="0.3">
      <c r="A143" s="2">
        <v>8</v>
      </c>
      <c r="C143" s="39" t="s">
        <v>141</v>
      </c>
      <c r="D143" s="44">
        <f>TRUNC(2316.08323654665,-1)</f>
        <v>2310</v>
      </c>
      <c r="E143" s="64">
        <f t="shared" si="5"/>
        <v>7630</v>
      </c>
    </row>
    <row r="144" spans="1:6" x14ac:dyDescent="0.3">
      <c r="A144" s="2">
        <v>9</v>
      </c>
      <c r="C144" s="39" t="s">
        <v>142</v>
      </c>
      <c r="D144" s="44">
        <f>TRUNC(2988.86682152536,-1)</f>
        <v>2980</v>
      </c>
      <c r="E144" s="64">
        <f t="shared" si="5"/>
        <v>9850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29650</v>
      </c>
      <c r="E146" s="40">
        <f>SUM(E136:E145)</f>
        <v>98000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f>TRUNC(3359.18699186992+1091.31629887727,-1)</f>
        <v>4450</v>
      </c>
      <c r="E149" s="63">
        <f>TRUNC(+D149*3.3058,-1)</f>
        <v>14710</v>
      </c>
    </row>
    <row r="150" spans="1:6" x14ac:dyDescent="0.3">
      <c r="A150" s="2">
        <v>2</v>
      </c>
      <c r="C150" s="39" t="s">
        <v>145</v>
      </c>
      <c r="D150" s="44">
        <f>TRUNC(1174.38482384824,-1)</f>
        <v>1170</v>
      </c>
      <c r="E150" s="64">
        <f>TRUNC(+D150*3.3058,-1)</f>
        <v>3860</v>
      </c>
    </row>
    <row r="151" spans="1:6" x14ac:dyDescent="0.3">
      <c r="A151" s="2">
        <v>3</v>
      </c>
      <c r="C151" s="39" t="s">
        <v>146</v>
      </c>
      <c r="D151" s="44">
        <f>TRUNC(1477.24254742547,-1)</f>
        <v>1470</v>
      </c>
      <c r="E151" s="64">
        <f>TRUNC(+D151*3.3058,-1)</f>
        <v>4850</v>
      </c>
    </row>
    <row r="152" spans="1:6" x14ac:dyDescent="0.3">
      <c r="A152" s="2">
        <v>4</v>
      </c>
      <c r="C152" s="39" t="s">
        <v>103</v>
      </c>
      <c r="D152" s="44">
        <f>TRUNC(82.7849399922571+57.8784359272164,-1)</f>
        <v>140</v>
      </c>
      <c r="E152" s="64">
        <f>TRUNC(+D152*3.3058,-1)</f>
        <v>460</v>
      </c>
      <c r="F152" s="37" t="s">
        <v>316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7230</v>
      </c>
      <c r="E154" s="40">
        <f>SUM(E149:E153)</f>
        <v>23880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2020-12-07T09:17:21Z</dcterms:modified>
</cp:coreProperties>
</file>