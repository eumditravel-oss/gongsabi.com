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7" i="4" l="1"/>
  <c r="D153" i="4"/>
  <c r="D152" i="4"/>
  <c r="D150" i="4"/>
  <c r="D149" i="4"/>
  <c r="D144" i="4"/>
  <c r="D143" i="4"/>
  <c r="D142" i="4"/>
  <c r="D140" i="4"/>
  <c r="D137" i="4"/>
  <c r="D131" i="4"/>
  <c r="D130" i="4"/>
  <c r="D126" i="4"/>
  <c r="D125" i="4"/>
  <c r="D124" i="4"/>
  <c r="D122" i="4"/>
  <c r="D117" i="4"/>
  <c r="D116" i="4"/>
  <c r="D105" i="4"/>
  <c r="D104" i="4"/>
  <c r="D103" i="4"/>
  <c r="D102" i="4"/>
  <c r="D100" i="4"/>
  <c r="D99" i="4"/>
  <c r="D98" i="4"/>
  <c r="D93" i="4"/>
  <c r="D92" i="4"/>
  <c r="D91" i="4"/>
  <c r="D89" i="4"/>
  <c r="D73" i="4"/>
  <c r="D71" i="4"/>
  <c r="D69" i="4"/>
  <c r="D63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<sst xmlns="http://schemas.openxmlformats.org/spreadsheetml/2006/main" count="396" uniqueCount="267">
  <si>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</si>
  <si>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</si>
  <si>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</si>
  <si>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</si>
  <si>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</si>
  <si>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</si>
  <si>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</si>
  <si>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</si>
  <si>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</si>
  <si>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</si>
  <si>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</si>
  <si>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</si>
  <si>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</si>
  <si>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</si>
  <si>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</si>
  <si>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</si>
  <si>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</si>
  <si>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</si>
  <si>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</si>
  <si>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</si>
  <si>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</si>
  <si>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</si>
  <si>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</si>
  <si>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</si>
  <si>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</si>
  <si>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</si>
  <si>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</si>
  <si>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</si>
  <si>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</si>
  <si>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</si>
  <si>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</si>
  <si>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</si>
  <si>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</si>
  <si>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</si>
  <si>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</si>
  <si>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</si>
  <si>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</si>
  <si>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</si>
  <si>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</si>
  <si>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</si>
  <si>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</si>
  <si>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</si>
  <si>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</si>
  <si>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</si>
  <si>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</si>
  <si>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</si>
  <si>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</si>
  <si>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</si>
  <si>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</si>
  <si>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</si>
  <si>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</si>
  <si>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</si>
  <si>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</si>
  <si>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</si>
  <si>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</si>
  <si>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</si>
  <si>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</si>
  <si>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</si>
  <si>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</si>
  <si>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</si>
  <si>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</si>
  <si>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</si>
  <si>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</si>
  <si>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</si>
  <si>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</si>
  <si>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</si>
  <si>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</si>
  <si>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</si>
  <si>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</si>
  <si>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</si>
  <si>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</si>
  <si>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</si>
  <si>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</si>
  <si>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</si>
  <si>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</si>
  <si>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</si>
  <si>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</si>
  <si>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</si>
  <si>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</si>
  <si>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</si>
  <si>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</si>
  <si>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</si>
  <si>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</si>
  <si>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</si>
  <si>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</si>
  <si>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</si>
  <si>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</si>
  <si>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</si>
  <si>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</si>
  <si>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</si>
  <si>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</si>
  <si>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</si>
  <si>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</si>
  <si>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</si>
  <si>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</si>
  <si>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</si>
  <si>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</si>
  <si>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</si>
  <si>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</si>
  <si>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</si>
  <si>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</si>
  <si>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</si>
  <si>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</si>
  <si>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</si>
  <si>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</si>
  <si>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</si>
  <si>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</si>
  <si>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</si>
  <si>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</si>
  <si>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</si>
  <si>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</si>
  <si>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</si>
  <si>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</si>
  <si>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</si>
  <si>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</si>
  <si>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</si>
  <si>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</si>
  <si>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</si>
  <si>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</si>
  <si>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</si>
  <si>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</si>
  <si>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</si>
  <si>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</si>
  <si>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</si>
  <si>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</si>
  <si>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</si>
  <si>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</si>
  <si>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</si>
  <si>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</si>
  <si>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</si>
  <si>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</si>
  <si>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</si>
  <si>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</si>
  <si>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</si>
  <si>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</si>
  <si>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</si>
  <si>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</si>
  <si>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</si>
  <si>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</si>
  <si>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</si>
  <si>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</si>
  <si>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</si>
  <si>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</si>
  <si>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</si>
  <si>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</si>
  <si>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</si>
  <si>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</si>
  <si>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</si>
  <si>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</si>
  <si>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</si>
  <si>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</si>
  <si>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</si>
  <si>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</si>
  <si>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</si>
  <si>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</si>
  <si>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</si>
  <si>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</si>
  <si>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</si>
  <si>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</si>
  <si>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</si>
  <si>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</si>
  <si>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</si>
  <si>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</si>
  <si>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</si>
  <si>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</si>
  <si>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</si>
  <si>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</si>
  <si>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</si>
  <si>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</si>
  <si>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</si>
  <si>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</si>
  <si>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</si>
  <si>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</si>
  <si>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</si>
  <si>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</si>
  <si>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</si>
  <si>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</si>
  <si>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</si>
  <si>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</si>
  <si>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</si>
  <si>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</si>
  <si>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</si>
  <si>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</si>
  <si>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</si>
  <si>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</si>
  <si>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</si>
  <si>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</si>
  <si>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</si>
  <si>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</si>
  <si>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</si>
  <si>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</si>
  <si>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</si>
  <si>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</si>
  <si>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</si>
  <si>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</si>
  <si>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</si>
  <si>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</si>
  <si>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</si>
  <si>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</si>
  <si>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</si>
  <si>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</si>
  <si>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</si>
  <si>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</si>
  <si>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</si>
  <si>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</si>
  <si>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</si>
  <si>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</si>
  <si>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</si>
  <si>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</si>
  <si>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</si>
  <si>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</si>
  <si>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</si>
  <si>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</si>
  <si>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</si>
  <si>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</si>
  <si>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</si>
  <si>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</si>
  <si>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</si>
  <si>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</si>
  <si>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</si>
  <si>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</si>
  <si>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</si>
  <si>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</si>
  <si>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</si>
  <si>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</si>
  <si>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</si>
  <si>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</si>
  <si>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</si>
  <si>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</si>
  <si>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</si>
  <si>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</si>
  <si>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</si>
  <si>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</si>
  <si>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</si>
  <si>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경기도</t>
  </si>
  <si>
    <t>원/ m2</t>
    <phoneticPr fontId="2" type="noConversion"/>
  </si>
  <si>
    <t>원 /평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</si>
  <si>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</si>
  <si>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</si>
  <si>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</si>
  <si>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</si>
  <si>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</si>
  <si>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</si>
  <si>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</si>
  <si>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</si>
  <si>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</si>
  <si>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</si>
  <si>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</si>
  <si>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</si>
  <si>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</si>
  <si>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</si>
  <si>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목공사, 인테리어공사 포함</t>
    <phoneticPr fontId="2" type="noConversion"/>
  </si>
  <si>
    <t>기초공사,골재비및운반비, 작업부산물, 기타공사</t>
    <phoneticPr fontId="2" type="noConversion"/>
  </si>
  <si>
    <t>우수처리시설공사</t>
    <phoneticPr fontId="2" type="noConversion"/>
  </si>
  <si>
    <t>옥외보안등설비공사</t>
    <phoneticPr fontId="2" type="noConversion"/>
  </si>
  <si>
    <t>CATV 및 TV 설비공사</t>
    <phoneticPr fontId="2" type="noConversion"/>
  </si>
  <si>
    <t>CCTV설비공사,기타공사</t>
    <phoneticPr fontId="2" type="noConversion"/>
  </si>
  <si>
    <t>전기인입 및 수변전 설비공사</t>
    <phoneticPr fontId="2" type="noConversion"/>
  </si>
  <si>
    <t>평택세관 세관검사장 신축</t>
    <phoneticPr fontId="2" type="noConversion"/>
  </si>
  <si>
    <t>창고</t>
  </si>
  <si>
    <t>펌프실배관공사</t>
    <phoneticPr fontId="2" type="noConversion"/>
  </si>
  <si>
    <t>토목 상수도공사, 운반비, 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</si>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</sst>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155</v>
      </c>
      <c r="B2" s="74" t="s">
        <v>0</v>
      </c>
      <c r="C2" s="75"/>
      <c r="D2" s="74" t="s">
        <v>1</v>
      </c>
      <c r="E2" s="75"/>
      <c r="F2" s="74" t="s">
        <v>156</v>
      </c>
      <c r="G2" s="75"/>
      <c r="H2" s="74" t="s">
        <v>2</v>
      </c>
      <c r="I2" s="75"/>
      <c r="J2" s="74" t="s">
        <v>3</v>
      </c>
      <c r="K2" s="75"/>
      <c r="L2" s="74" t="s">
        <v>157</v>
      </c>
      <c r="M2" s="75"/>
      <c r="N2" s="74" t="s">
        <v>158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237</v>
      </c>
    </row>
    <row r="7" spans="1:4" ht="17.25" thickBot="1" x14ac:dyDescent="0.35">
      <c r="C7" s="37">
        <v>4469.08</v>
      </c>
      <c r="D7" s="36">
        <f>+C7/3.3058</f>
        <v>1351.8906164922257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234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236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7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581500</v>
      </c>
      <c r="E25" s="58">
        <f t="shared" si="0"/>
        <v>1922320</v>
      </c>
    </row>
    <row r="26" spans="1:5" x14ac:dyDescent="0.3">
      <c r="B26" s="2">
        <v>3</v>
      </c>
      <c r="C26" s="35" t="s">
        <v>95</v>
      </c>
      <c r="D26" s="45">
        <f>+D66</f>
        <v>7340</v>
      </c>
      <c r="E26" s="58">
        <f t="shared" si="0"/>
        <v>24260</v>
      </c>
    </row>
    <row r="27" spans="1:5" x14ac:dyDescent="0.3">
      <c r="B27" s="2">
        <v>4</v>
      </c>
      <c r="C27" s="35" t="s">
        <v>96</v>
      </c>
      <c r="D27" s="45">
        <f>+D95</f>
        <v>22600</v>
      </c>
      <c r="E27" s="58">
        <f t="shared" si="0"/>
        <v>74710</v>
      </c>
    </row>
    <row r="28" spans="1:5" x14ac:dyDescent="0.3">
      <c r="B28" s="2">
        <v>5</v>
      </c>
      <c r="C28" s="35" t="s">
        <v>97</v>
      </c>
      <c r="D28" s="45">
        <f>+D119</f>
        <v>83090</v>
      </c>
      <c r="E28" s="58">
        <f t="shared" si="0"/>
        <v>274670</v>
      </c>
    </row>
    <row r="29" spans="1:5" x14ac:dyDescent="0.3">
      <c r="B29" s="2">
        <v>6</v>
      </c>
      <c r="C29" s="35" t="s">
        <v>98</v>
      </c>
      <c r="D29" s="45">
        <f>+D133</f>
        <v>29400</v>
      </c>
      <c r="E29" s="58">
        <f t="shared" si="0"/>
        <v>97190</v>
      </c>
    </row>
    <row r="30" spans="1:5" x14ac:dyDescent="0.3">
      <c r="B30" s="2">
        <v>7</v>
      </c>
      <c r="C30" s="35" t="s">
        <v>99</v>
      </c>
      <c r="D30" s="45">
        <f>+D146</f>
        <v>27120</v>
      </c>
      <c r="E30" s="58">
        <f t="shared" si="0"/>
        <v>89650</v>
      </c>
    </row>
    <row r="31" spans="1:5" x14ac:dyDescent="0.3">
      <c r="B31" s="2">
        <v>8</v>
      </c>
      <c r="C31" s="35" t="s">
        <v>100</v>
      </c>
      <c r="D31" s="45">
        <f>+D154</f>
        <v>66030</v>
      </c>
      <c r="E31" s="58">
        <f t="shared" si="0"/>
        <v>218280</v>
      </c>
    </row>
    <row r="32" spans="1:5" x14ac:dyDescent="0.3">
      <c r="B32" s="2">
        <v>9</v>
      </c>
      <c r="C32" s="35" t="s">
        <v>101</v>
      </c>
      <c r="D32" s="45">
        <f>+D161</f>
        <v>25250</v>
      </c>
      <c r="E32" s="58">
        <f t="shared" si="0"/>
        <v>83470</v>
      </c>
    </row>
    <row r="33" spans="1:7" x14ac:dyDescent="0.3">
      <c r="B33" s="2">
        <v>10</v>
      </c>
      <c r="C33" s="35" t="s">
        <v>153</v>
      </c>
      <c r="D33" s="53">
        <f>TRUNC(SUM(D24:D32)*0.275,-1)</f>
        <v>231640</v>
      </c>
      <c r="E33" s="59">
        <f t="shared" si="0"/>
        <v>765750</v>
      </c>
    </row>
    <row r="34" spans="1:7" x14ac:dyDescent="0.3">
      <c r="C34" s="35" t="s">
        <v>112</v>
      </c>
      <c r="D34" s="44">
        <f>SUM(D24:D33)</f>
        <v>1073970</v>
      </c>
      <c r="E34" s="44">
        <f>SUM(E24:E33)</f>
        <v>3550300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239</v>
      </c>
      <c r="D36" s="56" t="s">
        <v>235</v>
      </c>
      <c r="E36" s="56" t="s">
        <v>236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0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243</v>
      </c>
      <c r="D39" s="66" t="s">
        <v>262</v>
      </c>
      <c r="E39" s="66" t="s">
        <v>263</v>
      </c>
      <c r="G39" s="67"/>
    </row>
    <row r="40" spans="1:7" x14ac:dyDescent="0.3">
      <c r="A40" s="2">
        <v>1</v>
      </c>
      <c r="C40" s="38" t="s">
        <v>15</v>
      </c>
      <c r="D40" s="40">
        <f>TRUNC(11259,-1)</f>
        <v>11250</v>
      </c>
      <c r="E40" s="61">
        <f t="shared" ref="E40:E59" si="1">TRUNC(+D40*3.3058,-1)</f>
        <v>37190</v>
      </c>
    </row>
    <row r="41" spans="1:7" x14ac:dyDescent="0.3">
      <c r="A41" s="2">
        <v>2</v>
      </c>
      <c r="C41" s="38" t="s">
        <v>13</v>
      </c>
      <c r="D41" s="42">
        <f>TRUNC(33174,-1)</f>
        <v>33170</v>
      </c>
      <c r="E41" s="62">
        <f t="shared" si="1"/>
        <v>109650</v>
      </c>
    </row>
    <row r="42" spans="1:7" x14ac:dyDescent="0.3">
      <c r="A42" s="2">
        <v>3</v>
      </c>
      <c r="C42" s="38" t="s">
        <v>14</v>
      </c>
      <c r="D42" s="42">
        <f>TRUNC(151568,-1)</f>
        <v>151560</v>
      </c>
      <c r="E42" s="62">
        <f t="shared" si="1"/>
        <v>501020</v>
      </c>
    </row>
    <row r="43" spans="1:7" x14ac:dyDescent="0.3">
      <c r="A43" s="2">
        <v>4</v>
      </c>
      <c r="C43" s="38" t="s">
        <v>16</v>
      </c>
      <c r="D43" s="42">
        <f>TRUNC(6184,-1)</f>
        <v>6180</v>
      </c>
      <c r="E43" s="62">
        <f t="shared" si="1"/>
        <v>20420</v>
      </c>
    </row>
    <row r="44" spans="1:7" x14ac:dyDescent="0.3">
      <c r="A44" s="2">
        <v>5</v>
      </c>
      <c r="C44" s="38" t="s">
        <v>17</v>
      </c>
      <c r="D44" s="42">
        <f>TRUNC(3447,-1)</f>
        <v>3440</v>
      </c>
      <c r="E44" s="62">
        <f t="shared" si="1"/>
        <v>11370</v>
      </c>
    </row>
    <row r="45" spans="1:7" x14ac:dyDescent="0.3">
      <c r="A45" s="2">
        <v>6</v>
      </c>
      <c r="C45" s="38" t="s">
        <v>18</v>
      </c>
      <c r="D45" s="42">
        <f>TRUNC(3857,-1)</f>
        <v>3850</v>
      </c>
      <c r="E45" s="62">
        <f t="shared" si="1"/>
        <v>12720</v>
      </c>
    </row>
    <row r="46" spans="1:7" x14ac:dyDescent="0.3">
      <c r="A46" s="2">
        <v>7</v>
      </c>
      <c r="C46" s="38" t="s">
        <v>19</v>
      </c>
      <c r="D46" s="42">
        <f>TRUNC(2916,-1)</f>
        <v>2910</v>
      </c>
      <c r="E46" s="62">
        <f t="shared" si="1"/>
        <v>9610</v>
      </c>
    </row>
    <row r="47" spans="1:7" x14ac:dyDescent="0.3">
      <c r="A47" s="2">
        <v>8</v>
      </c>
      <c r="C47" s="38" t="s">
        <v>20</v>
      </c>
      <c r="D47" s="42">
        <v>0</v>
      </c>
      <c r="E47" s="62">
        <f t="shared" si="1"/>
        <v>0</v>
      </c>
    </row>
    <row r="48" spans="1:7" x14ac:dyDescent="0.3">
      <c r="A48" s="2">
        <v>9</v>
      </c>
      <c r="C48" s="38" t="s">
        <v>21</v>
      </c>
      <c r="D48" s="42">
        <f>TRUNC(130892,-1)</f>
        <v>130890</v>
      </c>
      <c r="E48" s="62">
        <f t="shared" si="1"/>
        <v>432690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TRUNC(2277,-1)</f>
        <v>2270</v>
      </c>
      <c r="E49" s="62">
        <f t="shared" si="1"/>
        <v>7500</v>
      </c>
    </row>
    <row r="50" spans="1:7" x14ac:dyDescent="0.3">
      <c r="A50" s="2">
        <v>11</v>
      </c>
      <c r="C50" s="38" t="s">
        <v>154</v>
      </c>
      <c r="D50" s="42">
        <f>TRUNC(31145,-1)</f>
        <v>31140</v>
      </c>
      <c r="E50" s="62">
        <f t="shared" si="1"/>
        <v>102940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2">
        <f t="shared" si="1"/>
        <v>0</v>
      </c>
    </row>
    <row r="52" spans="1:7" x14ac:dyDescent="0.3">
      <c r="A52" s="2">
        <v>13</v>
      </c>
      <c r="C52" s="38" t="s">
        <v>24</v>
      </c>
      <c r="D52" s="42">
        <f>TRUNC(9164,-1)</f>
        <v>9160</v>
      </c>
      <c r="E52" s="62">
        <f t="shared" si="1"/>
        <v>30280</v>
      </c>
    </row>
    <row r="53" spans="1:7" x14ac:dyDescent="0.3">
      <c r="A53" s="2">
        <v>14</v>
      </c>
      <c r="C53" s="38" t="s">
        <v>25</v>
      </c>
      <c r="D53" s="42">
        <f>TRUNC(19864,-1)</f>
        <v>19860</v>
      </c>
      <c r="E53" s="62">
        <f t="shared" si="1"/>
        <v>65650</v>
      </c>
      <c r="F53" s="2" t="s">
        <v>251</v>
      </c>
    </row>
    <row r="54" spans="1:7" x14ac:dyDescent="0.3">
      <c r="A54" s="2">
        <v>15</v>
      </c>
      <c r="C54" s="38" t="s">
        <v>147</v>
      </c>
      <c r="D54" s="42">
        <v>0</v>
      </c>
      <c r="E54" s="62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2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2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2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TRUNC(49081+777-192+15046,-1)</f>
        <v>64710</v>
      </c>
      <c r="E58" s="62">
        <f t="shared" si="1"/>
        <v>213910</v>
      </c>
      <c r="F58" s="2" t="s">
        <v>252</v>
      </c>
    </row>
    <row r="59" spans="1:7" ht="17.25" thickBot="1" x14ac:dyDescent="0.35">
      <c r="A59" s="2">
        <v>20</v>
      </c>
      <c r="C59" s="38" t="s">
        <v>148</v>
      </c>
      <c r="D59" s="43">
        <f>TRUNC(111112,-1)</f>
        <v>111110</v>
      </c>
      <c r="E59" s="63">
        <f t="shared" si="1"/>
        <v>367300</v>
      </c>
    </row>
    <row r="60" spans="1:7" x14ac:dyDescent="0.3">
      <c r="A60" s="2">
        <v>21</v>
      </c>
      <c r="C60" s="27" t="s">
        <v>112</v>
      </c>
      <c r="D60" s="39">
        <f>SUM(D40:D59)</f>
        <v>581500</v>
      </c>
      <c r="E60" s="39">
        <f>SUM(E40:E59)</f>
        <v>1922250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240</v>
      </c>
      <c r="C62" s="55" t="s">
        <v>241</v>
      </c>
      <c r="D62" s="56" t="s">
        <v>238</v>
      </c>
      <c r="E62" s="56" t="s">
        <v>236</v>
      </c>
      <c r="F62" s="54"/>
      <c r="G62" s="54"/>
    </row>
    <row r="63" spans="1:7" x14ac:dyDescent="0.3">
      <c r="A63" s="2">
        <v>1</v>
      </c>
      <c r="C63" s="38" t="s">
        <v>27</v>
      </c>
      <c r="D63" s="40">
        <f>TRUNC(7349,-1)</f>
        <v>7340</v>
      </c>
      <c r="E63" s="61">
        <f>TRUNC(+D63*3.3058,-1)</f>
        <v>24260</v>
      </c>
    </row>
    <row r="64" spans="1:7" x14ac:dyDescent="0.3">
      <c r="A64" s="2">
        <v>2</v>
      </c>
      <c r="C64" s="38" t="s">
        <v>29</v>
      </c>
      <c r="D64" s="42">
        <v>0</v>
      </c>
      <c r="E64" s="62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3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7340</v>
      </c>
      <c r="E66" s="64">
        <f>SUM(E63:E65)</f>
        <v>24260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242</v>
      </c>
      <c r="C68" s="55" t="s">
        <v>243</v>
      </c>
      <c r="D68" s="56" t="s">
        <v>235</v>
      </c>
      <c r="E68" s="56" t="s">
        <v>236</v>
      </c>
      <c r="F68" s="54"/>
      <c r="G68" s="54"/>
    </row>
    <row r="69" spans="1:7" x14ac:dyDescent="0.3">
      <c r="A69" s="2">
        <v>1</v>
      </c>
      <c r="C69" s="38" t="s">
        <v>30</v>
      </c>
      <c r="D69" s="40">
        <f>TRUNC(5472,-1)</f>
        <v>5470</v>
      </c>
      <c r="E69" s="61">
        <f t="shared" ref="E69:E94" si="2">TRUNC(+D69*3.3058,-1)</f>
        <v>18080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2">
        <f t="shared" si="2"/>
        <v>0</v>
      </c>
    </row>
    <row r="71" spans="1:7" x14ac:dyDescent="0.3">
      <c r="A71" s="2">
        <v>3</v>
      </c>
      <c r="C71" s="38" t="s">
        <v>32</v>
      </c>
      <c r="D71" s="42">
        <f>TRUNC(2068,-1)</f>
        <v>2060</v>
      </c>
      <c r="E71" s="62">
        <f t="shared" si="2"/>
        <v>6800</v>
      </c>
    </row>
    <row r="72" spans="1:7" x14ac:dyDescent="0.3">
      <c r="A72" s="2">
        <v>4</v>
      </c>
      <c r="C72" s="38" t="s">
        <v>33</v>
      </c>
      <c r="D72" s="42">
        <v>0</v>
      </c>
      <c r="E72" s="62">
        <f t="shared" si="2"/>
        <v>0</v>
      </c>
    </row>
    <row r="73" spans="1:7" x14ac:dyDescent="0.3">
      <c r="A73" s="2">
        <v>5</v>
      </c>
      <c r="C73" s="38" t="s">
        <v>34</v>
      </c>
      <c r="D73" s="42">
        <f>TRUNC(2164,-1)</f>
        <v>2160</v>
      </c>
      <c r="E73" s="62">
        <f t="shared" si="2"/>
        <v>7140</v>
      </c>
    </row>
    <row r="74" spans="1:7" x14ac:dyDescent="0.3">
      <c r="A74" s="2">
        <v>6</v>
      </c>
      <c r="C74" s="38" t="s">
        <v>175</v>
      </c>
      <c r="D74" s="42">
        <v>0</v>
      </c>
      <c r="E74" s="62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2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2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2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2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2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2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2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2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2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2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2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2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2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2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TRUNC(1819,-1)</f>
        <v>1810</v>
      </c>
      <c r="E89" s="62">
        <f t="shared" si="2"/>
        <v>5980</v>
      </c>
    </row>
    <row r="90" spans="1:7" x14ac:dyDescent="0.3">
      <c r="A90" s="2">
        <v>22</v>
      </c>
      <c r="C90" s="38" t="s">
        <v>36</v>
      </c>
      <c r="D90" s="42">
        <v>0</v>
      </c>
      <c r="E90" s="62">
        <f t="shared" si="2"/>
        <v>0</v>
      </c>
    </row>
    <row r="91" spans="1:7" x14ac:dyDescent="0.3">
      <c r="A91" s="2">
        <v>23</v>
      </c>
      <c r="C91" s="38" t="s">
        <v>37</v>
      </c>
      <c r="D91" s="42">
        <f>TRUNC(925,-1)</f>
        <v>920</v>
      </c>
      <c r="E91" s="62">
        <f t="shared" si="2"/>
        <v>3040</v>
      </c>
    </row>
    <row r="92" spans="1:7" x14ac:dyDescent="0.3">
      <c r="A92" s="2">
        <v>24</v>
      </c>
      <c r="C92" s="38" t="s">
        <v>38</v>
      </c>
      <c r="D92" s="42">
        <f>TRUNC(1995,-1)</f>
        <v>1990</v>
      </c>
      <c r="E92" s="62">
        <f t="shared" si="2"/>
        <v>6570</v>
      </c>
    </row>
    <row r="93" spans="1:7" x14ac:dyDescent="0.3">
      <c r="A93" s="2">
        <v>25</v>
      </c>
      <c r="C93" s="38" t="s">
        <v>148</v>
      </c>
      <c r="D93" s="42">
        <f>TRUNC(8197,-1)</f>
        <v>8190</v>
      </c>
      <c r="E93" s="62">
        <f t="shared" si="2"/>
        <v>27070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3">
        <f t="shared" si="2"/>
        <v>0</v>
      </c>
      <c r="F94" s="2" t="s">
        <v>253</v>
      </c>
    </row>
    <row r="95" spans="1:7" x14ac:dyDescent="0.3">
      <c r="A95" s="2">
        <v>27</v>
      </c>
      <c r="C95" s="27" t="s">
        <v>112</v>
      </c>
      <c r="D95" s="39">
        <f>SUM(D69:D94)</f>
        <v>22600</v>
      </c>
      <c r="E95" s="39">
        <f>SUM(E69:E94)</f>
        <v>74680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244</v>
      </c>
      <c r="C97" s="55" t="s">
        <v>243</v>
      </c>
      <c r="D97" s="56" t="s">
        <v>235</v>
      </c>
      <c r="E97" s="56" t="s">
        <v>236</v>
      </c>
      <c r="F97" s="54"/>
      <c r="G97" s="54"/>
    </row>
    <row r="98" spans="1:7" x14ac:dyDescent="0.3">
      <c r="A98" s="2">
        <v>1</v>
      </c>
      <c r="C98" s="38" t="s">
        <v>39</v>
      </c>
      <c r="D98" s="40">
        <f>TRUNC(12203,-1)</f>
        <v>12200</v>
      </c>
      <c r="E98" s="61">
        <f t="shared" ref="E98:E118" si="3">TRUNC(+D98*3.3058,-1)</f>
        <v>40330</v>
      </c>
    </row>
    <row r="99" spans="1:7" x14ac:dyDescent="0.3">
      <c r="A99" s="2">
        <v>2</v>
      </c>
      <c r="C99" s="38" t="s">
        <v>40</v>
      </c>
      <c r="D99" s="42">
        <f>TRUNC(6304,-1)</f>
        <v>6300</v>
      </c>
      <c r="E99" s="62">
        <f t="shared" si="3"/>
        <v>20820</v>
      </c>
    </row>
    <row r="100" spans="1:7" x14ac:dyDescent="0.3">
      <c r="A100" s="2">
        <v>3</v>
      </c>
      <c r="C100" s="38" t="s">
        <v>41</v>
      </c>
      <c r="D100" s="42">
        <f>TRUNC(13548,-1)</f>
        <v>13540</v>
      </c>
      <c r="E100" s="62">
        <f t="shared" si="3"/>
        <v>44760</v>
      </c>
    </row>
    <row r="101" spans="1:7" x14ac:dyDescent="0.3">
      <c r="A101" s="2">
        <v>4</v>
      </c>
      <c r="C101" s="38" t="s">
        <v>42</v>
      </c>
      <c r="D101" s="42">
        <v>0</v>
      </c>
      <c r="E101" s="62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TRUNC(4393,-1)</f>
        <v>4390</v>
      </c>
      <c r="E102" s="62">
        <f t="shared" si="3"/>
        <v>14510</v>
      </c>
    </row>
    <row r="103" spans="1:7" x14ac:dyDescent="0.3">
      <c r="A103" s="2">
        <v>6</v>
      </c>
      <c r="C103" s="38" t="s">
        <v>44</v>
      </c>
      <c r="D103" s="42">
        <f>TRUNC(1998,-1)</f>
        <v>1990</v>
      </c>
      <c r="E103" s="62">
        <f t="shared" si="3"/>
        <v>6570</v>
      </c>
    </row>
    <row r="104" spans="1:7" x14ac:dyDescent="0.3">
      <c r="A104" s="2">
        <v>7</v>
      </c>
      <c r="C104" s="38" t="s">
        <v>45</v>
      </c>
      <c r="D104" s="42">
        <f>TRUNC(8669,-1)</f>
        <v>8660</v>
      </c>
      <c r="E104" s="62">
        <f t="shared" si="3"/>
        <v>28620</v>
      </c>
    </row>
    <row r="105" spans="1:7" x14ac:dyDescent="0.3">
      <c r="A105" s="2">
        <v>8</v>
      </c>
      <c r="C105" s="38" t="s">
        <v>46</v>
      </c>
      <c r="D105" s="42">
        <f>TRUNC(1936,-1)</f>
        <v>1930</v>
      </c>
      <c r="E105" s="62">
        <f t="shared" si="3"/>
        <v>6380</v>
      </c>
    </row>
    <row r="106" spans="1:7" x14ac:dyDescent="0.3">
      <c r="A106" s="2">
        <v>9</v>
      </c>
      <c r="C106" s="38" t="s">
        <v>135</v>
      </c>
      <c r="D106" s="42">
        <v>0</v>
      </c>
      <c r="E106" s="62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2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2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2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2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2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2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2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2">
        <f t="shared" si="3"/>
        <v>0</v>
      </c>
      <c r="F114" s="2" t="s">
        <v>254</v>
      </c>
    </row>
    <row r="115" spans="1:7" x14ac:dyDescent="0.3">
      <c r="A115" s="2">
        <v>18</v>
      </c>
      <c r="C115" s="38" t="s">
        <v>116</v>
      </c>
      <c r="D115" s="42">
        <v>0</v>
      </c>
      <c r="E115" s="62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TRUNC(12695,-1)</f>
        <v>12690</v>
      </c>
      <c r="E116" s="62">
        <f t="shared" si="3"/>
        <v>41950</v>
      </c>
      <c r="F116" s="2" t="s">
        <v>257</v>
      </c>
    </row>
    <row r="117" spans="1:7" x14ac:dyDescent="0.3">
      <c r="A117" s="2">
        <v>20</v>
      </c>
      <c r="C117" s="38" t="s">
        <v>148</v>
      </c>
      <c r="D117" s="42">
        <f>TRUNC(21394,-1)</f>
        <v>21390</v>
      </c>
      <c r="E117" s="62">
        <f t="shared" si="3"/>
        <v>70710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3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83090</v>
      </c>
      <c r="E119" s="39">
        <f>SUM(E98:E118)</f>
        <v>274650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245</v>
      </c>
      <c r="C121" s="55" t="s">
        <v>243</v>
      </c>
      <c r="D121" s="56" t="s">
        <v>235</v>
      </c>
      <c r="E121" s="56" t="s">
        <v>236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f>TRUNC(2000,-1)</f>
        <v>2000</v>
      </c>
      <c r="E122" s="61">
        <f t="shared" ref="E122:E132" si="4">TRUNC(+D122*3.3058,-1)</f>
        <v>6610</v>
      </c>
      <c r="F122" s="2" t="s">
        <v>255</v>
      </c>
    </row>
    <row r="123" spans="1:7" x14ac:dyDescent="0.3">
      <c r="A123" s="2">
        <v>2</v>
      </c>
      <c r="C123" s="38" t="s">
        <v>124</v>
      </c>
      <c r="D123" s="42">
        <v>0</v>
      </c>
      <c r="E123" s="62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TRUNC(1215,-1)</f>
        <v>1210</v>
      </c>
      <c r="E124" s="62">
        <f t="shared" si="4"/>
        <v>4000</v>
      </c>
    </row>
    <row r="125" spans="1:7" x14ac:dyDescent="0.3">
      <c r="A125" s="2">
        <v>4</v>
      </c>
      <c r="C125" s="38" t="s">
        <v>138</v>
      </c>
      <c r="D125" s="42">
        <f>TRUNC(4901,-1)</f>
        <v>4900</v>
      </c>
      <c r="E125" s="62">
        <f t="shared" si="4"/>
        <v>16190</v>
      </c>
    </row>
    <row r="126" spans="1:7" x14ac:dyDescent="0.3">
      <c r="A126" s="2">
        <v>5</v>
      </c>
      <c r="C126" s="38" t="s">
        <v>53</v>
      </c>
      <c r="D126" s="42">
        <f>TRUNC(5915,-1)</f>
        <v>5910</v>
      </c>
      <c r="E126" s="62">
        <f t="shared" si="4"/>
        <v>19530</v>
      </c>
    </row>
    <row r="127" spans="1:7" x14ac:dyDescent="0.3">
      <c r="A127" s="2">
        <v>6</v>
      </c>
      <c r="C127" s="38" t="s">
        <v>56</v>
      </c>
      <c r="D127" s="42">
        <v>0</v>
      </c>
      <c r="E127" s="62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2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2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TRUNC(8068,-1)</f>
        <v>8060</v>
      </c>
      <c r="E130" s="62">
        <f t="shared" si="4"/>
        <v>26640</v>
      </c>
    </row>
    <row r="131" spans="1:7" x14ac:dyDescent="0.3">
      <c r="A131" s="2">
        <v>10</v>
      </c>
      <c r="C131" s="38" t="s">
        <v>148</v>
      </c>
      <c r="D131" s="42">
        <f>TRUNC(7321,-1)</f>
        <v>7320</v>
      </c>
      <c r="E131" s="62">
        <f t="shared" si="4"/>
        <v>24190</v>
      </c>
    </row>
    <row r="132" spans="1:7" ht="17.25" thickBot="1" x14ac:dyDescent="0.35">
      <c r="A132" s="2">
        <v>11</v>
      </c>
      <c r="C132" s="38" t="s">
        <v>47</v>
      </c>
      <c r="D132" s="43">
        <v>0</v>
      </c>
      <c r="E132" s="63">
        <f t="shared" si="4"/>
        <v>0</v>
      </c>
      <c r="F132" s="2" t="s">
        <v>256</v>
      </c>
    </row>
    <row r="133" spans="1:7" x14ac:dyDescent="0.3">
      <c r="A133" s="2">
        <v>12</v>
      </c>
      <c r="C133" s="27" t="s">
        <v>112</v>
      </c>
      <c r="D133" s="39">
        <f>SUM(D122:D132)</f>
        <v>29400</v>
      </c>
      <c r="E133" s="39">
        <f>SUM(E122:E132)</f>
        <v>97160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246</v>
      </c>
      <c r="C135" s="55" t="s">
        <v>243</v>
      </c>
      <c r="D135" s="56" t="s">
        <v>235</v>
      </c>
      <c r="E135" s="56" t="s">
        <v>236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1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TRUNC(2623,-1)</f>
        <v>2620</v>
      </c>
      <c r="E137" s="62">
        <f t="shared" si="5"/>
        <v>8660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2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2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TRUNC(2308,-1)</f>
        <v>2300</v>
      </c>
      <c r="E140" s="62">
        <f t="shared" si="5"/>
        <v>7600</v>
      </c>
    </row>
    <row r="141" spans="1:7" x14ac:dyDescent="0.3">
      <c r="A141" s="2">
        <v>6</v>
      </c>
      <c r="C141" s="38" t="s">
        <v>59</v>
      </c>
      <c r="D141" s="42">
        <v>0</v>
      </c>
      <c r="E141" s="62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TRUNC(4345,-1)</f>
        <v>4340</v>
      </c>
      <c r="E142" s="62">
        <f t="shared" si="5"/>
        <v>14340</v>
      </c>
    </row>
    <row r="143" spans="1:7" x14ac:dyDescent="0.3">
      <c r="A143" s="2">
        <v>8</v>
      </c>
      <c r="C143" s="38" t="s">
        <v>62</v>
      </c>
      <c r="D143" s="42">
        <f>TRUNC(3639,-1)</f>
        <v>3630</v>
      </c>
      <c r="E143" s="62">
        <f t="shared" si="5"/>
        <v>12000</v>
      </c>
    </row>
    <row r="144" spans="1:7" x14ac:dyDescent="0.3">
      <c r="A144" s="2">
        <v>9</v>
      </c>
      <c r="C144" s="38" t="s">
        <v>63</v>
      </c>
      <c r="D144" s="42">
        <f>TRUNC(14238,-1)</f>
        <v>14230</v>
      </c>
      <c r="E144" s="62">
        <f t="shared" si="5"/>
        <v>47040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3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27120</v>
      </c>
      <c r="E146" s="39">
        <f>SUM(E136:E145)</f>
        <v>89640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247</v>
      </c>
      <c r="C148" s="55" t="s">
        <v>243</v>
      </c>
      <c r="D148" s="56" t="s">
        <v>235</v>
      </c>
      <c r="E148" s="56" t="s">
        <v>236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f>TRUNC(19672+1492,-1)</f>
        <v>21160</v>
      </c>
      <c r="E149" s="61">
        <f>TRUNC(+D149*3.3058,-1)</f>
        <v>69950</v>
      </c>
      <c r="F149" s="2" t="s">
        <v>231</v>
      </c>
    </row>
    <row r="150" spans="1:7" x14ac:dyDescent="0.3">
      <c r="A150" s="2">
        <v>2</v>
      </c>
      <c r="C150" s="38" t="s">
        <v>49</v>
      </c>
      <c r="D150" s="42">
        <f>TRUNC(21346,-1)</f>
        <v>21340</v>
      </c>
      <c r="E150" s="62">
        <f>TRUNC(+D150*3.3058,-1)</f>
        <v>70540</v>
      </c>
      <c r="F150" s="2" t="s">
        <v>231</v>
      </c>
    </row>
    <row r="151" spans="1:7" x14ac:dyDescent="0.3">
      <c r="A151" s="2">
        <v>3</v>
      </c>
      <c r="C151" s="38" t="s">
        <v>50</v>
      </c>
      <c r="D151" s="42">
        <v>0</v>
      </c>
      <c r="E151" s="62">
        <f>TRUNC(+D151*3.3058,-1)</f>
        <v>0</v>
      </c>
      <c r="F151" s="2" t="s">
        <v>231</v>
      </c>
    </row>
    <row r="152" spans="1:7" x14ac:dyDescent="0.3">
      <c r="A152" s="2">
        <v>4</v>
      </c>
      <c r="C152" s="38" t="s">
        <v>47</v>
      </c>
      <c r="D152" s="42">
        <f>TRUNC(1597+278+3002,-1)</f>
        <v>4870</v>
      </c>
      <c r="E152" s="62">
        <f>TRUNC(+D152*3.3058,-1)</f>
        <v>16090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f>TRUNC(18669,-1)</f>
        <v>18660</v>
      </c>
      <c r="E153" s="63">
        <f>TRUNC(+D153*3.3058,-1)</f>
        <v>61680</v>
      </c>
      <c r="F153" s="2" t="s">
        <v>231</v>
      </c>
    </row>
    <row r="154" spans="1:7" x14ac:dyDescent="0.3">
      <c r="A154" s="2">
        <v>6</v>
      </c>
      <c r="C154" s="27" t="s">
        <v>112</v>
      </c>
      <c r="D154" s="39">
        <f>SUM(D149:D153)</f>
        <v>66030</v>
      </c>
      <c r="E154" s="39">
        <f>SUM(E149:E153)</f>
        <v>218260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248</v>
      </c>
      <c r="C156" s="55" t="s">
        <v>243</v>
      </c>
      <c r="D156" s="56" t="s">
        <v>235</v>
      </c>
      <c r="E156" s="56" t="s">
        <v>236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f>TRUNC(25255,-1)</f>
        <v>25250</v>
      </c>
      <c r="E157" s="61">
        <f>TRUNC(+D157*3.3058,-1)</f>
        <v>83470</v>
      </c>
    </row>
    <row r="158" spans="1:7" x14ac:dyDescent="0.3">
      <c r="A158" s="2">
        <v>2</v>
      </c>
      <c r="C158" s="38" t="s">
        <v>52</v>
      </c>
      <c r="D158" s="42">
        <v>0</v>
      </c>
      <c r="E158" s="62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2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3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25250</v>
      </c>
      <c r="E161" s="39">
        <f>SUM(E157:E160)</f>
        <v>83470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2020-12-07T10:05:31Z</dcterms:modified>
</cp:coreProperties>
</file>