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9" i="4" l="1"/>
  <c r="D117" i="4"/>
  <c r="D131" i="4"/>
  <c r="D159" i="4"/>
  <c r="D158" i="4"/>
  <c r="D157" i="4"/>
  <c r="D152" i="4"/>
  <c r="D151" i="4"/>
  <c r="D150" i="4"/>
  <c r="D149" i="4"/>
  <c r="D144" i="4"/>
  <c r="D142" i="4"/>
  <c r="D128" i="4"/>
  <c r="D125" i="4"/>
  <c r="D122" i="4"/>
  <c r="D130" i="4"/>
  <c r="D126" i="4"/>
  <c r="D118" i="4"/>
  <c r="D104" i="4"/>
  <c r="D103" i="4"/>
  <c r="D102" i="4"/>
  <c r="D100" i="4"/>
  <c r="D98" i="4"/>
  <c r="D75" i="4"/>
  <c r="D94" i="4"/>
  <c r="D92" i="4"/>
  <c r="D91" i="4"/>
  <c r="D89" i="4"/>
  <c r="D73" i="4"/>
  <c r="D72" i="4"/>
  <c r="D71" i="4"/>
  <c r="D70" i="4"/>
  <c r="D69" i="4"/>
  <c r="D63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5" i="4" s="1"/>
  <c r="E25" i="4" s="1"/>
  <c r="D24" i="4"/>
  <c r="E24" i="4" s="1"/>
  <c r="D26" i="4"/>
  <c r="E26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l="1"/>
  <c r="D34" i="4"/>
</calcChain>
</file>

<file path=xl/sharedStrings.xml><?xml version="1.0" encoding="utf-8"?>
<sst xmlns="http://schemas.openxmlformats.org/spreadsheetml/2006/main" count="392" uniqueCount="267">
  <si>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</si>
  <si>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</si>
  <si>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</si>
  <si>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</si>
  <si>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</si>
  <si>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</si>
  <si>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</si>
  <si>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</si>
  <si>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</si>
  <si>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</si>
  <si>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</si>
  <si>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</si>
  <si>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</si>
  <si>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</si>
  <si>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</si>
  <si>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</si>
  <si>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</si>
  <si>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</si>
  <si>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</si>
  <si>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</si>
  <si>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</si>
  <si>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</si>
  <si>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</si>
  <si>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</si>
  <si>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</si>
  <si>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</si>
  <si>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</si>
  <si>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</si>
  <si>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</si>
  <si>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</si>
  <si>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</si>
  <si>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</si>
  <si>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</si>
  <si>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</si>
  <si>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</si>
  <si>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</si>
  <si>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</si>
  <si>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</si>
  <si>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</si>
  <si>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</si>
  <si>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</si>
  <si>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</si>
  <si>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</si>
  <si>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</si>
  <si>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</si>
  <si>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</si>
  <si>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</si>
  <si>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</si>
  <si>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</si>
  <si>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</si>
  <si>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</si>
  <si>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</si>
  <si>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</si>
  <si>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</si>
  <si>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</si>
  <si>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</si>
  <si>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</si>
  <si>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</si>
  <si>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</si>
  <si>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</si>
  <si>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</si>
  <si>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</si>
  <si>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</si>
  <si>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</si>
  <si>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</si>
  <si>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</si>
  <si>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</si>
  <si>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</si>
  <si>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</si>
  <si>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</si>
  <si>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</si>
  <si>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</si>
  <si>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</si>
  <si>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</si>
  <si>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</si>
  <si>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</si>
  <si>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</si>
  <si>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</si>
  <si>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</si>
  <si>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</si>
  <si>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</si>
  <si>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</si>
  <si>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</si>
  <si>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</si>
  <si>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</si>
  <si>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</si>
  <si>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</si>
  <si>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</si>
  <si>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</si>
  <si>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</si>
  <si>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</si>
  <si>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</si>
  <si>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</si>
  <si>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</si>
  <si>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</si>
  <si>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</si>
  <si>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</si>
  <si>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</si>
  <si>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</si>
  <si>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</si>
  <si>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</si>
  <si>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</si>
  <si>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</si>
  <si>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</si>
  <si>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</si>
  <si>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</si>
  <si>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</si>
  <si>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</si>
  <si>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</si>
  <si>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</si>
  <si>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</si>
  <si>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</si>
  <si>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</si>
  <si>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</si>
  <si>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</si>
  <si>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</si>
  <si>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</si>
  <si>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</si>
  <si>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</si>
  <si>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</si>
  <si>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</si>
  <si>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</si>
  <si>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</si>
  <si>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</si>
  <si>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</si>
  <si>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</si>
  <si>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</si>
  <si>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</si>
  <si>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</si>
  <si>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</si>
  <si>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</si>
  <si>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</si>
  <si>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</si>
  <si>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</si>
  <si>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</si>
  <si>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</si>
  <si>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</si>
  <si>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</si>
  <si>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</si>
  <si>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</si>
  <si>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</si>
  <si>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</si>
  <si>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</si>
  <si>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</si>
  <si>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</si>
  <si>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</si>
  <si>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</si>
  <si>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</si>
  <si>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</si>
  <si>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</si>
  <si>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</si>
  <si>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</si>
  <si>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</si>
  <si>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</si>
  <si>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</si>
  <si>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</si>
  <si>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</si>
  <si>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</si>
  <si>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</si>
  <si>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</si>
  <si>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</si>
  <si>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</si>
  <si>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</si>
  <si>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</si>
  <si>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</si>
  <si>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</si>
  <si>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</si>
  <si>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</si>
  <si>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</si>
  <si>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</si>
  <si>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</si>
  <si>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</si>
  <si>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</si>
  <si>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</si>
  <si>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</si>
  <si>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</si>
  <si>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</si>
  <si>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</si>
  <si>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</si>
  <si>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</si>
  <si>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</si>
  <si>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</si>
  <si>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</si>
  <si>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</si>
  <si>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</si>
  <si>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</si>
  <si>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</si>
  <si>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</si>
  <si>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</si>
  <si>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</si>
  <si>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</si>
  <si>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</si>
  <si>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</si>
  <si>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</si>
  <si>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</si>
  <si>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</si>
  <si>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</si>
  <si>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</si>
  <si>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</si>
  <si>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</si>
  <si>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</si>
  <si>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</si>
  <si>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</si>
  <si>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</si>
  <si>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</si>
  <si>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</si>
  <si>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</si>
  <si>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</si>
  <si>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</si>
  <si>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</si>
  <si>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</si>
  <si>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</si>
  <si>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</si>
  <si>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</si>
  <si>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</si>
  <si>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</si>
  <si>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</si>
  <si>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</si>
  <si>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</si>
  <si>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</si>
  <si>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</si>
  <si>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</si>
  <si>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</si>
  <si>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</si>
  <si>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</si>
  <si>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</si>
  <si>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</si>
  <si>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</si>
  <si>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</si>
  <si>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</si>
  <si>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</si>
  <si>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</si>
  <si>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</si>
  <si>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</si>
  <si>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</si>
  <si>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</si>
  <si>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</si>
  <si>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</si>
  <si>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</si>
  <si>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</si>
  <si>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</si>
  <si>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</si>
  <si>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</si>
  <si>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</si>
  <si>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</si>
  <si>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</si>
  <si>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</si>
  <si>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</si>
  <si>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(가칭)전주화정유치원 신축공사</t>
    <phoneticPr fontId="2" type="noConversion"/>
  </si>
  <si>
    <t>교육연구</t>
  </si>
  <si>
    <t>전라도</t>
  </si>
  <si>
    <t>기초공사,폐기물처리비,골재비및운반비,작업부산물,품질시험비,기타공사</t>
    <phoneticPr fontId="2" type="noConversion"/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</si>
  <si>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</si>
  <si>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</si>
  <si>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</si>
  <si>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공조배관공사,난방배관공사</t>
    <phoneticPr fontId="2" type="noConversion"/>
  </si>
  <si>
    <t xml:space="preserve">기타공사 </t>
    <phoneticPr fontId="2" type="noConversion"/>
  </si>
  <si>
    <t>CATV 및 TV 설비공사</t>
    <phoneticPr fontId="2" type="noConversion"/>
  </si>
  <si>
    <t>우수공사,오수공사</t>
    <phoneticPr fontId="2" type="noConversion"/>
  </si>
  <si>
    <t>기타공사</t>
    <phoneticPr fontId="2" type="noConversion"/>
  </si>
  <si>
    <t>포장공사</t>
    <phoneticPr fontId="2" type="noConversion"/>
  </si>
  <si>
    <t>조경시설물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</si>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</sst>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2940.87</v>
      </c>
      <c r="D7" s="36">
        <f>+C7/3.3058</f>
        <v>889.60917175872703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1282180</v>
      </c>
      <c r="E25" s="59">
        <f t="shared" si="0"/>
        <v>4238630</v>
      </c>
    </row>
    <row r="26" spans="1:5" x14ac:dyDescent="0.3">
      <c r="B26" s="2">
        <v>3</v>
      </c>
      <c r="C26" s="35" t="s">
        <v>95</v>
      </c>
      <c r="D26" s="45">
        <f>+D66</f>
        <v>11730</v>
      </c>
      <c r="E26" s="59">
        <f t="shared" si="0"/>
        <v>38770</v>
      </c>
    </row>
    <row r="27" spans="1:5" x14ac:dyDescent="0.3">
      <c r="B27" s="2">
        <v>4</v>
      </c>
      <c r="C27" s="35" t="s">
        <v>96</v>
      </c>
      <c r="D27" s="45">
        <f>+D95</f>
        <v>129040</v>
      </c>
      <c r="E27" s="59">
        <f t="shared" si="0"/>
        <v>426580</v>
      </c>
    </row>
    <row r="28" spans="1:5" x14ac:dyDescent="0.3">
      <c r="B28" s="2">
        <v>5</v>
      </c>
      <c r="C28" s="35" t="s">
        <v>97</v>
      </c>
      <c r="D28" s="45">
        <f>+D119</f>
        <v>183510</v>
      </c>
      <c r="E28" s="59">
        <f t="shared" si="0"/>
        <v>606640</v>
      </c>
    </row>
    <row r="29" spans="1:5" x14ac:dyDescent="0.3">
      <c r="B29" s="2">
        <v>6</v>
      </c>
      <c r="C29" s="35" t="s">
        <v>98</v>
      </c>
      <c r="D29" s="45">
        <f>+D133</f>
        <v>84890</v>
      </c>
      <c r="E29" s="59">
        <f t="shared" si="0"/>
        <v>280620</v>
      </c>
    </row>
    <row r="30" spans="1:5" x14ac:dyDescent="0.3">
      <c r="B30" s="2">
        <v>7</v>
      </c>
      <c r="C30" s="35" t="s">
        <v>99</v>
      </c>
      <c r="D30" s="45">
        <f>+D146</f>
        <v>77610</v>
      </c>
      <c r="E30" s="59">
        <f t="shared" si="0"/>
        <v>256560</v>
      </c>
    </row>
    <row r="31" spans="1:5" x14ac:dyDescent="0.3">
      <c r="B31" s="2">
        <v>8</v>
      </c>
      <c r="C31" s="35" t="s">
        <v>100</v>
      </c>
      <c r="D31" s="45">
        <f>+D154</f>
        <v>56650</v>
      </c>
      <c r="E31" s="59">
        <f t="shared" si="0"/>
        <v>187270</v>
      </c>
    </row>
    <row r="32" spans="1:5" x14ac:dyDescent="0.3">
      <c r="B32" s="2">
        <v>9</v>
      </c>
      <c r="C32" s="35" t="s">
        <v>101</v>
      </c>
      <c r="D32" s="45">
        <f>+D161</f>
        <v>113180</v>
      </c>
      <c r="E32" s="59">
        <f t="shared" si="0"/>
        <v>374150</v>
      </c>
    </row>
    <row r="33" spans="1:7" x14ac:dyDescent="0.3">
      <c r="B33" s="2">
        <v>10</v>
      </c>
      <c r="C33" s="35" t="s">
        <v>154</v>
      </c>
      <c r="D33" s="53">
        <f>TRUNC(SUM(D24:D32)*0.275,-1)</f>
        <v>533160</v>
      </c>
      <c r="E33" s="60">
        <f t="shared" si="0"/>
        <v>1762520</v>
      </c>
    </row>
    <row r="34" spans="1:7" x14ac:dyDescent="0.3">
      <c r="C34" s="35" t="s">
        <v>112</v>
      </c>
      <c r="D34" s="44">
        <f>SUM(D24:D33)</f>
        <v>2471950</v>
      </c>
      <c r="E34" s="44">
        <f>SUM(E24:E33)</f>
        <v>8171740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262</v>
      </c>
      <c r="E39" s="67" t="s">
        <v>263</v>
      </c>
      <c r="G39" s="68"/>
    </row>
    <row r="40" spans="1:7" x14ac:dyDescent="0.3">
      <c r="A40" s="2">
        <v>1</v>
      </c>
      <c r="C40" s="38" t="s">
        <v>15</v>
      </c>
      <c r="D40" s="40">
        <f>TRUNC(57854,-1)</f>
        <v>57850</v>
      </c>
      <c r="E40" s="62">
        <f t="shared" ref="E40:E59" si="1">TRUNC(+D40*3.3058,-1)</f>
        <v>191240</v>
      </c>
    </row>
    <row r="41" spans="1:7" x14ac:dyDescent="0.3">
      <c r="A41" s="2">
        <v>2</v>
      </c>
      <c r="C41" s="38" t="s">
        <v>13</v>
      </c>
      <c r="D41" s="42">
        <f>TRUNC(223903,-1)</f>
        <v>223900</v>
      </c>
      <c r="E41" s="63">
        <f t="shared" si="1"/>
        <v>740160</v>
      </c>
    </row>
    <row r="42" spans="1:7" x14ac:dyDescent="0.3">
      <c r="A42" s="2">
        <v>3</v>
      </c>
      <c r="C42" s="38" t="s">
        <v>14</v>
      </c>
      <c r="D42" s="42">
        <f>TRUNC(8657,-1)</f>
        <v>8650</v>
      </c>
      <c r="E42" s="63">
        <f t="shared" si="1"/>
        <v>28590</v>
      </c>
    </row>
    <row r="43" spans="1:7" x14ac:dyDescent="0.3">
      <c r="A43" s="2">
        <v>4</v>
      </c>
      <c r="C43" s="38" t="s">
        <v>16</v>
      </c>
      <c r="D43" s="42">
        <f>TRUNC(51020,-1)</f>
        <v>51020</v>
      </c>
      <c r="E43" s="63">
        <f t="shared" si="1"/>
        <v>168660</v>
      </c>
    </row>
    <row r="44" spans="1:7" x14ac:dyDescent="0.3">
      <c r="A44" s="2">
        <v>5</v>
      </c>
      <c r="C44" s="38" t="s">
        <v>17</v>
      </c>
      <c r="D44" s="42">
        <f>TRUNC(31795,-1)</f>
        <v>31790</v>
      </c>
      <c r="E44" s="63">
        <f t="shared" si="1"/>
        <v>105090</v>
      </c>
    </row>
    <row r="45" spans="1:7" x14ac:dyDescent="0.3">
      <c r="A45" s="2">
        <v>6</v>
      </c>
      <c r="C45" s="38" t="s">
        <v>18</v>
      </c>
      <c r="D45" s="42">
        <f>TRUNC(18038,-1)</f>
        <v>18030</v>
      </c>
      <c r="E45" s="63">
        <f t="shared" si="1"/>
        <v>59600</v>
      </c>
    </row>
    <row r="46" spans="1:7" x14ac:dyDescent="0.3">
      <c r="A46" s="2">
        <v>7</v>
      </c>
      <c r="C46" s="38" t="s">
        <v>19</v>
      </c>
      <c r="D46" s="42">
        <f>TRUNC(8945,-1)</f>
        <v>8940</v>
      </c>
      <c r="E46" s="63">
        <f t="shared" si="1"/>
        <v>29550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TRUNC(122831,-1)</f>
        <v>122830</v>
      </c>
      <c r="E48" s="63">
        <f t="shared" si="1"/>
        <v>406050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TRUNC(24008,-1)</f>
        <v>24000</v>
      </c>
      <c r="E49" s="63">
        <f t="shared" si="1"/>
        <v>79330</v>
      </c>
    </row>
    <row r="50" spans="1:7" x14ac:dyDescent="0.3">
      <c r="A50" s="2">
        <v>11</v>
      </c>
      <c r="C50" s="38" t="s">
        <v>155</v>
      </c>
      <c r="D50" s="42">
        <f>TRUNC(70215,-1)</f>
        <v>70210</v>
      </c>
      <c r="E50" s="63">
        <f t="shared" si="1"/>
        <v>232100</v>
      </c>
      <c r="F50" s="2" t="s">
        <v>253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TRUNC(11481,-1)</f>
        <v>11480</v>
      </c>
      <c r="E52" s="63">
        <f t="shared" si="1"/>
        <v>37950</v>
      </c>
    </row>
    <row r="53" spans="1:7" x14ac:dyDescent="0.3">
      <c r="A53" s="2">
        <v>14</v>
      </c>
      <c r="C53" s="38" t="s">
        <v>25</v>
      </c>
      <c r="D53" s="42">
        <f>TRUNC(157546,-1)</f>
        <v>157540</v>
      </c>
      <c r="E53" s="63">
        <f t="shared" si="1"/>
        <v>520790</v>
      </c>
      <c r="F53" s="2" t="s">
        <v>254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TRUNC(21853+1338+10196-1310+1210+80627,-1)</f>
        <v>113910</v>
      </c>
      <c r="E58" s="63">
        <f t="shared" si="1"/>
        <v>376560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TRUNC(382032,-1)</f>
        <v>382030</v>
      </c>
      <c r="E59" s="64">
        <f t="shared" si="1"/>
        <v>1262910</v>
      </c>
    </row>
    <row r="60" spans="1:7" x14ac:dyDescent="0.3">
      <c r="A60" s="2">
        <v>21</v>
      </c>
      <c r="C60" s="27" t="s">
        <v>112</v>
      </c>
      <c r="D60" s="39">
        <f>SUM(D40:D59)</f>
        <v>1282180</v>
      </c>
      <c r="E60" s="39">
        <f>SUM(E40:E59)</f>
        <v>4238580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TRUNC(11737,-1)</f>
        <v>11730</v>
      </c>
      <c r="E63" s="62">
        <f>TRUNC(+D63*3.3058,-1)</f>
        <v>38770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11730</v>
      </c>
      <c r="E66" s="65">
        <f>SUM(E63:E65)</f>
        <v>38770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TRUNC(20660,-1)</f>
        <v>20660</v>
      </c>
      <c r="E69" s="62">
        <f t="shared" ref="E69:E94" si="2">TRUNC(+D69*3.3058,-1)</f>
        <v>68290</v>
      </c>
    </row>
    <row r="70" spans="1:7" ht="16.5" customHeight="1" x14ac:dyDescent="0.3">
      <c r="A70" s="2">
        <v>2</v>
      </c>
      <c r="C70" s="38" t="s">
        <v>31</v>
      </c>
      <c r="D70" s="42">
        <f>TRUNC(3736,-1)</f>
        <v>3730</v>
      </c>
      <c r="E70" s="63">
        <f t="shared" si="2"/>
        <v>12330</v>
      </c>
    </row>
    <row r="71" spans="1:7" x14ac:dyDescent="0.3">
      <c r="A71" s="2">
        <v>3</v>
      </c>
      <c r="C71" s="38" t="s">
        <v>32</v>
      </c>
      <c r="D71" s="42">
        <f>TRUNC(13834,-1)</f>
        <v>13830</v>
      </c>
      <c r="E71" s="63">
        <f t="shared" si="2"/>
        <v>45710</v>
      </c>
    </row>
    <row r="72" spans="1:7" x14ac:dyDescent="0.3">
      <c r="A72" s="2">
        <v>4</v>
      </c>
      <c r="C72" s="38" t="s">
        <v>33</v>
      </c>
      <c r="D72" s="42">
        <f>TRUNC(16828,-1)</f>
        <v>16820</v>
      </c>
      <c r="E72" s="63">
        <f t="shared" si="2"/>
        <v>55600</v>
      </c>
    </row>
    <row r="73" spans="1:7" x14ac:dyDescent="0.3">
      <c r="A73" s="2">
        <v>5</v>
      </c>
      <c r="C73" s="38" t="s">
        <v>34</v>
      </c>
      <c r="D73" s="42">
        <f>TRUNC(21412,-1)</f>
        <v>21410</v>
      </c>
      <c r="E73" s="63">
        <f t="shared" si="2"/>
        <v>70770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TRUNC(1502,-1)</f>
        <v>1500</v>
      </c>
      <c r="E75" s="63">
        <f t="shared" si="2"/>
        <v>4950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TRUNC(6685,-1)</f>
        <v>6680</v>
      </c>
      <c r="E89" s="63">
        <f t="shared" si="2"/>
        <v>22080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TRUNC(7272,-1)</f>
        <v>7270</v>
      </c>
      <c r="E91" s="63">
        <f t="shared" si="2"/>
        <v>24030</v>
      </c>
    </row>
    <row r="92" spans="1:7" x14ac:dyDescent="0.3">
      <c r="A92" s="2">
        <v>24</v>
      </c>
      <c r="C92" s="38" t="s">
        <v>38</v>
      </c>
      <c r="D92" s="42">
        <f>TRUNC(11073,-1)</f>
        <v>11070</v>
      </c>
      <c r="E92" s="63">
        <f t="shared" si="2"/>
        <v>36590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TRUNC(2398+23673,-1)</f>
        <v>26070</v>
      </c>
      <c r="E94" s="64">
        <f t="shared" si="2"/>
        <v>86180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129040</v>
      </c>
      <c r="E95" s="39">
        <f>SUM(E69:E94)</f>
        <v>426530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TRUNC(25304,-1)</f>
        <v>25300</v>
      </c>
      <c r="E98" s="62">
        <f t="shared" ref="E98:E118" si="3">TRUNC(+D98*3.3058,-1)</f>
        <v>83630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3"/>
        <v>0</v>
      </c>
    </row>
    <row r="100" spans="1:7" x14ac:dyDescent="0.3">
      <c r="A100" s="2">
        <v>3</v>
      </c>
      <c r="C100" s="38" t="s">
        <v>41</v>
      </c>
      <c r="D100" s="42">
        <f>TRUNC(29472,-1)</f>
        <v>29470</v>
      </c>
      <c r="E100" s="63">
        <f t="shared" si="3"/>
        <v>97420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TRUNC(15179,-1)</f>
        <v>15170</v>
      </c>
      <c r="E102" s="63">
        <f t="shared" si="3"/>
        <v>50140</v>
      </c>
    </row>
    <row r="103" spans="1:7" x14ac:dyDescent="0.3">
      <c r="A103" s="2">
        <v>6</v>
      </c>
      <c r="C103" s="38" t="s">
        <v>44</v>
      </c>
      <c r="D103" s="42">
        <f>TRUNC(8707,-1)</f>
        <v>8700</v>
      </c>
      <c r="E103" s="63">
        <f t="shared" si="3"/>
        <v>28760</v>
      </c>
    </row>
    <row r="104" spans="1:7" x14ac:dyDescent="0.3">
      <c r="A104" s="2">
        <v>7</v>
      </c>
      <c r="C104" s="38" t="s">
        <v>45</v>
      </c>
      <c r="D104" s="42">
        <f>TRUNC(11961,-1)</f>
        <v>11960</v>
      </c>
      <c r="E104" s="63">
        <f t="shared" si="3"/>
        <v>39530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TRUNC(91553,-1)</f>
        <v>91550</v>
      </c>
      <c r="E117" s="63">
        <f t="shared" si="3"/>
        <v>302640</v>
      </c>
    </row>
    <row r="118" spans="1:7" ht="17.25" thickBot="1" x14ac:dyDescent="0.35">
      <c r="A118" s="2">
        <v>21</v>
      </c>
      <c r="C118" s="38" t="s">
        <v>47</v>
      </c>
      <c r="D118" s="43">
        <f>TRUNC(1366,-1)</f>
        <v>1360</v>
      </c>
      <c r="E118" s="64">
        <f t="shared" si="3"/>
        <v>4490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183510</v>
      </c>
      <c r="E119" s="39">
        <f>SUM(E98:E118)</f>
        <v>606610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TRUNC(6426,-1)</f>
        <v>6420</v>
      </c>
      <c r="E122" s="62">
        <f t="shared" ref="E122:E132" si="4">TRUNC(+D122*3.3058,-1)</f>
        <v>21220</v>
      </c>
      <c r="F122" s="2" t="s">
        <v>257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TRUNC(12882,-1)</f>
        <v>12880</v>
      </c>
      <c r="E125" s="63">
        <f t="shared" si="4"/>
        <v>42570</v>
      </c>
    </row>
    <row r="126" spans="1:7" x14ac:dyDescent="0.3">
      <c r="A126" s="2">
        <v>5</v>
      </c>
      <c r="C126" s="38" t="s">
        <v>53</v>
      </c>
      <c r="D126" s="42">
        <f>TRUNC(2049,-1)</f>
        <v>2040</v>
      </c>
      <c r="E126" s="63">
        <f t="shared" si="4"/>
        <v>6740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TRUNC(8849,-1)</f>
        <v>8840</v>
      </c>
      <c r="E128" s="63">
        <f t="shared" si="4"/>
        <v>29220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TRUNC(25013,-1)</f>
        <v>25010</v>
      </c>
      <c r="E130" s="63">
        <f t="shared" si="4"/>
        <v>82670</v>
      </c>
    </row>
    <row r="131" spans="1:7" x14ac:dyDescent="0.3">
      <c r="A131" s="2">
        <v>10</v>
      </c>
      <c r="C131" s="38" t="s">
        <v>148</v>
      </c>
      <c r="D131" s="42">
        <f>TRUNC(29705,-1)</f>
        <v>29700</v>
      </c>
      <c r="E131" s="63">
        <f t="shared" si="4"/>
        <v>98180</v>
      </c>
    </row>
    <row r="132" spans="1:7" ht="18" thickBot="1" x14ac:dyDescent="0.35">
      <c r="A132" s="2">
        <v>11</v>
      </c>
      <c r="C132" s="38" t="s">
        <v>47</v>
      </c>
      <c r="D132" s="43">
        <v>0</v>
      </c>
      <c r="E132" s="64">
        <f t="shared" si="4"/>
        <v>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84890</v>
      </c>
      <c r="E133" s="39">
        <f>SUM(E122:E132)</f>
        <v>280600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5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TRUNC(56441,-1)</f>
        <v>56440</v>
      </c>
      <c r="E142" s="63">
        <f t="shared" si="5"/>
        <v>186570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f>TRUNC(21170,-1)</f>
        <v>21170</v>
      </c>
      <c r="E144" s="63">
        <f t="shared" si="5"/>
        <v>69980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77610</v>
      </c>
      <c r="E146" s="39">
        <f>SUM(E136:E145)</f>
        <v>256550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TRUNC(10909+4789,-1)</f>
        <v>15690</v>
      </c>
      <c r="E149" s="62">
        <f>TRUNC(+D149*3.3058,-1)</f>
        <v>51860</v>
      </c>
      <c r="F149" s="2" t="s">
        <v>258</v>
      </c>
    </row>
    <row r="150" spans="1:7" x14ac:dyDescent="0.3">
      <c r="A150" s="2">
        <v>2</v>
      </c>
      <c r="C150" s="38" t="s">
        <v>49</v>
      </c>
      <c r="D150" s="42">
        <f>TRUNC(28819,-1)</f>
        <v>28810</v>
      </c>
      <c r="E150" s="63">
        <f>TRUNC(+D150*3.3058,-1)</f>
        <v>95240</v>
      </c>
    </row>
    <row r="151" spans="1:7" x14ac:dyDescent="0.3">
      <c r="A151" s="2">
        <v>3</v>
      </c>
      <c r="C151" s="38" t="s">
        <v>50</v>
      </c>
      <c r="D151" s="42">
        <f>TRUNC(11792,-1)</f>
        <v>11790</v>
      </c>
      <c r="E151" s="63">
        <f>TRUNC(+D151*3.3058,-1)</f>
        <v>38970</v>
      </c>
    </row>
    <row r="152" spans="1:7" x14ac:dyDescent="0.3">
      <c r="A152" s="2">
        <v>4</v>
      </c>
      <c r="C152" s="38" t="s">
        <v>47</v>
      </c>
      <c r="D152" s="42">
        <f>TRUNC(368,-1)</f>
        <v>360</v>
      </c>
      <c r="E152" s="63">
        <f>TRUNC(+D152*3.3058,-1)</f>
        <v>1190</v>
      </c>
      <c r="F152" s="2" t="s">
        <v>259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56650</v>
      </c>
      <c r="E154" s="39">
        <f>SUM(E149:E153)</f>
        <v>187260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TRUNC(33958,-1)</f>
        <v>33950</v>
      </c>
      <c r="E157" s="62">
        <f>TRUNC(+D157*3.3058,-1)</f>
        <v>112230</v>
      </c>
    </row>
    <row r="158" spans="1:7" x14ac:dyDescent="0.3">
      <c r="A158" s="2">
        <v>2</v>
      </c>
      <c r="C158" s="38" t="s">
        <v>52</v>
      </c>
      <c r="D158" s="42">
        <f>TRUNC(43286,-1)</f>
        <v>43280</v>
      </c>
      <c r="E158" s="63">
        <f>TRUNC(+D158*3.3058,-1)</f>
        <v>143070</v>
      </c>
      <c r="F158" s="2" t="s">
        <v>261</v>
      </c>
    </row>
    <row r="159" spans="1:7" x14ac:dyDescent="0.3">
      <c r="A159" s="2">
        <v>3</v>
      </c>
      <c r="C159" s="38" t="s">
        <v>47</v>
      </c>
      <c r="D159" s="42">
        <f>TRUNC(35956,-1)</f>
        <v>35950</v>
      </c>
      <c r="E159" s="63">
        <f>TRUNC(+D159*3.3058,-1)</f>
        <v>118840</v>
      </c>
      <c r="F159" s="2" t="s">
        <v>260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113180</v>
      </c>
      <c r="E161" s="39">
        <f>SUM(E157:E160)</f>
        <v>374140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2020-12-08T02:32:25Z</dcterms:modified>
</cp:coreProperties>
</file>