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3" i="4"/>
  <c r="E152" i="4"/>
  <c r="E145" i="4"/>
  <c r="E140" i="4"/>
  <c r="E139" i="4"/>
  <c r="E138" i="4"/>
  <c r="E136" i="4"/>
  <c r="E129" i="4"/>
  <c r="E128" i="4"/>
  <c r="E127" i="4"/>
  <c r="E125" i="4"/>
  <c r="E124" i="4"/>
  <c r="E123" i="4"/>
  <c r="E122" i="4"/>
  <c r="E118" i="4"/>
  <c r="E115" i="4"/>
  <c r="E114" i="4"/>
  <c r="E113" i="4"/>
  <c r="E112" i="4"/>
  <c r="E111" i="4"/>
  <c r="E110" i="4"/>
  <c r="E109" i="4"/>
  <c r="E108" i="4"/>
  <c r="E107" i="4"/>
  <c r="E106" i="4"/>
  <c r="E105" i="4"/>
  <c r="E102" i="4"/>
  <c r="E101" i="4"/>
  <c r="E99" i="4"/>
  <c r="E98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65" i="4"/>
  <c r="E64" i="4"/>
  <c r="E57" i="4"/>
  <c r="E56" i="4"/>
  <c r="E55" i="4"/>
  <c r="E54" i="4"/>
  <c r="E51" i="4"/>
  <c r="E47" i="4"/>
  <c r="E37" i="4"/>
  <c r="D159" i="4" l="1"/>
  <c r="E159" i="4" s="1"/>
  <c r="D158" i="4"/>
  <c r="E158" i="4" s="1"/>
  <c r="D157" i="4"/>
  <c r="E157" i="4" s="1"/>
  <c r="D151" i="4"/>
  <c r="E151" i="4" s="1"/>
  <c r="D150" i="4"/>
  <c r="E150" i="4" s="1"/>
  <c r="D149" i="4"/>
  <c r="E149" i="4" s="1"/>
  <c r="E154" i="4" s="1"/>
  <c r="D144" i="4"/>
  <c r="E144" i="4" s="1"/>
  <c r="D143" i="4"/>
  <c r="E143" i="4" s="1"/>
  <c r="D142" i="4"/>
  <c r="E142" i="4" s="1"/>
  <c r="D141" i="4"/>
  <c r="E141" i="4" s="1"/>
  <c r="D132" i="4"/>
  <c r="E132" i="4" s="1"/>
  <c r="D131" i="4"/>
  <c r="E131" i="4" s="1"/>
  <c r="D130" i="4"/>
  <c r="E130" i="4" s="1"/>
  <c r="D126" i="4"/>
  <c r="E126" i="4" s="1"/>
  <c r="E133" i="4" s="1"/>
  <c r="D117" i="4"/>
  <c r="E117" i="4" s="1"/>
  <c r="D116" i="4"/>
  <c r="E116" i="4" s="1"/>
  <c r="D104" i="4"/>
  <c r="E104" i="4" s="1"/>
  <c r="D103" i="4"/>
  <c r="E103" i="4" s="1"/>
  <c r="E119" i="4" s="1"/>
  <c r="D100" i="4"/>
  <c r="E100" i="4" s="1"/>
  <c r="D94" i="4"/>
  <c r="E94" i="4" s="1"/>
  <c r="D93" i="4"/>
  <c r="E93" i="4" s="1"/>
  <c r="D92" i="4"/>
  <c r="E92" i="4" s="1"/>
  <c r="D91" i="4"/>
  <c r="E91" i="4" s="1"/>
  <c r="D72" i="4"/>
  <c r="E72" i="4" s="1"/>
  <c r="D71" i="4"/>
  <c r="E71" i="4" s="1"/>
  <c r="D70" i="4"/>
  <c r="E70" i="4" s="1"/>
  <c r="D69" i="4"/>
  <c r="E69" i="4" s="1"/>
  <c r="D63" i="4"/>
  <c r="E63" i="4" s="1"/>
  <c r="E66" i="4" s="1"/>
  <c r="D59" i="4"/>
  <c r="E59" i="4" s="1"/>
  <c r="D58" i="4"/>
  <c r="E58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E60" i="4" s="1"/>
  <c r="D137" i="4"/>
  <c r="E137" i="4" s="1"/>
  <c r="E146" i="4" s="1"/>
  <c r="E95" i="4" l="1"/>
  <c r="E161" i="4"/>
  <c r="D161" i="4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1" i="4"/>
  <c r="E31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<sst xmlns="http://schemas.openxmlformats.org/spreadsheetml/2006/main" count="390" uniqueCount="265">
  <si>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</si>
  <si>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</si>
  <si>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</si>
  <si>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</si>
  <si>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</si>
  <si>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</si>
  <si>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</si>
  <si>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</si>
  <si>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</si>
  <si>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</si>
  <si>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</si>
  <si>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</si>
  <si>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</si>
  <si>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</si>
  <si>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</si>
  <si>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</si>
  <si>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</si>
  <si>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</si>
  <si>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</si>
  <si>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</si>
  <si>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</si>
  <si>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</si>
  <si>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</si>
  <si>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</si>
  <si>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</si>
  <si>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</si>
  <si>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</si>
  <si>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</si>
  <si>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</si>
  <si>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</si>
  <si>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</si>
  <si>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</si>
  <si>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</si>
  <si>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</si>
  <si>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</si>
  <si>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</si>
  <si>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</si>
  <si>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</si>
  <si>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</si>
  <si>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</si>
  <si>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</si>
  <si>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</si>
  <si>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</si>
  <si>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</si>
  <si>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</si>
  <si>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</si>
  <si>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</si>
  <si>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</si>
  <si>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</si>
  <si>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</si>
  <si>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</si>
  <si>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</si>
  <si>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</si>
  <si>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</si>
  <si>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</si>
  <si>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</si>
  <si>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</si>
  <si>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</si>
  <si>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</si>
  <si>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</si>
  <si>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</si>
  <si>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</si>
  <si>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</si>
  <si>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</si>
  <si>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</si>
  <si>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</si>
  <si>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</si>
  <si>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</si>
  <si>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</si>
  <si>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</si>
  <si>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</si>
  <si>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</si>
  <si>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</si>
  <si>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</si>
  <si>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</si>
  <si>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</si>
  <si>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</si>
  <si>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</si>
  <si>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</si>
  <si>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</si>
  <si>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</si>
  <si>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</si>
  <si>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</si>
  <si>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</si>
  <si>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</si>
  <si>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</si>
  <si>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</si>
  <si>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</si>
  <si>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</si>
  <si>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</si>
  <si>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</si>
  <si>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</si>
  <si>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</si>
  <si>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</si>
  <si>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</si>
  <si>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</si>
  <si>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</si>
  <si>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</si>
  <si>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</si>
  <si>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</si>
  <si>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</si>
  <si>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</si>
  <si>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</si>
  <si>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</si>
  <si>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</si>
  <si>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</si>
  <si>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</si>
  <si>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</si>
  <si>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</si>
  <si>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</si>
  <si>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</si>
  <si>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</si>
  <si>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</si>
  <si>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</si>
  <si>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</si>
  <si>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</si>
  <si>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</si>
  <si>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</si>
  <si>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</si>
  <si>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</si>
  <si>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</si>
  <si>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</si>
  <si>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</si>
  <si>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</si>
  <si>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</si>
  <si>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</si>
  <si>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</si>
  <si>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</si>
  <si>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</si>
  <si>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</si>
  <si>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</si>
  <si>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</si>
  <si>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</si>
  <si>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</si>
  <si>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</si>
  <si>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</si>
  <si>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</si>
  <si>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</si>
  <si>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</si>
  <si>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</si>
  <si>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</si>
  <si>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</si>
  <si>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</si>
  <si>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</si>
  <si>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</si>
  <si>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</si>
  <si>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</si>
  <si>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</si>
  <si>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</si>
  <si>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</si>
  <si>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</si>
  <si>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</si>
  <si>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</si>
  <si>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</si>
  <si>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</si>
  <si>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</si>
  <si>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</si>
  <si>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</si>
  <si>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</si>
  <si>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</si>
  <si>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</si>
  <si>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</si>
  <si>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</si>
  <si>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</si>
  <si>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</si>
  <si>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</si>
  <si>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</si>
  <si>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</si>
  <si>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</si>
  <si>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</si>
  <si>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</si>
  <si>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</si>
  <si>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</si>
  <si>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</si>
  <si>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</si>
  <si>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</si>
  <si>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</si>
  <si>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</si>
  <si>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</si>
  <si>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</si>
  <si>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</si>
  <si>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</si>
  <si>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</si>
  <si>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</si>
  <si>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</si>
  <si>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</si>
  <si>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</si>
  <si>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</si>
  <si>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</si>
  <si>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</si>
  <si>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</si>
  <si>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</si>
  <si>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</si>
  <si>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</si>
  <si>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</si>
  <si>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</si>
  <si>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</si>
  <si>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</si>
  <si>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</si>
  <si>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</si>
  <si>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</si>
  <si>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</si>
  <si>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</si>
  <si>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</si>
  <si>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</si>
  <si>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</si>
  <si>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</si>
  <si>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</si>
  <si>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</si>
  <si>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</si>
  <si>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</si>
  <si>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</si>
  <si>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</si>
  <si>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</si>
  <si>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</si>
  <si>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</si>
  <si>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</si>
  <si>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</si>
  <si>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</si>
  <si>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</si>
  <si>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</si>
  <si>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</si>
  <si>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</si>
  <si>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</si>
  <si>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</si>
  <si>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</si>
  <si>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</si>
  <si>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</si>
  <si>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</si>
  <si>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</si>
  <si>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</si>
  <si>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</si>
  <si>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</si>
  <si>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</si>
  <si>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</si>
  <si>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</si>
  <si>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</si>
  <si>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</si>
  <si>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</si>
  <si>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</si>
  <si>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</si>
  <si>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</si>
  <si>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</si>
  <si>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</si>
  <si>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</si>
  <si>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</si>
  <si>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</si>
  <si>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</si>
  <si>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</si>
  <si>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목공사및수장공사(인테리어공사 포함)</t>
    <phoneticPr fontId="2" type="noConversion"/>
  </si>
  <si>
    <t>웅천초 교사 신축공사</t>
    <phoneticPr fontId="2" type="noConversion"/>
  </si>
  <si>
    <t>교육연구</t>
  </si>
  <si>
    <t>경상도</t>
  </si>
  <si>
    <t>기초공사, 골재비및운반비, 품질시험비, 기타공사</t>
    <phoneticPr fontId="2" type="noConversion"/>
  </si>
  <si>
    <t>공조배관공사, 바닥난방공사, 기타공사</t>
    <phoneticPr fontId="2" type="noConversion"/>
  </si>
  <si>
    <t>옥외보안등설비공사</t>
    <phoneticPr fontId="2" type="noConversion"/>
  </si>
  <si>
    <t>CATV 및 TV 설비공사</t>
    <phoneticPr fontId="2" type="noConversion"/>
  </si>
  <si>
    <t>CCTV설비공사</t>
    <phoneticPr fontId="2" type="noConversion"/>
  </si>
  <si>
    <t>펌프실배관공사, 기타공사</t>
    <phoneticPr fontId="2" type="noConversion"/>
  </si>
  <si>
    <t>포장공사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</si>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</sst>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251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7510.72</v>
      </c>
      <c r="D7" s="36">
        <f>+C7/3.3058</f>
        <v>2271.9825760784079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252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888500</v>
      </c>
      <c r="E25" s="59">
        <f t="shared" si="0"/>
        <v>2937200</v>
      </c>
    </row>
    <row r="26" spans="1:5" x14ac:dyDescent="0.3">
      <c r="B26" s="2">
        <v>3</v>
      </c>
      <c r="C26" s="35" t="s">
        <v>95</v>
      </c>
      <c r="D26" s="45">
        <f>+D66</f>
        <v>10560</v>
      </c>
      <c r="E26" s="59">
        <f t="shared" si="0"/>
        <v>34900</v>
      </c>
    </row>
    <row r="27" spans="1:5" x14ac:dyDescent="0.3">
      <c r="B27" s="2">
        <v>4</v>
      </c>
      <c r="C27" s="35" t="s">
        <v>96</v>
      </c>
      <c r="D27" s="45">
        <f>+D95</f>
        <v>134380</v>
      </c>
      <c r="E27" s="59">
        <f t="shared" si="0"/>
        <v>444230</v>
      </c>
    </row>
    <row r="28" spans="1:5" x14ac:dyDescent="0.3">
      <c r="B28" s="2">
        <v>5</v>
      </c>
      <c r="C28" s="35" t="s">
        <v>97</v>
      </c>
      <c r="D28" s="45">
        <f>+D119</f>
        <v>163080</v>
      </c>
      <c r="E28" s="59">
        <f t="shared" si="0"/>
        <v>539100</v>
      </c>
    </row>
    <row r="29" spans="1:5" x14ac:dyDescent="0.3">
      <c r="B29" s="2">
        <v>6</v>
      </c>
      <c r="C29" s="35" t="s">
        <v>98</v>
      </c>
      <c r="D29" s="45">
        <f>+D133</f>
        <v>83680</v>
      </c>
      <c r="E29" s="59">
        <f t="shared" si="0"/>
        <v>276620</v>
      </c>
    </row>
    <row r="30" spans="1:5" x14ac:dyDescent="0.3">
      <c r="B30" s="2">
        <v>7</v>
      </c>
      <c r="C30" s="35" t="s">
        <v>99</v>
      </c>
      <c r="D30" s="45">
        <f>+D146</f>
        <v>31440</v>
      </c>
      <c r="E30" s="59">
        <f t="shared" si="0"/>
        <v>103930</v>
      </c>
    </row>
    <row r="31" spans="1:5" x14ac:dyDescent="0.3">
      <c r="B31" s="2">
        <v>8</v>
      </c>
      <c r="C31" s="35" t="s">
        <v>100</v>
      </c>
      <c r="D31" s="45">
        <f>+D154</f>
        <v>32570</v>
      </c>
      <c r="E31" s="59">
        <f t="shared" si="0"/>
        <v>107660</v>
      </c>
    </row>
    <row r="32" spans="1:5" x14ac:dyDescent="0.3">
      <c r="B32" s="2">
        <v>9</v>
      </c>
      <c r="C32" s="35" t="s">
        <v>101</v>
      </c>
      <c r="D32" s="45">
        <f>+D161</f>
        <v>15550</v>
      </c>
      <c r="E32" s="59">
        <f t="shared" si="0"/>
        <v>51400</v>
      </c>
    </row>
    <row r="33" spans="1:7" x14ac:dyDescent="0.3">
      <c r="B33" s="2">
        <v>10</v>
      </c>
      <c r="C33" s="35" t="s">
        <v>154</v>
      </c>
      <c r="D33" s="53">
        <f>TRUNC(SUM(D24:D32)*0.275,-1)</f>
        <v>373930</v>
      </c>
      <c r="E33" s="60">
        <f t="shared" si="0"/>
        <v>1236130</v>
      </c>
    </row>
    <row r="34" spans="1:7" x14ac:dyDescent="0.3">
      <c r="C34" s="35" t="s">
        <v>112</v>
      </c>
      <c r="D34" s="44">
        <f>SUM(D24:D33)</f>
        <v>1733690</v>
      </c>
      <c r="E34" s="44">
        <f>SUM(E24:E33)</f>
        <v>5731170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260</v>
      </c>
      <c r="E39" s="67" t="s">
        <v>261</v>
      </c>
      <c r="G39" s="68"/>
    </row>
    <row r="40" spans="1:7" x14ac:dyDescent="0.3">
      <c r="A40" s="2">
        <v>1</v>
      </c>
      <c r="C40" s="38" t="s">
        <v>15</v>
      </c>
      <c r="D40" s="40">
        <f>TRUNC(48179,-1)</f>
        <v>48170</v>
      </c>
      <c r="E40" s="62">
        <f t="shared" ref="E40:E59" si="1">TRUNC(+D40*3.3058,-1)</f>
        <v>159240</v>
      </c>
    </row>
    <row r="41" spans="1:7" x14ac:dyDescent="0.3">
      <c r="A41" s="2">
        <v>2</v>
      </c>
      <c r="C41" s="38" t="s">
        <v>13</v>
      </c>
      <c r="D41" s="42">
        <f>TRUNC(147919,-1)</f>
        <v>147910</v>
      </c>
      <c r="E41" s="63">
        <f t="shared" si="1"/>
        <v>488960</v>
      </c>
    </row>
    <row r="42" spans="1:7" x14ac:dyDescent="0.3">
      <c r="A42" s="2">
        <v>3</v>
      </c>
      <c r="C42" s="38" t="s">
        <v>14</v>
      </c>
      <c r="D42" s="42">
        <f>TRUNC(7801,-1)</f>
        <v>7800</v>
      </c>
      <c r="E42" s="63">
        <f t="shared" si="1"/>
        <v>25780</v>
      </c>
    </row>
    <row r="43" spans="1:7" x14ac:dyDescent="0.3">
      <c r="A43" s="2">
        <v>4</v>
      </c>
      <c r="C43" s="38" t="s">
        <v>16</v>
      </c>
      <c r="D43" s="42">
        <f>TRUNC(27951,-1)</f>
        <v>27950</v>
      </c>
      <c r="E43" s="63">
        <f t="shared" si="1"/>
        <v>92390</v>
      </c>
    </row>
    <row r="44" spans="1:7" x14ac:dyDescent="0.3">
      <c r="A44" s="2">
        <v>5</v>
      </c>
      <c r="C44" s="38" t="s">
        <v>17</v>
      </c>
      <c r="D44" s="42">
        <f>TRUNC(22644,-1)</f>
        <v>22640</v>
      </c>
      <c r="E44" s="63">
        <f t="shared" si="1"/>
        <v>74840</v>
      </c>
    </row>
    <row r="45" spans="1:7" x14ac:dyDescent="0.3">
      <c r="A45" s="2">
        <v>6</v>
      </c>
      <c r="C45" s="38" t="s">
        <v>18</v>
      </c>
      <c r="D45" s="42">
        <f>TRUNC(11136,-1)</f>
        <v>11130</v>
      </c>
      <c r="E45" s="63">
        <f t="shared" si="1"/>
        <v>36790</v>
      </c>
    </row>
    <row r="46" spans="1:7" x14ac:dyDescent="0.3">
      <c r="A46" s="2">
        <v>7</v>
      </c>
      <c r="C46" s="38" t="s">
        <v>19</v>
      </c>
      <c r="D46" s="42">
        <f>TRUNC(23537,-1)</f>
        <v>23530</v>
      </c>
      <c r="E46" s="63">
        <f t="shared" si="1"/>
        <v>77780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TRUNC(35728,-1)</f>
        <v>35720</v>
      </c>
      <c r="E48" s="63">
        <f t="shared" si="1"/>
        <v>118080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TRUNC(17915,-1)</f>
        <v>17910</v>
      </c>
      <c r="E49" s="63">
        <f t="shared" si="1"/>
        <v>59200</v>
      </c>
    </row>
    <row r="50" spans="1:7" x14ac:dyDescent="0.3">
      <c r="A50" s="2">
        <v>11</v>
      </c>
      <c r="C50" s="38" t="s">
        <v>155</v>
      </c>
      <c r="D50" s="42">
        <f>TRUNC(43552,-1)</f>
        <v>43550</v>
      </c>
      <c r="E50" s="63">
        <f t="shared" si="1"/>
        <v>143960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TRUNC(9071,-1)</f>
        <v>9070</v>
      </c>
      <c r="E52" s="63">
        <f t="shared" si="1"/>
        <v>29980</v>
      </c>
    </row>
    <row r="53" spans="1:7" x14ac:dyDescent="0.3">
      <c r="A53" s="2">
        <v>14</v>
      </c>
      <c r="C53" s="38" t="s">
        <v>25</v>
      </c>
      <c r="D53" s="42">
        <f>TRUNC(74785,-1)</f>
        <v>74780</v>
      </c>
      <c r="E53" s="63">
        <f t="shared" si="1"/>
        <v>247200</v>
      </c>
      <c r="F53" s="2" t="s">
        <v>249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TRUNC(23780+11189+211+12891,-1)</f>
        <v>48070</v>
      </c>
      <c r="E58" s="63">
        <f t="shared" si="1"/>
        <v>158900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TRUNC(370273,-1)</f>
        <v>370270</v>
      </c>
      <c r="E59" s="64">
        <f t="shared" si="1"/>
        <v>1224030</v>
      </c>
    </row>
    <row r="60" spans="1:7" x14ac:dyDescent="0.3">
      <c r="A60" s="2">
        <v>21</v>
      </c>
      <c r="C60" s="27" t="s">
        <v>112</v>
      </c>
      <c r="D60" s="39">
        <f>SUM(D40:D59)</f>
        <v>888500</v>
      </c>
      <c r="E60" s="39">
        <f>SUM(E40:E59)</f>
        <v>2937130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TRUNC(10563,-1)</f>
        <v>10560</v>
      </c>
      <c r="E63" s="62">
        <f>TRUNC(+D63*3.3058,-1)</f>
        <v>34900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10560</v>
      </c>
      <c r="E66" s="65">
        <f>SUM(E63:E65)</f>
        <v>34900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TRUNC(2331,-1)</f>
        <v>2330</v>
      </c>
      <c r="E69" s="62">
        <f t="shared" ref="E69:E94" si="2">TRUNC(+D69*3.3058,-1)</f>
        <v>7700</v>
      </c>
    </row>
    <row r="70" spans="1:7" ht="16.5" customHeight="1" x14ac:dyDescent="0.3">
      <c r="A70" s="2">
        <v>2</v>
      </c>
      <c r="C70" s="38" t="s">
        <v>31</v>
      </c>
      <c r="D70" s="42">
        <f>TRUNC(1185,-1)</f>
        <v>1180</v>
      </c>
      <c r="E70" s="63">
        <f t="shared" si="2"/>
        <v>3900</v>
      </c>
    </row>
    <row r="71" spans="1:7" x14ac:dyDescent="0.3">
      <c r="A71" s="2">
        <v>3</v>
      </c>
      <c r="C71" s="38" t="s">
        <v>32</v>
      </c>
      <c r="D71" s="42">
        <f>TRUNC(2592,-1)</f>
        <v>2590</v>
      </c>
      <c r="E71" s="63">
        <f t="shared" si="2"/>
        <v>8560</v>
      </c>
    </row>
    <row r="72" spans="1:7" x14ac:dyDescent="0.3">
      <c r="A72" s="2">
        <v>4</v>
      </c>
      <c r="C72" s="38" t="s">
        <v>33</v>
      </c>
      <c r="D72" s="42">
        <f>TRUNC(3419,-1)</f>
        <v>3410</v>
      </c>
      <c r="E72" s="63">
        <f t="shared" si="2"/>
        <v>11270</v>
      </c>
    </row>
    <row r="73" spans="1:7" x14ac:dyDescent="0.3">
      <c r="A73" s="2">
        <v>5</v>
      </c>
      <c r="C73" s="38" t="s">
        <v>34</v>
      </c>
      <c r="D73" s="42">
        <v>16810</v>
      </c>
      <c r="E73" s="63">
        <f t="shared" si="2"/>
        <v>55570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6760</v>
      </c>
      <c r="E89" s="63">
        <f t="shared" si="2"/>
        <v>22340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TRUNC(3744,-1)</f>
        <v>3740</v>
      </c>
      <c r="E91" s="63">
        <f t="shared" si="2"/>
        <v>12360</v>
      </c>
    </row>
    <row r="92" spans="1:7" x14ac:dyDescent="0.3">
      <c r="A92" s="2">
        <v>24</v>
      </c>
      <c r="C92" s="38" t="s">
        <v>38</v>
      </c>
      <c r="D92" s="42">
        <f>TRUNC(9122,-1)</f>
        <v>9120</v>
      </c>
      <c r="E92" s="63">
        <f t="shared" si="2"/>
        <v>30140</v>
      </c>
    </row>
    <row r="93" spans="1:7" x14ac:dyDescent="0.3">
      <c r="A93" s="2">
        <v>25</v>
      </c>
      <c r="C93" s="38" t="s">
        <v>148</v>
      </c>
      <c r="D93" s="42">
        <f>TRUNC(84439,-1)</f>
        <v>84430</v>
      </c>
      <c r="E93" s="63">
        <f t="shared" si="2"/>
        <v>279100</v>
      </c>
    </row>
    <row r="94" spans="1:7" ht="17.25" thickBot="1" x14ac:dyDescent="0.35">
      <c r="A94" s="2">
        <v>26</v>
      </c>
      <c r="C94" s="38" t="s">
        <v>47</v>
      </c>
      <c r="D94" s="43">
        <f>TRUNC(161+3836+16,-1)</f>
        <v>4010</v>
      </c>
      <c r="E94" s="64">
        <f t="shared" si="2"/>
        <v>13250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134380</v>
      </c>
      <c r="E95" s="39">
        <f>SUM(E69:E94)</f>
        <v>444190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v>11700</v>
      </c>
      <c r="E98" s="62">
        <f t="shared" ref="E98:E118" si="3">TRUNC(+D98*3.3058,-1)</f>
        <v>38670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TRUNC(25968,-1)</f>
        <v>25960</v>
      </c>
      <c r="E100" s="63">
        <f t="shared" si="3"/>
        <v>85810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v>17060</v>
      </c>
      <c r="E102" s="63">
        <f t="shared" si="3"/>
        <v>56390</v>
      </c>
    </row>
    <row r="103" spans="1:7" x14ac:dyDescent="0.3">
      <c r="A103" s="2">
        <v>6</v>
      </c>
      <c r="C103" s="38" t="s">
        <v>44</v>
      </c>
      <c r="D103" s="42">
        <f>TRUNC(2715,-1)</f>
        <v>2710</v>
      </c>
      <c r="E103" s="63">
        <f t="shared" si="3"/>
        <v>8950</v>
      </c>
    </row>
    <row r="104" spans="1:7" x14ac:dyDescent="0.3">
      <c r="A104" s="2">
        <v>7</v>
      </c>
      <c r="C104" s="38" t="s">
        <v>45</v>
      </c>
      <c r="D104" s="42">
        <f>TRUNC(3232,-1)</f>
        <v>3230</v>
      </c>
      <c r="E104" s="63">
        <f t="shared" si="3"/>
        <v>10670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1720</v>
      </c>
      <c r="E114" s="63">
        <f t="shared" si="3"/>
        <v>5680</v>
      </c>
      <c r="F114" s="2" t="s">
        <v>255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TRUNC(688,-1)</f>
        <v>680</v>
      </c>
      <c r="E116" s="63">
        <f t="shared" si="3"/>
        <v>2240</v>
      </c>
    </row>
    <row r="117" spans="1:7" x14ac:dyDescent="0.3">
      <c r="A117" s="2">
        <v>20</v>
      </c>
      <c r="C117" s="38" t="s">
        <v>148</v>
      </c>
      <c r="D117" s="42">
        <f>TRUNC(100025,-1)</f>
        <v>100020</v>
      </c>
      <c r="E117" s="63">
        <f t="shared" si="3"/>
        <v>330640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163080</v>
      </c>
      <c r="E119" s="39">
        <f>SUM(E98:E118)</f>
        <v>539050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770</v>
      </c>
      <c r="E122" s="62">
        <f t="shared" ref="E122:E132" si="4">TRUNC(+D122*3.3058,-1)</f>
        <v>2540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8280</v>
      </c>
      <c r="E125" s="63">
        <f t="shared" si="4"/>
        <v>27370</v>
      </c>
    </row>
    <row r="126" spans="1:7" x14ac:dyDescent="0.3">
      <c r="A126" s="2">
        <v>5</v>
      </c>
      <c r="C126" s="38" t="s">
        <v>53</v>
      </c>
      <c r="D126" s="42">
        <f>TRUNC(3542,-1)</f>
        <v>3540</v>
      </c>
      <c r="E126" s="63">
        <f t="shared" si="4"/>
        <v>11700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3610</v>
      </c>
      <c r="E128" s="63">
        <f t="shared" si="4"/>
        <v>11930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TRUNC(10716,-1)</f>
        <v>10710</v>
      </c>
      <c r="E130" s="63">
        <f t="shared" si="4"/>
        <v>35400</v>
      </c>
    </row>
    <row r="131" spans="1:7" x14ac:dyDescent="0.3">
      <c r="A131" s="2">
        <v>10</v>
      </c>
      <c r="C131" s="38" t="s">
        <v>148</v>
      </c>
      <c r="D131" s="42">
        <f>TRUNC(56038,-1)</f>
        <v>56030</v>
      </c>
      <c r="E131" s="63">
        <f t="shared" si="4"/>
        <v>185220</v>
      </c>
    </row>
    <row r="132" spans="1:7" ht="18" thickBot="1" x14ac:dyDescent="0.35">
      <c r="A132" s="2">
        <v>11</v>
      </c>
      <c r="C132" s="38" t="s">
        <v>47</v>
      </c>
      <c r="D132" s="43">
        <f>TRUNC(741,-1)</f>
        <v>740</v>
      </c>
      <c r="E132" s="64">
        <f t="shared" si="4"/>
        <v>2440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83680</v>
      </c>
      <c r="E133" s="39">
        <f>SUM(E122:E132)</f>
        <v>276600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1555+5975</f>
        <v>7530</v>
      </c>
      <c r="E137" s="63">
        <f t="shared" si="5"/>
        <v>24890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1440</v>
      </c>
      <c r="E139" s="63">
        <f t="shared" si="5"/>
        <v>4760</v>
      </c>
    </row>
    <row r="140" spans="1:7" x14ac:dyDescent="0.3">
      <c r="A140" s="2">
        <v>5</v>
      </c>
      <c r="C140" s="38" t="s">
        <v>57</v>
      </c>
      <c r="D140" s="42">
        <v>940</v>
      </c>
      <c r="E140" s="63">
        <f t="shared" si="5"/>
        <v>3100</v>
      </c>
    </row>
    <row r="141" spans="1:7" x14ac:dyDescent="0.3">
      <c r="A141" s="2">
        <v>6</v>
      </c>
      <c r="C141" s="38" t="s">
        <v>59</v>
      </c>
      <c r="D141" s="42">
        <f>TRUNC(9355,-1)</f>
        <v>9350</v>
      </c>
      <c r="E141" s="63">
        <f t="shared" si="5"/>
        <v>30900</v>
      </c>
    </row>
    <row r="142" spans="1:7" x14ac:dyDescent="0.3">
      <c r="A142" s="2">
        <v>7</v>
      </c>
      <c r="C142" s="38" t="s">
        <v>58</v>
      </c>
      <c r="D142" s="42">
        <f>TRUNC(6442,-1)</f>
        <v>6440</v>
      </c>
      <c r="E142" s="63">
        <f t="shared" si="5"/>
        <v>21280</v>
      </c>
    </row>
    <row r="143" spans="1:7" x14ac:dyDescent="0.3">
      <c r="A143" s="2">
        <v>8</v>
      </c>
      <c r="C143" s="38" t="s">
        <v>62</v>
      </c>
      <c r="D143" s="42">
        <f>TRUNC(2218,-1)</f>
        <v>2210</v>
      </c>
      <c r="E143" s="63">
        <f t="shared" si="5"/>
        <v>7300</v>
      </c>
    </row>
    <row r="144" spans="1:7" x14ac:dyDescent="0.3">
      <c r="A144" s="2">
        <v>9</v>
      </c>
      <c r="C144" s="38" t="s">
        <v>63</v>
      </c>
      <c r="D144" s="42">
        <f>TRUNC(3533,-1)</f>
        <v>3530</v>
      </c>
      <c r="E144" s="63">
        <f t="shared" si="5"/>
        <v>11660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31440</v>
      </c>
      <c r="E146" s="39">
        <f>SUM(E136:E145)</f>
        <v>103890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TRUNC(4103+1571,-1)</f>
        <v>5670</v>
      </c>
      <c r="E149" s="62">
        <f>TRUNC(+D149*3.3058,-1)</f>
        <v>18740</v>
      </c>
    </row>
    <row r="150" spans="1:7" x14ac:dyDescent="0.3">
      <c r="A150" s="2">
        <v>2</v>
      </c>
      <c r="C150" s="38" t="s">
        <v>49</v>
      </c>
      <c r="D150" s="42">
        <f>TRUNC(7234,-1)</f>
        <v>7230</v>
      </c>
      <c r="E150" s="63">
        <f>TRUNC(+D150*3.3058,-1)</f>
        <v>23900</v>
      </c>
    </row>
    <row r="151" spans="1:7" x14ac:dyDescent="0.3">
      <c r="A151" s="2">
        <v>3</v>
      </c>
      <c r="C151" s="38" t="s">
        <v>50</v>
      </c>
      <c r="D151" s="42">
        <f>TRUNC(11494,-1)</f>
        <v>11490</v>
      </c>
      <c r="E151" s="63">
        <f>TRUNC(+D151*3.3058,-1)</f>
        <v>37980</v>
      </c>
    </row>
    <row r="152" spans="1:7" x14ac:dyDescent="0.3">
      <c r="A152" s="2">
        <v>4</v>
      </c>
      <c r="C152" s="38" t="s">
        <v>47</v>
      </c>
      <c r="D152" s="42">
        <v>8180</v>
      </c>
      <c r="E152" s="63">
        <f>TRUNC(+D152*3.3058,-1)</f>
        <v>27040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32570</v>
      </c>
      <c r="E154" s="39">
        <f>SUM(E149:E153)</f>
        <v>107660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TRUNC(11679,-1)</f>
        <v>11670</v>
      </c>
      <c r="E157" s="62">
        <f>TRUNC(+D157*3.3058,-1)</f>
        <v>38570</v>
      </c>
    </row>
    <row r="158" spans="1:7" x14ac:dyDescent="0.3">
      <c r="A158" s="2">
        <v>2</v>
      </c>
      <c r="C158" s="38" t="s">
        <v>52</v>
      </c>
      <c r="D158" s="42">
        <f>TRUNC(3327,-1)</f>
        <v>3320</v>
      </c>
      <c r="E158" s="63">
        <f>TRUNC(+D158*3.3058,-1)</f>
        <v>10970</v>
      </c>
    </row>
    <row r="159" spans="1:7" x14ac:dyDescent="0.3">
      <c r="A159" s="2">
        <v>3</v>
      </c>
      <c r="C159" s="38" t="s">
        <v>47</v>
      </c>
      <c r="D159" s="42">
        <f>TRUNC(566,-1)</f>
        <v>560</v>
      </c>
      <c r="E159" s="63">
        <f>TRUNC(+D159*3.3058,-1)</f>
        <v>1850</v>
      </c>
      <c r="F159" s="2" t="s">
        <v>259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15550</v>
      </c>
      <c r="E161" s="39">
        <f>SUM(E157:E160)</f>
        <v>51390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2020-12-08T01:23:30Z</dcterms:modified>
</cp:coreProperties>
</file>