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4" i="4"/>
  <c r="E116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2" i="4"/>
  <c r="E91" i="4"/>
  <c r="E89" i="4"/>
  <c r="E88" i="4"/>
  <c r="E87" i="4"/>
  <c r="E86" i="4"/>
  <c r="E85" i="4"/>
  <c r="E83" i="4"/>
  <c r="E82" i="4"/>
  <c r="E80" i="4"/>
  <c r="E78" i="4"/>
  <c r="E77" i="4"/>
  <c r="E76" i="4"/>
  <c r="E74" i="4"/>
  <c r="E73" i="4"/>
  <c r="E70" i="4"/>
  <c r="E65" i="4"/>
  <c r="E64" i="4"/>
  <c r="E59" i="4"/>
  <c r="E57" i="4"/>
  <c r="E56" i="4"/>
  <c r="E54" i="4"/>
  <c r="E37" i="4"/>
  <c r="E146" i="4" l="1"/>
  <c r="E154" i="4"/>
  <c r="D117" i="4"/>
  <c r="E117" i="4" s="1"/>
  <c r="D161" i="4"/>
  <c r="D32" i="4" s="1"/>
  <c r="E32" i="4" s="1"/>
  <c r="D154" i="4"/>
  <c r="D146" i="4"/>
  <c r="D122" i="4"/>
  <c r="E122" i="4" s="1"/>
  <c r="D123" i="4"/>
  <c r="E123" i="4" s="1"/>
  <c r="D125" i="4"/>
  <c r="E125" i="4" s="1"/>
  <c r="D131" i="4"/>
  <c r="E131" i="4" s="1"/>
  <c r="D132" i="4"/>
  <c r="E132" i="4" s="1"/>
  <c r="D98" i="4"/>
  <c r="E98" i="4" s="1"/>
  <c r="D99" i="4"/>
  <c r="E99" i="4" s="1"/>
  <c r="D100" i="4"/>
  <c r="E100" i="4" s="1"/>
  <c r="D102" i="4"/>
  <c r="E102" i="4" s="1"/>
  <c r="D104" i="4"/>
  <c r="E104" i="4" s="1"/>
  <c r="D115" i="4"/>
  <c r="E115" i="4" s="1"/>
  <c r="D118" i="4"/>
  <c r="E118" i="4" s="1"/>
  <c r="D119" i="4"/>
  <c r="D28" i="4" s="1"/>
  <c r="E28" i="4" s="1"/>
  <c r="D69" i="4"/>
  <c r="E69" i="4" s="1"/>
  <c r="D71" i="4"/>
  <c r="E71" i="4" s="1"/>
  <c r="D72" i="4"/>
  <c r="E72" i="4" s="1"/>
  <c r="D75" i="4"/>
  <c r="E75" i="4" s="1"/>
  <c r="D79" i="4"/>
  <c r="E79" i="4" s="1"/>
  <c r="D81" i="4"/>
  <c r="E81" i="4" s="1"/>
  <c r="D84" i="4"/>
  <c r="E84" i="4" s="1"/>
  <c r="D90" i="4"/>
  <c r="E90" i="4" s="1"/>
  <c r="D93" i="4"/>
  <c r="E93" i="4" s="1"/>
  <c r="D94" i="4"/>
  <c r="E94" i="4" s="1"/>
  <c r="D63" i="4"/>
  <c r="E63" i="4" s="1"/>
  <c r="E66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5" i="4"/>
  <c r="E55" i="4" s="1"/>
  <c r="D58" i="4"/>
  <c r="E58" i="4" s="1"/>
  <c r="D24" i="4"/>
  <c r="E24" i="4" s="1"/>
  <c r="D30" i="4"/>
  <c r="E30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33" i="4" l="1"/>
  <c r="D29" i="4" s="1"/>
  <c r="E29" i="4" s="1"/>
  <c r="D95" i="4"/>
  <c r="D27" i="4" s="1"/>
  <c r="E27" i="4" s="1"/>
  <c r="D60" i="4"/>
  <c r="D25" i="4" s="1"/>
  <c r="E60" i="4"/>
  <c r="E119" i="4"/>
  <c r="D66" i="4"/>
  <c r="D26" i="4" s="1"/>
  <c r="E26" i="4" s="1"/>
  <c r="E95" i="4"/>
  <c r="E133" i="4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<sst xmlns="http://schemas.openxmlformats.org/spreadsheetml/2006/main" count="390" uniqueCount="264">
  <si>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</si>
  <si>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</si>
  <si>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</si>
  <si>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</si>
  <si>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</si>
  <si>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</si>
  <si>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</si>
  <si>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</si>
  <si>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</si>
  <si>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</si>
  <si>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</si>
  <si>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</si>
  <si>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</si>
  <si>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</si>
  <si>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</si>
  <si>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</si>
  <si>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</si>
  <si>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</si>
  <si>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</si>
  <si>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</si>
  <si>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</si>
  <si>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</si>
  <si>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</si>
  <si>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</si>
  <si>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</si>
  <si>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</si>
  <si>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</si>
  <si>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</si>
  <si>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</si>
  <si>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</si>
  <si>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</si>
  <si>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</si>
  <si>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</si>
  <si>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</si>
  <si>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</si>
  <si>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</si>
  <si>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</si>
  <si>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</si>
  <si>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</si>
  <si>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</si>
  <si>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</si>
  <si>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</si>
  <si>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</si>
  <si>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</si>
  <si>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</si>
  <si>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</si>
  <si>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</si>
  <si>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</si>
  <si>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</si>
  <si>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</si>
  <si>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</si>
  <si>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</si>
  <si>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</si>
  <si>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</si>
  <si>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</si>
  <si>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</si>
  <si>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</si>
  <si>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</si>
  <si>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</si>
  <si>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</si>
  <si>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</si>
  <si>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</si>
  <si>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</si>
  <si>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</si>
  <si>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</si>
  <si>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</si>
  <si>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</si>
  <si>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</si>
  <si>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</si>
  <si>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</si>
  <si>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</si>
  <si>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</si>
  <si>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</si>
  <si>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</si>
  <si>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</si>
  <si>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</si>
  <si>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</si>
  <si>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</si>
  <si>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</si>
  <si>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</si>
  <si>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</si>
  <si>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</si>
  <si>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</si>
  <si>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</si>
  <si>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</si>
  <si>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</si>
  <si>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</si>
  <si>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</si>
  <si>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</si>
  <si>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</si>
  <si>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</si>
  <si>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</si>
  <si>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</si>
  <si>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</si>
  <si>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</si>
  <si>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</si>
  <si>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</si>
  <si>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</si>
  <si>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</si>
  <si>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</si>
  <si>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</si>
  <si>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</si>
  <si>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</si>
  <si>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</si>
  <si>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</si>
  <si>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</si>
  <si>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</si>
  <si>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</si>
  <si>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</si>
  <si>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</si>
  <si>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</si>
  <si>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</si>
  <si>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</si>
  <si>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</si>
  <si>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</si>
  <si>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</si>
  <si>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</si>
  <si>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</si>
  <si>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</si>
  <si>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</si>
  <si>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</si>
  <si>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</si>
  <si>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</si>
  <si>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</si>
  <si>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</si>
  <si>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</si>
  <si>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</si>
  <si>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</si>
  <si>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</si>
  <si>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</si>
  <si>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</si>
  <si>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</si>
  <si>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</si>
  <si>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</si>
  <si>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</si>
  <si>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</si>
  <si>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</si>
  <si>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</si>
  <si>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</si>
  <si>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</si>
  <si>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</si>
  <si>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</si>
  <si>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</si>
  <si>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</si>
  <si>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</si>
  <si>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</si>
  <si>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</si>
  <si>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</si>
  <si>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</si>
  <si>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</si>
  <si>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</si>
  <si>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</si>
  <si>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</si>
  <si>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</si>
  <si>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</si>
  <si>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</si>
  <si>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</si>
  <si>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</si>
  <si>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</si>
  <si>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</si>
  <si>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</si>
  <si>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</si>
  <si>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</si>
  <si>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</si>
  <si>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</si>
  <si>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</si>
  <si>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</si>
  <si>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</si>
  <si>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</si>
  <si>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</si>
  <si>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</si>
  <si>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</si>
  <si>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</si>
  <si>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</si>
  <si>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</si>
  <si>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</si>
  <si>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</si>
  <si>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</si>
  <si>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</si>
  <si>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</si>
  <si>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</si>
  <si>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</si>
  <si>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</si>
  <si>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</si>
  <si>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</si>
  <si>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</si>
  <si>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</si>
  <si>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</si>
  <si>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</si>
  <si>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</si>
  <si>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</si>
  <si>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</si>
  <si>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</si>
  <si>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</si>
  <si>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</si>
  <si>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</si>
  <si>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</si>
  <si>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</si>
  <si>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</si>
  <si>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</si>
  <si>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</si>
  <si>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</si>
  <si>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</si>
  <si>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</si>
  <si>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</si>
  <si>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</si>
  <si>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</si>
  <si>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</si>
  <si>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</si>
  <si>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</si>
  <si>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</si>
  <si>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</si>
  <si>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</si>
  <si>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</si>
  <si>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</si>
  <si>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</si>
  <si>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</si>
  <si>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</si>
  <si>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</si>
  <si>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</si>
  <si>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</si>
  <si>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</si>
  <si>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</si>
  <si>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</si>
  <si>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</si>
  <si>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</si>
  <si>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</si>
  <si>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</si>
  <si>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</si>
  <si>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</si>
  <si>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</si>
  <si>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</si>
  <si>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</si>
  <si>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</si>
  <si>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</si>
  <si>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</si>
  <si>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</si>
  <si>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</si>
  <si>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</si>
  <si>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</si>
  <si>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</si>
  <si>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</si>
  <si>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</si>
  <si>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</si>
  <si>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</si>
  <si>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</si>
  <si>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서울</t>
  </si>
  <si>
    <t>환기덕트설치공사</t>
  </si>
  <si>
    <t>평</t>
    <phoneticPr fontId="2" type="noConversion"/>
  </si>
  <si>
    <t>원/ m2</t>
    <phoneticPr fontId="2" type="noConversion"/>
  </si>
  <si>
    <t>원/ m2</t>
    <phoneticPr fontId="2" type="noConversion"/>
  </si>
  <si>
    <t>토및지정공사,외장판넬,부대공사,조경공사,주자재비,운반비,작업부산물</t>
    <phoneticPr fontId="2" type="noConversion"/>
  </si>
  <si>
    <t>난방배관공사</t>
    <phoneticPr fontId="2" type="noConversion"/>
  </si>
  <si>
    <t>이설비,위생배관공사,소화배관공사,전열환기유니트공사</t>
    <phoneticPr fontId="2" type="noConversion"/>
  </si>
  <si>
    <t>무대장치설비공사,자동화재탐지설비공사</t>
    <phoneticPr fontId="2" type="noConversion"/>
  </si>
  <si>
    <t>CCTV 및 주차관제설비공사</t>
  </si>
  <si>
    <t>창전동 복합청사 신축공사</t>
    <phoneticPr fontId="2" type="noConversion"/>
  </si>
  <si>
    <t>관급자설치</t>
    <phoneticPr fontId="2" type="noConversion"/>
  </si>
  <si>
    <t>도급자설치, 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</si>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</sst>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3407</v>
      </c>
      <c r="D7" s="36">
        <f>+C7/3.3058</f>
        <v>1030.6128622421199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764090</v>
      </c>
      <c r="E25" s="60">
        <f t="shared" si="0"/>
        <v>2525920</v>
      </c>
    </row>
    <row r="26" spans="1:5" x14ac:dyDescent="0.3">
      <c r="B26" s="2">
        <v>3</v>
      </c>
      <c r="C26" s="35" t="s">
        <v>95</v>
      </c>
      <c r="D26" s="45">
        <f>+D66</f>
        <v>119610</v>
      </c>
      <c r="E26" s="60">
        <f t="shared" si="0"/>
        <v>395400</v>
      </c>
    </row>
    <row r="27" spans="1:5" x14ac:dyDescent="0.3">
      <c r="B27" s="2">
        <v>4</v>
      </c>
      <c r="C27" s="35" t="s">
        <v>96</v>
      </c>
      <c r="D27" s="45">
        <f>+D95</f>
        <v>126570</v>
      </c>
      <c r="E27" s="60">
        <f t="shared" si="0"/>
        <v>418410</v>
      </c>
    </row>
    <row r="28" spans="1:5" x14ac:dyDescent="0.3">
      <c r="B28" s="2">
        <v>5</v>
      </c>
      <c r="C28" s="35" t="s">
        <v>97</v>
      </c>
      <c r="D28" s="45">
        <f>+D119</f>
        <v>120440</v>
      </c>
      <c r="E28" s="60">
        <f t="shared" si="0"/>
        <v>398150</v>
      </c>
    </row>
    <row r="29" spans="1:5" x14ac:dyDescent="0.3">
      <c r="B29" s="2">
        <v>6</v>
      </c>
      <c r="C29" s="35" t="s">
        <v>98</v>
      </c>
      <c r="D29" s="45">
        <f>+D133</f>
        <v>45480</v>
      </c>
      <c r="E29" s="60">
        <f t="shared" si="0"/>
        <v>150340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323450</v>
      </c>
      <c r="E33" s="61">
        <f t="shared" si="0"/>
        <v>1069260</v>
      </c>
    </row>
    <row r="34" spans="1:7" x14ac:dyDescent="0.3">
      <c r="C34" s="35" t="s">
        <v>112</v>
      </c>
      <c r="D34" s="44">
        <f>SUM(D24:D33)</f>
        <v>1499640</v>
      </c>
      <c r="E34" s="44">
        <f>SUM(E24:E33)</f>
        <v>4957480</v>
      </c>
    </row>
    <row r="35" spans="1:7" s="56" customFormat="1" x14ac:dyDescent="0.3">
      <c r="C35" s="57"/>
      <c r="D35" s="57"/>
      <c r="E35" s="57"/>
      <c r="F35" s="55"/>
      <c r="G35" s="55"/>
    </row>
    <row r="36" spans="1:7" s="56" customFormat="1" ht="17.25" thickBot="1" x14ac:dyDescent="0.35">
      <c r="B36" s="56" t="s">
        <v>12</v>
      </c>
      <c r="C36" s="56" t="s">
        <v>235</v>
      </c>
      <c r="D36" s="57" t="s">
        <v>250</v>
      </c>
      <c r="E36" s="57" t="s">
        <v>153</v>
      </c>
      <c r="F36" s="55"/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TRUNC(44757.9,-1)</f>
        <v>44750</v>
      </c>
      <c r="E40" s="63">
        <f t="shared" ref="E40:E59" si="1">TRUNC(+D40*3.3058,-1)</f>
        <v>147930</v>
      </c>
    </row>
    <row r="41" spans="1:7" x14ac:dyDescent="0.3">
      <c r="A41" s="2">
        <v>2</v>
      </c>
      <c r="C41" s="38" t="s">
        <v>13</v>
      </c>
      <c r="D41" s="42">
        <f>TRUNC(220406.77,-1)</f>
        <v>220400</v>
      </c>
      <c r="E41" s="64">
        <f t="shared" si="1"/>
        <v>728590</v>
      </c>
    </row>
    <row r="42" spans="1:7" x14ac:dyDescent="0.3">
      <c r="A42" s="2">
        <v>3</v>
      </c>
      <c r="C42" s="38" t="s">
        <v>14</v>
      </c>
      <c r="D42" s="42">
        <f>TRUNC(10608.085999413,-1)</f>
        <v>10600</v>
      </c>
      <c r="E42" s="64">
        <f t="shared" si="1"/>
        <v>35040</v>
      </c>
    </row>
    <row r="43" spans="1:7" x14ac:dyDescent="0.3">
      <c r="A43" s="2">
        <v>4</v>
      </c>
      <c r="C43" s="38" t="s">
        <v>16</v>
      </c>
      <c r="D43" s="42">
        <f>TRUNC(12371.45,-1)</f>
        <v>12370</v>
      </c>
      <c r="E43" s="64">
        <f t="shared" si="1"/>
        <v>40890</v>
      </c>
    </row>
    <row r="44" spans="1:7" x14ac:dyDescent="0.3">
      <c r="A44" s="2">
        <v>5</v>
      </c>
      <c r="C44" s="38" t="s">
        <v>17</v>
      </c>
      <c r="D44" s="42">
        <f>TRUNC(31953.75,-1)</f>
        <v>31950</v>
      </c>
      <c r="E44" s="64">
        <f t="shared" si="1"/>
        <v>105620</v>
      </c>
    </row>
    <row r="45" spans="1:7" x14ac:dyDescent="0.3">
      <c r="A45" s="2">
        <v>6</v>
      </c>
      <c r="C45" s="38" t="s">
        <v>18</v>
      </c>
      <c r="D45" s="42">
        <f>TRUNC(275.42,-1)</f>
        <v>270</v>
      </c>
      <c r="E45" s="64">
        <f t="shared" si="1"/>
        <v>890</v>
      </c>
    </row>
    <row r="46" spans="1:7" x14ac:dyDescent="0.3">
      <c r="A46" s="2">
        <v>7</v>
      </c>
      <c r="C46" s="38" t="s">
        <v>19</v>
      </c>
      <c r="D46" s="42">
        <f>TRUNC(52954.53,-1)</f>
        <v>52950</v>
      </c>
      <c r="E46" s="64">
        <f t="shared" si="1"/>
        <v>175040</v>
      </c>
    </row>
    <row r="47" spans="1:7" x14ac:dyDescent="0.3">
      <c r="A47" s="2">
        <v>8</v>
      </c>
      <c r="C47" s="38" t="s">
        <v>20</v>
      </c>
      <c r="D47" s="42">
        <f>TRUNC(9119.99,-1)</f>
        <v>9110</v>
      </c>
      <c r="E47" s="64">
        <f t="shared" si="1"/>
        <v>30110</v>
      </c>
    </row>
    <row r="48" spans="1:7" x14ac:dyDescent="0.3">
      <c r="A48" s="2">
        <v>9</v>
      </c>
      <c r="C48" s="38" t="s">
        <v>21</v>
      </c>
      <c r="D48" s="42">
        <f>TRUNC(34194.64,-1)</f>
        <v>34190</v>
      </c>
      <c r="E48" s="64">
        <f t="shared" si="1"/>
        <v>113020</v>
      </c>
    </row>
    <row r="49" spans="1:7" x14ac:dyDescent="0.3">
      <c r="A49" s="2">
        <v>10</v>
      </c>
      <c r="C49" s="38" t="s">
        <v>22</v>
      </c>
      <c r="D49" s="42">
        <f>TRUNC(14079.66,-1)</f>
        <v>14070</v>
      </c>
      <c r="E49" s="64">
        <f t="shared" si="1"/>
        <v>46510</v>
      </c>
    </row>
    <row r="50" spans="1:7" x14ac:dyDescent="0.3">
      <c r="A50" s="2">
        <v>11</v>
      </c>
      <c r="C50" s="38" t="s">
        <v>155</v>
      </c>
      <c r="D50" s="42">
        <f>TRUNC(122978.592896977,-1)</f>
        <v>122970</v>
      </c>
      <c r="E50" s="64">
        <f t="shared" si="1"/>
        <v>406510</v>
      </c>
    </row>
    <row r="51" spans="1:7" x14ac:dyDescent="0.3">
      <c r="A51" s="2">
        <v>12</v>
      </c>
      <c r="C51" s="38" t="s">
        <v>23</v>
      </c>
      <c r="D51" s="42">
        <f>TRUNC(9486.48,-1)</f>
        <v>9480</v>
      </c>
      <c r="E51" s="64">
        <f t="shared" si="1"/>
        <v>31330</v>
      </c>
    </row>
    <row r="52" spans="1:7" x14ac:dyDescent="0.3">
      <c r="A52" s="2">
        <v>13</v>
      </c>
      <c r="C52" s="38" t="s">
        <v>24</v>
      </c>
      <c r="D52" s="42">
        <f>TRUNC(7417.56,-1)</f>
        <v>7410</v>
      </c>
      <c r="E52" s="64">
        <f t="shared" si="1"/>
        <v>24490</v>
      </c>
    </row>
    <row r="53" spans="1:7" x14ac:dyDescent="0.3">
      <c r="A53" s="2">
        <v>14</v>
      </c>
      <c r="C53" s="38" t="s">
        <v>25</v>
      </c>
      <c r="D53" s="42">
        <f>TRUNC(62213.76,-1)</f>
        <v>62210</v>
      </c>
      <c r="E53" s="64">
        <f t="shared" si="1"/>
        <v>205650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TRUNC(1238.94,-1)</f>
        <v>1230</v>
      </c>
      <c r="E55" s="64">
        <f t="shared" si="1"/>
        <v>4060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TRUNC(24003.4916348694+66007.9248605812+10424.6838861168+23706.2474317581+5081.2268858233+1490.52333431171-574.581743469328,-1)</f>
        <v>130130</v>
      </c>
      <c r="E58" s="64">
        <f t="shared" si="1"/>
        <v>430180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764090</v>
      </c>
      <c r="E60" s="39">
        <f>SUM(E40:E59)</f>
        <v>2525860</v>
      </c>
    </row>
    <row r="61" spans="1:7" s="56" customFormat="1" x14ac:dyDescent="0.3">
      <c r="C61" s="57"/>
      <c r="D61" s="57"/>
      <c r="E61" s="57"/>
      <c r="F61" s="55"/>
      <c r="G61" s="55"/>
    </row>
    <row r="62" spans="1:7" s="56" customFormat="1" ht="17.25" thickBot="1" x14ac:dyDescent="0.35">
      <c r="B62" s="56" t="s">
        <v>236</v>
      </c>
      <c r="C62" s="56" t="s">
        <v>237</v>
      </c>
      <c r="D62" s="57" t="s">
        <v>250</v>
      </c>
      <c r="E62" s="57" t="s">
        <v>153</v>
      </c>
      <c r="F62" s="55"/>
      <c r="G62" s="55"/>
    </row>
    <row r="63" spans="1:7" x14ac:dyDescent="0.3">
      <c r="A63" s="2">
        <v>1</v>
      </c>
      <c r="C63" s="38" t="s">
        <v>27</v>
      </c>
      <c r="D63" s="40">
        <f>TRUNC(119617.599941297,-1)</f>
        <v>119610</v>
      </c>
      <c r="E63" s="63">
        <f>TRUNC(+D63*3.3058,-1)</f>
        <v>395400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119610</v>
      </c>
      <c r="E66" s="58">
        <f>SUM(E63:E65)</f>
        <v>395400</v>
      </c>
    </row>
    <row r="67" spans="1:7" s="56" customFormat="1" x14ac:dyDescent="0.3">
      <c r="C67" s="57"/>
      <c r="D67" s="57"/>
      <c r="E67" s="57"/>
      <c r="F67" s="55"/>
      <c r="G67" s="55"/>
    </row>
    <row r="68" spans="1:7" s="56" customFormat="1" ht="17.25" thickBot="1" x14ac:dyDescent="0.35">
      <c r="B68" s="56" t="s">
        <v>238</v>
      </c>
      <c r="C68" s="56" t="s">
        <v>239</v>
      </c>
      <c r="D68" s="57" t="s">
        <v>250</v>
      </c>
      <c r="E68" s="57" t="s">
        <v>153</v>
      </c>
      <c r="F68" s="55"/>
      <c r="G68" s="55"/>
    </row>
    <row r="69" spans="1:7" x14ac:dyDescent="0.3">
      <c r="A69" s="2">
        <v>1</v>
      </c>
      <c r="C69" s="38" t="s">
        <v>30</v>
      </c>
      <c r="D69" s="40">
        <f>TRUNC(26371.3,-1)</f>
        <v>26370</v>
      </c>
      <c r="E69" s="63">
        <f>TRUNC(+D69*3.3058,-1)</f>
        <v>87170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TRUNC(2654,-1)</f>
        <v>2650</v>
      </c>
      <c r="E71" s="64">
        <f t="shared" ref="E71:E73" si="2">TRUNC(+D71*3.3058,-1)</f>
        <v>8760</v>
      </c>
    </row>
    <row r="72" spans="1:7" x14ac:dyDescent="0.3">
      <c r="A72" s="2">
        <v>4</v>
      </c>
      <c r="C72" s="38" t="s">
        <v>33</v>
      </c>
      <c r="D72" s="42">
        <f>TRUNC(963.74,-1)</f>
        <v>960</v>
      </c>
      <c r="E72" s="64">
        <f t="shared" si="2"/>
        <v>3170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TRUNC(447.3,-1)</f>
        <v>440</v>
      </c>
      <c r="E75" s="64">
        <f>TRUNC(+D75*3.3058,-1)</f>
        <v>1450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TRUNC(2125.5,-1)</f>
        <v>2120</v>
      </c>
      <c r="E79" s="64">
        <f t="shared" si="3"/>
        <v>7000</v>
      </c>
      <c r="F79" s="2" t="s">
        <v>247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TRUNC(7096.93,-1)</f>
        <v>7090</v>
      </c>
      <c r="E81" s="64">
        <f t="shared" si="3"/>
        <v>23430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TRUNC(2270.14029938362,-1)</f>
        <v>2270</v>
      </c>
      <c r="E84" s="64">
        <f>TRUNC(+D84*3.3058,-1)</f>
        <v>7500</v>
      </c>
      <c r="F84" s="2" t="s">
        <v>252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TRUNC(2790.65,-1)</f>
        <v>2790</v>
      </c>
      <c r="E90" s="64">
        <f>TRUNC(+D90*3.3058,-1)</f>
        <v>9220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TRUNC(48958.03,-1)</f>
        <v>48950</v>
      </c>
      <c r="E93" s="64">
        <f>TRUNC(+D93*3.3058,-1)</f>
        <v>161810</v>
      </c>
      <c r="F93" s="2" t="s">
        <v>257</v>
      </c>
    </row>
    <row r="94" spans="1:7" ht="17.25" thickBot="1" x14ac:dyDescent="0.35">
      <c r="A94" s="2">
        <v>26</v>
      </c>
      <c r="C94" s="38" t="s">
        <v>47</v>
      </c>
      <c r="D94" s="43">
        <f>TRUNC(5870.26709715292+10523.8194892868+14212.8235984737+2324.7581449956,-1)</f>
        <v>32930</v>
      </c>
      <c r="E94" s="65">
        <f>TRUNC(+D94*3.3058,-1)</f>
        <v>108850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126570</v>
      </c>
      <c r="E95" s="39">
        <f>SUM(E69:E94)</f>
        <v>418360</v>
      </c>
    </row>
    <row r="96" spans="1:7" s="56" customFormat="1" x14ac:dyDescent="0.3">
      <c r="C96" s="57"/>
      <c r="D96" s="57"/>
      <c r="E96" s="57"/>
      <c r="F96" s="55"/>
      <c r="G96" s="55"/>
    </row>
    <row r="97" spans="1:7" s="56" customFormat="1" ht="17.25" thickBot="1" x14ac:dyDescent="0.35">
      <c r="B97" s="56" t="s">
        <v>240</v>
      </c>
      <c r="C97" s="56" t="s">
        <v>239</v>
      </c>
      <c r="D97" s="57" t="s">
        <v>250</v>
      </c>
      <c r="E97" s="57" t="s">
        <v>153</v>
      </c>
      <c r="F97" s="55"/>
      <c r="G97" s="55"/>
    </row>
    <row r="98" spans="1:7" x14ac:dyDescent="0.3">
      <c r="A98" s="2">
        <v>1</v>
      </c>
      <c r="C98" s="38" t="s">
        <v>39</v>
      </c>
      <c r="D98" s="40">
        <f>TRUNC(5105.91899031406,-1)</f>
        <v>5100</v>
      </c>
      <c r="E98" s="63">
        <f t="shared" ref="E98:E118" si="4">TRUNC(+D98*3.3058,-1)</f>
        <v>16850</v>
      </c>
    </row>
    <row r="99" spans="1:7" x14ac:dyDescent="0.3">
      <c r="A99" s="2">
        <v>2</v>
      </c>
      <c r="C99" s="38" t="s">
        <v>40</v>
      </c>
      <c r="D99" s="42">
        <f>TRUNC(3794.33,-1)</f>
        <v>3790</v>
      </c>
      <c r="E99" s="64">
        <f t="shared" si="4"/>
        <v>12520</v>
      </c>
    </row>
    <row r="100" spans="1:7" x14ac:dyDescent="0.3">
      <c r="A100" s="2">
        <v>3</v>
      </c>
      <c r="C100" s="38" t="s">
        <v>41</v>
      </c>
      <c r="D100" s="42">
        <f>TRUNC(22920.18,-1)</f>
        <v>22920</v>
      </c>
      <c r="E100" s="64">
        <f t="shared" si="4"/>
        <v>75760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TRUNC(5813.55,-1)</f>
        <v>5810</v>
      </c>
      <c r="E102" s="64">
        <f t="shared" si="4"/>
        <v>19200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TRUNC(4789.5,-1)</f>
        <v>4780</v>
      </c>
      <c r="E104" s="64">
        <f t="shared" si="4"/>
        <v>15800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TRUNC(3990.9,-1)</f>
        <v>3990</v>
      </c>
      <c r="E115" s="64">
        <f t="shared" si="4"/>
        <v>13190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TRUNC(22118.285999413+42306.7214558262,-1)</f>
        <v>64420</v>
      </c>
      <c r="E117" s="64">
        <f t="shared" si="4"/>
        <v>212950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TRUNC(9639.76,-1)</f>
        <v>9630</v>
      </c>
      <c r="E118" s="65">
        <f t="shared" si="4"/>
        <v>31830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120440</v>
      </c>
      <c r="E119" s="39">
        <f>SUM(E98:E118)</f>
        <v>398100</v>
      </c>
    </row>
    <row r="120" spans="1:7" s="56" customFormat="1" x14ac:dyDescent="0.3">
      <c r="C120" s="57"/>
      <c r="D120" s="57"/>
      <c r="E120" s="57"/>
      <c r="F120" s="55"/>
      <c r="G120" s="55"/>
    </row>
    <row r="121" spans="1:7" s="56" customFormat="1" ht="17.25" thickBot="1" x14ac:dyDescent="0.35">
      <c r="B121" s="56" t="s">
        <v>241</v>
      </c>
      <c r="C121" s="56" t="s">
        <v>239</v>
      </c>
      <c r="D121" s="57" t="s">
        <v>250</v>
      </c>
      <c r="E121" s="57" t="s">
        <v>153</v>
      </c>
      <c r="F121" s="55"/>
      <c r="G121" s="55"/>
    </row>
    <row r="122" spans="1:7" x14ac:dyDescent="0.3">
      <c r="A122" s="2">
        <v>1</v>
      </c>
      <c r="C122" s="38" t="s">
        <v>55</v>
      </c>
      <c r="D122" s="40">
        <f>TRUNC(1755.17,-1)</f>
        <v>1750</v>
      </c>
      <c r="E122" s="63">
        <f t="shared" ref="E122:E132" si="5">TRUNC(+D122*3.3058,-1)</f>
        <v>5780</v>
      </c>
    </row>
    <row r="123" spans="1:7" x14ac:dyDescent="0.3">
      <c r="A123" s="2">
        <v>2</v>
      </c>
      <c r="C123" s="38" t="s">
        <v>124</v>
      </c>
      <c r="D123" s="42">
        <f>TRUNC(5041.59,-1)</f>
        <v>5040</v>
      </c>
      <c r="E123" s="64">
        <f t="shared" si="5"/>
        <v>16660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TRUNC(4725.98,-1)</f>
        <v>4720</v>
      </c>
      <c r="E125" s="64">
        <f t="shared" si="5"/>
        <v>15600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TRUNC(32910.18,-1)</f>
        <v>32910</v>
      </c>
      <c r="E131" s="64">
        <f t="shared" si="5"/>
        <v>108790</v>
      </c>
      <c r="F131" s="2" t="s">
        <v>257</v>
      </c>
    </row>
    <row r="132" spans="1:7" ht="18" thickBot="1" x14ac:dyDescent="0.35">
      <c r="A132" s="2">
        <v>11</v>
      </c>
      <c r="C132" s="38" t="s">
        <v>47</v>
      </c>
      <c r="D132" s="43">
        <f>TRUNC(1069.85,-1)</f>
        <v>1060</v>
      </c>
      <c r="E132" s="65">
        <f t="shared" si="5"/>
        <v>3500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45480</v>
      </c>
      <c r="E133" s="39">
        <f>SUM(E122:E132)</f>
        <v>150330</v>
      </c>
    </row>
    <row r="134" spans="1:7" s="56" customFormat="1" x14ac:dyDescent="0.3">
      <c r="C134" s="57"/>
      <c r="D134" s="57"/>
      <c r="E134" s="57"/>
      <c r="F134" s="55"/>
      <c r="G134" s="55"/>
    </row>
    <row r="135" spans="1:7" s="56" customFormat="1" ht="17.25" thickBot="1" x14ac:dyDescent="0.35">
      <c r="B135" s="56" t="s">
        <v>242</v>
      </c>
      <c r="C135" s="56" t="s">
        <v>239</v>
      </c>
      <c r="D135" s="57" t="s">
        <v>250</v>
      </c>
      <c r="E135" s="57" t="s">
        <v>153</v>
      </c>
      <c r="F135" s="55"/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F147" s="55"/>
      <c r="G147" s="55"/>
    </row>
    <row r="148" spans="1:7" s="56" customFormat="1" ht="17.25" thickBot="1" x14ac:dyDescent="0.35">
      <c r="B148" s="56" t="s">
        <v>243</v>
      </c>
      <c r="C148" s="56" t="s">
        <v>239</v>
      </c>
      <c r="D148" s="57" t="s">
        <v>250</v>
      </c>
      <c r="E148" s="57" t="s">
        <v>153</v>
      </c>
      <c r="F148" s="55"/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F155" s="55"/>
      <c r="G155" s="55"/>
    </row>
    <row r="156" spans="1:7" s="56" customFormat="1" ht="17.25" thickBot="1" x14ac:dyDescent="0.35">
      <c r="B156" s="56" t="s">
        <v>244</v>
      </c>
      <c r="C156" s="56" t="s">
        <v>239</v>
      </c>
      <c r="D156" s="57" t="s">
        <v>250</v>
      </c>
      <c r="E156" s="57" t="s">
        <v>153</v>
      </c>
      <c r="F156" s="55"/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2020-12-07T09:07:33Z</dcterms:modified>
</cp:coreProperties>
</file>