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3" i="4"/>
  <c r="D152" i="4"/>
  <c r="D151" i="4"/>
  <c r="D150" i="4"/>
  <c r="D149" i="4"/>
  <c r="D144" i="4"/>
  <c r="D143" i="4"/>
  <c r="D142" i="4"/>
  <c r="D140" i="4"/>
  <c r="D139" i="4"/>
  <c r="D133" i="4"/>
  <c r="D132" i="4"/>
  <c r="D130" i="4"/>
  <c r="D128" i="4"/>
  <c r="D125" i="4"/>
  <c r="D123" i="4"/>
  <c r="D122" i="4"/>
  <c r="D117" i="4"/>
  <c r="D116" i="4"/>
  <c r="D114" i="4"/>
  <c r="D105" i="4"/>
  <c r="D104" i="4"/>
  <c r="D103" i="4"/>
  <c r="D102" i="4"/>
  <c r="D99" i="4"/>
  <c r="D98" i="4"/>
  <c r="D75" i="4"/>
  <c r="D94" i="4"/>
  <c r="D93" i="4"/>
  <c r="D92" i="4"/>
  <c r="D89" i="4"/>
  <c r="D73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29" i="4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<sst xmlns="http://schemas.openxmlformats.org/spreadsheetml/2006/main" count="392" uniqueCount="267">
  <si>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</si>
  <si>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</si>
  <si>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</si>
  <si>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</si>
  <si>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</si>
  <si>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</si>
  <si>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</si>
  <si>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</si>
  <si>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</si>
  <si>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</si>
  <si>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</si>
  <si>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</si>
  <si>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</si>
  <si>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</si>
  <si>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</si>
  <si>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</si>
  <si>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</si>
  <si>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</si>
  <si>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</si>
  <si>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</si>
  <si>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</si>
  <si>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</si>
  <si>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</si>
  <si>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</si>
  <si>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</si>
  <si>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</si>
  <si>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</si>
  <si>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</si>
  <si>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</si>
  <si>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</si>
  <si>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</si>
  <si>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</si>
  <si>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</si>
  <si>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</si>
  <si>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</si>
  <si>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</si>
  <si>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</si>
  <si>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</si>
  <si>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</si>
  <si>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</si>
  <si>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</si>
  <si>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</si>
  <si>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</si>
  <si>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</si>
  <si>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</si>
  <si>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</si>
  <si>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</si>
  <si>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</si>
  <si>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</si>
  <si>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</si>
  <si>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</si>
  <si>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</si>
  <si>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</si>
  <si>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</si>
  <si>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</si>
  <si>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</si>
  <si>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</si>
  <si>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</si>
  <si>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</si>
  <si>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</si>
  <si>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</si>
  <si>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</si>
  <si>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</si>
  <si>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</si>
  <si>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</si>
  <si>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</si>
  <si>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</si>
  <si>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</si>
  <si>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</si>
  <si>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</si>
  <si>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</si>
  <si>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</si>
  <si>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</si>
  <si>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</si>
  <si>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</si>
  <si>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</si>
  <si>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</si>
  <si>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</si>
  <si>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</si>
  <si>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</si>
  <si>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</si>
  <si>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</si>
  <si>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</si>
  <si>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</si>
  <si>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</si>
  <si>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</si>
  <si>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</si>
  <si>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</si>
  <si>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</si>
  <si>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</si>
  <si>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</si>
  <si>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</si>
  <si>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</si>
  <si>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</si>
  <si>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</si>
  <si>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</si>
  <si>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</si>
  <si>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</si>
  <si>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</si>
  <si>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</si>
  <si>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</si>
  <si>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</si>
  <si>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</si>
  <si>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</si>
  <si>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</si>
  <si>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</si>
  <si>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</si>
  <si>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</si>
  <si>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</si>
  <si>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</si>
  <si>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</si>
  <si>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</si>
  <si>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</si>
  <si>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</si>
  <si>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</si>
  <si>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</si>
  <si>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</si>
  <si>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</si>
  <si>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</si>
  <si>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</si>
  <si>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</si>
  <si>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</si>
  <si>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</si>
  <si>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</si>
  <si>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</si>
  <si>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</si>
  <si>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</si>
  <si>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</si>
  <si>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</si>
  <si>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</si>
  <si>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</si>
  <si>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</si>
  <si>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</si>
  <si>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</si>
  <si>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</si>
  <si>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</si>
  <si>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</si>
  <si>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</si>
  <si>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</si>
  <si>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</si>
  <si>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</si>
  <si>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</si>
  <si>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</si>
  <si>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</si>
  <si>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</si>
  <si>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</si>
  <si>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</si>
  <si>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</si>
  <si>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</si>
  <si>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</si>
  <si>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</si>
  <si>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</si>
  <si>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</si>
  <si>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</si>
  <si>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</si>
  <si>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</si>
  <si>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</si>
  <si>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</si>
  <si>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</si>
  <si>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</si>
  <si>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</si>
  <si>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</si>
  <si>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</si>
  <si>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</si>
  <si>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</si>
  <si>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</si>
  <si>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</si>
  <si>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</si>
  <si>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</si>
  <si>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</si>
  <si>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</si>
  <si>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</si>
  <si>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</si>
  <si>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</si>
  <si>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</si>
  <si>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</si>
  <si>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</si>
  <si>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</si>
  <si>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</si>
  <si>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</si>
  <si>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</si>
  <si>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</si>
  <si>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</si>
  <si>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</si>
  <si>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</si>
  <si>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</si>
  <si>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</si>
  <si>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</si>
  <si>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</si>
  <si>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</si>
  <si>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</si>
  <si>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</si>
  <si>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</si>
  <si>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</si>
  <si>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</si>
  <si>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</si>
  <si>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</si>
  <si>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</si>
  <si>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</si>
  <si>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</si>
  <si>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</si>
  <si>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</si>
  <si>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</si>
  <si>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</si>
  <si>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</si>
  <si>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</si>
  <si>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</si>
  <si>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</si>
  <si>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</si>
  <si>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</si>
  <si>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</si>
  <si>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</si>
  <si>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</si>
  <si>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</si>
  <si>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</si>
  <si>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</si>
  <si>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</si>
  <si>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</si>
  <si>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</si>
  <si>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</si>
  <si>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</si>
  <si>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</si>
  <si>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</si>
  <si>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</si>
  <si>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</si>
  <si>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</si>
  <si>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</si>
  <si>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</si>
  <si>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</si>
  <si>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</si>
  <si>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</si>
  <si>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</si>
  <si>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</si>
  <si>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</si>
  <si>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</si>
  <si>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</si>
  <si>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</si>
  <si>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</si>
  <si>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</si>
  <si>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</si>
  <si>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</si>
  <si>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</si>
  <si>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</si>
  <si>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</si>
  <si>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</si>
  <si>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</si>
  <si>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</si>
  <si>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</si>
  <si>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</si>
  <si>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반도체융합부품실장기술지원센터 건립공사(건축)</t>
    <phoneticPr fontId="2" type="noConversion"/>
  </si>
  <si>
    <t>교육연구</t>
  </si>
  <si>
    <t>충청도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</si>
  <si>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</si>
  <si>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</si>
  <si>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</si>
  <si>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기초공사,골재비및운반비,품질시험비,기타공사</t>
    <phoneticPr fontId="2" type="noConversion"/>
  </si>
  <si>
    <t>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</si>
  <si>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</si>
  <si>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</si>
  <si>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</si>
  <si>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</si>
  <si>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</si>
  <si>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</si>
  <si>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건축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</si>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</sst>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3787.46</v>
      </c>
      <c r="D7" s="36">
        <f>+C7/3.3058</f>
        <v>1145.7014943432755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895320</v>
      </c>
      <c r="E25" s="59">
        <f t="shared" si="0"/>
        <v>2959740</v>
      </c>
    </row>
    <row r="26" spans="1:5" x14ac:dyDescent="0.3">
      <c r="B26" s="2">
        <v>3</v>
      </c>
      <c r="C26" s="35" t="s">
        <v>95</v>
      </c>
      <c r="D26" s="45">
        <f>+D66</f>
        <v>27340</v>
      </c>
      <c r="E26" s="59">
        <f t="shared" si="0"/>
        <v>90380</v>
      </c>
    </row>
    <row r="27" spans="1:5" x14ac:dyDescent="0.3">
      <c r="B27" s="2">
        <v>4</v>
      </c>
      <c r="C27" s="35" t="s">
        <v>96</v>
      </c>
      <c r="D27" s="45">
        <f>+D95</f>
        <v>459950</v>
      </c>
      <c r="E27" s="59">
        <f t="shared" si="0"/>
        <v>1520500</v>
      </c>
    </row>
    <row r="28" spans="1:5" x14ac:dyDescent="0.3">
      <c r="B28" s="2">
        <v>5</v>
      </c>
      <c r="C28" s="35" t="s">
        <v>97</v>
      </c>
      <c r="D28" s="45">
        <f>+D119</f>
        <v>291790</v>
      </c>
      <c r="E28" s="59">
        <f t="shared" si="0"/>
        <v>964590</v>
      </c>
    </row>
    <row r="29" spans="1:5" x14ac:dyDescent="0.3">
      <c r="B29" s="2">
        <v>6</v>
      </c>
      <c r="C29" s="35" t="s">
        <v>98</v>
      </c>
      <c r="D29" s="45">
        <f>+D133</f>
        <v>57800</v>
      </c>
      <c r="E29" s="59">
        <f t="shared" si="0"/>
        <v>191070</v>
      </c>
    </row>
    <row r="30" spans="1:5" x14ac:dyDescent="0.3">
      <c r="B30" s="2">
        <v>7</v>
      </c>
      <c r="C30" s="35" t="s">
        <v>99</v>
      </c>
      <c r="D30" s="45">
        <f>+D146</f>
        <v>30840</v>
      </c>
      <c r="E30" s="59">
        <f t="shared" si="0"/>
        <v>101950</v>
      </c>
    </row>
    <row r="31" spans="1:5" x14ac:dyDescent="0.3">
      <c r="B31" s="2">
        <v>8</v>
      </c>
      <c r="C31" s="35" t="s">
        <v>100</v>
      </c>
      <c r="D31" s="45">
        <f>+D154</f>
        <v>55780</v>
      </c>
      <c r="E31" s="59">
        <f t="shared" si="0"/>
        <v>184390</v>
      </c>
    </row>
    <row r="32" spans="1:5" x14ac:dyDescent="0.3">
      <c r="B32" s="2">
        <v>9</v>
      </c>
      <c r="C32" s="35" t="s">
        <v>101</v>
      </c>
      <c r="D32" s="45">
        <f>+D161</f>
        <v>5770</v>
      </c>
      <c r="E32" s="59">
        <f t="shared" si="0"/>
        <v>19070</v>
      </c>
    </row>
    <row r="33" spans="1:7" x14ac:dyDescent="0.3">
      <c r="B33" s="2">
        <v>10</v>
      </c>
      <c r="C33" s="35" t="s">
        <v>154</v>
      </c>
      <c r="D33" s="53">
        <f>TRUNC(SUM(D24:D32)*0.275,-1)</f>
        <v>501760</v>
      </c>
      <c r="E33" s="60">
        <f t="shared" si="0"/>
        <v>1658710</v>
      </c>
    </row>
    <row r="34" spans="1:7" x14ac:dyDescent="0.3">
      <c r="C34" s="35" t="s">
        <v>112</v>
      </c>
      <c r="D34" s="44">
        <f>SUM(D24:D33)</f>
        <v>2326350</v>
      </c>
      <c r="E34" s="44">
        <f>SUM(E24:E33)</f>
        <v>7690400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263</v>
      </c>
      <c r="C39" s="56" t="s">
        <v>113</v>
      </c>
      <c r="D39" s="57" t="s">
        <v>238</v>
      </c>
      <c r="E39" s="57" t="s">
        <v>236</v>
      </c>
      <c r="G39" s="55"/>
    </row>
    <row r="40" spans="1:7" x14ac:dyDescent="0.3">
      <c r="A40" s="2">
        <v>1</v>
      </c>
      <c r="C40" s="38" t="s">
        <v>15</v>
      </c>
      <c r="D40" s="40">
        <f>TRUNC(71295,-1)</f>
        <v>71290</v>
      </c>
      <c r="E40" s="62">
        <f t="shared" ref="E40:E59" si="1">TRUNC(+D40*3.3058,-1)</f>
        <v>235670</v>
      </c>
    </row>
    <row r="41" spans="1:7" x14ac:dyDescent="0.3">
      <c r="A41" s="2">
        <v>2</v>
      </c>
      <c r="C41" s="38" t="s">
        <v>13</v>
      </c>
      <c r="D41" s="42">
        <f>TRUNC(210343,-1)</f>
        <v>210340</v>
      </c>
      <c r="E41" s="63">
        <f t="shared" si="1"/>
        <v>695340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TRUNC(26689,-1)</f>
        <v>26680</v>
      </c>
      <c r="E43" s="63">
        <f t="shared" si="1"/>
        <v>88190</v>
      </c>
    </row>
    <row r="44" spans="1:7" x14ac:dyDescent="0.3">
      <c r="A44" s="2">
        <v>5</v>
      </c>
      <c r="C44" s="38" t="s">
        <v>17</v>
      </c>
      <c r="D44" s="42">
        <f>TRUNC(29014,-1)</f>
        <v>29010</v>
      </c>
      <c r="E44" s="63">
        <f t="shared" si="1"/>
        <v>95900</v>
      </c>
    </row>
    <row r="45" spans="1:7" x14ac:dyDescent="0.3">
      <c r="A45" s="2">
        <v>6</v>
      </c>
      <c r="C45" s="38" t="s">
        <v>18</v>
      </c>
      <c r="D45" s="42">
        <f>TRUNC(14253,-1)</f>
        <v>14250</v>
      </c>
      <c r="E45" s="63">
        <f t="shared" si="1"/>
        <v>47100</v>
      </c>
    </row>
    <row r="46" spans="1:7" x14ac:dyDescent="0.3">
      <c r="A46" s="2">
        <v>7</v>
      </c>
      <c r="C46" s="38" t="s">
        <v>19</v>
      </c>
      <c r="D46" s="42">
        <f>TRUNC(9207,-1)</f>
        <v>9200</v>
      </c>
      <c r="E46" s="63">
        <f t="shared" si="1"/>
        <v>30410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TRUNC(62525,-1)</f>
        <v>62520</v>
      </c>
      <c r="E48" s="63">
        <f t="shared" si="1"/>
        <v>206670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TRUNC(17931,-1)</f>
        <v>17930</v>
      </c>
      <c r="E49" s="63">
        <f t="shared" si="1"/>
        <v>59270</v>
      </c>
    </row>
    <row r="50" spans="1:7" x14ac:dyDescent="0.3">
      <c r="A50" s="2">
        <v>11</v>
      </c>
      <c r="C50" s="38" t="s">
        <v>155</v>
      </c>
      <c r="D50" s="42">
        <f>TRUNC(32862,-1)</f>
        <v>32860</v>
      </c>
      <c r="E50" s="63">
        <f t="shared" si="1"/>
        <v>108620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TRUNC(20452,-1)</f>
        <v>20450</v>
      </c>
      <c r="E52" s="63">
        <f t="shared" si="1"/>
        <v>67600</v>
      </c>
    </row>
    <row r="53" spans="1:7" x14ac:dyDescent="0.3">
      <c r="A53" s="2">
        <v>14</v>
      </c>
      <c r="C53" s="38" t="s">
        <v>25</v>
      </c>
      <c r="D53" s="42">
        <f>TRUNC(133805,-1)</f>
        <v>133800</v>
      </c>
      <c r="E53" s="63">
        <f t="shared" si="1"/>
        <v>442310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TRUNC(23051+5452+1104+45139,-1)</f>
        <v>74740</v>
      </c>
      <c r="E58" s="63">
        <f t="shared" si="1"/>
        <v>247070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TRUNC(192258,-1)</f>
        <v>192250</v>
      </c>
      <c r="E59" s="64">
        <f t="shared" si="1"/>
        <v>635540</v>
      </c>
    </row>
    <row r="60" spans="1:7" x14ac:dyDescent="0.3">
      <c r="A60" s="2">
        <v>21</v>
      </c>
      <c r="C60" s="27" t="s">
        <v>112</v>
      </c>
      <c r="D60" s="39">
        <f>SUM(D40:D59)</f>
        <v>895320</v>
      </c>
      <c r="E60" s="39">
        <f>SUM(E40:E59)</f>
        <v>2959690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TRUNC(27347,-1)</f>
        <v>27340</v>
      </c>
      <c r="E63" s="62">
        <f>TRUNC(+D63*3.3058,-1)</f>
        <v>90380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27340</v>
      </c>
      <c r="E66" s="65">
        <f>SUM(E63:E65)</f>
        <v>90380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TRUNC(11763,-1)</f>
        <v>11760</v>
      </c>
      <c r="E69" s="62">
        <f t="shared" ref="E69:E94" si="2">TRUNC(+D69*3.3058,-1)</f>
        <v>38870</v>
      </c>
    </row>
    <row r="70" spans="1:7" ht="16.5" customHeight="1" x14ac:dyDescent="0.3">
      <c r="A70" s="2">
        <v>2</v>
      </c>
      <c r="C70" s="38" t="s">
        <v>31</v>
      </c>
      <c r="D70" s="42">
        <f>TRUNC(717,-1)</f>
        <v>710</v>
      </c>
      <c r="E70" s="63">
        <f t="shared" si="2"/>
        <v>2340</v>
      </c>
    </row>
    <row r="71" spans="1:7" x14ac:dyDescent="0.3">
      <c r="A71" s="2">
        <v>3</v>
      </c>
      <c r="C71" s="38" t="s">
        <v>32</v>
      </c>
      <c r="D71" s="42">
        <f>TRUNC(7674,-1)</f>
        <v>7670</v>
      </c>
      <c r="E71" s="63">
        <f t="shared" si="2"/>
        <v>25350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TRUNC(7716,-1)</f>
        <v>7710</v>
      </c>
      <c r="E73" s="63">
        <f t="shared" si="2"/>
        <v>25480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TRUNC(213,-1)</f>
        <v>210</v>
      </c>
      <c r="E75" s="63">
        <f t="shared" si="2"/>
        <v>690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TRUNC(4496,-1)</f>
        <v>4490</v>
      </c>
      <c r="E89" s="63">
        <f t="shared" si="2"/>
        <v>14840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43930</v>
      </c>
      <c r="E91" s="63">
        <f t="shared" si="2"/>
        <v>145220</v>
      </c>
    </row>
    <row r="92" spans="1:7" x14ac:dyDescent="0.3">
      <c r="A92" s="2">
        <v>24</v>
      </c>
      <c r="C92" s="38" t="s">
        <v>38</v>
      </c>
      <c r="D92" s="42">
        <f>TRUNC(3152,-1)</f>
        <v>3150</v>
      </c>
      <c r="E92" s="63">
        <f t="shared" si="2"/>
        <v>10410</v>
      </c>
    </row>
    <row r="93" spans="1:7" x14ac:dyDescent="0.3">
      <c r="A93" s="2">
        <v>25</v>
      </c>
      <c r="C93" s="38" t="s">
        <v>148</v>
      </c>
      <c r="D93" s="42">
        <f>TRUNC(377008,-1)</f>
        <v>377000</v>
      </c>
      <c r="E93" s="63">
        <f t="shared" si="2"/>
        <v>1246280</v>
      </c>
    </row>
    <row r="94" spans="1:7" ht="17.25" thickBot="1" x14ac:dyDescent="0.35">
      <c r="A94" s="2">
        <v>26</v>
      </c>
      <c r="C94" s="38" t="s">
        <v>47</v>
      </c>
      <c r="D94" s="43">
        <f>TRUNC(3325,-1)</f>
        <v>3320</v>
      </c>
      <c r="E94" s="64">
        <f t="shared" si="2"/>
        <v>10970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459950</v>
      </c>
      <c r="E95" s="39">
        <f>SUM(E69:E94)</f>
        <v>1520450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TRUNC(43205,-1)</f>
        <v>43200</v>
      </c>
      <c r="E98" s="62">
        <f t="shared" ref="E98:E118" si="3">TRUNC(+D98*3.3058,-1)</f>
        <v>142810</v>
      </c>
    </row>
    <row r="99" spans="1:7" x14ac:dyDescent="0.3">
      <c r="A99" s="2">
        <v>2</v>
      </c>
      <c r="C99" s="38" t="s">
        <v>40</v>
      </c>
      <c r="D99" s="42">
        <f>TRUNC(25519,-1)</f>
        <v>25510</v>
      </c>
      <c r="E99" s="63">
        <f t="shared" si="3"/>
        <v>84330</v>
      </c>
    </row>
    <row r="100" spans="1:7" x14ac:dyDescent="0.3">
      <c r="A100" s="2">
        <v>3</v>
      </c>
      <c r="C100" s="38" t="s">
        <v>41</v>
      </c>
      <c r="D100" s="42">
        <v>32940</v>
      </c>
      <c r="E100" s="63">
        <f t="shared" si="3"/>
        <v>108890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TRUNC(9101,-1)</f>
        <v>9100</v>
      </c>
      <c r="E102" s="63">
        <f t="shared" si="3"/>
        <v>30080</v>
      </c>
    </row>
    <row r="103" spans="1:7" x14ac:dyDescent="0.3">
      <c r="A103" s="2">
        <v>6</v>
      </c>
      <c r="C103" s="38" t="s">
        <v>44</v>
      </c>
      <c r="D103" s="42">
        <f>TRUNC(6983,-1)</f>
        <v>6980</v>
      </c>
      <c r="E103" s="63">
        <f t="shared" si="3"/>
        <v>23070</v>
      </c>
    </row>
    <row r="104" spans="1:7" x14ac:dyDescent="0.3">
      <c r="A104" s="2">
        <v>7</v>
      </c>
      <c r="C104" s="38" t="s">
        <v>45</v>
      </c>
      <c r="D104" s="42">
        <f>TRUNC(7456,-1)</f>
        <v>7450</v>
      </c>
      <c r="E104" s="63">
        <f t="shared" si="3"/>
        <v>24620</v>
      </c>
    </row>
    <row r="105" spans="1:7" x14ac:dyDescent="0.3">
      <c r="A105" s="2">
        <v>8</v>
      </c>
      <c r="C105" s="38" t="s">
        <v>46</v>
      </c>
      <c r="D105" s="42">
        <f>TRUNC(12447,-1)</f>
        <v>12440</v>
      </c>
      <c r="E105" s="63">
        <f t="shared" si="3"/>
        <v>41120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TRUNC(3109,-1)</f>
        <v>3100</v>
      </c>
      <c r="E114" s="63">
        <f t="shared" si="3"/>
        <v>10240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TRUNC(14036,-1)</f>
        <v>14030</v>
      </c>
      <c r="E116" s="63">
        <f t="shared" si="3"/>
        <v>46380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TRUNC(137043,-1)</f>
        <v>137040</v>
      </c>
      <c r="E117" s="63">
        <f t="shared" si="3"/>
        <v>453020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291790</v>
      </c>
      <c r="E119" s="39">
        <f>SUM(E98:E118)</f>
        <v>964560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TRUNC(3083,-1)</f>
        <v>3080</v>
      </c>
      <c r="E122" s="62">
        <f t="shared" ref="E122:E132" si="4">TRUNC(+D122*3.3058,-1)</f>
        <v>10180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f>TRUNC(4809,-1)</f>
        <v>4800</v>
      </c>
      <c r="E123" s="63">
        <f t="shared" si="4"/>
        <v>15860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TRUNC(10765,-1)</f>
        <v>10760</v>
      </c>
      <c r="E125" s="63">
        <f t="shared" si="4"/>
        <v>35570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TRUNC(4433,-1)</f>
        <v>4430</v>
      </c>
      <c r="E128" s="63">
        <f t="shared" si="4"/>
        <v>14640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TRUNC(25418,-1)</f>
        <v>25410</v>
      </c>
      <c r="E130" s="63">
        <f t="shared" si="4"/>
        <v>84000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TRUNC(9326,-1)</f>
        <v>9320</v>
      </c>
      <c r="E132" s="64">
        <f t="shared" si="4"/>
        <v>30810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57800</v>
      </c>
      <c r="E133" s="39">
        <f>SUM(E122:E132)</f>
        <v>191060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TRUNC(827,-1)</f>
        <v>820</v>
      </c>
      <c r="E139" s="63">
        <f t="shared" si="5"/>
        <v>2710</v>
      </c>
    </row>
    <row r="140" spans="1:7" x14ac:dyDescent="0.3">
      <c r="A140" s="2">
        <v>5</v>
      </c>
      <c r="C140" s="38" t="s">
        <v>57</v>
      </c>
      <c r="D140" s="42">
        <f>TRUNC(1586,-1)</f>
        <v>1580</v>
      </c>
      <c r="E140" s="63">
        <f t="shared" si="5"/>
        <v>5220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TRUNC(10461,-1)</f>
        <v>10460</v>
      </c>
      <c r="E142" s="63">
        <f t="shared" si="5"/>
        <v>34570</v>
      </c>
    </row>
    <row r="143" spans="1:7" x14ac:dyDescent="0.3">
      <c r="A143" s="2">
        <v>8</v>
      </c>
      <c r="C143" s="38" t="s">
        <v>62</v>
      </c>
      <c r="D143" s="42">
        <f>TRUNC(5936,-1)</f>
        <v>5930</v>
      </c>
      <c r="E143" s="63">
        <f t="shared" si="5"/>
        <v>19600</v>
      </c>
    </row>
    <row r="144" spans="1:7" x14ac:dyDescent="0.3">
      <c r="A144" s="2">
        <v>9</v>
      </c>
      <c r="C144" s="38" t="s">
        <v>63</v>
      </c>
      <c r="D144" s="42">
        <f>TRUNC(12052,-1)</f>
        <v>12050</v>
      </c>
      <c r="E144" s="63">
        <f t="shared" si="5"/>
        <v>39830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30840</v>
      </c>
      <c r="E146" s="39">
        <f>SUM(E136:E145)</f>
        <v>101930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TRUNC(12332+4380,-1)</f>
        <v>16710</v>
      </c>
      <c r="E149" s="62">
        <f>TRUNC(+D149*3.3058,-1)</f>
        <v>55230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TRUNC(9336,-1)</f>
        <v>9330</v>
      </c>
      <c r="E150" s="63">
        <f>TRUNC(+D150*3.3058,-1)</f>
        <v>30840</v>
      </c>
    </row>
    <row r="151" spans="1:7" x14ac:dyDescent="0.3">
      <c r="A151" s="2">
        <v>3</v>
      </c>
      <c r="C151" s="38" t="s">
        <v>50</v>
      </c>
      <c r="D151" s="42">
        <f>TRUNC(10042,-1)</f>
        <v>10040</v>
      </c>
      <c r="E151" s="63">
        <f>TRUNC(+D151*3.3058,-1)</f>
        <v>33190</v>
      </c>
    </row>
    <row r="152" spans="1:7" x14ac:dyDescent="0.3">
      <c r="A152" s="2">
        <v>4</v>
      </c>
      <c r="C152" s="38" t="s">
        <v>47</v>
      </c>
      <c r="D152" s="42">
        <f>TRUNC(2+1129,-1)</f>
        <v>1130</v>
      </c>
      <c r="E152" s="63">
        <f>TRUNC(+D152*3.3058,-1)</f>
        <v>3730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TRUNC(18574,-1)</f>
        <v>18570</v>
      </c>
      <c r="E153" s="64">
        <f>TRUNC(+D153*3.3058,-1)</f>
        <v>61380</v>
      </c>
    </row>
    <row r="154" spans="1:7" x14ac:dyDescent="0.3">
      <c r="A154" s="2">
        <v>6</v>
      </c>
      <c r="C154" s="27" t="s">
        <v>112</v>
      </c>
      <c r="D154" s="39">
        <f>SUM(D149:D153)</f>
        <v>55780</v>
      </c>
      <c r="E154" s="39">
        <f>SUM(E149:E153)</f>
        <v>184370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4410</v>
      </c>
      <c r="E157" s="62">
        <f>TRUNC(+D157*3.3058,-1)</f>
        <v>14570</v>
      </c>
    </row>
    <row r="158" spans="1:7" x14ac:dyDescent="0.3">
      <c r="A158" s="2">
        <v>2</v>
      </c>
      <c r="C158" s="38" t="s">
        <v>52</v>
      </c>
      <c r="D158" s="42">
        <f>TRUNC(1365,-1)</f>
        <v>1360</v>
      </c>
      <c r="E158" s="63">
        <f>TRUNC(+D158*3.3058,-1)</f>
        <v>4490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5770</v>
      </c>
      <c r="E161" s="39">
        <f>SUM(E157:E160)</f>
        <v>19060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2020-12-08T04:41:39Z</dcterms:modified>
</cp:coreProperties>
</file>