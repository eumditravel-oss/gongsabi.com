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1" i="4"/>
  <c r="D150" i="4"/>
  <c r="D149" i="4"/>
  <c r="D144" i="4"/>
  <c r="D143" i="4"/>
  <c r="D142" i="4"/>
  <c r="D139" i="4"/>
  <c r="D132" i="4"/>
  <c r="D130" i="4"/>
  <c r="D128" i="4"/>
  <c r="D125" i="4"/>
  <c r="D122" i="4"/>
  <c r="D118" i="4"/>
  <c r="D116" i="4"/>
  <c r="D114" i="4"/>
  <c r="D105" i="4"/>
  <c r="D104" i="4"/>
  <c r="D102" i="4"/>
  <c r="D101" i="4"/>
  <c r="D100" i="4"/>
  <c r="D99" i="4"/>
  <c r="D98" i="4"/>
  <c r="D94" i="4"/>
  <c r="D92" i="4"/>
  <c r="D91" i="4"/>
  <c r="D89" i="4"/>
  <c r="D71" i="4"/>
  <c r="D70" i="4"/>
  <c r="D69" i="4"/>
  <c r="D58" i="4"/>
  <c r="D53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<sst xmlns="http://schemas.openxmlformats.org/spreadsheetml/2006/main" count="392" uniqueCount="267">
  <si>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</si>
  <si>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</si>
  <si>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</si>
  <si>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</si>
  <si>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</si>
  <si>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</si>
  <si>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</si>
  <si>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</si>
  <si>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</si>
  <si>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</si>
  <si>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</si>
  <si>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</si>
  <si>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</si>
  <si>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</si>
  <si>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</si>
  <si>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</si>
  <si>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</si>
  <si>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</si>
  <si>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</si>
  <si>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</si>
  <si>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</si>
  <si>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</si>
  <si>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</si>
  <si>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</si>
  <si>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</si>
  <si>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</si>
  <si>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</si>
  <si>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</si>
  <si>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</si>
  <si>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</si>
  <si>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</si>
  <si>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</si>
  <si>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</si>
  <si>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</si>
  <si>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</si>
  <si>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</si>
  <si>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</si>
  <si>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</si>
  <si>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</si>
  <si>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</si>
  <si>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</si>
  <si>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</si>
  <si>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</si>
  <si>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</si>
  <si>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</si>
  <si>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</si>
  <si>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</si>
  <si>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</si>
  <si>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</si>
  <si>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</si>
  <si>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</si>
  <si>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</si>
  <si>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</si>
  <si>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</si>
  <si>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</si>
  <si>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</si>
  <si>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</si>
  <si>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</si>
  <si>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</si>
  <si>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</si>
  <si>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</si>
  <si>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</si>
  <si>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</si>
  <si>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</si>
  <si>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</si>
  <si>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</si>
  <si>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</si>
  <si>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</si>
  <si>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</si>
  <si>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</si>
  <si>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</si>
  <si>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</si>
  <si>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</si>
  <si>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</si>
  <si>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</si>
  <si>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</si>
  <si>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</si>
  <si>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</si>
  <si>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</si>
  <si>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</si>
  <si>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</si>
  <si>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</si>
  <si>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</si>
  <si>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</si>
  <si>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</si>
  <si>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</si>
  <si>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</si>
  <si>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</si>
  <si>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</si>
  <si>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</si>
  <si>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</si>
  <si>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</si>
  <si>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</si>
  <si>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</si>
  <si>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</si>
  <si>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</si>
  <si>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</si>
  <si>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</si>
  <si>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</si>
  <si>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</si>
  <si>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</si>
  <si>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</si>
  <si>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</si>
  <si>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</si>
  <si>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</si>
  <si>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</si>
  <si>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</si>
  <si>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</si>
  <si>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</si>
  <si>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</si>
  <si>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</si>
  <si>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</si>
  <si>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</si>
  <si>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</si>
  <si>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</si>
  <si>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</si>
  <si>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</si>
  <si>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</si>
  <si>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</si>
  <si>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</si>
  <si>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</si>
  <si>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</si>
  <si>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</si>
  <si>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</si>
  <si>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</si>
  <si>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</si>
  <si>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</si>
  <si>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</si>
  <si>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</si>
  <si>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</si>
  <si>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</si>
  <si>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</si>
  <si>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</si>
  <si>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</si>
  <si>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</si>
  <si>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</si>
  <si>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</si>
  <si>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</si>
  <si>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</si>
  <si>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</si>
  <si>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</si>
  <si>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</si>
  <si>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</si>
  <si>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</si>
  <si>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</si>
  <si>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</si>
  <si>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</si>
  <si>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</si>
  <si>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</si>
  <si>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</si>
  <si>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</si>
  <si>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</si>
  <si>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</si>
  <si>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</si>
  <si>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</si>
  <si>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</si>
  <si>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</si>
  <si>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</si>
  <si>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</si>
  <si>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</si>
  <si>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</si>
  <si>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</si>
  <si>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</si>
  <si>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</si>
  <si>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</si>
  <si>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</si>
  <si>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</si>
  <si>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</si>
  <si>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</si>
  <si>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</si>
  <si>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</si>
  <si>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</si>
  <si>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</si>
  <si>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</si>
  <si>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</si>
  <si>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</si>
  <si>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</si>
  <si>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</si>
  <si>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</si>
  <si>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</si>
  <si>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</si>
  <si>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</si>
  <si>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</si>
  <si>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</si>
  <si>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</si>
  <si>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</si>
  <si>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</si>
  <si>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</si>
  <si>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</si>
  <si>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</si>
  <si>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</si>
  <si>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</si>
  <si>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</si>
  <si>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</si>
  <si>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</si>
  <si>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</si>
  <si>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</si>
  <si>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</si>
  <si>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</si>
  <si>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</si>
  <si>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</si>
  <si>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</si>
  <si>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</si>
  <si>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</si>
  <si>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</si>
  <si>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</si>
  <si>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</si>
  <si>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</si>
  <si>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</si>
  <si>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</si>
  <si>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</si>
  <si>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</si>
  <si>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</si>
  <si>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</si>
  <si>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</si>
  <si>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</si>
  <si>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</si>
  <si>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</si>
  <si>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</si>
  <si>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</si>
  <si>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</si>
  <si>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</si>
  <si>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</si>
  <si>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</si>
  <si>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</si>
  <si>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</si>
  <si>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</si>
  <si>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</si>
  <si>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</si>
  <si>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</si>
  <si>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</si>
  <si>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</si>
  <si>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</si>
  <si>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</si>
  <si>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</si>
  <si>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</si>
  <si>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</si>
  <si>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</si>
  <si>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</si>
  <si>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</si>
  <si>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</si>
  <si>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</si>
  <si>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</si>
  <si>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</si>
  <si>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</si>
  <si>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</si>
  <si>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</si>
  <si>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</si>
  <si>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</si>
  <si>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죽미령 알로하 평화관 건립공사</t>
    <phoneticPr fontId="2" type="noConversion"/>
  </si>
  <si>
    <t>문화및집회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</si>
  <si>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</si>
  <si>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</si>
  <si>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</si>
  <si>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</t>
    <phoneticPr fontId="2" type="noConversion"/>
  </si>
  <si>
    <t>난방배관공사, 바닥난방공사</t>
    <phoneticPr fontId="2" type="noConversion"/>
  </si>
  <si>
    <t xml:space="preserve"> 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</si>
  <si>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</si>
  <si>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</si>
  <si>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</si>
  <si>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상수도공사, 사급자재비,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</si>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</sst>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2805.41</v>
      </c>
      <c r="D7" s="36">
        <f>+C7/3.3058</f>
        <v>848.63270615282227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828780</v>
      </c>
      <c r="E25" s="59">
        <f t="shared" si="0"/>
        <v>2739780</v>
      </c>
    </row>
    <row r="26" spans="1:5" x14ac:dyDescent="0.3">
      <c r="B26" s="2">
        <v>3</v>
      </c>
      <c r="C26" s="35" t="s">
        <v>95</v>
      </c>
      <c r="D26" s="45">
        <f>+D66</f>
        <v>32050</v>
      </c>
      <c r="E26" s="59">
        <f t="shared" si="0"/>
        <v>105950</v>
      </c>
    </row>
    <row r="27" spans="1:5" x14ac:dyDescent="0.3">
      <c r="B27" s="2">
        <v>4</v>
      </c>
      <c r="C27" s="35" t="s">
        <v>96</v>
      </c>
      <c r="D27" s="45">
        <f>+D95</f>
        <v>29960</v>
      </c>
      <c r="E27" s="59">
        <f t="shared" si="0"/>
        <v>99040</v>
      </c>
    </row>
    <row r="28" spans="1:5" x14ac:dyDescent="0.3">
      <c r="B28" s="2">
        <v>5</v>
      </c>
      <c r="C28" s="35" t="s">
        <v>97</v>
      </c>
      <c r="D28" s="45">
        <f>+D119</f>
        <v>110510</v>
      </c>
      <c r="E28" s="59">
        <f t="shared" si="0"/>
        <v>365320</v>
      </c>
    </row>
    <row r="29" spans="1:5" x14ac:dyDescent="0.3">
      <c r="B29" s="2">
        <v>6</v>
      </c>
      <c r="C29" s="35" t="s">
        <v>98</v>
      </c>
      <c r="D29" s="45">
        <f>+D133</f>
        <v>36860</v>
      </c>
      <c r="E29" s="59">
        <f t="shared" si="0"/>
        <v>121850</v>
      </c>
    </row>
    <row r="30" spans="1:5" x14ac:dyDescent="0.3">
      <c r="B30" s="2">
        <v>7</v>
      </c>
      <c r="C30" s="35" t="s">
        <v>99</v>
      </c>
      <c r="D30" s="45">
        <f>+D146</f>
        <v>73270</v>
      </c>
      <c r="E30" s="59">
        <f t="shared" si="0"/>
        <v>242210</v>
      </c>
    </row>
    <row r="31" spans="1:5" x14ac:dyDescent="0.3">
      <c r="B31" s="2">
        <v>8</v>
      </c>
      <c r="C31" s="35" t="s">
        <v>100</v>
      </c>
      <c r="D31" s="45">
        <f>+D154</f>
        <v>66210</v>
      </c>
      <c r="E31" s="59">
        <f t="shared" si="0"/>
        <v>218870</v>
      </c>
    </row>
    <row r="32" spans="1:5" x14ac:dyDescent="0.3">
      <c r="B32" s="2">
        <v>9</v>
      </c>
      <c r="C32" s="35" t="s">
        <v>101</v>
      </c>
      <c r="D32" s="45">
        <f>+D161</f>
        <v>103050</v>
      </c>
      <c r="E32" s="59">
        <f t="shared" si="0"/>
        <v>340660</v>
      </c>
    </row>
    <row r="33" spans="1:7" x14ac:dyDescent="0.3">
      <c r="B33" s="2">
        <v>10</v>
      </c>
      <c r="C33" s="35" t="s">
        <v>154</v>
      </c>
      <c r="D33" s="53">
        <f>TRUNC(SUM(D24:D32)*0.275,-1)</f>
        <v>352180</v>
      </c>
      <c r="E33" s="60">
        <f t="shared" si="0"/>
        <v>1164230</v>
      </c>
    </row>
    <row r="34" spans="1:7" x14ac:dyDescent="0.3">
      <c r="C34" s="35" t="s">
        <v>112</v>
      </c>
      <c r="D34" s="44">
        <f>SUM(D24:D33)</f>
        <v>1632870</v>
      </c>
      <c r="E34" s="44">
        <f>SUM(E24:E33)</f>
        <v>5397910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TRUNC(81256,-1)</f>
        <v>81250</v>
      </c>
      <c r="E40" s="62">
        <f t="shared" ref="E40:E59" si="1">TRUNC(+D40*3.3058,-1)</f>
        <v>268590</v>
      </c>
    </row>
    <row r="41" spans="1:7" x14ac:dyDescent="0.3">
      <c r="A41" s="2">
        <v>2</v>
      </c>
      <c r="C41" s="38" t="s">
        <v>13</v>
      </c>
      <c r="D41" s="42">
        <f>TRUNC(201698,-1)</f>
        <v>201690</v>
      </c>
      <c r="E41" s="63">
        <f t="shared" si="1"/>
        <v>666740</v>
      </c>
    </row>
    <row r="42" spans="1:7" x14ac:dyDescent="0.3">
      <c r="A42" s="2">
        <v>3</v>
      </c>
      <c r="C42" s="38" t="s">
        <v>14</v>
      </c>
      <c r="D42" s="42">
        <f>TRUNC(11329,-1)</f>
        <v>11320</v>
      </c>
      <c r="E42" s="63">
        <f t="shared" si="1"/>
        <v>37420</v>
      </c>
    </row>
    <row r="43" spans="1:7" x14ac:dyDescent="0.3">
      <c r="A43" s="2">
        <v>4</v>
      </c>
      <c r="C43" s="38" t="s">
        <v>16</v>
      </c>
      <c r="D43" s="42">
        <f>TRUNC(32186,-1)</f>
        <v>32180</v>
      </c>
      <c r="E43" s="63">
        <f t="shared" si="1"/>
        <v>106380</v>
      </c>
    </row>
    <row r="44" spans="1:7" x14ac:dyDescent="0.3">
      <c r="A44" s="2">
        <v>5</v>
      </c>
      <c r="C44" s="38" t="s">
        <v>17</v>
      </c>
      <c r="D44" s="42">
        <f>TRUNC(33472,-1)</f>
        <v>33470</v>
      </c>
      <c r="E44" s="63">
        <f t="shared" si="1"/>
        <v>110640</v>
      </c>
    </row>
    <row r="45" spans="1:7" x14ac:dyDescent="0.3">
      <c r="A45" s="2">
        <v>6</v>
      </c>
      <c r="C45" s="38" t="s">
        <v>18</v>
      </c>
      <c r="D45" s="42">
        <f>TRUNC(5658,-1)</f>
        <v>5650</v>
      </c>
      <c r="E45" s="63">
        <f t="shared" si="1"/>
        <v>18670</v>
      </c>
    </row>
    <row r="46" spans="1:7" x14ac:dyDescent="0.3">
      <c r="A46" s="2">
        <v>7</v>
      </c>
      <c r="C46" s="38" t="s">
        <v>19</v>
      </c>
      <c r="D46" s="42">
        <f>TRUNC(18099,-1)</f>
        <v>18090</v>
      </c>
      <c r="E46" s="63">
        <f t="shared" si="1"/>
        <v>59800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TRUNC(58263,-1)</f>
        <v>58260</v>
      </c>
      <c r="E48" s="63">
        <f t="shared" si="1"/>
        <v>192590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TRUNC(41045,-1)</f>
        <v>41040</v>
      </c>
      <c r="E49" s="63">
        <f t="shared" si="1"/>
        <v>135670</v>
      </c>
    </row>
    <row r="50" spans="1:7" x14ac:dyDescent="0.3">
      <c r="A50" s="2">
        <v>11</v>
      </c>
      <c r="C50" s="38" t="s">
        <v>155</v>
      </c>
      <c r="D50" s="42">
        <f>TRUNC(113327,-1)</f>
        <v>113320</v>
      </c>
      <c r="E50" s="63">
        <f t="shared" si="1"/>
        <v>374610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49760</v>
      </c>
      <c r="E52" s="63">
        <f t="shared" si="1"/>
        <v>164490</v>
      </c>
    </row>
    <row r="53" spans="1:7" x14ac:dyDescent="0.3">
      <c r="A53" s="2">
        <v>14</v>
      </c>
      <c r="C53" s="38" t="s">
        <v>25</v>
      </c>
      <c r="D53" s="42">
        <f>TRUNC(161204,-1)</f>
        <v>161200</v>
      </c>
      <c r="E53" s="63">
        <f t="shared" si="1"/>
        <v>532890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TRUNC(13444+52+5562+2493,-1)</f>
        <v>21550</v>
      </c>
      <c r="E58" s="63">
        <f t="shared" si="1"/>
        <v>71230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828780</v>
      </c>
      <c r="E60" s="39">
        <f>SUM(E40:E59)</f>
        <v>2739720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32050</v>
      </c>
      <c r="E63" s="62">
        <f>TRUNC(+D63*3.3058,-1)</f>
        <v>105950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32050</v>
      </c>
      <c r="E66" s="65">
        <f>SUM(E63:E65)</f>
        <v>105950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TRUNC(3169,-1)</f>
        <v>3160</v>
      </c>
      <c r="E69" s="62">
        <f t="shared" ref="E69:E94" si="2">TRUNC(+D69*3.3058,-1)</f>
        <v>10440</v>
      </c>
    </row>
    <row r="70" spans="1:7" ht="16.5" customHeight="1" x14ac:dyDescent="0.3">
      <c r="A70" s="2">
        <v>2</v>
      </c>
      <c r="C70" s="38" t="s">
        <v>31</v>
      </c>
      <c r="D70" s="42">
        <f>TRUNC(933,-1)</f>
        <v>930</v>
      </c>
      <c r="E70" s="63">
        <f t="shared" si="2"/>
        <v>3070</v>
      </c>
    </row>
    <row r="71" spans="1:7" x14ac:dyDescent="0.3">
      <c r="A71" s="2">
        <v>3</v>
      </c>
      <c r="C71" s="38" t="s">
        <v>32</v>
      </c>
      <c r="D71" s="42">
        <f>TRUNC(6323,-1)</f>
        <v>6320</v>
      </c>
      <c r="E71" s="63">
        <f t="shared" si="2"/>
        <v>20890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5890</v>
      </c>
      <c r="E73" s="63">
        <f t="shared" si="2"/>
        <v>19470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TRUNC(2145,-1)</f>
        <v>2140</v>
      </c>
      <c r="E89" s="63">
        <f t="shared" si="2"/>
        <v>7070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TRUNC(4042,-1)</f>
        <v>4040</v>
      </c>
      <c r="E91" s="63">
        <f t="shared" si="2"/>
        <v>13350</v>
      </c>
    </row>
    <row r="92" spans="1:7" x14ac:dyDescent="0.3">
      <c r="A92" s="2">
        <v>24</v>
      </c>
      <c r="C92" s="38" t="s">
        <v>38</v>
      </c>
      <c r="D92" s="42">
        <f>TRUNC(4837,-1)</f>
        <v>4830</v>
      </c>
      <c r="E92" s="63">
        <f t="shared" si="2"/>
        <v>15960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TRUNC(1201+1457,-1)</f>
        <v>2650</v>
      </c>
      <c r="E94" s="64">
        <f t="shared" si="2"/>
        <v>8760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29960</v>
      </c>
      <c r="E95" s="39">
        <f>SUM(E69:E94)</f>
        <v>99010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TRUNC(17256,-1)</f>
        <v>17250</v>
      </c>
      <c r="E98" s="62">
        <f t="shared" ref="E98:E118" si="3">TRUNC(+D98*3.3058,-1)</f>
        <v>57020</v>
      </c>
    </row>
    <row r="99" spans="1:7" x14ac:dyDescent="0.3">
      <c r="A99" s="2">
        <v>2</v>
      </c>
      <c r="C99" s="38" t="s">
        <v>40</v>
      </c>
      <c r="D99" s="42">
        <f>TRUNC(10561,-1)</f>
        <v>10560</v>
      </c>
      <c r="E99" s="63">
        <f t="shared" si="3"/>
        <v>34900</v>
      </c>
    </row>
    <row r="100" spans="1:7" x14ac:dyDescent="0.3">
      <c r="A100" s="2">
        <v>3</v>
      </c>
      <c r="C100" s="38" t="s">
        <v>41</v>
      </c>
      <c r="D100" s="42">
        <f>TRUNC(35132,-1)</f>
        <v>35130</v>
      </c>
      <c r="E100" s="63">
        <f t="shared" si="3"/>
        <v>116130</v>
      </c>
    </row>
    <row r="101" spans="1:7" x14ac:dyDescent="0.3">
      <c r="A101" s="2">
        <v>4</v>
      </c>
      <c r="C101" s="38" t="s">
        <v>42</v>
      </c>
      <c r="D101" s="42">
        <f>TRUNC(8361,-1)</f>
        <v>8360</v>
      </c>
      <c r="E101" s="63">
        <f t="shared" si="3"/>
        <v>27630</v>
      </c>
    </row>
    <row r="102" spans="1:7" x14ac:dyDescent="0.3">
      <c r="A102" s="2">
        <v>5</v>
      </c>
      <c r="C102" s="38" t="s">
        <v>43</v>
      </c>
      <c r="D102" s="42">
        <f>TRUNC(10868,-1)</f>
        <v>10860</v>
      </c>
      <c r="E102" s="63">
        <f t="shared" si="3"/>
        <v>35900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TRUNC(1861,-1)</f>
        <v>1860</v>
      </c>
      <c r="E104" s="63">
        <f t="shared" si="3"/>
        <v>6140</v>
      </c>
    </row>
    <row r="105" spans="1:7" x14ac:dyDescent="0.3">
      <c r="A105" s="2">
        <v>8</v>
      </c>
      <c r="C105" s="38" t="s">
        <v>46</v>
      </c>
      <c r="D105" s="42">
        <f>TRUNC(1914,-1)</f>
        <v>1910</v>
      </c>
      <c r="E105" s="63">
        <f t="shared" si="3"/>
        <v>6310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TRUNC(6097,-1)</f>
        <v>6090</v>
      </c>
      <c r="E114" s="63">
        <f t="shared" si="3"/>
        <v>20130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TRUNC(12468,-1)</f>
        <v>12460</v>
      </c>
      <c r="E116" s="63">
        <f t="shared" si="3"/>
        <v>41190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TRUNC(6039,-1)</f>
        <v>6030</v>
      </c>
      <c r="E118" s="64">
        <f t="shared" si="3"/>
        <v>19930</v>
      </c>
    </row>
    <row r="119" spans="1:7" x14ac:dyDescent="0.3">
      <c r="A119" s="2">
        <v>22</v>
      </c>
      <c r="C119" s="27" t="s">
        <v>112</v>
      </c>
      <c r="D119" s="39">
        <f>SUM(D98:D118)</f>
        <v>110510</v>
      </c>
      <c r="E119" s="39">
        <f>SUM(E98:E118)</f>
        <v>365280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TRUNC(5891,-1)</f>
        <v>5890</v>
      </c>
      <c r="E122" s="62">
        <f t="shared" ref="E122:E132" si="4">TRUNC(+D122*3.3058,-1)</f>
        <v>19470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TRUNC(5367,-1)</f>
        <v>5360</v>
      </c>
      <c r="E125" s="63">
        <f t="shared" si="4"/>
        <v>17710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TRUNC(3093,-1)</f>
        <v>3090</v>
      </c>
      <c r="E128" s="63">
        <f t="shared" si="4"/>
        <v>10210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TRUNC(20725,-1)</f>
        <v>20720</v>
      </c>
      <c r="E130" s="63">
        <f t="shared" si="4"/>
        <v>68490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TRUNC(1803,-1)</f>
        <v>1800</v>
      </c>
      <c r="E132" s="64">
        <f t="shared" si="4"/>
        <v>5950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36860</v>
      </c>
      <c r="E133" s="39">
        <f>SUM(E122:E132)</f>
        <v>121830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TRUNC(4353,-1)</f>
        <v>4350</v>
      </c>
      <c r="E139" s="63">
        <f t="shared" si="5"/>
        <v>14380</v>
      </c>
    </row>
    <row r="140" spans="1:7" x14ac:dyDescent="0.3">
      <c r="A140" s="2">
        <v>5</v>
      </c>
      <c r="C140" s="38" t="s">
        <v>57</v>
      </c>
      <c r="D140" s="42">
        <v>6450</v>
      </c>
      <c r="E140" s="63">
        <f t="shared" si="5"/>
        <v>21320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TRUNC(30915,-1)</f>
        <v>30910</v>
      </c>
      <c r="E142" s="63">
        <f t="shared" si="5"/>
        <v>102180</v>
      </c>
    </row>
    <row r="143" spans="1:7" x14ac:dyDescent="0.3">
      <c r="A143" s="2">
        <v>8</v>
      </c>
      <c r="C143" s="38" t="s">
        <v>62</v>
      </c>
      <c r="D143" s="42">
        <f>TRUNC(5459,-1)</f>
        <v>5450</v>
      </c>
      <c r="E143" s="63">
        <f t="shared" si="5"/>
        <v>18010</v>
      </c>
    </row>
    <row r="144" spans="1:7" x14ac:dyDescent="0.3">
      <c r="A144" s="2">
        <v>9</v>
      </c>
      <c r="C144" s="38" t="s">
        <v>63</v>
      </c>
      <c r="D144" s="42">
        <f>TRUNC(26112,-1)</f>
        <v>26110</v>
      </c>
      <c r="E144" s="63">
        <f t="shared" si="5"/>
        <v>86310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73270</v>
      </c>
      <c r="E146" s="39">
        <f>SUM(E136:E145)</f>
        <v>242200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TRUNC(3595+598,-1)</f>
        <v>4190</v>
      </c>
      <c r="E149" s="62">
        <f>TRUNC(+D149*3.3058,-1)</f>
        <v>13850</v>
      </c>
    </row>
    <row r="150" spans="1:7" x14ac:dyDescent="0.3">
      <c r="A150" s="2">
        <v>2</v>
      </c>
      <c r="C150" s="38" t="s">
        <v>49</v>
      </c>
      <c r="D150" s="42">
        <f>TRUNC(1762,-1)</f>
        <v>1760</v>
      </c>
      <c r="E150" s="63">
        <f>TRUNC(+D150*3.3058,-1)</f>
        <v>5810</v>
      </c>
    </row>
    <row r="151" spans="1:7" x14ac:dyDescent="0.3">
      <c r="A151" s="2">
        <v>3</v>
      </c>
      <c r="C151" s="38" t="s">
        <v>50</v>
      </c>
      <c r="D151" s="42">
        <f>TRUNC(39188,-1)</f>
        <v>39180</v>
      </c>
      <c r="E151" s="63">
        <f>TRUNC(+D151*3.3058,-1)</f>
        <v>129520</v>
      </c>
    </row>
    <row r="152" spans="1:7" x14ac:dyDescent="0.3">
      <c r="A152" s="2">
        <v>4</v>
      </c>
      <c r="C152" s="38" t="s">
        <v>47</v>
      </c>
      <c r="D152" s="42">
        <f>TRUNC(156+8988+11943,-1)</f>
        <v>21080</v>
      </c>
      <c r="E152" s="63">
        <f>TRUNC(+D152*3.3058,-1)</f>
        <v>69680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66210</v>
      </c>
      <c r="E154" s="39">
        <f>SUM(E149:E153)</f>
        <v>218860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27520</v>
      </c>
      <c r="E157" s="62">
        <f>TRUNC(+D157*3.3058,-1)</f>
        <v>90970</v>
      </c>
    </row>
    <row r="158" spans="1:7" x14ac:dyDescent="0.3">
      <c r="A158" s="2">
        <v>2</v>
      </c>
      <c r="C158" s="38" t="s">
        <v>52</v>
      </c>
      <c r="D158" s="42">
        <f>TRUNC(33034,-1)</f>
        <v>33030</v>
      </c>
      <c r="E158" s="63">
        <f>TRUNC(+D158*3.3058,-1)</f>
        <v>109190</v>
      </c>
    </row>
    <row r="159" spans="1:7" x14ac:dyDescent="0.3">
      <c r="A159" s="2">
        <v>3</v>
      </c>
      <c r="C159" s="38" t="s">
        <v>47</v>
      </c>
      <c r="D159" s="42">
        <f>TRUNC(21784+20719,-1)</f>
        <v>42500</v>
      </c>
      <c r="E159" s="63">
        <f>TRUNC(+D159*3.3058,-1)</f>
        <v>140490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103050</v>
      </c>
      <c r="E161" s="39">
        <f>SUM(E157:E160)</f>
        <v>340650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2020-12-08T02:18:12Z</dcterms:modified>
</cp:coreProperties>
</file>