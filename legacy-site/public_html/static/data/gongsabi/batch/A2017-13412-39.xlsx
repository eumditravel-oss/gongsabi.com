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6" i="4"/>
  <c r="D125" i="4"/>
  <c r="D124" i="4"/>
  <c r="D118" i="4"/>
  <c r="D117" i="4"/>
  <c r="D116" i="4"/>
  <c r="D104" i="4"/>
  <c r="D103" i="4"/>
  <c r="D102" i="4"/>
  <c r="D100" i="4"/>
  <c r="D99" i="4"/>
  <c r="D98" i="4"/>
  <c r="D94" i="4"/>
  <c r="D91" i="4"/>
  <c r="D90" i="4"/>
  <c r="D76" i="4"/>
  <c r="D73" i="4"/>
  <c r="D72" i="4"/>
  <c r="D70" i="4"/>
  <c r="D69" i="4"/>
  <c r="D65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<sst xmlns="http://schemas.openxmlformats.org/spreadsheetml/2006/main" count="393" uniqueCount="270">
  <si>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</si>
  <si>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</si>
  <si>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</si>
  <si>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</si>
  <si>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</si>
  <si>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</si>
  <si>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</si>
  <si>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</si>
  <si>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</si>
  <si>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</si>
  <si>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</si>
  <si>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</si>
  <si>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</si>
  <si>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</si>
  <si>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</si>
  <si>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</si>
  <si>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</si>
  <si>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</si>
  <si>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</si>
  <si>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</si>
  <si>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</si>
  <si>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</si>
  <si>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</si>
  <si>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</si>
  <si>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</si>
  <si>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</si>
  <si>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</si>
  <si>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</si>
  <si>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</si>
  <si>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</si>
  <si>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</si>
  <si>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</si>
  <si>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</si>
  <si>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</si>
  <si>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</si>
  <si>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</si>
  <si>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</si>
  <si>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</si>
  <si>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</si>
  <si>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</si>
  <si>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</si>
  <si>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</si>
  <si>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</si>
  <si>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</si>
  <si>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</si>
  <si>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</si>
  <si>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</si>
  <si>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</si>
  <si>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</si>
  <si>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</si>
  <si>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</si>
  <si>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</si>
  <si>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</si>
  <si>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</si>
  <si>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</si>
  <si>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</si>
  <si>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</si>
  <si>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</si>
  <si>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</si>
  <si>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</si>
  <si>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</si>
  <si>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</si>
  <si>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</si>
  <si>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</si>
  <si>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</si>
  <si>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</si>
  <si>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</si>
  <si>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</si>
  <si>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</si>
  <si>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</si>
  <si>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</si>
  <si>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</si>
  <si>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</si>
  <si>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</si>
  <si>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</si>
  <si>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</si>
  <si>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</si>
  <si>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</si>
  <si>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</si>
  <si>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</si>
  <si>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</si>
  <si>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</si>
  <si>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</si>
  <si>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</si>
  <si>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</si>
  <si>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</si>
  <si>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</si>
  <si>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</si>
  <si>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</si>
  <si>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</si>
  <si>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</si>
  <si>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</si>
  <si>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</si>
  <si>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</si>
  <si>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</si>
  <si>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</si>
  <si>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</si>
  <si>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</si>
  <si>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</si>
  <si>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</si>
  <si>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</si>
  <si>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</si>
  <si>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</si>
  <si>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</si>
  <si>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</si>
  <si>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</si>
  <si>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</si>
  <si>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</si>
  <si>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</si>
  <si>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</si>
  <si>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</si>
  <si>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</si>
  <si>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</si>
  <si>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</si>
  <si>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</si>
  <si>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</si>
  <si>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</si>
  <si>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</si>
  <si>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</si>
  <si>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</si>
  <si>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</si>
  <si>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</si>
  <si>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</si>
  <si>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</si>
  <si>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</si>
  <si>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</si>
  <si>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</si>
  <si>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</si>
  <si>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</si>
  <si>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</si>
  <si>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</si>
  <si>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</si>
  <si>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</si>
  <si>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</si>
  <si>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</si>
  <si>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</si>
  <si>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</si>
  <si>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</si>
  <si>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</si>
  <si>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</si>
  <si>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</si>
  <si>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</si>
  <si>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</si>
  <si>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</si>
  <si>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</si>
  <si>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</si>
  <si>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</si>
  <si>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</si>
  <si>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</si>
  <si>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</si>
  <si>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</si>
  <si>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</si>
  <si>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</si>
  <si>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</si>
  <si>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</si>
  <si>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</si>
  <si>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</si>
  <si>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</si>
  <si>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</si>
  <si>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</si>
  <si>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</si>
  <si>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</si>
  <si>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</si>
  <si>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</si>
  <si>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</si>
  <si>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</si>
  <si>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</si>
  <si>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</si>
  <si>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</si>
  <si>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</si>
  <si>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</si>
  <si>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</si>
  <si>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</si>
  <si>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</si>
  <si>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</si>
  <si>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</si>
  <si>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</si>
  <si>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</si>
  <si>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</si>
  <si>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</si>
  <si>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</si>
  <si>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</si>
  <si>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</si>
  <si>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</si>
  <si>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</si>
  <si>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</si>
  <si>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</si>
  <si>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</si>
  <si>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</si>
  <si>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</si>
  <si>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</si>
  <si>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</si>
  <si>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</si>
  <si>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</si>
  <si>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</si>
  <si>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</si>
  <si>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</si>
  <si>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</si>
  <si>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</si>
  <si>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</si>
  <si>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</si>
  <si>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</si>
  <si>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</si>
  <si>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</si>
  <si>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</si>
  <si>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</si>
  <si>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</si>
  <si>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</si>
  <si>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</si>
  <si>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</si>
  <si>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</si>
  <si>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</si>
  <si>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</si>
  <si>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</si>
  <si>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</si>
  <si>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</si>
  <si>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</si>
  <si>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</si>
  <si>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</si>
  <si>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</si>
  <si>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</si>
  <si>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</si>
  <si>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</si>
  <si>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</si>
  <si>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</si>
  <si>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</si>
  <si>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</si>
  <si>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</si>
  <si>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</si>
  <si>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</si>
  <si>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</si>
  <si>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</si>
  <si>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</si>
  <si>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</si>
  <si>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</si>
  <si>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</si>
  <si>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</si>
  <si>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</si>
  <si>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</si>
  <si>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</si>
  <si>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</si>
  <si>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</si>
  <si>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</si>
  <si>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</si>
  <si>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</si>
  <si>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</si>
  <si>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</si>
  <si>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</si>
  <si>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</si>
  <si>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</si>
  <si>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</si>
  <si>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</si>
  <si>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</si>
  <si>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</si>
  <si>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구미경찰서 청사 신축공사</t>
    <phoneticPr fontId="2" type="noConversion"/>
  </si>
  <si>
    <t>경상도</t>
  </si>
  <si>
    <t>기초공사, 골재비및운반비, 작업부산물, 품질시험비, 기타공사</t>
    <phoneticPr fontId="2" type="noConversion"/>
  </si>
  <si>
    <t>바닥난방공사,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</si>
  <si>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</si>
  <si>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</si>
  <si>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옥외소화배관공사, 펌프실배관공사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</si>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</sst>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12806.57</v>
      </c>
      <c r="D7" s="36">
        <f>+C7/3.3058</f>
        <v>3873.9699921350352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867890</v>
      </c>
      <c r="E25" s="59">
        <f t="shared" si="0"/>
        <v>2869070</v>
      </c>
    </row>
    <row r="26" spans="1:5" x14ac:dyDescent="0.3">
      <c r="B26" s="2">
        <v>3</v>
      </c>
      <c r="C26" s="35" t="s">
        <v>95</v>
      </c>
      <c r="D26" s="45">
        <f>+D66</f>
        <v>28100</v>
      </c>
      <c r="E26" s="59">
        <f t="shared" si="0"/>
        <v>92890</v>
      </c>
    </row>
    <row r="27" spans="1:5" x14ac:dyDescent="0.3">
      <c r="B27" s="2">
        <v>4</v>
      </c>
      <c r="C27" s="35" t="s">
        <v>96</v>
      </c>
      <c r="D27" s="45">
        <f>+D95</f>
        <v>137250</v>
      </c>
      <c r="E27" s="59">
        <f t="shared" si="0"/>
        <v>453720</v>
      </c>
    </row>
    <row r="28" spans="1:5" x14ac:dyDescent="0.3">
      <c r="B28" s="2">
        <v>5</v>
      </c>
      <c r="C28" s="35" t="s">
        <v>97</v>
      </c>
      <c r="D28" s="45">
        <f>+D119</f>
        <v>182440</v>
      </c>
      <c r="E28" s="59">
        <f t="shared" si="0"/>
        <v>603110</v>
      </c>
    </row>
    <row r="29" spans="1:5" x14ac:dyDescent="0.3">
      <c r="B29" s="2">
        <v>6</v>
      </c>
      <c r="C29" s="35" t="s">
        <v>98</v>
      </c>
      <c r="D29" s="45">
        <f>+D133</f>
        <v>147850</v>
      </c>
      <c r="E29" s="59">
        <f t="shared" si="0"/>
        <v>488760</v>
      </c>
    </row>
    <row r="30" spans="1:5" x14ac:dyDescent="0.3">
      <c r="B30" s="2">
        <v>7</v>
      </c>
      <c r="C30" s="35" t="s">
        <v>99</v>
      </c>
      <c r="D30" s="45">
        <f>+D146</f>
        <v>53970</v>
      </c>
      <c r="E30" s="59">
        <f t="shared" si="0"/>
        <v>178410</v>
      </c>
    </row>
    <row r="31" spans="1:5" x14ac:dyDescent="0.3">
      <c r="B31" s="2">
        <v>8</v>
      </c>
      <c r="C31" s="35" t="s">
        <v>100</v>
      </c>
      <c r="D31" s="45">
        <f>+D154</f>
        <v>34580</v>
      </c>
      <c r="E31" s="59">
        <f t="shared" si="0"/>
        <v>114310</v>
      </c>
    </row>
    <row r="32" spans="1:5" x14ac:dyDescent="0.3">
      <c r="B32" s="2">
        <v>9</v>
      </c>
      <c r="C32" s="35" t="s">
        <v>101</v>
      </c>
      <c r="D32" s="45">
        <f>+D161</f>
        <v>24300</v>
      </c>
      <c r="E32" s="59">
        <f t="shared" si="0"/>
        <v>80330</v>
      </c>
    </row>
    <row r="33" spans="1:7" x14ac:dyDescent="0.3">
      <c r="B33" s="2">
        <v>10</v>
      </c>
      <c r="C33" s="35" t="s">
        <v>154</v>
      </c>
      <c r="D33" s="53">
        <f>TRUNC(SUM(D24:D32)*0.275,-1)</f>
        <v>406000</v>
      </c>
      <c r="E33" s="60">
        <f t="shared" si="0"/>
        <v>1342150</v>
      </c>
    </row>
    <row r="34" spans="1:7" x14ac:dyDescent="0.3">
      <c r="C34" s="35" t="s">
        <v>112</v>
      </c>
      <c r="D34" s="44">
        <f>SUM(D24:D33)</f>
        <v>1882380</v>
      </c>
      <c r="E34" s="44">
        <f>SUM(E24:E33)</f>
        <v>6222750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TRUNC(33386,-1)</f>
        <v>33380</v>
      </c>
      <c r="E40" s="62">
        <f t="shared" ref="E40:E59" si="1">TRUNC(+D40*3.3058,-1)</f>
        <v>110340</v>
      </c>
    </row>
    <row r="41" spans="1:7" x14ac:dyDescent="0.3">
      <c r="A41" s="2">
        <v>2</v>
      </c>
      <c r="C41" s="38" t="s">
        <v>13</v>
      </c>
      <c r="D41" s="42">
        <f>TRUNC(117472,-1)</f>
        <v>117470</v>
      </c>
      <c r="E41" s="63">
        <f t="shared" si="1"/>
        <v>388330</v>
      </c>
    </row>
    <row r="42" spans="1:7" x14ac:dyDescent="0.3">
      <c r="A42" s="2">
        <v>3</v>
      </c>
      <c r="C42" s="38" t="s">
        <v>14</v>
      </c>
      <c r="D42" s="42">
        <f>TRUNC(14162,-1)</f>
        <v>14160</v>
      </c>
      <c r="E42" s="63">
        <f t="shared" si="1"/>
        <v>46810</v>
      </c>
    </row>
    <row r="43" spans="1:7" x14ac:dyDescent="0.3">
      <c r="A43" s="2">
        <v>4</v>
      </c>
      <c r="C43" s="38" t="s">
        <v>16</v>
      </c>
      <c r="D43" s="42">
        <f>TRUNC(10452,-1)</f>
        <v>10450</v>
      </c>
      <c r="E43" s="63">
        <f t="shared" si="1"/>
        <v>34540</v>
      </c>
    </row>
    <row r="44" spans="1:7" x14ac:dyDescent="0.3">
      <c r="A44" s="2">
        <v>5</v>
      </c>
      <c r="C44" s="38" t="s">
        <v>17</v>
      </c>
      <c r="D44" s="42">
        <f>TRUNC(19983,-1)</f>
        <v>19980</v>
      </c>
      <c r="E44" s="63">
        <f t="shared" si="1"/>
        <v>66040</v>
      </c>
    </row>
    <row r="45" spans="1:7" x14ac:dyDescent="0.3">
      <c r="A45" s="2">
        <v>6</v>
      </c>
      <c r="C45" s="38" t="s">
        <v>18</v>
      </c>
      <c r="D45" s="42">
        <f>TRUNC(9147,-1)</f>
        <v>9140</v>
      </c>
      <c r="E45" s="63">
        <f t="shared" si="1"/>
        <v>30210</v>
      </c>
    </row>
    <row r="46" spans="1:7" x14ac:dyDescent="0.3">
      <c r="A46" s="2">
        <v>7</v>
      </c>
      <c r="C46" s="38" t="s">
        <v>19</v>
      </c>
      <c r="D46" s="42">
        <f>TRUNC(39329,-1)</f>
        <v>39320</v>
      </c>
      <c r="E46" s="63">
        <f t="shared" si="1"/>
        <v>129980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TRUNC(32133,-1)</f>
        <v>32130</v>
      </c>
      <c r="E48" s="63">
        <f t="shared" si="1"/>
        <v>106210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TRUNC(6272,-1)</f>
        <v>6270</v>
      </c>
      <c r="E49" s="63">
        <f t="shared" si="1"/>
        <v>20720</v>
      </c>
    </row>
    <row r="50" spans="1:7" x14ac:dyDescent="0.3">
      <c r="A50" s="2">
        <v>11</v>
      </c>
      <c r="C50" s="38" t="s">
        <v>155</v>
      </c>
      <c r="D50" s="42">
        <v>52470</v>
      </c>
      <c r="E50" s="63">
        <f t="shared" si="1"/>
        <v>173450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TRUNC(11177,-1)</f>
        <v>11170</v>
      </c>
      <c r="E52" s="63">
        <f t="shared" si="1"/>
        <v>36920</v>
      </c>
    </row>
    <row r="53" spans="1:7" x14ac:dyDescent="0.3">
      <c r="A53" s="2">
        <v>14</v>
      </c>
      <c r="C53" s="38" t="s">
        <v>25</v>
      </c>
      <c r="D53" s="42">
        <f>TRUNC(75069,-1)</f>
        <v>75060</v>
      </c>
      <c r="E53" s="63">
        <f t="shared" si="1"/>
        <v>248130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TRUNC(3772+2966-831+505+6390,-1)</f>
        <v>12800</v>
      </c>
      <c r="E58" s="63">
        <f t="shared" si="1"/>
        <v>42310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TRUNC(434094,-1)</f>
        <v>434090</v>
      </c>
      <c r="E59" s="64">
        <f t="shared" si="1"/>
        <v>1435010</v>
      </c>
    </row>
    <row r="60" spans="1:7" x14ac:dyDescent="0.3">
      <c r="A60" s="2">
        <v>21</v>
      </c>
      <c r="C60" s="27" t="s">
        <v>112</v>
      </c>
      <c r="D60" s="39">
        <f>SUM(D40:D59)</f>
        <v>867890</v>
      </c>
      <c r="E60" s="39">
        <f>SUM(E40:E59)</f>
        <v>2869000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TRUNC(20769,-1)</f>
        <v>20760</v>
      </c>
      <c r="E63" s="62">
        <f>TRUNC(+D63*3.3058,-1)</f>
        <v>68620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TRUNC(7341,-1)</f>
        <v>7340</v>
      </c>
      <c r="E65" s="64">
        <f>TRUNC(+D65*3.3058,-1)</f>
        <v>24260</v>
      </c>
    </row>
    <row r="66" spans="1:7" x14ac:dyDescent="0.3">
      <c r="A66" s="2">
        <v>4</v>
      </c>
      <c r="C66" s="27" t="s">
        <v>112</v>
      </c>
      <c r="D66" s="39">
        <f>SUM(D63:D65)</f>
        <v>28100</v>
      </c>
      <c r="E66" s="65">
        <f>SUM(E63:E65)</f>
        <v>92880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TRUNC(8305,-1)</f>
        <v>8300</v>
      </c>
      <c r="E69" s="62">
        <f t="shared" ref="E69:E94" si="2">TRUNC(+D69*3.3058,-1)</f>
        <v>27430</v>
      </c>
    </row>
    <row r="70" spans="1:7" ht="16.5" customHeight="1" x14ac:dyDescent="0.3">
      <c r="A70" s="2">
        <v>2</v>
      </c>
      <c r="C70" s="38" t="s">
        <v>31</v>
      </c>
      <c r="D70" s="42">
        <f>TRUNC(1847,-1)</f>
        <v>1840</v>
      </c>
      <c r="E70" s="63">
        <f t="shared" si="2"/>
        <v>6080</v>
      </c>
    </row>
    <row r="71" spans="1:7" x14ac:dyDescent="0.3">
      <c r="A71" s="2">
        <v>3</v>
      </c>
      <c r="C71" s="38" t="s">
        <v>32</v>
      </c>
      <c r="D71" s="42">
        <v>7200</v>
      </c>
      <c r="E71" s="63">
        <f t="shared" si="2"/>
        <v>23800</v>
      </c>
    </row>
    <row r="72" spans="1:7" x14ac:dyDescent="0.3">
      <c r="A72" s="2">
        <v>4</v>
      </c>
      <c r="C72" s="38" t="s">
        <v>33</v>
      </c>
      <c r="D72" s="42">
        <f>TRUNC(3276,-1)</f>
        <v>3270</v>
      </c>
      <c r="E72" s="63">
        <f t="shared" si="2"/>
        <v>10800</v>
      </c>
    </row>
    <row r="73" spans="1:7" x14ac:dyDescent="0.3">
      <c r="A73" s="2">
        <v>5</v>
      </c>
      <c r="C73" s="38" t="s">
        <v>34</v>
      </c>
      <c r="D73" s="42">
        <f>TRUNC(27887,-1)</f>
        <v>27880</v>
      </c>
      <c r="E73" s="63">
        <f t="shared" si="2"/>
        <v>92160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TRUNC(46613,-1)</f>
        <v>46610</v>
      </c>
      <c r="E76" s="63">
        <f t="shared" si="2"/>
        <v>154080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TRUNC(2155,-1)</f>
        <v>2150</v>
      </c>
      <c r="E90" s="63">
        <f t="shared" si="2"/>
        <v>7100</v>
      </c>
    </row>
    <row r="91" spans="1:7" x14ac:dyDescent="0.3">
      <c r="A91" s="2">
        <v>23</v>
      </c>
      <c r="C91" s="38" t="s">
        <v>37</v>
      </c>
      <c r="D91" s="42">
        <f>TRUNC(12653,-1)</f>
        <v>12650</v>
      </c>
      <c r="E91" s="63">
        <f t="shared" si="2"/>
        <v>41810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TRUNC(1231+26121,-1)</f>
        <v>27350</v>
      </c>
      <c r="E94" s="64">
        <f t="shared" si="2"/>
        <v>90410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137250</v>
      </c>
      <c r="E95" s="39">
        <f>SUM(E69:E94)</f>
        <v>453670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TRUNC(11241,-1)</f>
        <v>11240</v>
      </c>
      <c r="E98" s="62">
        <f t="shared" ref="E98:E118" si="3">TRUNC(+D98*3.3058,-1)</f>
        <v>37150</v>
      </c>
    </row>
    <row r="99" spans="1:7" x14ac:dyDescent="0.3">
      <c r="A99" s="2">
        <v>2</v>
      </c>
      <c r="C99" s="38" t="s">
        <v>40</v>
      </c>
      <c r="D99" s="42">
        <f>TRUNC(5019,-1)</f>
        <v>5010</v>
      </c>
      <c r="E99" s="63">
        <f t="shared" si="3"/>
        <v>16560</v>
      </c>
    </row>
    <row r="100" spans="1:7" x14ac:dyDescent="0.3">
      <c r="A100" s="2">
        <v>3</v>
      </c>
      <c r="C100" s="38" t="s">
        <v>41</v>
      </c>
      <c r="D100" s="42">
        <f>TRUNC(32229,-1)</f>
        <v>32220</v>
      </c>
      <c r="E100" s="63">
        <f t="shared" si="3"/>
        <v>106510</v>
      </c>
    </row>
    <row r="101" spans="1:7" x14ac:dyDescent="0.3">
      <c r="A101" s="2">
        <v>4</v>
      </c>
      <c r="C101" s="38" t="s">
        <v>42</v>
      </c>
      <c r="D101" s="42">
        <v>2370</v>
      </c>
      <c r="E101" s="63">
        <f t="shared" si="3"/>
        <v>7830</v>
      </c>
    </row>
    <row r="102" spans="1:7" x14ac:dyDescent="0.3">
      <c r="A102" s="2">
        <v>5</v>
      </c>
      <c r="C102" s="38" t="s">
        <v>43</v>
      </c>
      <c r="D102" s="42">
        <f>TRUNC(15582,-1)</f>
        <v>15580</v>
      </c>
      <c r="E102" s="63">
        <f t="shared" si="3"/>
        <v>51500</v>
      </c>
    </row>
    <row r="103" spans="1:7" x14ac:dyDescent="0.3">
      <c r="A103" s="2">
        <v>6</v>
      </c>
      <c r="C103" s="38" t="s">
        <v>44</v>
      </c>
      <c r="D103" s="42">
        <f>TRUNC(10878,-1)</f>
        <v>10870</v>
      </c>
      <c r="E103" s="63">
        <f t="shared" si="3"/>
        <v>35930</v>
      </c>
    </row>
    <row r="104" spans="1:7" x14ac:dyDescent="0.3">
      <c r="A104" s="2">
        <v>7</v>
      </c>
      <c r="C104" s="38" t="s">
        <v>45</v>
      </c>
      <c r="D104" s="42">
        <f>TRUNC(3036,-1)</f>
        <v>3030</v>
      </c>
      <c r="E104" s="63">
        <f t="shared" si="3"/>
        <v>10010</v>
      </c>
    </row>
    <row r="105" spans="1:7" x14ac:dyDescent="0.3">
      <c r="A105" s="2">
        <v>8</v>
      </c>
      <c r="C105" s="38" t="s">
        <v>46</v>
      </c>
      <c r="D105" s="42">
        <v>3070</v>
      </c>
      <c r="E105" s="63">
        <f t="shared" si="3"/>
        <v>10140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TRUNC(8733,-1)</f>
        <v>8730</v>
      </c>
      <c r="E116" s="63">
        <f t="shared" si="3"/>
        <v>28850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TRUNC(88737,-1)</f>
        <v>88730</v>
      </c>
      <c r="E117" s="63">
        <f t="shared" si="3"/>
        <v>293320</v>
      </c>
    </row>
    <row r="118" spans="1:7" ht="17.25" thickBot="1" x14ac:dyDescent="0.35">
      <c r="A118" s="2">
        <v>21</v>
      </c>
      <c r="C118" s="38" t="s">
        <v>47</v>
      </c>
      <c r="D118" s="43">
        <f>TRUNC(1473+121,-1)</f>
        <v>1590</v>
      </c>
      <c r="E118" s="64">
        <f t="shared" si="3"/>
        <v>5250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182440</v>
      </c>
      <c r="E119" s="39">
        <f>SUM(E98:E118)</f>
        <v>603050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6500</v>
      </c>
      <c r="E122" s="62">
        <f t="shared" ref="E122:E132" si="4">TRUNC(+D122*3.3058,-1)</f>
        <v>21480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TRUNC(865,-1)</f>
        <v>860</v>
      </c>
      <c r="E124" s="63">
        <f t="shared" si="4"/>
        <v>2840</v>
      </c>
    </row>
    <row r="125" spans="1:7" x14ac:dyDescent="0.3">
      <c r="A125" s="2">
        <v>4</v>
      </c>
      <c r="C125" s="38" t="s">
        <v>138</v>
      </c>
      <c r="D125" s="42">
        <f>TRUNC(9441,-1)</f>
        <v>9440</v>
      </c>
      <c r="E125" s="63">
        <f t="shared" si="4"/>
        <v>31200</v>
      </c>
    </row>
    <row r="126" spans="1:7" x14ac:dyDescent="0.3">
      <c r="A126" s="2">
        <v>5</v>
      </c>
      <c r="C126" s="38" t="s">
        <v>53</v>
      </c>
      <c r="D126" s="42">
        <f>TRUNC(5695,-1)</f>
        <v>5690</v>
      </c>
      <c r="E126" s="63">
        <f t="shared" si="4"/>
        <v>18810</v>
      </c>
    </row>
    <row r="127" spans="1:7" x14ac:dyDescent="0.3">
      <c r="A127" s="2">
        <v>6</v>
      </c>
      <c r="C127" s="38" t="s">
        <v>56</v>
      </c>
      <c r="D127" s="42">
        <f>TRUNC(3164,-1)</f>
        <v>3160</v>
      </c>
      <c r="E127" s="63">
        <f t="shared" si="4"/>
        <v>10440</v>
      </c>
    </row>
    <row r="128" spans="1:7" x14ac:dyDescent="0.3">
      <c r="A128" s="2">
        <v>7</v>
      </c>
      <c r="C128" s="38" t="s">
        <v>46</v>
      </c>
      <c r="D128" s="42">
        <f>TRUNC(9171,-1)</f>
        <v>9170</v>
      </c>
      <c r="E128" s="63">
        <f t="shared" si="4"/>
        <v>30310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TRUNC(48507,-1)</f>
        <v>48500</v>
      </c>
      <c r="E130" s="63">
        <f t="shared" si="4"/>
        <v>160330</v>
      </c>
    </row>
    <row r="131" spans="1:7" x14ac:dyDescent="0.3">
      <c r="A131" s="2">
        <v>10</v>
      </c>
      <c r="C131" s="38" t="s">
        <v>148</v>
      </c>
      <c r="D131" s="42">
        <f>TRUNC(56123,-1)</f>
        <v>56120</v>
      </c>
      <c r="E131" s="63">
        <f t="shared" si="4"/>
        <v>185520</v>
      </c>
    </row>
    <row r="132" spans="1:7" ht="18" thickBot="1" x14ac:dyDescent="0.35">
      <c r="A132" s="2">
        <v>11</v>
      </c>
      <c r="C132" s="38" t="s">
        <v>47</v>
      </c>
      <c r="D132" s="43">
        <f>TRUNC(2410+973+5030,-1)</f>
        <v>8410</v>
      </c>
      <c r="E132" s="64">
        <f t="shared" si="4"/>
        <v>27800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147850</v>
      </c>
      <c r="E133" s="39">
        <f>SUM(E122:E132)</f>
        <v>488730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TRUNC(140+1857,-1)</f>
        <v>1990</v>
      </c>
      <c r="E137" s="63">
        <f t="shared" si="5"/>
        <v>6570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TRUNC(2027,-1)</f>
        <v>2020</v>
      </c>
      <c r="E139" s="63">
        <f t="shared" si="5"/>
        <v>6670</v>
      </c>
    </row>
    <row r="140" spans="1:7" x14ac:dyDescent="0.3">
      <c r="A140" s="2">
        <v>5</v>
      </c>
      <c r="C140" s="38" t="s">
        <v>57</v>
      </c>
      <c r="D140" s="42">
        <f>TRUNC(465,-1)</f>
        <v>460</v>
      </c>
      <c r="E140" s="63">
        <f t="shared" si="5"/>
        <v>1520</v>
      </c>
    </row>
    <row r="141" spans="1:7" x14ac:dyDescent="0.3">
      <c r="A141" s="2">
        <v>6</v>
      </c>
      <c r="C141" s="38" t="s">
        <v>59</v>
      </c>
      <c r="D141" s="42">
        <f>TRUNC(10668,-1)</f>
        <v>10660</v>
      </c>
      <c r="E141" s="63">
        <f t="shared" si="5"/>
        <v>35230</v>
      </c>
    </row>
    <row r="142" spans="1:7" x14ac:dyDescent="0.3">
      <c r="A142" s="2">
        <v>7</v>
      </c>
      <c r="C142" s="38" t="s">
        <v>58</v>
      </c>
      <c r="D142" s="42">
        <f>TRUNC(13837,-1)</f>
        <v>13830</v>
      </c>
      <c r="E142" s="63">
        <f t="shared" si="5"/>
        <v>45710</v>
      </c>
    </row>
    <row r="143" spans="1:7" x14ac:dyDescent="0.3">
      <c r="A143" s="2">
        <v>8</v>
      </c>
      <c r="C143" s="38" t="s">
        <v>62</v>
      </c>
      <c r="D143" s="42">
        <f>TRUNC(6078,-1)</f>
        <v>6070</v>
      </c>
      <c r="E143" s="63">
        <f t="shared" si="5"/>
        <v>20060</v>
      </c>
    </row>
    <row r="144" spans="1:7" x14ac:dyDescent="0.3">
      <c r="A144" s="2">
        <v>9</v>
      </c>
      <c r="C144" s="38" t="s">
        <v>63</v>
      </c>
      <c r="D144" s="42">
        <f>TRUNC(14291,-1)</f>
        <v>14290</v>
      </c>
      <c r="E144" s="63">
        <f t="shared" si="5"/>
        <v>47230</v>
      </c>
    </row>
    <row r="145" spans="1:7" ht="17.25" thickBot="1" x14ac:dyDescent="0.35">
      <c r="A145" s="2">
        <v>10</v>
      </c>
      <c r="C145" s="38" t="s">
        <v>148</v>
      </c>
      <c r="D145" s="43">
        <f>TRUNC(4654,-1)</f>
        <v>4650</v>
      </c>
      <c r="E145" s="64">
        <f t="shared" si="5"/>
        <v>15370</v>
      </c>
    </row>
    <row r="146" spans="1:7" x14ac:dyDescent="0.3">
      <c r="A146" s="2">
        <v>11</v>
      </c>
      <c r="C146" s="27" t="s">
        <v>112</v>
      </c>
      <c r="D146" s="39">
        <f>SUM(D136:D145)</f>
        <v>53970</v>
      </c>
      <c r="E146" s="39">
        <f>SUM(E136:E145)</f>
        <v>178360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TRUNC(5560+1396,-1)</f>
        <v>6950</v>
      </c>
      <c r="E149" s="62">
        <f>TRUNC(+D149*3.3058,-1)</f>
        <v>22970</v>
      </c>
    </row>
    <row r="150" spans="1:7" x14ac:dyDescent="0.3">
      <c r="A150" s="2">
        <v>2</v>
      </c>
      <c r="C150" s="38" t="s">
        <v>49</v>
      </c>
      <c r="D150" s="42">
        <f>TRUNC(3777,-1)</f>
        <v>3770</v>
      </c>
      <c r="E150" s="63">
        <f>TRUNC(+D150*3.3058,-1)</f>
        <v>12460</v>
      </c>
    </row>
    <row r="151" spans="1:7" x14ac:dyDescent="0.3">
      <c r="A151" s="2">
        <v>3</v>
      </c>
      <c r="C151" s="38" t="s">
        <v>50</v>
      </c>
      <c r="D151" s="42">
        <f>TRUNC(11633,-1)</f>
        <v>11630</v>
      </c>
      <c r="E151" s="63">
        <f>TRUNC(+D151*3.3058,-1)</f>
        <v>38440</v>
      </c>
    </row>
    <row r="152" spans="1:7" x14ac:dyDescent="0.3">
      <c r="A152" s="2">
        <v>4</v>
      </c>
      <c r="C152" s="38" t="s">
        <v>47</v>
      </c>
      <c r="D152" s="42">
        <f>TRUNC(162+4448+105+7522,-1)</f>
        <v>12230</v>
      </c>
      <c r="E152" s="63">
        <f>TRUNC(+D152*3.3058,-1)</f>
        <v>40420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34580</v>
      </c>
      <c r="E154" s="39">
        <f>SUM(E149:E153)</f>
        <v>114290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TRUNC(19356,-1)</f>
        <v>19350</v>
      </c>
      <c r="E157" s="62">
        <f>TRUNC(+D157*3.3058,-1)</f>
        <v>63960</v>
      </c>
    </row>
    <row r="158" spans="1:7" x14ac:dyDescent="0.3">
      <c r="A158" s="2">
        <v>2</v>
      </c>
      <c r="C158" s="38" t="s">
        <v>52</v>
      </c>
      <c r="D158" s="42">
        <f>TRUNC(2506,-1)</f>
        <v>2500</v>
      </c>
      <c r="E158" s="63">
        <f>TRUNC(+D158*3.3058,-1)</f>
        <v>8260</v>
      </c>
    </row>
    <row r="159" spans="1:7" x14ac:dyDescent="0.3">
      <c r="A159" s="2">
        <v>3</v>
      </c>
      <c r="C159" s="38" t="s">
        <v>47</v>
      </c>
      <c r="D159" s="42">
        <f>TRUNC(2458,-1)</f>
        <v>2450</v>
      </c>
      <c r="E159" s="63">
        <f>TRUNC(+D159*3.3058,-1)</f>
        <v>8090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24300</v>
      </c>
      <c r="E161" s="39">
        <f>SUM(E156:E160)</f>
        <v>80310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2020-12-08T02:07:46Z</dcterms:modified>
</cp:coreProperties>
</file>