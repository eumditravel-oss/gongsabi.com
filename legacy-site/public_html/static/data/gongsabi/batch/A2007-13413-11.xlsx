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94" i="4" l="1"/>
  <c r="D74" i="4"/>
  <c r="E151" i="4" l="1"/>
  <c r="E145" i="4"/>
  <c r="E143" i="4"/>
  <c r="E142" i="4"/>
  <c r="E141" i="4"/>
  <c r="E140" i="4"/>
  <c r="E139" i="4"/>
  <c r="E138" i="4"/>
  <c r="E136" i="4"/>
  <c r="E132" i="4"/>
  <c r="E129" i="4"/>
  <c r="E126" i="4"/>
  <c r="E123" i="4"/>
  <c r="E116" i="4"/>
  <c r="E114" i="4"/>
  <c r="E113" i="4"/>
  <c r="E112" i="4"/>
  <c r="E111" i="4"/>
  <c r="E110" i="4"/>
  <c r="E109" i="4"/>
  <c r="E108" i="4"/>
  <c r="E107" i="4"/>
  <c r="E106" i="4"/>
  <c r="E103" i="4"/>
  <c r="E94" i="4"/>
  <c r="E92" i="4"/>
  <c r="E91" i="4"/>
  <c r="E89" i="4"/>
  <c r="E88" i="4"/>
  <c r="E87" i="4"/>
  <c r="E86" i="4"/>
  <c r="E84" i="4"/>
  <c r="E83" i="4"/>
  <c r="E82" i="4"/>
  <c r="E81" i="4"/>
  <c r="E80" i="4"/>
  <c r="E79" i="4"/>
  <c r="E77" i="4"/>
  <c r="E76" i="4"/>
  <c r="E74" i="4"/>
  <c r="E73" i="4"/>
  <c r="E72" i="4"/>
  <c r="E65" i="4"/>
  <c r="E64" i="4"/>
  <c r="E57" i="4"/>
  <c r="E56" i="4"/>
  <c r="E37" i="4"/>
  <c r="D117" i="4" l="1"/>
  <c r="E117" i="4" s="1"/>
  <c r="D58" i="4" l="1"/>
  <c r="E58" i="4" s="1"/>
  <c r="D59" i="4"/>
  <c r="E59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0" i="4"/>
  <c r="E40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160" i="4"/>
  <c r="E160" i="4" s="1"/>
  <c r="D159" i="4"/>
  <c r="E159" i="4" s="1"/>
  <c r="D158" i="4"/>
  <c r="E158" i="4" s="1"/>
  <c r="D157" i="4"/>
  <c r="E157" i="4" s="1"/>
  <c r="D152" i="4"/>
  <c r="E152" i="4" s="1"/>
  <c r="D153" i="4"/>
  <c r="E153" i="4" s="1"/>
  <c r="D150" i="4"/>
  <c r="E150" i="4" s="1"/>
  <c r="D149" i="4"/>
  <c r="E149" i="4" s="1"/>
  <c r="D63" i="4"/>
  <c r="E63" i="4" s="1"/>
  <c r="E66" i="4" s="1"/>
  <c r="D93" i="4"/>
  <c r="E93" i="4" s="1"/>
  <c r="D85" i="4"/>
  <c r="E85" i="4" s="1"/>
  <c r="D75" i="4"/>
  <c r="E75" i="4" s="1"/>
  <c r="D90" i="4"/>
  <c r="E90" i="4" s="1"/>
  <c r="D78" i="4"/>
  <c r="E78" i="4" s="1"/>
  <c r="D71" i="4"/>
  <c r="E71" i="4" s="1"/>
  <c r="D70" i="4"/>
  <c r="E70" i="4" s="1"/>
  <c r="D69" i="4"/>
  <c r="E69" i="4" s="1"/>
  <c r="D105" i="4"/>
  <c r="E105" i="4" s="1"/>
  <c r="D118" i="4"/>
  <c r="E118" i="4" s="1"/>
  <c r="D101" i="4"/>
  <c r="E101" i="4" s="1"/>
  <c r="D104" i="4"/>
  <c r="E104" i="4" s="1"/>
  <c r="D102" i="4"/>
  <c r="E102" i="4" s="1"/>
  <c r="D100" i="4"/>
  <c r="E100" i="4" s="1"/>
  <c r="D99" i="4"/>
  <c r="E99" i="4" s="1"/>
  <c r="D98" i="4"/>
  <c r="E98" i="4" s="1"/>
  <c r="D115" i="4"/>
  <c r="E115" i="4" s="1"/>
  <c r="D137" i="4"/>
  <c r="E137" i="4" s="1"/>
  <c r="E146" i="4" s="1"/>
  <c r="D144" i="4"/>
  <c r="E144" i="4" s="1"/>
  <c r="D131" i="4"/>
  <c r="E131" i="4" s="1"/>
  <c r="D128" i="4"/>
  <c r="E128" i="4" s="1"/>
  <c r="D124" i="4"/>
  <c r="E124" i="4" s="1"/>
  <c r="D127" i="4"/>
  <c r="E127" i="4" s="1"/>
  <c r="D125" i="4"/>
  <c r="E125" i="4" s="1"/>
  <c r="D122" i="4"/>
  <c r="E122" i="4" s="1"/>
  <c r="D130" i="4"/>
  <c r="E130" i="4" s="1"/>
  <c r="E133" i="4" l="1"/>
  <c r="E95" i="4"/>
  <c r="E119" i="4"/>
  <c r="E154" i="4"/>
  <c r="E161" i="4"/>
  <c r="E60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E27" i="4" s="1"/>
  <c r="D26" i="4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<sst xmlns="http://schemas.openxmlformats.org/spreadsheetml/2006/main" count="390" uniqueCount="326">
  <si>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</si>
  <si>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</si>
  <si>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</si>
  <si>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</si>
  <si>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</si>
  <si>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</si>
  <si>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</si>
  <si>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</si>
  <si>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</si>
  <si>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</si>
  <si>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</si>
  <si>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</si>
  <si>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</si>
  <si>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</si>
  <si>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</si>
  <si>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</si>
  <si>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</si>
  <si>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</si>
  <si>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</si>
  <si>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</si>
  <si>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</si>
  <si>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</si>
  <si>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</si>
  <si>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</si>
  <si>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</si>
  <si>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</si>
  <si>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</si>
  <si>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</si>
  <si>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</si>
  <si>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</si>
  <si>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</si>
  <si>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</si>
  <si>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</si>
  <si>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</si>
  <si>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</si>
  <si>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</si>
  <si>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</si>
  <si>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</si>
  <si>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</si>
  <si>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</si>
  <si>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</si>
  <si>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</si>
  <si>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</si>
  <si>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</si>
  <si>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</si>
  <si>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</si>
  <si>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</si>
  <si>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</si>
  <si>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</si>
  <si>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</si>
  <si>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</si>
  <si>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</si>
  <si>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</si>
  <si>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</si>
  <si>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</si>
  <si>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</si>
  <si>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</si>
  <si>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</si>
  <si>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</si>
  <si>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</si>
  <si>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</si>
  <si>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</si>
  <si>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</si>
  <si>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</si>
  <si>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</si>
  <si>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</si>
  <si>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</si>
  <si>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</si>
  <si>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</si>
  <si>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</si>
  <si>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</si>
  <si>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</si>
  <si>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</si>
  <si>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</si>
  <si>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</si>
  <si>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</si>
  <si>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</si>
  <si>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</si>
  <si>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</si>
  <si>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</si>
  <si>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</si>
  <si>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</si>
  <si>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</si>
  <si>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</si>
  <si>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</si>
  <si>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</si>
  <si>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</si>
  <si>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</si>
  <si>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</si>
  <si>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</si>
  <si>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</si>
  <si>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</si>
  <si>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</si>
  <si>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</si>
  <si>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</si>
  <si>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</si>
  <si>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</si>
  <si>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</si>
  <si>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</si>
  <si>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</si>
  <si>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</si>
  <si>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</si>
  <si>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</si>
  <si>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</si>
  <si>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</si>
  <si>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</si>
  <si>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</si>
  <si>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</si>
  <si>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</si>
  <si>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</si>
  <si>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</si>
  <si>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</si>
  <si>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</si>
  <si>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</si>
  <si>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</si>
  <si>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</si>
  <si>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</si>
  <si>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</si>
  <si>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</si>
  <si>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</si>
  <si>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</si>
  <si>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</si>
  <si>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</si>
  <si>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</si>
  <si>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</si>
  <si>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</si>
  <si>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</si>
  <si>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</si>
  <si>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</si>
  <si>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</si>
  <si>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</si>
  <si>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</si>
  <si>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</si>
  <si>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</si>
  <si>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</si>
  <si>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</si>
  <si>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</si>
  <si>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</si>
  <si>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</si>
  <si>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</si>
  <si>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</si>
  <si>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</si>
  <si>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</si>
  <si>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</si>
  <si>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</si>
  <si>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</si>
  <si>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</si>
  <si>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</si>
  <si>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</si>
  <si>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</si>
  <si>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</si>
  <si>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</si>
  <si>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</si>
  <si>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</si>
  <si>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</si>
  <si>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</si>
  <si>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</si>
  <si>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</si>
  <si>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</si>
  <si>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</si>
  <si>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</si>
  <si>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</si>
  <si>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</si>
  <si>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</si>
  <si>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</si>
  <si>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</si>
  <si>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</si>
  <si>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</si>
  <si>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</si>
  <si>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</si>
  <si>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</si>
  <si>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</si>
  <si>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</si>
  <si>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</si>
  <si>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</si>
  <si>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</si>
  <si>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</si>
  <si>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</si>
  <si>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</si>
  <si>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</si>
  <si>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</si>
  <si>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</si>
  <si>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</si>
  <si>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</si>
  <si>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</si>
  <si>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</si>
  <si>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</si>
  <si>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</si>
  <si>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</si>
  <si>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</si>
  <si>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</si>
  <si>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</si>
  <si>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</si>
  <si>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</si>
  <si>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</si>
  <si>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</si>
  <si>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</si>
  <si>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</si>
  <si>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</si>
  <si>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</si>
  <si>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</si>
  <si>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</si>
  <si>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</si>
  <si>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</si>
  <si>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</si>
  <si>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</si>
  <si>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</si>
  <si>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</si>
  <si>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</si>
  <si>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</si>
  <si>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</si>
  <si>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</si>
  <si>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</si>
  <si>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</si>
  <si>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</si>
  <si>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</si>
  <si>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</si>
  <si>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</si>
  <si>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</si>
  <si>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</si>
  <si>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</si>
  <si>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</si>
  <si>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</si>
  <si>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</si>
  <si>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</si>
  <si>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</si>
  <si>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</si>
  <si>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</si>
  <si>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</si>
  <si>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</si>
  <si>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</si>
  <si>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</si>
  <si>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</si>
  <si>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</si>
  <si>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</si>
  <si>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</si>
  <si>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</si>
  <si>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</si>
  <si>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</si>
  <si>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</si>
  <si>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</si>
  <si>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</si>
  <si>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</si>
  <si>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</si>
  <si>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</si>
  <si>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</si>
  <si>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</si>
  <si>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</si>
  <si>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</si>
  <si>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</si>
  <si>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</si>
  <si>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</si>
  <si>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</si>
  <si>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</si>
  <si>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</si>
  <si>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</si>
  <si>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</si>
  <si>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</si>
  <si>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</si>
  <si>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</si>
  <si>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</si>
  <si>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</si>
  <si>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</si>
  <si>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</si>
  <si>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</si>
  <si>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</si>
  <si>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</si>
  <si>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</si>
  <si>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</si>
  <si>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</si>
  <si>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</si>
  <si>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</si>
  <si>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</si>
  <si>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</si>
  <si>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</si>
  <si>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</si>
  <si>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</si>
  <si>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</si>
  <si>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</si>
  <si>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</si>
  <si>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</si>
  <si>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</si>
  <si>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</si>
  <si>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</si>
  <si>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</si>
  <si>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</si>
  <si>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</si>
  <si>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</si>
  <si>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</si>
  <si>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</si>
  <si>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</si>
  <si>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</si>
  <si>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</si>
  <si>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</si>
  <si>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</si>
  <si>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</si>
  <si>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</si>
  <si>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</si>
  <si>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</si>
  <si>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</si>
  <si>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</si>
  <si>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</si>
  <si>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</si>
  <si>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</si>
  <si>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</si>
  <si>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</si>
  <si>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</si>
  <si>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</si>
  <si>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00도교육청 청사 신축공사</t>
  </si>
  <si>
    <t>업무</t>
  </si>
  <si>
    <t>전라도</t>
  </si>
  <si>
    <t>전기 자동화재탐지 설비공사</t>
    <phoneticPr fontId="2" type="noConversion"/>
  </si>
  <si>
    <t>전기 무선통신 설비공사</t>
    <phoneticPr fontId="2" type="noConversion"/>
  </si>
  <si>
    <t>전력제어설비공사,조명제어설비공사</t>
    <phoneticPr fontId="2" type="noConversion"/>
  </si>
  <si>
    <t>주차관제설비공사,SNOWMELTING 설비공사</t>
    <phoneticPr fontId="2" type="noConversion"/>
  </si>
  <si>
    <t>부대공,지하수개발공,운반공,사급자재비</t>
    <phoneticPr fontId="2" type="noConversion"/>
  </si>
  <si>
    <t>포장공사</t>
    <phoneticPr fontId="2" type="noConversion"/>
  </si>
  <si>
    <t>토및지정공사,잡공사,골재비,작업부산물,운반비,관리동(45M2),테니스창고(45M2)</t>
    <phoneticPr fontId="2" type="noConversion"/>
  </si>
  <si>
    <t>원 /평</t>
    <phoneticPr fontId="2" type="noConversion"/>
  </si>
  <si>
    <t>공조실배관공사,위생설비공사(기계,관리동),신재생에너지설치공사,제요율적용제외공종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</si>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</sst>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8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0" fontId="0" fillId="0" borderId="25" xfId="0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29" xfId="0" applyNumberFormat="1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31" sqref="C3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323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17356</v>
      </c>
      <c r="D7" s="36">
        <f>+C7/3.3058</f>
        <v>5250.1663742513156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324</v>
      </c>
    </row>
    <row r="19" spans="1:5" x14ac:dyDescent="0.3">
      <c r="A19" s="2">
        <v>9</v>
      </c>
      <c r="B19" s="2" t="s">
        <v>325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66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647020</v>
      </c>
      <c r="E25" s="65">
        <f t="shared" si="0"/>
        <v>2138910</v>
      </c>
    </row>
    <row r="26" spans="1:5" x14ac:dyDescent="0.3">
      <c r="B26" s="2">
        <v>3</v>
      </c>
      <c r="C26" s="35" t="s">
        <v>29</v>
      </c>
      <c r="D26" s="47">
        <f>+D66</f>
        <v>2850</v>
      </c>
      <c r="E26" s="65">
        <f t="shared" si="0"/>
        <v>9420</v>
      </c>
    </row>
    <row r="27" spans="1:5" x14ac:dyDescent="0.3">
      <c r="B27" s="2">
        <v>4</v>
      </c>
      <c r="C27" s="35" t="s">
        <v>30</v>
      </c>
      <c r="D27" s="47">
        <f>+D95</f>
        <v>236950</v>
      </c>
      <c r="E27" s="65">
        <f t="shared" si="0"/>
        <v>783300</v>
      </c>
    </row>
    <row r="28" spans="1:5" x14ac:dyDescent="0.3">
      <c r="B28" s="2">
        <v>5</v>
      </c>
      <c r="C28" s="35" t="s">
        <v>31</v>
      </c>
      <c r="D28" s="47">
        <f>+D119</f>
        <v>105020</v>
      </c>
      <c r="E28" s="65">
        <f t="shared" si="0"/>
        <v>347170</v>
      </c>
    </row>
    <row r="29" spans="1:5" x14ac:dyDescent="0.3">
      <c r="B29" s="2">
        <v>6</v>
      </c>
      <c r="C29" s="35" t="s">
        <v>32</v>
      </c>
      <c r="D29" s="47">
        <f>+D133</f>
        <v>80880</v>
      </c>
      <c r="E29" s="65">
        <f t="shared" si="0"/>
        <v>267370</v>
      </c>
    </row>
    <row r="30" spans="1:5" x14ac:dyDescent="0.3">
      <c r="B30" s="2">
        <v>7</v>
      </c>
      <c r="C30" s="35" t="s">
        <v>33</v>
      </c>
      <c r="D30" s="47">
        <f>+D146</f>
        <v>37300</v>
      </c>
      <c r="E30" s="65">
        <f t="shared" si="0"/>
        <v>123300</v>
      </c>
    </row>
    <row r="31" spans="1:5" x14ac:dyDescent="0.3">
      <c r="B31" s="2">
        <v>8</v>
      </c>
      <c r="C31" s="35" t="s">
        <v>34</v>
      </c>
      <c r="D31" s="47">
        <f>+D154</f>
        <v>74280</v>
      </c>
      <c r="E31" s="65">
        <f t="shared" si="0"/>
        <v>245550</v>
      </c>
    </row>
    <row r="32" spans="1:5" x14ac:dyDescent="0.3">
      <c r="B32" s="2">
        <v>9</v>
      </c>
      <c r="C32" s="35" t="s">
        <v>35</v>
      </c>
      <c r="D32" s="47">
        <f>+D161</f>
        <v>50790</v>
      </c>
      <c r="E32" s="65">
        <f t="shared" si="0"/>
        <v>167900</v>
      </c>
    </row>
    <row r="33" spans="1:5" x14ac:dyDescent="0.3">
      <c r="B33" s="2">
        <v>10</v>
      </c>
      <c r="C33" s="35" t="s">
        <v>60</v>
      </c>
      <c r="D33" s="55">
        <f>TRUNC(SUM(D24:D32)*0.275,-1)</f>
        <v>339640</v>
      </c>
      <c r="E33" s="64">
        <f t="shared" si="0"/>
        <v>1122780</v>
      </c>
    </row>
    <row r="34" spans="1:5" x14ac:dyDescent="0.3">
      <c r="C34" s="35" t="s">
        <v>46</v>
      </c>
      <c r="D34" s="46">
        <f>SUM(D24:D33)</f>
        <v>1574730</v>
      </c>
      <c r="E34" s="46">
        <f>SUM(E24:E33)</f>
        <v>5205700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318</v>
      </c>
    </row>
    <row r="37" spans="1:5" ht="17.25" thickBot="1" x14ac:dyDescent="0.35">
      <c r="C37" s="39" t="s">
        <v>51</v>
      </c>
      <c r="D37" s="56">
        <v>0</v>
      </c>
      <c r="E37" s="63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321</v>
      </c>
      <c r="E39" s="68" t="s">
        <v>322</v>
      </c>
    </row>
    <row r="40" spans="1:5" x14ac:dyDescent="0.3">
      <c r="A40" s="2">
        <v>1</v>
      </c>
      <c r="C40" s="39" t="s">
        <v>75</v>
      </c>
      <c r="D40" s="42">
        <f>TRUNC(39591.3964623185,-1)</f>
        <v>39590</v>
      </c>
      <c r="E40" s="61">
        <f t="shared" ref="E40:E59" si="1">TRUNC(+D40*3.3058,-1)</f>
        <v>130870</v>
      </c>
    </row>
    <row r="41" spans="1:5" x14ac:dyDescent="0.3">
      <c r="A41" s="2">
        <v>2</v>
      </c>
      <c r="C41" s="39" t="s">
        <v>6</v>
      </c>
      <c r="D41" s="44">
        <f>TRUNC(122897.772412998,-1)</f>
        <v>122890</v>
      </c>
      <c r="E41" s="60">
        <f t="shared" si="1"/>
        <v>406240</v>
      </c>
    </row>
    <row r="42" spans="1:5" x14ac:dyDescent="0.3">
      <c r="A42" s="2">
        <v>3</v>
      </c>
      <c r="C42" s="39" t="s">
        <v>7</v>
      </c>
      <c r="D42" s="44">
        <f>TRUNC(13029.8126872551,-1)</f>
        <v>13020</v>
      </c>
      <c r="E42" s="60">
        <f t="shared" si="1"/>
        <v>43040</v>
      </c>
    </row>
    <row r="43" spans="1:5" x14ac:dyDescent="0.3">
      <c r="A43" s="2">
        <v>4</v>
      </c>
      <c r="C43" s="39" t="s">
        <v>8</v>
      </c>
      <c r="D43" s="44">
        <f>TRUNC(8435.67296612123,-1)</f>
        <v>8430</v>
      </c>
      <c r="E43" s="60">
        <f t="shared" si="1"/>
        <v>27860</v>
      </c>
    </row>
    <row r="44" spans="1:5" x14ac:dyDescent="0.3">
      <c r="A44" s="2">
        <v>5</v>
      </c>
      <c r="C44" s="39" t="s">
        <v>9</v>
      </c>
      <c r="D44" s="44">
        <f>TRUNC(26482.9775870016,-1)</f>
        <v>26480</v>
      </c>
      <c r="E44" s="60">
        <f t="shared" si="1"/>
        <v>87530</v>
      </c>
    </row>
    <row r="45" spans="1:5" x14ac:dyDescent="0.3">
      <c r="A45" s="2">
        <v>6</v>
      </c>
      <c r="C45" s="39" t="s">
        <v>10</v>
      </c>
      <c r="D45" s="44">
        <f>TRUNC(2462.07052316202,-1)</f>
        <v>2460</v>
      </c>
      <c r="E45" s="60">
        <f t="shared" si="1"/>
        <v>8130</v>
      </c>
    </row>
    <row r="46" spans="1:5" x14ac:dyDescent="0.3">
      <c r="A46" s="2">
        <v>7</v>
      </c>
      <c r="C46" s="39" t="s">
        <v>11</v>
      </c>
      <c r="D46" s="44">
        <f>TRUNC(10518.4643927172,-1)</f>
        <v>10510</v>
      </c>
      <c r="E46" s="60">
        <f t="shared" si="1"/>
        <v>34740</v>
      </c>
    </row>
    <row r="47" spans="1:5" x14ac:dyDescent="0.3">
      <c r="A47" s="2">
        <v>8</v>
      </c>
      <c r="C47" s="39" t="s">
        <v>12</v>
      </c>
      <c r="D47" s="44">
        <f>TRUNC(5561.79476837981,-1)</f>
        <v>5560</v>
      </c>
      <c r="E47" s="60">
        <f t="shared" si="1"/>
        <v>18380</v>
      </c>
    </row>
    <row r="48" spans="1:5" x14ac:dyDescent="0.3">
      <c r="A48" s="2">
        <v>9</v>
      </c>
      <c r="C48" s="39" t="s">
        <v>13</v>
      </c>
      <c r="D48" s="44">
        <f>TRUNC(31145.8372896981,-1)</f>
        <v>31140</v>
      </c>
      <c r="E48" s="60">
        <f t="shared" si="1"/>
        <v>102940</v>
      </c>
    </row>
    <row r="49" spans="1:6" x14ac:dyDescent="0.3">
      <c r="A49" s="2">
        <v>10</v>
      </c>
      <c r="C49" s="39" t="s">
        <v>14</v>
      </c>
      <c r="D49" s="44">
        <f>TRUNC(9816.81049781055,-1)</f>
        <v>9810</v>
      </c>
      <c r="E49" s="60">
        <f t="shared" si="1"/>
        <v>32420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TRUNC(22820.5447683798,-1)</f>
        <v>22820</v>
      </c>
      <c r="E50" s="60">
        <f t="shared" si="1"/>
        <v>75430</v>
      </c>
      <c r="F50" s="2"/>
    </row>
    <row r="51" spans="1:6" x14ac:dyDescent="0.3">
      <c r="A51" s="2">
        <v>12</v>
      </c>
      <c r="C51" s="39" t="s">
        <v>16</v>
      </c>
      <c r="D51" s="44">
        <f>TRUNC(14984.4845586541,-1)</f>
        <v>14980</v>
      </c>
      <c r="E51" s="60">
        <f t="shared" si="1"/>
        <v>49520</v>
      </c>
    </row>
    <row r="52" spans="1:6" x14ac:dyDescent="0.3">
      <c r="A52" s="2">
        <v>13</v>
      </c>
      <c r="C52" s="39" t="s">
        <v>17</v>
      </c>
      <c r="D52" s="44">
        <f>TRUNC(7825.0203964047,-1)</f>
        <v>7820</v>
      </c>
      <c r="E52" s="60">
        <f t="shared" si="1"/>
        <v>25850</v>
      </c>
    </row>
    <row r="53" spans="1:6" x14ac:dyDescent="0.3">
      <c r="A53" s="2">
        <v>14</v>
      </c>
      <c r="C53" s="39" t="s">
        <v>18</v>
      </c>
      <c r="D53" s="44">
        <f>TRUNC(65011.5050126757,-1)</f>
        <v>65010</v>
      </c>
      <c r="E53" s="60">
        <f t="shared" si="1"/>
        <v>214910</v>
      </c>
    </row>
    <row r="54" spans="1:6" x14ac:dyDescent="0.3">
      <c r="A54" s="2">
        <v>15</v>
      </c>
      <c r="C54" s="39" t="s">
        <v>55</v>
      </c>
      <c r="D54" s="44">
        <f>TRUNC(51987.8365406776,-1)</f>
        <v>51980</v>
      </c>
      <c r="E54" s="60">
        <f t="shared" si="1"/>
        <v>171830</v>
      </c>
    </row>
    <row r="55" spans="1:6" x14ac:dyDescent="0.3">
      <c r="A55" s="2">
        <v>16</v>
      </c>
      <c r="C55" s="39" t="s">
        <v>52</v>
      </c>
      <c r="D55" s="44">
        <f>TRUNC(18941.7544365061,-1)</f>
        <v>18940</v>
      </c>
      <c r="E55" s="60">
        <f t="shared" si="1"/>
        <v>62610</v>
      </c>
    </row>
    <row r="56" spans="1:6" x14ac:dyDescent="0.3">
      <c r="A56" s="2">
        <v>17</v>
      </c>
      <c r="C56" s="39" t="s">
        <v>53</v>
      </c>
      <c r="D56" s="44">
        <v>0</v>
      </c>
      <c r="E56" s="60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0">
        <f t="shared" si="1"/>
        <v>0</v>
      </c>
    </row>
    <row r="58" spans="1:6" x14ac:dyDescent="0.3">
      <c r="A58" s="2">
        <v>19</v>
      </c>
      <c r="C58" s="39" t="s">
        <v>19</v>
      </c>
      <c r="D58" s="44">
        <f>TRUNC(17716.5823346393+12616.9558654068
+2076.81839133441
-409.267688407467
+688.140239686564
+5227.86828762388
+576.875893062918,-1)</f>
        <v>38490</v>
      </c>
      <c r="E58" s="60">
        <f t="shared" si="1"/>
        <v>127240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f>TRUNC(80576.918644849+76514.6923254206,-1)</f>
        <v>157090</v>
      </c>
      <c r="E59" s="59">
        <f t="shared" si="1"/>
        <v>519300</v>
      </c>
    </row>
    <row r="60" spans="1:6" x14ac:dyDescent="0.3">
      <c r="A60" s="2">
        <v>21</v>
      </c>
      <c r="C60" s="27" t="s">
        <v>46</v>
      </c>
      <c r="D60" s="40">
        <f>SUM(D40:D59)</f>
        <v>647020</v>
      </c>
      <c r="E60" s="40">
        <f>SUM(E40:E59)</f>
        <v>2138840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318</v>
      </c>
    </row>
    <row r="63" spans="1:6" x14ac:dyDescent="0.3">
      <c r="A63" s="2">
        <v>1</v>
      </c>
      <c r="C63" s="39" t="s">
        <v>20</v>
      </c>
      <c r="D63" s="42">
        <f>TRUNC(2853.21681262964,-1)</f>
        <v>2850</v>
      </c>
      <c r="E63" s="61">
        <f>TRUNC(+D63*3.3058,-1)</f>
        <v>9420</v>
      </c>
    </row>
    <row r="64" spans="1:6" x14ac:dyDescent="0.3">
      <c r="A64" s="2">
        <v>2</v>
      </c>
      <c r="C64" s="39" t="s">
        <v>22</v>
      </c>
      <c r="D64" s="44">
        <v>0</v>
      </c>
      <c r="E64" s="60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59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2850</v>
      </c>
      <c r="E66" s="62">
        <f>SUM(E63:E65)</f>
        <v>9420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318</v>
      </c>
    </row>
    <row r="69" spans="1:5" x14ac:dyDescent="0.3">
      <c r="A69" s="2">
        <v>1</v>
      </c>
      <c r="C69" s="39" t="s">
        <v>78</v>
      </c>
      <c r="D69" s="42">
        <f>TRUNC(10647.7090343397,-1)</f>
        <v>10640</v>
      </c>
      <c r="E69" s="61">
        <f t="shared" ref="E69:E94" si="2">TRUNC(+D69*3.3058,-1)</f>
        <v>35170</v>
      </c>
    </row>
    <row r="70" spans="1:5" ht="16.5" customHeight="1" x14ac:dyDescent="0.3">
      <c r="A70" s="2">
        <v>2</v>
      </c>
      <c r="C70" s="39" t="s">
        <v>79</v>
      </c>
      <c r="D70" s="44">
        <f>TRUNC(1136.79718829223,-1)</f>
        <v>1130</v>
      </c>
      <c r="E70" s="60">
        <f t="shared" si="2"/>
        <v>3730</v>
      </c>
    </row>
    <row r="71" spans="1:5" x14ac:dyDescent="0.3">
      <c r="A71" s="2">
        <v>3</v>
      </c>
      <c r="C71" s="39" t="s">
        <v>80</v>
      </c>
      <c r="D71" s="44">
        <f>TRUNC(13244.1501498041,-1)</f>
        <v>13240</v>
      </c>
      <c r="E71" s="60">
        <f t="shared" si="2"/>
        <v>43760</v>
      </c>
    </row>
    <row r="72" spans="1:5" x14ac:dyDescent="0.3">
      <c r="A72" s="2">
        <v>4</v>
      </c>
      <c r="C72" s="39" t="s">
        <v>81</v>
      </c>
      <c r="D72" s="44">
        <v>0</v>
      </c>
      <c r="E72" s="60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0">
        <f t="shared" si="2"/>
        <v>0</v>
      </c>
    </row>
    <row r="74" spans="1:5" x14ac:dyDescent="0.3">
      <c r="A74" s="2">
        <v>6</v>
      </c>
      <c r="C74" s="39" t="s">
        <v>83</v>
      </c>
      <c r="D74" s="44">
        <f>TRUNC(25716.4794307444,-1)</f>
        <v>25710</v>
      </c>
      <c r="E74" s="60">
        <f t="shared" si="2"/>
        <v>84990</v>
      </c>
    </row>
    <row r="75" spans="1:5" x14ac:dyDescent="0.3">
      <c r="A75" s="2">
        <v>7</v>
      </c>
      <c r="C75" s="39" t="s">
        <v>84</v>
      </c>
      <c r="D75" s="44">
        <f>TRUNC(6203.98248444342,-1)</f>
        <v>6200</v>
      </c>
      <c r="E75" s="60">
        <f t="shared" si="2"/>
        <v>20490</v>
      </c>
    </row>
    <row r="76" spans="1:5" x14ac:dyDescent="0.3">
      <c r="A76" s="2">
        <v>8</v>
      </c>
      <c r="C76" s="39" t="s">
        <v>85</v>
      </c>
      <c r="D76" s="44">
        <v>0</v>
      </c>
      <c r="E76" s="60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0">
        <f t="shared" si="2"/>
        <v>0</v>
      </c>
    </row>
    <row r="78" spans="1:5" x14ac:dyDescent="0.3">
      <c r="A78" s="2">
        <v>10</v>
      </c>
      <c r="C78" s="39" t="s">
        <v>87</v>
      </c>
      <c r="D78" s="44">
        <f>TRUNC(42744.0225858493,-1)</f>
        <v>42740</v>
      </c>
      <c r="E78" s="60">
        <f t="shared" si="2"/>
        <v>141280</v>
      </c>
    </row>
    <row r="79" spans="1:5" x14ac:dyDescent="0.3">
      <c r="A79" s="2">
        <v>11</v>
      </c>
      <c r="C79" s="39" t="s">
        <v>88</v>
      </c>
      <c r="D79" s="44">
        <v>0</v>
      </c>
      <c r="E79" s="60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0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0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0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0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0">
        <f t="shared" si="2"/>
        <v>0</v>
      </c>
    </row>
    <row r="85" spans="1:6" x14ac:dyDescent="0.3">
      <c r="A85" s="2">
        <v>17</v>
      </c>
      <c r="C85" s="39" t="s">
        <v>94</v>
      </c>
      <c r="D85" s="44">
        <f>TRUNC(1515.94705001152,-1)</f>
        <v>1510</v>
      </c>
      <c r="E85" s="60">
        <f t="shared" si="2"/>
        <v>4990</v>
      </c>
    </row>
    <row r="86" spans="1:6" x14ac:dyDescent="0.3">
      <c r="A86" s="2">
        <v>18</v>
      </c>
      <c r="C86" s="39" t="s">
        <v>95</v>
      </c>
      <c r="D86" s="44">
        <v>0</v>
      </c>
      <c r="E86" s="60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0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0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0">
        <f t="shared" si="2"/>
        <v>0</v>
      </c>
    </row>
    <row r="90" spans="1:6" x14ac:dyDescent="0.3">
      <c r="A90" s="2">
        <v>22</v>
      </c>
      <c r="C90" s="39" t="s">
        <v>99</v>
      </c>
      <c r="D90" s="44">
        <f>TRUNC(1924.33740493201,-1)</f>
        <v>1920</v>
      </c>
      <c r="E90" s="60">
        <f t="shared" si="2"/>
        <v>6340</v>
      </c>
    </row>
    <row r="91" spans="1:6" x14ac:dyDescent="0.3">
      <c r="A91" s="2">
        <v>23</v>
      </c>
      <c r="C91" s="39" t="s">
        <v>100</v>
      </c>
      <c r="D91" s="44">
        <v>0</v>
      </c>
      <c r="E91" s="60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0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TRUNC(81381.5971421987,-1)</f>
        <v>81380</v>
      </c>
      <c r="E93" s="60">
        <f t="shared" si="2"/>
        <v>269020</v>
      </c>
    </row>
    <row r="94" spans="1:6" ht="17.25" thickBot="1" x14ac:dyDescent="0.35">
      <c r="A94" s="2">
        <v>26</v>
      </c>
      <c r="C94" s="39" t="s">
        <v>103</v>
      </c>
      <c r="D94" s="45">
        <f>TRUNC(29401.2491933625+2425.72770223554+17779.0320926481+2880.84812168702,-1)</f>
        <v>52480</v>
      </c>
      <c r="E94" s="59">
        <f t="shared" si="2"/>
        <v>173480</v>
      </c>
      <c r="F94" s="2" t="s">
        <v>319</v>
      </c>
    </row>
    <row r="95" spans="1:6" x14ac:dyDescent="0.3">
      <c r="A95" s="2">
        <v>27</v>
      </c>
      <c r="C95" s="27" t="s">
        <v>104</v>
      </c>
      <c r="D95" s="40">
        <f>SUM(D69:D94)</f>
        <v>236950</v>
      </c>
      <c r="E95" s="40">
        <f>SUM(E69:E94)</f>
        <v>783250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318</v>
      </c>
    </row>
    <row r="98" spans="1:6" x14ac:dyDescent="0.3">
      <c r="A98" s="2">
        <v>1</v>
      </c>
      <c r="C98" s="29" t="s">
        <v>106</v>
      </c>
      <c r="D98" s="42">
        <f>TRUNC(14249.3041599447,-1)</f>
        <v>14240</v>
      </c>
      <c r="E98" s="61">
        <f t="shared" ref="E98:E118" si="3">TRUNC(+D98*3.3058,-1)</f>
        <v>47070</v>
      </c>
    </row>
    <row r="99" spans="1:6" x14ac:dyDescent="0.3">
      <c r="A99" s="2">
        <v>2</v>
      </c>
      <c r="C99" s="29" t="s">
        <v>107</v>
      </c>
      <c r="D99" s="44">
        <f>TRUNC(7213.90331873704,-1)</f>
        <v>7210</v>
      </c>
      <c r="E99" s="60">
        <f t="shared" si="3"/>
        <v>23830</v>
      </c>
    </row>
    <row r="100" spans="1:6" x14ac:dyDescent="0.3">
      <c r="A100" s="2">
        <v>3</v>
      </c>
      <c r="C100" s="29" t="s">
        <v>108</v>
      </c>
      <c r="D100" s="44">
        <f>TRUNC(18570.217792118,-1)</f>
        <v>18570</v>
      </c>
      <c r="E100" s="60">
        <f t="shared" si="3"/>
        <v>61380</v>
      </c>
    </row>
    <row r="101" spans="1:6" x14ac:dyDescent="0.3">
      <c r="A101" s="2">
        <v>4</v>
      </c>
      <c r="C101" s="29" t="s">
        <v>109</v>
      </c>
      <c r="D101" s="44">
        <f>TRUNC(789.498905277714+1352.09333947914,-1)</f>
        <v>2140</v>
      </c>
      <c r="E101" s="60">
        <f t="shared" si="3"/>
        <v>7070</v>
      </c>
      <c r="F101" s="2" t="s">
        <v>313</v>
      </c>
    </row>
    <row r="102" spans="1:6" x14ac:dyDescent="0.3">
      <c r="A102" s="2">
        <v>5</v>
      </c>
      <c r="C102" s="29" t="s">
        <v>110</v>
      </c>
      <c r="D102" s="44">
        <f>TRUNC(7972.1156372436,-1)</f>
        <v>7970</v>
      </c>
      <c r="E102" s="60">
        <f t="shared" si="3"/>
        <v>26340</v>
      </c>
    </row>
    <row r="103" spans="1:6" x14ac:dyDescent="0.3">
      <c r="A103" s="2">
        <v>6</v>
      </c>
      <c r="C103" s="29" t="s">
        <v>111</v>
      </c>
      <c r="D103" s="44">
        <v>0</v>
      </c>
      <c r="E103" s="60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TRUNC(1735.03917953445,-1)</f>
        <v>1730</v>
      </c>
      <c r="E104" s="60">
        <f t="shared" si="3"/>
        <v>5710</v>
      </c>
    </row>
    <row r="105" spans="1:6" x14ac:dyDescent="0.3">
      <c r="A105" s="2">
        <v>8</v>
      </c>
      <c r="C105" s="29" t="s">
        <v>113</v>
      </c>
      <c r="D105" s="44">
        <f>TRUNC(5231.93546900207,-1)</f>
        <v>5230</v>
      </c>
      <c r="E105" s="60">
        <f t="shared" si="3"/>
        <v>17280</v>
      </c>
    </row>
    <row r="106" spans="1:6" x14ac:dyDescent="0.3">
      <c r="A106" s="2">
        <v>9</v>
      </c>
      <c r="C106" s="29" t="s">
        <v>114</v>
      </c>
      <c r="D106" s="44">
        <v>0</v>
      </c>
      <c r="E106" s="60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0">
        <f t="shared" si="3"/>
        <v>0</v>
      </c>
    </row>
    <row r="108" spans="1:6" x14ac:dyDescent="0.3">
      <c r="A108" s="2">
        <v>11</v>
      </c>
      <c r="C108" s="29" t="s">
        <v>116</v>
      </c>
      <c r="D108" s="44">
        <v>0</v>
      </c>
      <c r="E108" s="60">
        <f t="shared" si="3"/>
        <v>0</v>
      </c>
    </row>
    <row r="109" spans="1:6" x14ac:dyDescent="0.3">
      <c r="A109" s="2">
        <v>12</v>
      </c>
      <c r="C109" s="29" t="s">
        <v>117</v>
      </c>
      <c r="D109" s="44">
        <v>0</v>
      </c>
      <c r="E109" s="60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0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0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0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0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0">
        <f t="shared" si="3"/>
        <v>0</v>
      </c>
    </row>
    <row r="115" spans="1:6" x14ac:dyDescent="0.3">
      <c r="A115" s="2">
        <v>18</v>
      </c>
      <c r="C115" s="29" t="s">
        <v>123</v>
      </c>
      <c r="D115" s="44">
        <f>TRUNC(2478.76647845126,-1)</f>
        <v>2470</v>
      </c>
      <c r="E115" s="60">
        <f t="shared" si="3"/>
        <v>8160</v>
      </c>
    </row>
    <row r="116" spans="1:6" x14ac:dyDescent="0.3">
      <c r="A116" s="2">
        <v>19</v>
      </c>
      <c r="C116" s="29" t="s">
        <v>124</v>
      </c>
      <c r="D116" s="44">
        <v>0</v>
      </c>
      <c r="E116" s="60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TRUNC(18912.3069831758+24669.9124222171,-1)</f>
        <v>43580</v>
      </c>
      <c r="E117" s="60">
        <f t="shared" si="3"/>
        <v>144060</v>
      </c>
    </row>
    <row r="118" spans="1:6" ht="17.25" thickBot="1" x14ac:dyDescent="0.35">
      <c r="A118" s="2">
        <v>21</v>
      </c>
      <c r="C118" s="29" t="s">
        <v>103</v>
      </c>
      <c r="D118" s="45">
        <f>TRUNC(355.881251440424+1527.16570638396,-1)</f>
        <v>1880</v>
      </c>
      <c r="E118" s="59">
        <f t="shared" si="3"/>
        <v>6210</v>
      </c>
      <c r="F118" s="2" t="s">
        <v>314</v>
      </c>
    </row>
    <row r="119" spans="1:6" x14ac:dyDescent="0.3">
      <c r="A119" s="2">
        <v>22</v>
      </c>
      <c r="C119" s="27" t="s">
        <v>104</v>
      </c>
      <c r="D119" s="40">
        <f>SUM(D98:D118)</f>
        <v>105020</v>
      </c>
      <c r="E119" s="40">
        <f>SUM(E98:E118)</f>
        <v>347110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318</v>
      </c>
    </row>
    <row r="122" spans="1:6" x14ac:dyDescent="0.3">
      <c r="A122" s="2">
        <v>1</v>
      </c>
      <c r="C122" s="29" t="s">
        <v>126</v>
      </c>
      <c r="D122" s="42">
        <f>TRUNC(2136.61373588384,-1)</f>
        <v>2130</v>
      </c>
      <c r="E122" s="61">
        <f t="shared" ref="E122:E132" si="4">TRUNC(+D122*3.3058,-1)</f>
        <v>7040</v>
      </c>
    </row>
    <row r="123" spans="1:6" x14ac:dyDescent="0.3">
      <c r="A123" s="2">
        <v>2</v>
      </c>
      <c r="C123" s="29" t="s">
        <v>127</v>
      </c>
      <c r="D123" s="44">
        <v>0</v>
      </c>
      <c r="E123" s="60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TRUNC(2146.93258815395,-1)</f>
        <v>2140</v>
      </c>
      <c r="E124" s="60">
        <f t="shared" si="4"/>
        <v>7070</v>
      </c>
    </row>
    <row r="125" spans="1:6" x14ac:dyDescent="0.3">
      <c r="A125" s="2">
        <v>4</v>
      </c>
      <c r="C125" s="29" t="s">
        <v>129</v>
      </c>
      <c r="D125" s="44">
        <f>TRUNC(4033.5825074902,-1)</f>
        <v>4030</v>
      </c>
      <c r="E125" s="60">
        <f t="shared" si="4"/>
        <v>13320</v>
      </c>
    </row>
    <row r="126" spans="1:6" x14ac:dyDescent="0.3">
      <c r="A126" s="2">
        <v>5</v>
      </c>
      <c r="C126" s="29" t="s">
        <v>130</v>
      </c>
      <c r="D126" s="44">
        <v>0</v>
      </c>
      <c r="E126" s="60">
        <f t="shared" si="4"/>
        <v>0</v>
      </c>
    </row>
    <row r="127" spans="1:6" x14ac:dyDescent="0.3">
      <c r="A127" s="2">
        <v>6</v>
      </c>
      <c r="C127" s="29" t="s">
        <v>131</v>
      </c>
      <c r="D127" s="44">
        <f>TRUNC(6452.62600829684,-1)</f>
        <v>6450</v>
      </c>
      <c r="E127" s="60">
        <f t="shared" si="4"/>
        <v>21320</v>
      </c>
    </row>
    <row r="128" spans="1:6" x14ac:dyDescent="0.3">
      <c r="A128" s="2">
        <v>7</v>
      </c>
      <c r="C128" s="29" t="s">
        <v>113</v>
      </c>
      <c r="D128" s="44">
        <f>TRUNC(10007.8781401245,-1)</f>
        <v>10000</v>
      </c>
      <c r="E128" s="60">
        <f t="shared" si="4"/>
        <v>33050</v>
      </c>
    </row>
    <row r="129" spans="1:6" x14ac:dyDescent="0.3">
      <c r="A129" s="2">
        <v>8</v>
      </c>
      <c r="C129" s="29" t="s">
        <v>132</v>
      </c>
      <c r="D129" s="44">
        <v>0</v>
      </c>
      <c r="E129" s="60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TRUNC(22498.4128255358,-1)</f>
        <v>22490</v>
      </c>
      <c r="E130" s="60">
        <f t="shared" si="4"/>
        <v>74340</v>
      </c>
    </row>
    <row r="131" spans="1:6" x14ac:dyDescent="0.3">
      <c r="A131" s="2">
        <v>10</v>
      </c>
      <c r="C131" s="29" t="s">
        <v>102</v>
      </c>
      <c r="D131" s="44">
        <f>TRUNC(33641.3920258124,-1)</f>
        <v>33640</v>
      </c>
      <c r="E131" s="60">
        <f t="shared" si="4"/>
        <v>111200</v>
      </c>
    </row>
    <row r="132" spans="1:6" ht="17.25" thickBot="1" x14ac:dyDescent="0.35">
      <c r="A132" s="2">
        <v>11</v>
      </c>
      <c r="C132" s="29" t="s">
        <v>103</v>
      </c>
      <c r="D132" s="45">
        <v>0</v>
      </c>
      <c r="E132" s="59">
        <f t="shared" si="4"/>
        <v>0</v>
      </c>
    </row>
    <row r="133" spans="1:6" x14ac:dyDescent="0.3">
      <c r="A133" s="2">
        <v>12</v>
      </c>
      <c r="C133" s="41" t="s">
        <v>104</v>
      </c>
      <c r="D133" s="40">
        <f>SUM(D122:D132)</f>
        <v>80880</v>
      </c>
      <c r="E133" s="40">
        <f>SUM(E122:E132)</f>
        <v>267340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318</v>
      </c>
    </row>
    <row r="136" spans="1:6" x14ac:dyDescent="0.3">
      <c r="A136" s="2">
        <v>1</v>
      </c>
      <c r="C136" s="39" t="s">
        <v>135</v>
      </c>
      <c r="D136" s="42">
        <f>TRUNC(25716.4794307444,-1)</f>
        <v>25710</v>
      </c>
      <c r="E136" s="61">
        <f t="shared" ref="E136:E145" si="5">TRUNC(+D136*3.3058,-1)</f>
        <v>84990</v>
      </c>
      <c r="F136" s="2" t="s">
        <v>320</v>
      </c>
    </row>
    <row r="137" spans="1:6" x14ac:dyDescent="0.3">
      <c r="A137" s="2">
        <v>2</v>
      </c>
      <c r="C137" s="39" t="s">
        <v>103</v>
      </c>
      <c r="D137" s="44">
        <f>TRUNC(1277.25282323116,-1)</f>
        <v>1270</v>
      </c>
      <c r="E137" s="60">
        <f t="shared" si="5"/>
        <v>4190</v>
      </c>
      <c r="F137" s="2" t="s">
        <v>312</v>
      </c>
    </row>
    <row r="138" spans="1:6" x14ac:dyDescent="0.3">
      <c r="A138" s="2">
        <v>3</v>
      </c>
      <c r="C138" s="39" t="s">
        <v>136</v>
      </c>
      <c r="D138" s="44">
        <v>0</v>
      </c>
      <c r="E138" s="60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0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0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0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0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0">
        <f t="shared" si="5"/>
        <v>0</v>
      </c>
    </row>
    <row r="144" spans="1:6" x14ac:dyDescent="0.3">
      <c r="A144" s="2">
        <v>9</v>
      </c>
      <c r="C144" s="39" t="s">
        <v>142</v>
      </c>
      <c r="D144" s="44">
        <f>TRUNC(10321.8387301221,-1)</f>
        <v>10320</v>
      </c>
      <c r="E144" s="60">
        <f t="shared" si="5"/>
        <v>34110</v>
      </c>
      <c r="F144" s="2" t="s">
        <v>311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59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37300</v>
      </c>
      <c r="E146" s="40">
        <f>SUM(E136:E145)</f>
        <v>123290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318</v>
      </c>
    </row>
    <row r="149" spans="1:6" x14ac:dyDescent="0.3">
      <c r="A149" s="2">
        <v>1</v>
      </c>
      <c r="C149" s="39" t="s">
        <v>144</v>
      </c>
      <c r="D149" s="42">
        <f>TRUNC(4500.51601751556,-1)</f>
        <v>4500</v>
      </c>
      <c r="E149" s="61">
        <f>TRUNC(+D149*3.3058,-1)</f>
        <v>14870</v>
      </c>
    </row>
    <row r="150" spans="1:6" x14ac:dyDescent="0.3">
      <c r="A150" s="2">
        <v>2</v>
      </c>
      <c r="C150" s="39" t="s">
        <v>145</v>
      </c>
      <c r="D150" s="44">
        <f>TRUNC(23034.0330145195,-1)</f>
        <v>23030</v>
      </c>
      <c r="E150" s="60">
        <f>TRUNC(+D150*3.3058,-1)</f>
        <v>76130</v>
      </c>
    </row>
    <row r="151" spans="1:6" x14ac:dyDescent="0.3">
      <c r="A151" s="2">
        <v>3</v>
      </c>
      <c r="C151" s="39" t="s">
        <v>146</v>
      </c>
      <c r="D151" s="44">
        <v>0</v>
      </c>
      <c r="E151" s="60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TRUNC(2309.79027425674+1179.36725051855+103.844203733579+20083.6724475686,-1)</f>
        <v>23670</v>
      </c>
      <c r="E152" s="60">
        <f>TRUNC(+D152*3.3058,-1)</f>
        <v>78240</v>
      </c>
      <c r="F152" s="37" t="s">
        <v>315</v>
      </c>
    </row>
    <row r="153" spans="1:6" ht="17.25" thickBot="1" x14ac:dyDescent="0.35">
      <c r="A153" s="2">
        <v>5</v>
      </c>
      <c r="C153" s="39" t="s">
        <v>102</v>
      </c>
      <c r="D153" s="45">
        <f>TRUNC(23080.5126181148,-1)</f>
        <v>23080</v>
      </c>
      <c r="E153" s="59">
        <f>TRUNC(+D153*3.3058,-1)</f>
        <v>76290</v>
      </c>
    </row>
    <row r="154" spans="1:6" x14ac:dyDescent="0.3">
      <c r="A154" s="2">
        <v>6</v>
      </c>
      <c r="C154" s="27" t="s">
        <v>104</v>
      </c>
      <c r="D154" s="40">
        <f>SUM(D149:D153)</f>
        <v>74280</v>
      </c>
      <c r="E154" s="40">
        <f>SUM(E149:E153)</f>
        <v>245530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318</v>
      </c>
    </row>
    <row r="157" spans="1:6" x14ac:dyDescent="0.3">
      <c r="A157" s="2">
        <v>1</v>
      </c>
      <c r="C157" s="39" t="s">
        <v>148</v>
      </c>
      <c r="D157" s="42">
        <f>TRUNC(33192.5612468311,-1)</f>
        <v>33190</v>
      </c>
      <c r="E157" s="61">
        <f>TRUNC(+D157*3.3058,-1)</f>
        <v>109710</v>
      </c>
    </row>
    <row r="158" spans="1:6" x14ac:dyDescent="0.3">
      <c r="A158" s="2">
        <v>2</v>
      </c>
      <c r="C158" s="39" t="s">
        <v>149</v>
      </c>
      <c r="D158" s="44">
        <f>TRUNC(17256.4614542521,-1)</f>
        <v>17250</v>
      </c>
      <c r="E158" s="60">
        <f>TRUNC(+D158*3.3058,-1)</f>
        <v>57020</v>
      </c>
    </row>
    <row r="159" spans="1:6" x14ac:dyDescent="0.3">
      <c r="A159" s="2">
        <v>3</v>
      </c>
      <c r="C159" s="39" t="s">
        <v>103</v>
      </c>
      <c r="D159" s="44">
        <f>TRUNC(106.127679188753,-1)</f>
        <v>100</v>
      </c>
      <c r="E159" s="60">
        <f>TRUNC(+D159*3.3058,-1)</f>
        <v>330</v>
      </c>
      <c r="F159" s="2" t="s">
        <v>316</v>
      </c>
    </row>
    <row r="160" spans="1:6" ht="17.25" thickBot="1" x14ac:dyDescent="0.35">
      <c r="A160" s="2">
        <v>4</v>
      </c>
      <c r="C160" s="39" t="s">
        <v>102</v>
      </c>
      <c r="D160" s="45">
        <f>TRUNC(253.882058077898,-1)</f>
        <v>250</v>
      </c>
      <c r="E160" s="59">
        <f>TRUNC(+D160*3.3058,-1)</f>
        <v>820</v>
      </c>
    </row>
    <row r="161" spans="1:5" x14ac:dyDescent="0.3">
      <c r="A161" s="2">
        <v>5</v>
      </c>
      <c r="C161" s="27" t="s">
        <v>104</v>
      </c>
      <c r="D161" s="40">
        <f>SUM(D157:D160)</f>
        <v>50790</v>
      </c>
      <c r="E161" s="40">
        <f>SUM(E157:E160)</f>
        <v>167880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2020-12-07T09:23:32Z</dcterms:modified>
</cp:coreProperties>
</file>