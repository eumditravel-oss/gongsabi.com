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D94" i="4"/>
  <c r="E160" i="4" l="1"/>
  <c r="E153" i="4"/>
  <c r="E151" i="4"/>
  <c r="E149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7" i="4"/>
  <c r="E114" i="4"/>
  <c r="E113" i="4"/>
  <c r="E112" i="4"/>
  <c r="E111" i="4"/>
  <c r="E110" i="4"/>
  <c r="E109" i="4"/>
  <c r="E107" i="4"/>
  <c r="E106" i="4"/>
  <c r="E103" i="4"/>
  <c r="E101" i="4"/>
  <c r="E94" i="4"/>
  <c r="E93" i="4"/>
  <c r="E92" i="4"/>
  <c r="E91" i="4"/>
  <c r="E89" i="4"/>
  <c r="E88" i="4"/>
  <c r="E87" i="4"/>
  <c r="E86" i="4"/>
  <c r="E85" i="4"/>
  <c r="E83" i="4"/>
  <c r="E82" i="4"/>
  <c r="E80" i="4"/>
  <c r="E78" i="4"/>
  <c r="E77" i="4"/>
  <c r="E76" i="4"/>
  <c r="E74" i="4"/>
  <c r="E73" i="4"/>
  <c r="E72" i="4"/>
  <c r="E65" i="4"/>
  <c r="E64" i="4"/>
  <c r="E57" i="4"/>
  <c r="E56" i="4"/>
  <c r="E54" i="4"/>
  <c r="E42" i="4"/>
  <c r="E133" i="4" l="1"/>
  <c r="D59" i="4"/>
  <c r="E59" i="4" s="1"/>
  <c r="D159" i="4" l="1"/>
  <c r="E159" i="4" s="1"/>
  <c r="D158" i="4"/>
  <c r="E158" i="4" s="1"/>
  <c r="D157" i="4"/>
  <c r="D152" i="4"/>
  <c r="E152" i="4" s="1"/>
  <c r="D150" i="4"/>
  <c r="D145" i="4"/>
  <c r="E145" i="4" s="1"/>
  <c r="E146" i="4" s="1"/>
  <c r="D146" i="4"/>
  <c r="D30" i="4" s="1"/>
  <c r="E30" i="4" s="1"/>
  <c r="D133" i="4"/>
  <c r="D118" i="4"/>
  <c r="E118" i="4" s="1"/>
  <c r="D116" i="4"/>
  <c r="E116" i="4" s="1"/>
  <c r="D115" i="4"/>
  <c r="E115" i="4" s="1"/>
  <c r="D108" i="4"/>
  <c r="E108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D90" i="4"/>
  <c r="E90" i="4" s="1"/>
  <c r="D84" i="4"/>
  <c r="E84" i="4" s="1"/>
  <c r="D81" i="4"/>
  <c r="E81" i="4" s="1"/>
  <c r="D79" i="4"/>
  <c r="E79" i="4" s="1"/>
  <c r="D75" i="4"/>
  <c r="E75" i="4" s="1"/>
  <c r="D71" i="4"/>
  <c r="E71" i="4" s="1"/>
  <c r="D70" i="4"/>
  <c r="E70" i="4" s="1"/>
  <c r="D69" i="4"/>
  <c r="D63" i="4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D37" i="4"/>
  <c r="E37" i="4" s="1"/>
  <c r="D29" i="4"/>
  <c r="E29" i="4" s="1"/>
  <c r="D7" i="4"/>
  <c r="D66" i="4" l="1"/>
  <c r="D26" i="4" s="1"/>
  <c r="E26" i="4" s="1"/>
  <c r="E63" i="4"/>
  <c r="E66" i="4" s="1"/>
  <c r="D95" i="4"/>
  <c r="D27" i="4" s="1"/>
  <c r="E27" i="4" s="1"/>
  <c r="E69" i="4"/>
  <c r="E95" i="4" s="1"/>
  <c r="D119" i="4"/>
  <c r="D28" i="4" s="1"/>
  <c r="E28" i="4" s="1"/>
  <c r="E98" i="4"/>
  <c r="D161" i="4"/>
  <c r="D32" i="4" s="1"/>
  <c r="E32" i="4" s="1"/>
  <c r="E157" i="4"/>
  <c r="E161" i="4" s="1"/>
  <c r="D60" i="4"/>
  <c r="D25" i="4" s="1"/>
  <c r="E25" i="4" s="1"/>
  <c r="E40" i="4"/>
  <c r="E60" i="4" s="1"/>
  <c r="D24" i="4"/>
  <c r="E24" i="4" s="1"/>
  <c r="E119" i="4"/>
  <c r="D154" i="4"/>
  <c r="D31" i="4" s="1"/>
  <c r="E31" i="4" s="1"/>
  <c r="E150" i="4"/>
  <c r="E154" i="4" s="1"/>
  <c r="D33" i="4"/>
  <c r="E33" i="4" s="1"/>
  <c r="E34" i="4" s="1"/>
  <c r="D34" i="4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<sst xmlns="http://schemas.openxmlformats.org/spreadsheetml/2006/main" count="393" uniqueCount="267">
  <si>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</si>
  <si>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</si>
  <si>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</si>
  <si>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</si>
  <si>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</si>
  <si>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</si>
  <si>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</si>
  <si>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</si>
  <si>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</si>
  <si>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</si>
  <si>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</si>
  <si>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</si>
  <si>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</si>
  <si>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</si>
  <si>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</si>
  <si>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</si>
  <si>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</si>
  <si>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</si>
  <si>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</si>
  <si>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</si>
  <si>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</si>
  <si>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</si>
  <si>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</si>
  <si>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</si>
  <si>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</si>
  <si>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</si>
  <si>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</si>
  <si>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</si>
  <si>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</si>
  <si>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</si>
  <si>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</si>
  <si>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</si>
  <si>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</si>
  <si>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</si>
  <si>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</si>
  <si>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</si>
  <si>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</si>
  <si>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</si>
  <si>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</si>
  <si>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</si>
  <si>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</si>
  <si>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</si>
  <si>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</si>
  <si>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</si>
  <si>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</si>
  <si>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</si>
  <si>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</si>
  <si>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</si>
  <si>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</si>
  <si>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</si>
  <si>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</si>
  <si>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</si>
  <si>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</si>
  <si>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</si>
  <si>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</si>
  <si>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</si>
  <si>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</si>
  <si>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</si>
  <si>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</si>
  <si>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</si>
  <si>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</si>
  <si>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</si>
  <si>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</si>
  <si>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</si>
  <si>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</si>
  <si>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</si>
  <si>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</si>
  <si>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</si>
  <si>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</si>
  <si>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</si>
  <si>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</si>
  <si>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</si>
  <si>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</si>
  <si>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</si>
  <si>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</si>
  <si>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</si>
  <si>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</si>
  <si>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</si>
  <si>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</si>
  <si>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</si>
  <si>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</si>
  <si>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</si>
  <si>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</si>
  <si>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</si>
  <si>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</si>
  <si>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</si>
  <si>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</si>
  <si>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</si>
  <si>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</si>
  <si>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</si>
  <si>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</si>
  <si>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</si>
  <si>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</si>
  <si>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</si>
  <si>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</si>
  <si>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</si>
  <si>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</si>
  <si>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</si>
  <si>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</si>
  <si>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</si>
  <si>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</si>
  <si>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</si>
  <si>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</si>
  <si>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</si>
  <si>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</si>
  <si>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</si>
  <si>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</si>
  <si>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</si>
  <si>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</si>
  <si>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</si>
  <si>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</si>
  <si>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</si>
  <si>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</si>
  <si>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</si>
  <si>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</si>
  <si>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</si>
  <si>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</si>
  <si>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</si>
  <si>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</si>
  <si>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</si>
  <si>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</si>
  <si>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</si>
  <si>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</si>
  <si>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</si>
  <si>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</si>
  <si>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</si>
  <si>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</si>
  <si>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</si>
  <si>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</si>
  <si>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</si>
  <si>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</si>
  <si>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</si>
  <si>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</si>
  <si>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</si>
  <si>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</si>
  <si>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</si>
  <si>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</si>
  <si>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</si>
  <si>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</si>
  <si>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</si>
  <si>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</si>
  <si>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</si>
  <si>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</si>
  <si>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</si>
  <si>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</si>
  <si>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</si>
  <si>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</si>
  <si>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</si>
  <si>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</si>
  <si>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</si>
  <si>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</si>
  <si>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</si>
  <si>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</si>
  <si>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</si>
  <si>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</si>
  <si>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</si>
  <si>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</si>
  <si>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</si>
  <si>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</si>
  <si>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</si>
  <si>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</si>
  <si>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</si>
  <si>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</si>
  <si>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</si>
  <si>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</si>
  <si>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</si>
  <si>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</si>
  <si>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</si>
  <si>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</si>
  <si>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</si>
  <si>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</si>
  <si>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</si>
  <si>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</si>
  <si>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</si>
  <si>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</si>
  <si>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</si>
  <si>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</si>
  <si>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</si>
  <si>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</si>
  <si>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</si>
  <si>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</si>
  <si>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</si>
  <si>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</si>
  <si>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</si>
  <si>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</si>
  <si>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</si>
  <si>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</si>
  <si>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</si>
  <si>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</si>
  <si>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</si>
  <si>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</si>
  <si>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</si>
  <si>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</si>
  <si>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</si>
  <si>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</si>
  <si>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</si>
  <si>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</si>
  <si>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</si>
  <si>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</si>
  <si>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</si>
  <si>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</si>
  <si>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</si>
  <si>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</si>
  <si>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</si>
  <si>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</si>
  <si>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</si>
  <si>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</si>
  <si>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</si>
  <si>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</si>
  <si>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</si>
  <si>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</si>
  <si>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</si>
  <si>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</si>
  <si>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</si>
  <si>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</si>
  <si>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</si>
  <si>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</si>
  <si>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</si>
  <si>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</si>
  <si>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</si>
  <si>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</si>
  <si>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</si>
  <si>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</si>
  <si>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</si>
  <si>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</si>
  <si>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</si>
  <si>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</si>
  <si>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</si>
  <si>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</si>
  <si>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</si>
  <si>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</si>
  <si>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</si>
  <si>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</si>
  <si>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</si>
  <si>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</si>
  <si>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</si>
  <si>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</si>
  <si>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</si>
  <si>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</si>
  <si>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</si>
  <si>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</si>
  <si>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</si>
  <si>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</si>
  <si>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</si>
  <si>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</si>
  <si>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</si>
  <si>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</si>
  <si>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00우체국청사 신축공사</t>
  </si>
  <si>
    <t>전라도</t>
  </si>
  <si>
    <t>지정공사,잡공사,폐기물처리비,태양열집열판공사,국기게양대공사,주요자재비,운반비,작업부산물</t>
    <phoneticPr fontId="2" type="noConversion"/>
  </si>
  <si>
    <t>환기닥트설치공사</t>
    <phoneticPr fontId="2" type="noConversion"/>
  </si>
  <si>
    <t>난방배관공사,냉난방기설치공사</t>
    <phoneticPr fontId="2" type="noConversion"/>
  </si>
  <si>
    <t>단위세대 전등.전열 설비공사,공용부 전등 설비공사</t>
    <phoneticPr fontId="2" type="noConversion"/>
  </si>
  <si>
    <t>전력인입공사</t>
    <phoneticPr fontId="2" type="noConversion"/>
  </si>
  <si>
    <t>옥외외등 설비공사,가설창고</t>
    <phoneticPr fontId="2" type="noConversion"/>
  </si>
  <si>
    <t>배수공사,옹벽공사,부대공사,주요자재비,자재운반비</t>
    <phoneticPr fontId="2" type="noConversion"/>
  </si>
  <si>
    <t>포장공사,주요자재비,운반비</t>
    <phoneticPr fontId="2" type="noConversion"/>
  </si>
  <si>
    <t>도급자설치</t>
    <phoneticPr fontId="2" type="noConversion"/>
  </si>
  <si>
    <t>도급자,관급자설치</t>
    <phoneticPr fontId="2" type="noConversion"/>
  </si>
  <si>
    <t>원 /평</t>
    <phoneticPr fontId="2" type="noConversion"/>
  </si>
  <si>
    <t>위생배관공사,히팅케이블설치공사,태양열시스템설치공사</t>
    <phoneticPr fontId="2" type="noConversion"/>
  </si>
  <si>
    <t>기계소화배관공사,전기 소방설비공사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</si>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</sst>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3585</v>
      </c>
      <c r="D7" s="36">
        <f>+C7/3.3058</f>
        <v>1084.4576199407102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259</v>
      </c>
    </row>
    <row r="24" spans="1:5" x14ac:dyDescent="0.3">
      <c r="B24" s="2">
        <v>1</v>
      </c>
      <c r="C24" s="35" t="s">
        <v>110</v>
      </c>
      <c r="D24" s="41">
        <f>D37</f>
        <v>9190</v>
      </c>
      <c r="E24" s="59">
        <f t="shared" ref="E24:E33" si="0">TRUNC(+D24*3.3058,-1)</f>
        <v>30380</v>
      </c>
    </row>
    <row r="25" spans="1:5" x14ac:dyDescent="0.3">
      <c r="B25" s="2">
        <v>2</v>
      </c>
      <c r="C25" s="35" t="s">
        <v>111</v>
      </c>
      <c r="D25" s="45">
        <f>+D60</f>
        <v>553180</v>
      </c>
      <c r="E25" s="60">
        <f t="shared" si="0"/>
        <v>1828700</v>
      </c>
    </row>
    <row r="26" spans="1:5" x14ac:dyDescent="0.3">
      <c r="B26" s="2">
        <v>3</v>
      </c>
      <c r="C26" s="35" t="s">
        <v>95</v>
      </c>
      <c r="D26" s="45">
        <f>+D66</f>
        <v>26860</v>
      </c>
      <c r="E26" s="60">
        <f t="shared" si="0"/>
        <v>88790</v>
      </c>
    </row>
    <row r="27" spans="1:5" x14ac:dyDescent="0.3">
      <c r="B27" s="2">
        <v>4</v>
      </c>
      <c r="C27" s="35" t="s">
        <v>96</v>
      </c>
      <c r="D27" s="45">
        <f>+D95</f>
        <v>148560</v>
      </c>
      <c r="E27" s="60">
        <f t="shared" si="0"/>
        <v>491100</v>
      </c>
    </row>
    <row r="28" spans="1:5" x14ac:dyDescent="0.3">
      <c r="B28" s="2">
        <v>5</v>
      </c>
      <c r="C28" s="35" t="s">
        <v>97</v>
      </c>
      <c r="D28" s="45">
        <f>+D119</f>
        <v>61260</v>
      </c>
      <c r="E28" s="60">
        <f t="shared" si="0"/>
        <v>202510</v>
      </c>
    </row>
    <row r="29" spans="1:5" x14ac:dyDescent="0.3">
      <c r="B29" s="2">
        <v>6</v>
      </c>
      <c r="C29" s="35" t="s">
        <v>98</v>
      </c>
      <c r="D29" s="45">
        <f>+D133</f>
        <v>0</v>
      </c>
      <c r="E29" s="60">
        <f t="shared" si="0"/>
        <v>0</v>
      </c>
    </row>
    <row r="30" spans="1:5" x14ac:dyDescent="0.3">
      <c r="B30" s="2">
        <v>7</v>
      </c>
      <c r="C30" s="35" t="s">
        <v>99</v>
      </c>
      <c r="D30" s="45">
        <f>+D146</f>
        <v>111060</v>
      </c>
      <c r="E30" s="60">
        <f t="shared" si="0"/>
        <v>367140</v>
      </c>
    </row>
    <row r="31" spans="1:5" x14ac:dyDescent="0.3">
      <c r="B31" s="2">
        <v>8</v>
      </c>
      <c r="C31" s="35" t="s">
        <v>100</v>
      </c>
      <c r="D31" s="45">
        <f>+D154</f>
        <v>37830</v>
      </c>
      <c r="E31" s="60">
        <f t="shared" si="0"/>
        <v>125050</v>
      </c>
    </row>
    <row r="32" spans="1:5" x14ac:dyDescent="0.3">
      <c r="B32" s="2">
        <v>9</v>
      </c>
      <c r="C32" s="35" t="s">
        <v>101</v>
      </c>
      <c r="D32" s="45">
        <f>+D161</f>
        <v>25510</v>
      </c>
      <c r="E32" s="60">
        <f t="shared" si="0"/>
        <v>84330</v>
      </c>
    </row>
    <row r="33" spans="1:7" x14ac:dyDescent="0.3">
      <c r="B33" s="2">
        <v>10</v>
      </c>
      <c r="C33" s="35" t="s">
        <v>153</v>
      </c>
      <c r="D33" s="53">
        <f>TRUNC(SUM(D24:D32)*0.275,-1)</f>
        <v>267690</v>
      </c>
      <c r="E33" s="61">
        <f t="shared" si="0"/>
        <v>884920</v>
      </c>
    </row>
    <row r="34" spans="1:7" x14ac:dyDescent="0.3">
      <c r="C34" s="35" t="s">
        <v>112</v>
      </c>
      <c r="D34" s="44">
        <f>SUM(D24:D33)</f>
        <v>1241140</v>
      </c>
      <c r="E34" s="44">
        <f>SUM(E24:E33)</f>
        <v>4102920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234</v>
      </c>
      <c r="E36" s="56" t="s">
        <v>259</v>
      </c>
      <c r="F36" s="54"/>
      <c r="G36" s="54"/>
    </row>
    <row r="37" spans="1:7" ht="17.25" thickBot="1" x14ac:dyDescent="0.35">
      <c r="C37" s="38" t="s">
        <v>143</v>
      </c>
      <c r="D37" s="52">
        <f>TRUNC(9190.3129707113,-1)</f>
        <v>9190</v>
      </c>
      <c r="E37" s="62">
        <f>TRUNC(+D37*3.3058,-1)</f>
        <v>30380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TRUNC(24607.470013947,-1)</f>
        <v>24600</v>
      </c>
      <c r="E40" s="63">
        <f t="shared" ref="E40:E59" si="1">TRUNC(+D40*3.3058,-1)</f>
        <v>81320</v>
      </c>
    </row>
    <row r="41" spans="1:7" x14ac:dyDescent="0.3">
      <c r="A41" s="2">
        <v>2</v>
      </c>
      <c r="C41" s="38" t="s">
        <v>13</v>
      </c>
      <c r="D41" s="42">
        <f>TRUNC(128106.167085077,-1)</f>
        <v>128100</v>
      </c>
      <c r="E41" s="64">
        <f t="shared" si="1"/>
        <v>423470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f>TRUNC(31212.3464435146,-1)</f>
        <v>31210</v>
      </c>
      <c r="E43" s="64">
        <f t="shared" si="1"/>
        <v>103170</v>
      </c>
    </row>
    <row r="44" spans="1:7" x14ac:dyDescent="0.3">
      <c r="A44" s="2">
        <v>5</v>
      </c>
      <c r="C44" s="38" t="s">
        <v>17</v>
      </c>
      <c r="D44" s="42">
        <f>TRUNC(17250.9453277545,-1)</f>
        <v>17250</v>
      </c>
      <c r="E44" s="64">
        <f t="shared" si="1"/>
        <v>57020</v>
      </c>
    </row>
    <row r="45" spans="1:7" x14ac:dyDescent="0.3">
      <c r="A45" s="2">
        <v>6</v>
      </c>
      <c r="C45" s="38" t="s">
        <v>18</v>
      </c>
      <c r="D45" s="42">
        <f>TRUNC(8480.18884239888,-1)</f>
        <v>8480</v>
      </c>
      <c r="E45" s="64">
        <f t="shared" si="1"/>
        <v>28030</v>
      </c>
    </row>
    <row r="46" spans="1:7" x14ac:dyDescent="0.3">
      <c r="A46" s="2">
        <v>7</v>
      </c>
      <c r="C46" s="38" t="s">
        <v>19</v>
      </c>
      <c r="D46" s="42">
        <f>TRUNC(25669.8845188285,-1)</f>
        <v>25660</v>
      </c>
      <c r="E46" s="64">
        <f t="shared" si="1"/>
        <v>84820</v>
      </c>
    </row>
    <row r="47" spans="1:7" x14ac:dyDescent="0.3">
      <c r="A47" s="2">
        <v>8</v>
      </c>
      <c r="C47" s="38" t="s">
        <v>20</v>
      </c>
      <c r="D47" s="42">
        <f>TRUNC(6564.98744769875,-1)</f>
        <v>6560</v>
      </c>
      <c r="E47" s="64">
        <f t="shared" si="1"/>
        <v>21680</v>
      </c>
    </row>
    <row r="48" spans="1:7" x14ac:dyDescent="0.3">
      <c r="A48" s="2">
        <v>9</v>
      </c>
      <c r="C48" s="38" t="s">
        <v>21</v>
      </c>
      <c r="D48" s="42">
        <f>TRUNC(28415.6131101813,-1)</f>
        <v>28410</v>
      </c>
      <c r="E48" s="64">
        <f t="shared" si="1"/>
        <v>93910</v>
      </c>
    </row>
    <row r="49" spans="1:7" x14ac:dyDescent="0.3">
      <c r="A49" s="2">
        <v>10</v>
      </c>
      <c r="C49" s="38" t="s">
        <v>22</v>
      </c>
      <c r="D49" s="42">
        <f>TRUNC(19864.6923291492,-1)</f>
        <v>19860</v>
      </c>
      <c r="E49" s="64">
        <f t="shared" si="1"/>
        <v>65650</v>
      </c>
    </row>
    <row r="50" spans="1:7" x14ac:dyDescent="0.3">
      <c r="A50" s="2">
        <v>11</v>
      </c>
      <c r="C50" s="38" t="s">
        <v>154</v>
      </c>
      <c r="D50" s="42">
        <f>TRUNC(44484.5107391911,-1)</f>
        <v>44480</v>
      </c>
      <c r="E50" s="64">
        <f t="shared" si="1"/>
        <v>147040</v>
      </c>
    </row>
    <row r="51" spans="1:7" x14ac:dyDescent="0.3">
      <c r="A51" s="2">
        <v>12</v>
      </c>
      <c r="C51" s="38" t="s">
        <v>23</v>
      </c>
      <c r="D51" s="42">
        <f>TRUNC(8143.97880055788,-1)</f>
        <v>8140</v>
      </c>
      <c r="E51" s="64">
        <f t="shared" si="1"/>
        <v>26900</v>
      </c>
    </row>
    <row r="52" spans="1:7" x14ac:dyDescent="0.3">
      <c r="A52" s="2">
        <v>13</v>
      </c>
      <c r="C52" s="38" t="s">
        <v>24</v>
      </c>
      <c r="D52" s="42">
        <f>TRUNC(19765.4421199442,-1)</f>
        <v>19760</v>
      </c>
      <c r="E52" s="64">
        <f t="shared" si="1"/>
        <v>65320</v>
      </c>
    </row>
    <row r="53" spans="1:7" x14ac:dyDescent="0.3">
      <c r="A53" s="2">
        <v>14</v>
      </c>
      <c r="C53" s="38" t="s">
        <v>25</v>
      </c>
      <c r="D53" s="42">
        <f>TRUNC(46530.429567643,-1)</f>
        <v>46530</v>
      </c>
      <c r="E53" s="64">
        <f t="shared" si="1"/>
        <v>153810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TRUNC(8705.43068340307,-1)</f>
        <v>8700</v>
      </c>
      <c r="E55" s="64">
        <f t="shared" si="1"/>
        <v>28760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TRUNC(1817.16987447699+5529.98605299861+1574.38633193863+3670.19665271967+296.261366806137+4037.93584379358+2127.04351464435+333.322175732218,-1)</f>
        <v>19380</v>
      </c>
      <c r="E58" s="64">
        <f t="shared" si="1"/>
        <v>64060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f>TRUNC(116063.040446304,-1)</f>
        <v>116060</v>
      </c>
      <c r="E59" s="65">
        <f t="shared" si="1"/>
        <v>383670</v>
      </c>
      <c r="F59" s="2" t="s">
        <v>257</v>
      </c>
    </row>
    <row r="60" spans="1:7" x14ac:dyDescent="0.3">
      <c r="A60" s="2">
        <v>21</v>
      </c>
      <c r="C60" s="27" t="s">
        <v>112</v>
      </c>
      <c r="D60" s="39">
        <f>SUM(D40:D59)</f>
        <v>553180</v>
      </c>
      <c r="E60" s="39">
        <f>SUM(E40:E59)</f>
        <v>1828630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234</v>
      </c>
      <c r="E62" s="56" t="s">
        <v>259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TRUNC(26860.2465829847,-1)</f>
        <v>26860</v>
      </c>
      <c r="E63" s="63">
        <f>TRUNC(+D63*3.3058,-1)</f>
        <v>88790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26860</v>
      </c>
      <c r="E66" s="57">
        <f>SUM(E63:E65)</f>
        <v>88790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234</v>
      </c>
      <c r="E68" s="56" t="s">
        <v>259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TRUNC(14157.8906555091,-1)</f>
        <v>14150</v>
      </c>
      <c r="E69" s="63">
        <f>TRUNC(+D69*3.3058,-1)</f>
        <v>46770</v>
      </c>
    </row>
    <row r="70" spans="1:7" ht="16.5" customHeight="1" x14ac:dyDescent="0.3">
      <c r="A70" s="2">
        <v>2</v>
      </c>
      <c r="C70" s="38" t="s">
        <v>31</v>
      </c>
      <c r="D70" s="42">
        <f>TRUNC(1143.34365411437,-1)</f>
        <v>1140</v>
      </c>
      <c r="E70" s="64">
        <f>TRUNC(+D70*3.3058,-1)</f>
        <v>3760</v>
      </c>
    </row>
    <row r="71" spans="1:7" x14ac:dyDescent="0.3">
      <c r="A71" s="2">
        <v>3</v>
      </c>
      <c r="C71" s="38" t="s">
        <v>32</v>
      </c>
      <c r="D71" s="42">
        <f>TRUNC(10188.7380753138,-1)</f>
        <v>10180</v>
      </c>
      <c r="E71" s="64">
        <f t="shared" ref="E71:E73" si="2">TRUNC(+D71*3.3058,-1)</f>
        <v>33650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TRUNC(264.211994421199,-1)</f>
        <v>260</v>
      </c>
      <c r="E75" s="64">
        <f>TRUNC(+D75*3.3058,-1)</f>
        <v>850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TRUNC(4600.2820083682,-1)</f>
        <v>4600</v>
      </c>
      <c r="E79" s="64">
        <f t="shared" si="3"/>
        <v>15200</v>
      </c>
      <c r="F79" s="2" t="s">
        <v>250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TRUNC(4219.74644351464,-1)</f>
        <v>4210</v>
      </c>
      <c r="E81" s="64">
        <f t="shared" si="3"/>
        <v>13910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TRUNC(16567.3218967922+16908.0153417015,-1)</f>
        <v>33470</v>
      </c>
      <c r="E84" s="64">
        <f>TRUNC(+D84*3.3058,-1)</f>
        <v>110640</v>
      </c>
      <c r="F84" s="2" t="s">
        <v>251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TRUNC(944.097629009763,-1)</f>
        <v>940</v>
      </c>
      <c r="E90" s="64">
        <f>TRUNC(+D90*3.3058,-1)</f>
        <v>3100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TRUNC(45500.4984658298+3258.31269177127+30858.3944211994,-1)</f>
        <v>79610</v>
      </c>
      <c r="E94" s="65">
        <f>TRUNC(+D94*3.3058,-1)</f>
        <v>263170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148560</v>
      </c>
      <c r="E95" s="39">
        <f>SUM(E69:E94)</f>
        <v>491050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234</v>
      </c>
      <c r="E97" s="56" t="s">
        <v>259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TRUNC(9758.0889818689,-1)</f>
        <v>9750</v>
      </c>
      <c r="E98" s="63">
        <f t="shared" ref="E98:E118" si="4">TRUNC(+D98*3.3058,-1)</f>
        <v>32230</v>
      </c>
    </row>
    <row r="99" spans="1:7" x14ac:dyDescent="0.3">
      <c r="A99" s="2">
        <v>2</v>
      </c>
      <c r="C99" s="38" t="s">
        <v>40</v>
      </c>
      <c r="D99" s="42">
        <f>TRUNC(1615.93723849372,-1)</f>
        <v>1610</v>
      </c>
      <c r="E99" s="64">
        <f t="shared" si="4"/>
        <v>5320</v>
      </c>
    </row>
    <row r="100" spans="1:7" x14ac:dyDescent="0.3">
      <c r="A100" s="2">
        <v>3</v>
      </c>
      <c r="C100" s="38" t="s">
        <v>41</v>
      </c>
      <c r="D100" s="42">
        <f>TRUNC(12161.709902371+14121.5110181311,-1)</f>
        <v>26280</v>
      </c>
      <c r="E100" s="64">
        <f t="shared" si="4"/>
        <v>86870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TRUNC(3619.4649930265,-1)</f>
        <v>3610</v>
      </c>
      <c r="E102" s="64">
        <f t="shared" si="4"/>
        <v>11930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TRUNC(2406.63040446304,-1)</f>
        <v>2400</v>
      </c>
      <c r="E104" s="64">
        <f t="shared" si="4"/>
        <v>7930</v>
      </c>
    </row>
    <row r="105" spans="1:7" x14ac:dyDescent="0.3">
      <c r="A105" s="2">
        <v>8</v>
      </c>
      <c r="C105" s="38" t="s">
        <v>46</v>
      </c>
      <c r="D105" s="42">
        <f>TRUNC(4081.01283124128,-1)</f>
        <v>4080</v>
      </c>
      <c r="E105" s="64">
        <f t="shared" si="4"/>
        <v>13480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TRUNC(2517.21115760112,-1)</f>
        <v>2510</v>
      </c>
      <c r="E108" s="64">
        <f t="shared" si="4"/>
        <v>8290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TRUNC(2781.50460251046,-1)</f>
        <v>2780</v>
      </c>
      <c r="E115" s="64">
        <f t="shared" si="4"/>
        <v>9190</v>
      </c>
    </row>
    <row r="116" spans="1:7" x14ac:dyDescent="0.3">
      <c r="A116" s="2">
        <v>19</v>
      </c>
      <c r="C116" s="38" t="s">
        <v>115</v>
      </c>
      <c r="D116" s="42">
        <f>TRUNC(5738.82426778243,-1)</f>
        <v>5730</v>
      </c>
      <c r="E116" s="64">
        <f t="shared" si="4"/>
        <v>18940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0</v>
      </c>
      <c r="E117" s="64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f>TRUNC(2207.32970711297+305.629567642957,-1)</f>
        <v>2510</v>
      </c>
      <c r="E118" s="65">
        <f t="shared" si="4"/>
        <v>8290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61260</v>
      </c>
      <c r="E119" s="39">
        <f>SUM(E98:E118)</f>
        <v>202470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234</v>
      </c>
      <c r="E121" s="56" t="s">
        <v>259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5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5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0</v>
      </c>
      <c r="E133" s="39">
        <f>SUM(E122:E132)</f>
        <v>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234</v>
      </c>
      <c r="E135" s="56" t="s">
        <v>259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TRUNC(31982.8864714086+8850.65020920502,-1)</f>
        <v>40830</v>
      </c>
      <c r="E137" s="64">
        <f t="shared" si="6"/>
        <v>134970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TRUNC(13866.1087866109+56367.3640167364,-1)</f>
        <v>70230</v>
      </c>
      <c r="E145" s="65">
        <f t="shared" si="6"/>
        <v>232160</v>
      </c>
      <c r="F145" s="2" t="s">
        <v>258</v>
      </c>
    </row>
    <row r="146" spans="1:7" x14ac:dyDescent="0.3">
      <c r="A146" s="2">
        <v>11</v>
      </c>
      <c r="C146" s="27" t="s">
        <v>112</v>
      </c>
      <c r="D146" s="39">
        <f>SUM(D136:D145)</f>
        <v>111060</v>
      </c>
      <c r="E146" s="39">
        <f>SUM(E136:E145)</f>
        <v>367130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234</v>
      </c>
      <c r="E148" s="56" t="s">
        <v>259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TRUNC(14152.940027894,-1)</f>
        <v>14150</v>
      </c>
      <c r="E150" s="64">
        <f>TRUNC(+D150*3.3058,-1)</f>
        <v>46770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TRUNC(13563.7564853556+2189.20669456067+4005.95871687587+3901.18437935844+21.5877266387727,-1)</f>
        <v>23680</v>
      </c>
      <c r="E152" s="64">
        <f>TRUNC(+D152*3.3058,-1)</f>
        <v>78280</v>
      </c>
      <c r="F152" s="58" t="s">
        <v>255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37830</v>
      </c>
      <c r="E154" s="39">
        <f>SUM(E149:E153)</f>
        <v>125050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234</v>
      </c>
      <c r="E156" s="56" t="s">
        <v>259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TRUNC(9428.76652719665,-1)</f>
        <v>9420</v>
      </c>
      <c r="E157" s="63">
        <f>TRUNC(+D157*3.3058,-1)</f>
        <v>31140</v>
      </c>
    </row>
    <row r="158" spans="1:7" x14ac:dyDescent="0.3">
      <c r="A158" s="2">
        <v>2</v>
      </c>
      <c r="C158" s="38" t="s">
        <v>52</v>
      </c>
      <c r="D158" s="42">
        <f>TRUNC(3432.69177126918,-1)</f>
        <v>3430</v>
      </c>
      <c r="E158" s="64">
        <f>TRUNC(+D158*3.3058,-1)</f>
        <v>11330</v>
      </c>
    </row>
    <row r="159" spans="1:7" x14ac:dyDescent="0.3">
      <c r="A159" s="2">
        <v>3</v>
      </c>
      <c r="C159" s="38" t="s">
        <v>47</v>
      </c>
      <c r="D159" s="42">
        <f>TRUNC(12193.9020920502+468.591352859135+7.43514644351464,-1)</f>
        <v>12660</v>
      </c>
      <c r="E159" s="64">
        <f>TRUNC(+D159*3.3058,-1)</f>
        <v>41850</v>
      </c>
      <c r="F159" s="2" t="s">
        <v>256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25510</v>
      </c>
      <c r="E161" s="39">
        <f>SUM(E157:E160)</f>
        <v>84320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2020-12-07T09:06:12Z</dcterms:modified>
</cp:coreProperties>
</file>