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93" i="4"/>
  <c r="D117" i="4"/>
  <c r="D131" i="4"/>
  <c r="D153" i="4"/>
  <c r="D159" i="4"/>
  <c r="D158" i="4"/>
  <c r="D157" i="4"/>
  <c r="D152" i="4"/>
  <c r="D150" i="4"/>
  <c r="D149" i="4"/>
  <c r="D137" i="4"/>
  <c r="D144" i="4"/>
  <c r="D143" i="4"/>
  <c r="D132" i="4"/>
  <c r="D128" i="4"/>
  <c r="D124" i="4"/>
  <c r="D125" i="4"/>
  <c r="D122" i="4"/>
  <c r="D130" i="4"/>
  <c r="D126" i="4"/>
  <c r="D118" i="4"/>
  <c r="D104" i="4"/>
  <c r="D103" i="4"/>
  <c r="D102" i="4"/>
  <c r="D100" i="4"/>
  <c r="D114" i="4"/>
  <c r="D98" i="4"/>
  <c r="D92" i="4"/>
  <c r="D91" i="4"/>
  <c r="D89" i="4"/>
  <c r="D73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<sst xmlns="http://schemas.openxmlformats.org/spreadsheetml/2006/main" count="394" uniqueCount="270">
  <si>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</si>
  <si>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</si>
  <si>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</si>
  <si>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</si>
  <si>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</si>
  <si>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</si>
  <si>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</si>
  <si>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</si>
  <si>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</si>
  <si>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</si>
  <si>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</si>
  <si>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</si>
  <si>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</si>
  <si>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</si>
  <si>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</si>
  <si>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</si>
  <si>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</si>
  <si>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</si>
  <si>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</si>
  <si>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</si>
  <si>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</si>
  <si>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</si>
  <si>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</si>
  <si>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</si>
  <si>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</si>
  <si>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</si>
  <si>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</si>
  <si>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</si>
  <si>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</si>
  <si>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</si>
  <si>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</si>
  <si>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</si>
  <si>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</si>
  <si>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</si>
  <si>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</si>
  <si>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</si>
  <si>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</si>
  <si>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</si>
  <si>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</si>
  <si>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</si>
  <si>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</si>
  <si>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</si>
  <si>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</si>
  <si>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</si>
  <si>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</si>
  <si>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</si>
  <si>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</si>
  <si>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</si>
  <si>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</si>
  <si>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</si>
  <si>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</si>
  <si>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</si>
  <si>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</si>
  <si>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</si>
  <si>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</si>
  <si>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</si>
  <si>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</si>
  <si>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</si>
  <si>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</si>
  <si>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</si>
  <si>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</si>
  <si>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</si>
  <si>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</si>
  <si>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</si>
  <si>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</si>
  <si>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</si>
  <si>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</si>
  <si>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</si>
  <si>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</si>
  <si>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</si>
  <si>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</si>
  <si>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</si>
  <si>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</si>
  <si>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</si>
  <si>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</si>
  <si>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</si>
  <si>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</si>
  <si>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</si>
  <si>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</si>
  <si>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</si>
  <si>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</si>
  <si>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</si>
  <si>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</si>
  <si>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</si>
  <si>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</si>
  <si>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</si>
  <si>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</si>
  <si>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</si>
  <si>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</si>
  <si>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</si>
  <si>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</si>
  <si>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</si>
  <si>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</si>
  <si>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</si>
  <si>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</si>
  <si>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</si>
  <si>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</si>
  <si>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</si>
  <si>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</si>
  <si>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</si>
  <si>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</si>
  <si>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</si>
  <si>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</si>
  <si>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</si>
  <si>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</si>
  <si>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</si>
  <si>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</si>
  <si>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</si>
  <si>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</si>
  <si>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</si>
  <si>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</si>
  <si>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</si>
  <si>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</si>
  <si>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</si>
  <si>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</si>
  <si>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</si>
  <si>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</si>
  <si>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</si>
  <si>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</si>
  <si>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</si>
  <si>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</si>
  <si>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</si>
  <si>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</si>
  <si>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</si>
  <si>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</si>
  <si>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</si>
  <si>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</si>
  <si>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</si>
  <si>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</si>
  <si>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</si>
  <si>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</si>
  <si>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</si>
  <si>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</si>
  <si>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</si>
  <si>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</si>
  <si>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</si>
  <si>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</si>
  <si>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</si>
  <si>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</si>
  <si>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</si>
  <si>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</si>
  <si>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</si>
  <si>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</si>
  <si>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</si>
  <si>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</si>
  <si>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</si>
  <si>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</si>
  <si>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</si>
  <si>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</si>
  <si>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</si>
  <si>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</si>
  <si>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</si>
  <si>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</si>
  <si>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</si>
  <si>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</si>
  <si>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</si>
  <si>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</si>
  <si>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</si>
  <si>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</si>
  <si>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</si>
  <si>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</si>
  <si>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</si>
  <si>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</si>
  <si>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</si>
  <si>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</si>
  <si>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</si>
  <si>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</si>
  <si>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</si>
  <si>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</si>
  <si>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</si>
  <si>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</si>
  <si>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</si>
  <si>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</si>
  <si>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</si>
  <si>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</si>
  <si>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</si>
  <si>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</si>
  <si>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</si>
  <si>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</si>
  <si>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</si>
  <si>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</si>
  <si>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</si>
  <si>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</si>
  <si>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</si>
  <si>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</si>
  <si>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</si>
  <si>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</si>
  <si>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</si>
  <si>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</si>
  <si>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</si>
  <si>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</si>
  <si>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</si>
  <si>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</si>
  <si>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</si>
  <si>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</si>
  <si>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</si>
  <si>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</si>
  <si>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</si>
  <si>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</si>
  <si>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</si>
  <si>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</si>
  <si>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</si>
  <si>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</si>
  <si>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</si>
  <si>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</si>
  <si>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</si>
  <si>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</si>
  <si>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</si>
  <si>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</si>
  <si>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</si>
  <si>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</si>
  <si>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</si>
  <si>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</si>
  <si>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</si>
  <si>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</si>
  <si>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</si>
  <si>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</si>
  <si>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</si>
  <si>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</si>
  <si>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</si>
  <si>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</si>
  <si>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</si>
  <si>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</si>
  <si>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</si>
  <si>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</si>
  <si>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</si>
  <si>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</si>
  <si>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</si>
  <si>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</si>
  <si>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</si>
  <si>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</si>
  <si>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</si>
  <si>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</si>
  <si>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</si>
  <si>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</si>
  <si>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</si>
  <si>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</si>
  <si>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</si>
  <si>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</si>
  <si>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</si>
  <si>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</si>
  <si>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</si>
  <si>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</si>
  <si>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</si>
  <si>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</si>
  <si>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</si>
  <si>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</si>
  <si>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</si>
  <si>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</si>
  <si>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LNG벙커링 시험인증센터 건축공사</t>
    <phoneticPr fontId="2" type="noConversion"/>
  </si>
  <si>
    <t>교육연구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</si>
  <si>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</si>
  <si>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</si>
  <si>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</si>
  <si>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기초공사,폐기물처리비,골재비및운반비,품질시험비,기타공사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</si>
  <si>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</si>
  <si>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</si>
  <si>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</si>
  <si>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기타공사</t>
    <phoneticPr fontId="2" type="noConversion"/>
  </si>
  <si>
    <t>우수공사,오수공사</t>
    <phoneticPr fontId="2" type="noConversion"/>
  </si>
  <si>
    <t>사급자재비</t>
    <phoneticPr fontId="2" type="noConversion"/>
  </si>
  <si>
    <t>포장공사,기타공사</t>
    <phoneticPr fontId="2" type="noConversion"/>
  </si>
  <si>
    <t>조경시설물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</si>
  <si>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</si>
  <si>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</si>
  <si>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</si>
  <si>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바닥난방공사, 우수처리시설공사,기타공사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</si>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</sst>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50505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5" fillId="0" borderId="0" xfId="0" applyFont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156</v>
      </c>
      <c r="B2" s="73" t="s">
        <v>0</v>
      </c>
      <c r="C2" s="74"/>
      <c r="D2" s="73" t="s">
        <v>1</v>
      </c>
      <c r="E2" s="74"/>
      <c r="F2" s="73" t="s">
        <v>157</v>
      </c>
      <c r="G2" s="74"/>
      <c r="H2" s="73" t="s">
        <v>2</v>
      </c>
      <c r="I2" s="74"/>
      <c r="J2" s="73" t="s">
        <v>3</v>
      </c>
      <c r="K2" s="74"/>
      <c r="L2" s="73" t="s">
        <v>158</v>
      </c>
      <c r="M2" s="74"/>
      <c r="N2" s="73" t="s">
        <v>159</v>
      </c>
      <c r="O2" s="74"/>
      <c r="P2" s="73" t="s">
        <v>5</v>
      </c>
      <c r="Q2" s="74"/>
      <c r="R2" s="67" t="s">
        <v>94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2714.57</v>
      </c>
      <c r="D7" s="36">
        <f>+C7/3.3058</f>
        <v>821.15372980821587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1140690</v>
      </c>
      <c r="E25" s="59">
        <f t="shared" si="0"/>
        <v>3770890</v>
      </c>
    </row>
    <row r="26" spans="1:5" x14ac:dyDescent="0.3">
      <c r="B26" s="2">
        <v>3</v>
      </c>
      <c r="C26" s="35" t="s">
        <v>95</v>
      </c>
      <c r="D26" s="45">
        <f>+D66</f>
        <v>8780</v>
      </c>
      <c r="E26" s="59">
        <f t="shared" si="0"/>
        <v>29020</v>
      </c>
    </row>
    <row r="27" spans="1:5" x14ac:dyDescent="0.3">
      <c r="B27" s="2">
        <v>4</v>
      </c>
      <c r="C27" s="35" t="s">
        <v>96</v>
      </c>
      <c r="D27" s="45">
        <f>+D95</f>
        <v>133960</v>
      </c>
      <c r="E27" s="59">
        <f t="shared" si="0"/>
        <v>442840</v>
      </c>
    </row>
    <row r="28" spans="1:5" x14ac:dyDescent="0.3">
      <c r="B28" s="2">
        <v>5</v>
      </c>
      <c r="C28" s="35" t="s">
        <v>97</v>
      </c>
      <c r="D28" s="45">
        <f>+D119</f>
        <v>203260</v>
      </c>
      <c r="E28" s="59">
        <f t="shared" si="0"/>
        <v>671930</v>
      </c>
    </row>
    <row r="29" spans="1:5" x14ac:dyDescent="0.3">
      <c r="B29" s="2">
        <v>6</v>
      </c>
      <c r="C29" s="35" t="s">
        <v>98</v>
      </c>
      <c r="D29" s="45">
        <f>+D133</f>
        <v>78100</v>
      </c>
      <c r="E29" s="59">
        <f t="shared" si="0"/>
        <v>258180</v>
      </c>
    </row>
    <row r="30" spans="1:5" x14ac:dyDescent="0.3">
      <c r="B30" s="2">
        <v>7</v>
      </c>
      <c r="C30" s="35" t="s">
        <v>99</v>
      </c>
      <c r="D30" s="45">
        <f>+D146</f>
        <v>19750</v>
      </c>
      <c r="E30" s="59">
        <f t="shared" si="0"/>
        <v>65280</v>
      </c>
    </row>
    <row r="31" spans="1:5" x14ac:dyDescent="0.3">
      <c r="B31" s="2">
        <v>8</v>
      </c>
      <c r="C31" s="35" t="s">
        <v>100</v>
      </c>
      <c r="D31" s="45">
        <f>+D154</f>
        <v>73470</v>
      </c>
      <c r="E31" s="59">
        <f t="shared" si="0"/>
        <v>242870</v>
      </c>
    </row>
    <row r="32" spans="1:5" x14ac:dyDescent="0.3">
      <c r="B32" s="2">
        <v>9</v>
      </c>
      <c r="C32" s="35" t="s">
        <v>101</v>
      </c>
      <c r="D32" s="45">
        <f>+D161</f>
        <v>77620</v>
      </c>
      <c r="E32" s="59">
        <f t="shared" si="0"/>
        <v>256590</v>
      </c>
    </row>
    <row r="33" spans="1:7" x14ac:dyDescent="0.3">
      <c r="B33" s="2">
        <v>10</v>
      </c>
      <c r="C33" s="35" t="s">
        <v>154</v>
      </c>
      <c r="D33" s="53">
        <f>TRUNC(SUM(D24:D32)*0.275,-1)</f>
        <v>477290</v>
      </c>
      <c r="E33" s="60">
        <f t="shared" si="0"/>
        <v>1577820</v>
      </c>
    </row>
    <row r="34" spans="1:7" x14ac:dyDescent="0.3">
      <c r="C34" s="35" t="s">
        <v>112</v>
      </c>
      <c r="D34" s="44">
        <f>SUM(D24:D33)</f>
        <v>2212920</v>
      </c>
      <c r="E34" s="44">
        <f>SUM(E24:E33)</f>
        <v>7315420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TRUNC(76552,-1)</f>
        <v>76550</v>
      </c>
      <c r="E40" s="62">
        <f t="shared" ref="E40:E59" si="1">TRUNC(+D40*3.3058,-1)</f>
        <v>253050</v>
      </c>
    </row>
    <row r="41" spans="1:7" x14ac:dyDescent="0.3">
      <c r="A41" s="2">
        <v>2</v>
      </c>
      <c r="C41" s="38" t="s">
        <v>13</v>
      </c>
      <c r="D41" s="42">
        <f>TRUNC(136988,-1)</f>
        <v>136980</v>
      </c>
      <c r="E41" s="63">
        <f t="shared" si="1"/>
        <v>452820</v>
      </c>
    </row>
    <row r="42" spans="1:7" x14ac:dyDescent="0.3">
      <c r="A42" s="2">
        <v>3</v>
      </c>
      <c r="C42" s="38" t="s">
        <v>14</v>
      </c>
      <c r="D42" s="42">
        <f>TRUNC(158308,-1)</f>
        <v>158300</v>
      </c>
      <c r="E42" s="63">
        <f t="shared" si="1"/>
        <v>523300</v>
      </c>
    </row>
    <row r="43" spans="1:7" x14ac:dyDescent="0.3">
      <c r="A43" s="2">
        <v>4</v>
      </c>
      <c r="C43" s="38" t="s">
        <v>16</v>
      </c>
      <c r="D43" s="42">
        <f>TRUNC(16237,-1)</f>
        <v>16230</v>
      </c>
      <c r="E43" s="63">
        <f t="shared" si="1"/>
        <v>53650</v>
      </c>
    </row>
    <row r="44" spans="1:7" x14ac:dyDescent="0.3">
      <c r="A44" s="2">
        <v>5</v>
      </c>
      <c r="C44" s="38" t="s">
        <v>17</v>
      </c>
      <c r="D44" s="42">
        <f>TRUNC(29898,-1)</f>
        <v>29890</v>
      </c>
      <c r="E44" s="63">
        <f t="shared" si="1"/>
        <v>98810</v>
      </c>
    </row>
    <row r="45" spans="1:7" x14ac:dyDescent="0.3">
      <c r="A45" s="2">
        <v>6</v>
      </c>
      <c r="C45" s="38" t="s">
        <v>18</v>
      </c>
      <c r="D45" s="42">
        <f>TRUNC(10440,-1)</f>
        <v>10440</v>
      </c>
      <c r="E45" s="63">
        <f t="shared" si="1"/>
        <v>34510</v>
      </c>
    </row>
    <row r="46" spans="1:7" x14ac:dyDescent="0.3">
      <c r="A46" s="2">
        <v>7</v>
      </c>
      <c r="C46" s="38" t="s">
        <v>19</v>
      </c>
      <c r="D46" s="42">
        <f>TRUNC(27464,-1)</f>
        <v>27460</v>
      </c>
      <c r="E46" s="63">
        <f t="shared" si="1"/>
        <v>90770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TRUNC(129507,-1)</f>
        <v>129500</v>
      </c>
      <c r="E48" s="63">
        <f t="shared" si="1"/>
        <v>428100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TRUNC(18329,-1)</f>
        <v>18320</v>
      </c>
      <c r="E49" s="63">
        <f t="shared" si="1"/>
        <v>60560</v>
      </c>
    </row>
    <row r="50" spans="1:7" x14ac:dyDescent="0.3">
      <c r="A50" s="2">
        <v>11</v>
      </c>
      <c r="C50" s="38" t="s">
        <v>155</v>
      </c>
      <c r="D50" s="42">
        <f>TRUNC(68644,-1)</f>
        <v>68640</v>
      </c>
      <c r="E50" s="63">
        <f t="shared" si="1"/>
        <v>226910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TRUNC(16373,-1)</f>
        <v>16370</v>
      </c>
      <c r="E52" s="63">
        <f t="shared" si="1"/>
        <v>54110</v>
      </c>
    </row>
    <row r="53" spans="1:7" x14ac:dyDescent="0.3">
      <c r="A53" s="2">
        <v>14</v>
      </c>
      <c r="C53" s="38" t="s">
        <v>25</v>
      </c>
      <c r="D53" s="42">
        <f>TRUNC(87884,-1)</f>
        <v>87880</v>
      </c>
      <c r="E53" s="63">
        <f t="shared" si="1"/>
        <v>290510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TRUNC(37701+897+7793+4924+1811,-1)</f>
        <v>53120</v>
      </c>
      <c r="E58" s="63">
        <f t="shared" si="1"/>
        <v>175600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TRUNC(311017,-1)</f>
        <v>311010</v>
      </c>
      <c r="E59" s="64">
        <f t="shared" si="1"/>
        <v>1028130</v>
      </c>
    </row>
    <row r="60" spans="1:7" x14ac:dyDescent="0.3">
      <c r="A60" s="2">
        <v>21</v>
      </c>
      <c r="C60" s="27" t="s">
        <v>112</v>
      </c>
      <c r="D60" s="39">
        <f>SUM(D40:D59)</f>
        <v>1140690</v>
      </c>
      <c r="E60" s="39">
        <f>SUM(E40:E59)</f>
        <v>3770830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TRUNC(8788,-1)</f>
        <v>8780</v>
      </c>
      <c r="E63" s="62">
        <f>TRUNC(+D63*3.3058,-1)</f>
        <v>29020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8780</v>
      </c>
      <c r="E66" s="65">
        <f>SUM(E63:E65)</f>
        <v>29020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TRUNC(6911,-1)</f>
        <v>6910</v>
      </c>
      <c r="E69" s="62">
        <f t="shared" ref="E69:E94" si="2">TRUNC(+D69*3.3058,-1)</f>
        <v>22840</v>
      </c>
    </row>
    <row r="70" spans="1:7" ht="16.5" customHeight="1" x14ac:dyDescent="0.3">
      <c r="A70" s="2">
        <v>2</v>
      </c>
      <c r="C70" s="38" t="s">
        <v>31</v>
      </c>
      <c r="D70" s="42">
        <f>TRUNC(3133,-1)</f>
        <v>3130</v>
      </c>
      <c r="E70" s="63">
        <f t="shared" si="2"/>
        <v>10340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TRUNC(4139,-1)</f>
        <v>4130</v>
      </c>
      <c r="E73" s="63">
        <f t="shared" si="2"/>
        <v>13650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  <c r="F84" s="66"/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TRUNC(3835,-1)</f>
        <v>3830</v>
      </c>
      <c r="E89" s="63">
        <f t="shared" si="2"/>
        <v>12660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TRUNC(5824,-1)</f>
        <v>5820</v>
      </c>
      <c r="E91" s="63">
        <f t="shared" si="2"/>
        <v>19230</v>
      </c>
    </row>
    <row r="92" spans="1:7" x14ac:dyDescent="0.3">
      <c r="A92" s="2">
        <v>24</v>
      </c>
      <c r="C92" s="38" t="s">
        <v>38</v>
      </c>
      <c r="D92" s="42">
        <f>TRUNC(5120,-1)</f>
        <v>5120</v>
      </c>
      <c r="E92" s="63">
        <f t="shared" si="2"/>
        <v>16920</v>
      </c>
    </row>
    <row r="93" spans="1:7" x14ac:dyDescent="0.3">
      <c r="A93" s="2">
        <v>25</v>
      </c>
      <c r="C93" s="38" t="s">
        <v>148</v>
      </c>
      <c r="D93" s="42">
        <f>TRUNC(69597,-1)</f>
        <v>69590</v>
      </c>
      <c r="E93" s="63">
        <f t="shared" si="2"/>
        <v>230050</v>
      </c>
    </row>
    <row r="94" spans="1:7" ht="17.25" thickBot="1" x14ac:dyDescent="0.35">
      <c r="A94" s="2">
        <v>26</v>
      </c>
      <c r="C94" s="38" t="s">
        <v>47</v>
      </c>
      <c r="D94" s="43">
        <f>TRUNC(1803+3970+29663,-1)</f>
        <v>35430</v>
      </c>
      <c r="E94" s="64">
        <f t="shared" si="2"/>
        <v>117120</v>
      </c>
      <c r="F94" s="2" t="s">
        <v>266</v>
      </c>
    </row>
    <row r="95" spans="1:7" x14ac:dyDescent="0.3">
      <c r="A95" s="2">
        <v>27</v>
      </c>
      <c r="C95" s="27" t="s">
        <v>112</v>
      </c>
      <c r="D95" s="39">
        <f>SUM(D69:D94)</f>
        <v>133960</v>
      </c>
      <c r="E95" s="39">
        <f>SUM(E69:E94)</f>
        <v>442810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TRUNC(32630,-1)</f>
        <v>32630</v>
      </c>
      <c r="E98" s="62">
        <f t="shared" ref="E98:E118" si="3">TRUNC(+D98*3.3058,-1)</f>
        <v>107860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TRUNC(33629,-1)</f>
        <v>33620</v>
      </c>
      <c r="E100" s="63">
        <f t="shared" si="3"/>
        <v>111140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TRUNC(19003,-1)</f>
        <v>19000</v>
      </c>
      <c r="E102" s="63">
        <f t="shared" si="3"/>
        <v>62810</v>
      </c>
    </row>
    <row r="103" spans="1:7" x14ac:dyDescent="0.3">
      <c r="A103" s="2">
        <v>6</v>
      </c>
      <c r="C103" s="38" t="s">
        <v>44</v>
      </c>
      <c r="D103" s="42">
        <f>TRUNC(7459,-1)</f>
        <v>7450</v>
      </c>
      <c r="E103" s="63">
        <f t="shared" si="3"/>
        <v>24620</v>
      </c>
    </row>
    <row r="104" spans="1:7" x14ac:dyDescent="0.3">
      <c r="A104" s="2">
        <v>7</v>
      </c>
      <c r="C104" s="38" t="s">
        <v>45</v>
      </c>
      <c r="D104" s="42">
        <f>TRUNC(8616,-1)</f>
        <v>8610</v>
      </c>
      <c r="E104" s="63">
        <f t="shared" si="3"/>
        <v>28460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TRUNC(5844,-1)</f>
        <v>5840</v>
      </c>
      <c r="E114" s="63">
        <f t="shared" si="3"/>
        <v>19300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TRUNC(94906,-1)</f>
        <v>94900</v>
      </c>
      <c r="E117" s="63">
        <f t="shared" si="3"/>
        <v>313720</v>
      </c>
    </row>
    <row r="118" spans="1:7" ht="17.25" thickBot="1" x14ac:dyDescent="0.35">
      <c r="A118" s="2">
        <v>21</v>
      </c>
      <c r="C118" s="38" t="s">
        <v>47</v>
      </c>
      <c r="D118" s="43">
        <f>TRUNC(1215,-1)</f>
        <v>1210</v>
      </c>
      <c r="E118" s="64">
        <f t="shared" si="3"/>
        <v>4000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203260</v>
      </c>
      <c r="E119" s="39">
        <f>SUM(E98:E118)</f>
        <v>671910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TRUNC(5944,-1)</f>
        <v>5940</v>
      </c>
      <c r="E122" s="62">
        <f t="shared" ref="E122:E132" si="4">TRUNC(+D122*3.3058,-1)</f>
        <v>19630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TRUNC(1230,-1)</f>
        <v>1230</v>
      </c>
      <c r="E124" s="63">
        <f t="shared" si="4"/>
        <v>4060</v>
      </c>
    </row>
    <row r="125" spans="1:7" x14ac:dyDescent="0.3">
      <c r="A125" s="2">
        <v>4</v>
      </c>
      <c r="C125" s="38" t="s">
        <v>138</v>
      </c>
      <c r="D125" s="42">
        <f>TRUNC(3949,-1)</f>
        <v>3940</v>
      </c>
      <c r="E125" s="63">
        <f t="shared" si="4"/>
        <v>13020</v>
      </c>
    </row>
    <row r="126" spans="1:7" x14ac:dyDescent="0.3">
      <c r="A126" s="2">
        <v>5</v>
      </c>
      <c r="C126" s="38" t="s">
        <v>53</v>
      </c>
      <c r="D126" s="42">
        <f>TRUNC(4311,-1)</f>
        <v>4310</v>
      </c>
      <c r="E126" s="63">
        <f t="shared" si="4"/>
        <v>14240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TRUNC(9638,-1)</f>
        <v>9630</v>
      </c>
      <c r="E128" s="63">
        <f t="shared" si="4"/>
        <v>31830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TRUNC(33950,-1)</f>
        <v>33950</v>
      </c>
      <c r="E130" s="63">
        <f t="shared" si="4"/>
        <v>112230</v>
      </c>
    </row>
    <row r="131" spans="1:7" x14ac:dyDescent="0.3">
      <c r="A131" s="2">
        <v>10</v>
      </c>
      <c r="C131" s="38" t="s">
        <v>148</v>
      </c>
      <c r="D131" s="42">
        <f>TRUNC(8548,-1)</f>
        <v>8540</v>
      </c>
      <c r="E131" s="63">
        <f t="shared" si="4"/>
        <v>28230</v>
      </c>
    </row>
    <row r="132" spans="1:7" ht="18" thickBot="1" x14ac:dyDescent="0.35">
      <c r="A132" s="2">
        <v>11</v>
      </c>
      <c r="C132" s="38" t="s">
        <v>47</v>
      </c>
      <c r="D132" s="43">
        <f>TRUNC(2988+7575,-1)</f>
        <v>10560</v>
      </c>
      <c r="E132" s="64">
        <f t="shared" si="4"/>
        <v>34900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78100</v>
      </c>
      <c r="E133" s="39">
        <f>SUM(E122:E132)</f>
        <v>258140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TRUNC(6443,-1)</f>
        <v>6440</v>
      </c>
      <c r="E137" s="63">
        <f t="shared" si="5"/>
        <v>21280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TRUNC(4451,-1)</f>
        <v>4450</v>
      </c>
      <c r="E143" s="63">
        <f t="shared" si="5"/>
        <v>14710</v>
      </c>
    </row>
    <row r="144" spans="1:7" x14ac:dyDescent="0.3">
      <c r="A144" s="2">
        <v>9</v>
      </c>
      <c r="C144" s="38" t="s">
        <v>63</v>
      </c>
      <c r="D144" s="42">
        <f>TRUNC(8865,-1)</f>
        <v>8860</v>
      </c>
      <c r="E144" s="63">
        <f t="shared" si="5"/>
        <v>29280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19750</v>
      </c>
      <c r="E146" s="39">
        <f>SUM(E136:E145)</f>
        <v>65270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TRUNC(11004+4409,-1)</f>
        <v>15410</v>
      </c>
      <c r="E149" s="62">
        <f>TRUNC(+D149*3.3058,-1)</f>
        <v>50940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TRUNC(13484,-1)</f>
        <v>13480</v>
      </c>
      <c r="E150" s="63">
        <f>TRUNC(+D150*3.3058,-1)</f>
        <v>44560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TRUNC(12055,-1)</f>
        <v>12050</v>
      </c>
      <c r="E152" s="63">
        <f>TRUNC(+D152*3.3058,-1)</f>
        <v>39830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TRUNC(32531,-1)</f>
        <v>32530</v>
      </c>
      <c r="E153" s="64">
        <f>TRUNC(+D153*3.3058,-1)</f>
        <v>107530</v>
      </c>
    </row>
    <row r="154" spans="1:7" x14ac:dyDescent="0.3">
      <c r="A154" s="2">
        <v>6</v>
      </c>
      <c r="C154" s="27" t="s">
        <v>112</v>
      </c>
      <c r="D154" s="39">
        <f>SUM(D149:D153)</f>
        <v>73470</v>
      </c>
      <c r="E154" s="39">
        <f>SUM(E149:E153)</f>
        <v>242860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TRUNC(53340,-1)</f>
        <v>53340</v>
      </c>
      <c r="E157" s="62">
        <f>TRUNC(+D157*3.3058,-1)</f>
        <v>176330</v>
      </c>
    </row>
    <row r="158" spans="1:7" x14ac:dyDescent="0.3">
      <c r="A158" s="2">
        <v>2</v>
      </c>
      <c r="C158" s="38" t="s">
        <v>52</v>
      </c>
      <c r="D158" s="42">
        <f>TRUNC(15133,-1)</f>
        <v>15130</v>
      </c>
      <c r="E158" s="63">
        <f>TRUNC(+D158*3.3058,-1)</f>
        <v>50010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TRUNC(8466+693,-1)</f>
        <v>9150</v>
      </c>
      <c r="E159" s="63">
        <f>TRUNC(+D159*3.3058,-1)</f>
        <v>30240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77620</v>
      </c>
      <c r="E161" s="39">
        <f>SUM(E157:E160)</f>
        <v>256580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2020-12-08T04:22:56Z</dcterms:modified>
</cp:coreProperties>
</file>