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31" i="4"/>
  <c r="D117" i="4"/>
  <c r="D93" i="4"/>
  <c r="D94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2" i="4"/>
  <c r="D75" i="4"/>
  <c r="D76" i="4"/>
  <c r="D84" i="4"/>
  <c r="D91" i="4"/>
  <c r="D90" i="4"/>
  <c r="D89" i="4"/>
  <c r="D73" i="4"/>
  <c r="D72" i="4"/>
  <c r="D71" i="4"/>
  <c r="D70" i="4"/>
  <c r="D69" i="4"/>
  <c r="D118" i="4"/>
  <c r="D104" i="4"/>
  <c r="D103" i="4"/>
  <c r="D102" i="4"/>
  <c r="D101" i="4"/>
  <c r="D100" i="4"/>
  <c r="D99" i="4"/>
  <c r="D114" i="4"/>
  <c r="D98" i="4"/>
  <c r="D115" i="4"/>
  <c r="D137" i="4"/>
  <c r="D144" i="4"/>
  <c r="D143" i="4"/>
  <c r="D139" i="4"/>
  <c r="D141" i="4"/>
  <c r="D142" i="4"/>
  <c r="D140" i="4"/>
  <c r="D132" i="4"/>
  <c r="D125" i="4"/>
  <c r="D122" i="4"/>
  <c r="D130" i="4"/>
  <c r="D159" i="4"/>
  <c r="D158" i="4"/>
  <c r="D157" i="4"/>
  <c r="D152" i="4"/>
  <c r="D151" i="4"/>
  <c r="D150" i="4"/>
  <c r="D149" i="4"/>
  <c r="D65" i="4"/>
  <c r="D63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95" i="4"/>
  <c r="E119" i="4"/>
  <c r="E146" i="4"/>
  <c r="E133" i="4"/>
  <c r="E154" i="4"/>
  <c r="E6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6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<sst xmlns="http://schemas.openxmlformats.org/spreadsheetml/2006/main" count="395" uniqueCount="269">
  <si>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</si>
  <si>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</si>
  <si>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</si>
  <si>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</si>
  <si>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</si>
  <si>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</si>
  <si>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</si>
  <si>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</si>
  <si>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</si>
  <si>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</si>
  <si>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</si>
  <si>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</si>
  <si>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</si>
  <si>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</si>
  <si>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</si>
  <si>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</si>
  <si>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</si>
  <si>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</si>
  <si>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</si>
  <si>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</si>
  <si>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</si>
  <si>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</si>
  <si>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</si>
  <si>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</si>
  <si>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</si>
  <si>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</si>
  <si>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</si>
  <si>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</si>
  <si>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</si>
  <si>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</si>
  <si>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</si>
  <si>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</si>
  <si>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</si>
  <si>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</si>
  <si>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</si>
  <si>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</si>
  <si>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</si>
  <si>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</si>
  <si>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</si>
  <si>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</si>
  <si>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</si>
  <si>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</si>
  <si>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</si>
  <si>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</si>
  <si>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</si>
  <si>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</si>
  <si>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</si>
  <si>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</si>
  <si>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</si>
  <si>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</si>
  <si>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</si>
  <si>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</si>
  <si>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</si>
  <si>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</si>
  <si>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</si>
  <si>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</si>
  <si>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</si>
  <si>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</si>
  <si>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</si>
  <si>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</si>
  <si>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</si>
  <si>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</si>
  <si>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</si>
  <si>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</si>
  <si>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</si>
  <si>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</si>
  <si>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</si>
  <si>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</si>
  <si>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</si>
  <si>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</si>
  <si>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</si>
  <si>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</si>
  <si>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</si>
  <si>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</si>
  <si>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</si>
  <si>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</si>
  <si>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</si>
  <si>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</si>
  <si>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</si>
  <si>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</si>
  <si>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</si>
  <si>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</si>
  <si>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</si>
  <si>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</si>
  <si>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</si>
  <si>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</si>
  <si>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</si>
  <si>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</si>
  <si>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</si>
  <si>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</si>
  <si>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</si>
  <si>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</si>
  <si>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</si>
  <si>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</si>
  <si>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</si>
  <si>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</si>
  <si>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</si>
  <si>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</si>
  <si>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</si>
  <si>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</si>
  <si>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</si>
  <si>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</si>
  <si>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</si>
  <si>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</si>
  <si>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</si>
  <si>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</si>
  <si>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</si>
  <si>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</si>
  <si>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</si>
  <si>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</si>
  <si>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</si>
  <si>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</si>
  <si>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</si>
  <si>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</si>
  <si>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</si>
  <si>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</si>
  <si>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</si>
  <si>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</si>
  <si>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</si>
  <si>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</si>
  <si>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</si>
  <si>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</si>
  <si>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</si>
  <si>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</si>
  <si>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</si>
  <si>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</si>
  <si>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</si>
  <si>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</si>
  <si>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</si>
  <si>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</si>
  <si>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</si>
  <si>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</si>
  <si>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</si>
  <si>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</si>
  <si>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</si>
  <si>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</si>
  <si>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</si>
  <si>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</si>
  <si>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</si>
  <si>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</si>
  <si>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</si>
  <si>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</si>
  <si>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</si>
  <si>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</si>
  <si>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</si>
  <si>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</si>
  <si>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</si>
  <si>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</si>
  <si>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</si>
  <si>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</si>
  <si>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</si>
  <si>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</si>
  <si>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</si>
  <si>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</si>
  <si>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</si>
  <si>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</si>
  <si>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</si>
  <si>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</si>
  <si>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</si>
  <si>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</si>
  <si>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</si>
  <si>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</si>
  <si>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</si>
  <si>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</si>
  <si>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</si>
  <si>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</si>
  <si>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</si>
  <si>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</si>
  <si>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</si>
  <si>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</si>
  <si>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</si>
  <si>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</si>
  <si>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</si>
  <si>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</si>
  <si>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</si>
  <si>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</si>
  <si>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</si>
  <si>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</si>
  <si>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</si>
  <si>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</si>
  <si>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</si>
  <si>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</si>
  <si>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</si>
  <si>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</si>
  <si>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</si>
  <si>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</si>
  <si>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</si>
  <si>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</si>
  <si>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</si>
  <si>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</si>
  <si>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</si>
  <si>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</si>
  <si>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</si>
  <si>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</si>
  <si>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</si>
  <si>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</si>
  <si>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</si>
  <si>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</si>
  <si>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</si>
  <si>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</si>
  <si>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</si>
  <si>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</si>
  <si>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</si>
  <si>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</si>
  <si>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</si>
  <si>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</si>
  <si>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</si>
  <si>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</si>
  <si>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</si>
  <si>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</si>
  <si>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</si>
  <si>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</si>
  <si>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</si>
  <si>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</si>
  <si>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</si>
  <si>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</si>
  <si>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</si>
  <si>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</si>
  <si>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</si>
  <si>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</si>
  <si>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</si>
  <si>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</si>
  <si>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</si>
  <si>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</si>
  <si>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</si>
  <si>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</si>
  <si>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</si>
  <si>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</si>
  <si>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</si>
  <si>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</si>
  <si>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</si>
  <si>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</si>
  <si>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</si>
  <si>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</si>
  <si>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</si>
  <si>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</si>
  <si>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</si>
  <si>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</si>
  <si>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</si>
  <si>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</si>
  <si>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</si>
  <si>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</si>
  <si>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</si>
  <si>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</si>
  <si>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</si>
  <si>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</si>
  <si>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</si>
  <si>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</si>
  <si>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</si>
  <si>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청평호반 문호체육센터 신축공사</t>
    <phoneticPr fontId="2" type="noConversion"/>
  </si>
  <si>
    <t>근생</t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</si>
  <si>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</si>
  <si>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</si>
  <si>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</si>
  <si>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CCTV설비공사</t>
    <phoneticPr fontId="2" type="noConversion"/>
  </si>
  <si>
    <t>CATV 및 TV 설비공사</t>
    <phoneticPr fontId="2" type="noConversion"/>
  </si>
  <si>
    <t>옥외소화배관공사,펌프실배관공사,기타공사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</si>
  <si>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</si>
  <si>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</si>
  <si>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바닥난방공사</t>
    <phoneticPr fontId="2" type="noConversion"/>
  </si>
  <si>
    <t>난방배관공사,기타공사</t>
    <phoneticPr fontId="2" type="noConversion"/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</si>
  <si>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</si>
  <si>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</si>
  <si>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</si>
  <si>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골재비및운반비,작업부산물,기타공사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</si>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</sst>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7726.03</v>
      </c>
      <c r="D7" s="36">
        <f>+C7/3.3058</f>
        <v>2337.1135579889888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835840</v>
      </c>
      <c r="E25" s="59">
        <f t="shared" si="0"/>
        <v>2763110</v>
      </c>
    </row>
    <row r="26" spans="1:5" x14ac:dyDescent="0.3">
      <c r="B26" s="2">
        <v>3</v>
      </c>
      <c r="C26" s="35" t="s">
        <v>95</v>
      </c>
      <c r="D26" s="45">
        <f>+D66</f>
        <v>130900</v>
      </c>
      <c r="E26" s="59">
        <f t="shared" si="0"/>
        <v>432720</v>
      </c>
    </row>
    <row r="27" spans="1:5" x14ac:dyDescent="0.3">
      <c r="B27" s="2">
        <v>4</v>
      </c>
      <c r="C27" s="35" t="s">
        <v>96</v>
      </c>
      <c r="D27" s="45">
        <f>+D95</f>
        <v>267970</v>
      </c>
      <c r="E27" s="59">
        <f t="shared" si="0"/>
        <v>885850</v>
      </c>
    </row>
    <row r="28" spans="1:5" x14ac:dyDescent="0.3">
      <c r="B28" s="2">
        <v>5</v>
      </c>
      <c r="C28" s="35" t="s">
        <v>97</v>
      </c>
      <c r="D28" s="45">
        <f>+D119</f>
        <v>149400</v>
      </c>
      <c r="E28" s="59">
        <f t="shared" si="0"/>
        <v>493880</v>
      </c>
    </row>
    <row r="29" spans="1:5" x14ac:dyDescent="0.3">
      <c r="B29" s="2">
        <v>6</v>
      </c>
      <c r="C29" s="35" t="s">
        <v>98</v>
      </c>
      <c r="D29" s="45">
        <f>+D133</f>
        <v>36160</v>
      </c>
      <c r="E29" s="59">
        <f t="shared" si="0"/>
        <v>119530</v>
      </c>
    </row>
    <row r="30" spans="1:5" x14ac:dyDescent="0.3">
      <c r="B30" s="2">
        <v>7</v>
      </c>
      <c r="C30" s="35" t="s">
        <v>99</v>
      </c>
      <c r="D30" s="45">
        <f>+D146</f>
        <v>76940</v>
      </c>
      <c r="E30" s="59">
        <f t="shared" si="0"/>
        <v>254340</v>
      </c>
    </row>
    <row r="31" spans="1:5" x14ac:dyDescent="0.3">
      <c r="B31" s="2">
        <v>8</v>
      </c>
      <c r="C31" s="35" t="s">
        <v>100</v>
      </c>
      <c r="D31" s="45">
        <f>+D154</f>
        <v>37190</v>
      </c>
      <c r="E31" s="59">
        <f t="shared" si="0"/>
        <v>122940</v>
      </c>
    </row>
    <row r="32" spans="1:5" x14ac:dyDescent="0.3">
      <c r="B32" s="2">
        <v>9</v>
      </c>
      <c r="C32" s="35" t="s">
        <v>101</v>
      </c>
      <c r="D32" s="45">
        <f>+D161</f>
        <v>23750</v>
      </c>
      <c r="E32" s="59">
        <f t="shared" si="0"/>
        <v>78510</v>
      </c>
    </row>
    <row r="33" spans="1:7" x14ac:dyDescent="0.3">
      <c r="B33" s="2">
        <v>10</v>
      </c>
      <c r="C33" s="35" t="s">
        <v>154</v>
      </c>
      <c r="D33" s="53">
        <f>TRUNC(SUM(D24:D32)*0.275,-1)</f>
        <v>428490</v>
      </c>
      <c r="E33" s="60">
        <f t="shared" si="0"/>
        <v>1416500</v>
      </c>
    </row>
    <row r="34" spans="1:7" x14ac:dyDescent="0.3">
      <c r="C34" s="35" t="s">
        <v>112</v>
      </c>
      <c r="D34" s="44">
        <f>SUM(D24:D33)</f>
        <v>1986640</v>
      </c>
      <c r="E34" s="44">
        <f>SUM(E24:E33)</f>
        <v>6567380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265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TRUNC(64648,-1)</f>
        <v>64640</v>
      </c>
      <c r="E40" s="62">
        <f t="shared" ref="E40:E59" si="1">TRUNC(+D40*3.3058,-1)</f>
        <v>213680</v>
      </c>
    </row>
    <row r="41" spans="1:7" x14ac:dyDescent="0.3">
      <c r="A41" s="2">
        <v>2</v>
      </c>
      <c r="C41" s="38" t="s">
        <v>13</v>
      </c>
      <c r="D41" s="42">
        <f>TRUNC(123941,-1)</f>
        <v>123940</v>
      </c>
      <c r="E41" s="63">
        <f t="shared" si="1"/>
        <v>409720</v>
      </c>
    </row>
    <row r="42" spans="1:7" x14ac:dyDescent="0.3">
      <c r="A42" s="2">
        <v>3</v>
      </c>
      <c r="C42" s="38" t="s">
        <v>14</v>
      </c>
      <c r="D42" s="42">
        <f>TRUNC(72000,-1)</f>
        <v>72000</v>
      </c>
      <c r="E42" s="63">
        <f t="shared" si="1"/>
        <v>238010</v>
      </c>
    </row>
    <row r="43" spans="1:7" x14ac:dyDescent="0.3">
      <c r="A43" s="2">
        <v>4</v>
      </c>
      <c r="C43" s="38" t="s">
        <v>16</v>
      </c>
      <c r="D43" s="42">
        <f>TRUNC(15332,-1)</f>
        <v>15330</v>
      </c>
      <c r="E43" s="63">
        <f t="shared" si="1"/>
        <v>50670</v>
      </c>
    </row>
    <row r="44" spans="1:7" x14ac:dyDescent="0.3">
      <c r="A44" s="2">
        <v>5</v>
      </c>
      <c r="C44" s="38" t="s">
        <v>17</v>
      </c>
      <c r="D44" s="42">
        <f>TRUNC(28418,-1)</f>
        <v>28410</v>
      </c>
      <c r="E44" s="63">
        <f t="shared" si="1"/>
        <v>93910</v>
      </c>
    </row>
    <row r="45" spans="1:7" x14ac:dyDescent="0.3">
      <c r="A45" s="2">
        <v>6</v>
      </c>
      <c r="C45" s="38" t="s">
        <v>18</v>
      </c>
      <c r="D45" s="42">
        <f>TRUNC(8919,-1)</f>
        <v>8910</v>
      </c>
      <c r="E45" s="63">
        <f t="shared" si="1"/>
        <v>29450</v>
      </c>
    </row>
    <row r="46" spans="1:7" x14ac:dyDescent="0.3">
      <c r="A46" s="2">
        <v>7</v>
      </c>
      <c r="C46" s="38" t="s">
        <v>19</v>
      </c>
      <c r="D46" s="42">
        <f>TRUNC(41952,-1)</f>
        <v>41950</v>
      </c>
      <c r="E46" s="63">
        <f t="shared" si="1"/>
        <v>138670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TRUNC(25059,-1)</f>
        <v>25050</v>
      </c>
      <c r="E48" s="63">
        <f t="shared" si="1"/>
        <v>82810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TRUNC(16429,-1)</f>
        <v>16420</v>
      </c>
      <c r="E49" s="63">
        <f t="shared" si="1"/>
        <v>54280</v>
      </c>
    </row>
    <row r="50" spans="1:7" x14ac:dyDescent="0.3">
      <c r="A50" s="2">
        <v>11</v>
      </c>
      <c r="C50" s="38" t="s">
        <v>155</v>
      </c>
      <c r="D50" s="42">
        <f>TRUNC(45758,-1)</f>
        <v>45750</v>
      </c>
      <c r="E50" s="63">
        <f t="shared" si="1"/>
        <v>151240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TRUNC(6586,-1)</f>
        <v>6580</v>
      </c>
      <c r="E52" s="63">
        <f t="shared" si="1"/>
        <v>21750</v>
      </c>
    </row>
    <row r="53" spans="1:7" x14ac:dyDescent="0.3">
      <c r="A53" s="2">
        <v>14</v>
      </c>
      <c r="C53" s="38" t="s">
        <v>25</v>
      </c>
      <c r="D53" s="42">
        <f>TRUNC(66428,-1)</f>
        <v>66420</v>
      </c>
      <c r="E53" s="63">
        <f t="shared" si="1"/>
        <v>219570</v>
      </c>
      <c r="F53" s="2" t="s">
        <v>263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TRUNC(4181-1271+85112,-1)</f>
        <v>88020</v>
      </c>
      <c r="E58" s="63">
        <f t="shared" si="1"/>
        <v>290970</v>
      </c>
      <c r="F58" s="2" t="s">
        <v>264</v>
      </c>
    </row>
    <row r="59" spans="1:7" ht="17.25" thickBot="1" x14ac:dyDescent="0.35">
      <c r="A59" s="2">
        <v>20</v>
      </c>
      <c r="C59" s="38" t="s">
        <v>148</v>
      </c>
      <c r="D59" s="43">
        <f>TRUNC(232422,-1)</f>
        <v>232420</v>
      </c>
      <c r="E59" s="64">
        <f t="shared" si="1"/>
        <v>768330</v>
      </c>
    </row>
    <row r="60" spans="1:7" x14ac:dyDescent="0.3">
      <c r="A60" s="2">
        <v>21</v>
      </c>
      <c r="C60" s="27" t="s">
        <v>112</v>
      </c>
      <c r="D60" s="39">
        <f>SUM(D40:D59)</f>
        <v>835840</v>
      </c>
      <c r="E60" s="39">
        <f>SUM(E40:E59)</f>
        <v>2763060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TRUNC(28869,-1)</f>
        <v>28860</v>
      </c>
      <c r="E63" s="62">
        <f>TRUNC(+D63*3.3058,-1)</f>
        <v>95400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TRUNC(102041,-1)</f>
        <v>102040</v>
      </c>
      <c r="E65" s="64">
        <f>TRUNC(+D65*3.3058,-1)</f>
        <v>337320</v>
      </c>
    </row>
    <row r="66" spans="1:7" x14ac:dyDescent="0.3">
      <c r="A66" s="2">
        <v>4</v>
      </c>
      <c r="C66" s="27" t="s">
        <v>112</v>
      </c>
      <c r="D66" s="39">
        <f>SUM(D63:D65)</f>
        <v>130900</v>
      </c>
      <c r="E66" s="65">
        <f>SUM(E63:E65)</f>
        <v>432720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TRUNC(10049,-1)</f>
        <v>10040</v>
      </c>
      <c r="E69" s="62">
        <f t="shared" ref="E69:E94" si="2">TRUNC(+D69*3.3058,-1)</f>
        <v>33190</v>
      </c>
    </row>
    <row r="70" spans="1:7" ht="16.5" customHeight="1" x14ac:dyDescent="0.3">
      <c r="A70" s="2">
        <v>2</v>
      </c>
      <c r="C70" s="38" t="s">
        <v>31</v>
      </c>
      <c r="D70" s="42">
        <f>TRUNC(568,-1)</f>
        <v>560</v>
      </c>
      <c r="E70" s="63">
        <f t="shared" si="2"/>
        <v>1850</v>
      </c>
    </row>
    <row r="71" spans="1:7" x14ac:dyDescent="0.3">
      <c r="A71" s="2">
        <v>3</v>
      </c>
      <c r="C71" s="38" t="s">
        <v>32</v>
      </c>
      <c r="D71" s="42">
        <f>TRUNC(10293,-1)</f>
        <v>10290</v>
      </c>
      <c r="E71" s="63">
        <f t="shared" si="2"/>
        <v>34010</v>
      </c>
    </row>
    <row r="72" spans="1:7" x14ac:dyDescent="0.3">
      <c r="A72" s="2">
        <v>4</v>
      </c>
      <c r="C72" s="38" t="s">
        <v>33</v>
      </c>
      <c r="D72" s="42">
        <f>TRUNC(3413,-1)</f>
        <v>3410</v>
      </c>
      <c r="E72" s="63">
        <f t="shared" si="2"/>
        <v>11270</v>
      </c>
    </row>
    <row r="73" spans="1:7" x14ac:dyDescent="0.3">
      <c r="A73" s="2">
        <v>5</v>
      </c>
      <c r="C73" s="38" t="s">
        <v>34</v>
      </c>
      <c r="D73" s="42">
        <f>TRUNC(17652,-1)</f>
        <v>17650</v>
      </c>
      <c r="E73" s="63">
        <f t="shared" si="2"/>
        <v>58340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TRUNC(765,-1)</f>
        <v>760</v>
      </c>
      <c r="E75" s="63">
        <f t="shared" si="2"/>
        <v>2510</v>
      </c>
    </row>
    <row r="76" spans="1:7" x14ac:dyDescent="0.3">
      <c r="A76" s="2">
        <v>8</v>
      </c>
      <c r="C76" s="38" t="s">
        <v>119</v>
      </c>
      <c r="D76" s="42">
        <f>TRUNC(38948,-1)</f>
        <v>38940</v>
      </c>
      <c r="E76" s="63">
        <f t="shared" si="2"/>
        <v>128720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TRUNC(500,-1)</f>
        <v>500</v>
      </c>
      <c r="E84" s="63">
        <f t="shared" si="2"/>
        <v>1650</v>
      </c>
      <c r="F84" s="2" t="s">
        <v>259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TRUNC(11990,-1)</f>
        <v>11990</v>
      </c>
      <c r="E89" s="63">
        <f t="shared" si="2"/>
        <v>39630</v>
      </c>
    </row>
    <row r="90" spans="1:7" x14ac:dyDescent="0.3">
      <c r="A90" s="2">
        <v>22</v>
      </c>
      <c r="C90" s="38" t="s">
        <v>36</v>
      </c>
      <c r="D90" s="42">
        <f>TRUNC(2386,-1)</f>
        <v>2380</v>
      </c>
      <c r="E90" s="63">
        <f t="shared" si="2"/>
        <v>7860</v>
      </c>
    </row>
    <row r="91" spans="1:7" x14ac:dyDescent="0.3">
      <c r="A91" s="2">
        <v>23</v>
      </c>
      <c r="C91" s="38" t="s">
        <v>37</v>
      </c>
      <c r="D91" s="42">
        <f>TRUNC(24454,-1)</f>
        <v>24450</v>
      </c>
      <c r="E91" s="63">
        <f t="shared" si="2"/>
        <v>80820</v>
      </c>
    </row>
    <row r="92" spans="1:7" x14ac:dyDescent="0.3">
      <c r="A92" s="2">
        <v>24</v>
      </c>
      <c r="C92" s="38" t="s">
        <v>38</v>
      </c>
      <c r="D92" s="42">
        <f>TRUNC(6477,-1)</f>
        <v>6470</v>
      </c>
      <c r="E92" s="63">
        <f t="shared" si="2"/>
        <v>21380</v>
      </c>
    </row>
    <row r="93" spans="1:7" x14ac:dyDescent="0.3">
      <c r="A93" s="2">
        <v>25</v>
      </c>
      <c r="C93" s="38" t="s">
        <v>148</v>
      </c>
      <c r="D93" s="42">
        <f>TRUNC(134535,-1)</f>
        <v>134530</v>
      </c>
      <c r="E93" s="63">
        <f t="shared" si="2"/>
        <v>444720</v>
      </c>
    </row>
    <row r="94" spans="1:7" ht="17.25" thickBot="1" x14ac:dyDescent="0.35">
      <c r="A94" s="2">
        <v>26</v>
      </c>
      <c r="C94" s="38" t="s">
        <v>47</v>
      </c>
      <c r="D94" s="43">
        <f>TRUNC(2825+3179,-1)</f>
        <v>6000</v>
      </c>
      <c r="E94" s="64">
        <f t="shared" si="2"/>
        <v>19830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267970</v>
      </c>
      <c r="E95" s="39">
        <f>SUM(E69:E94)</f>
        <v>885780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TRUNC(17568,-1)</f>
        <v>17560</v>
      </c>
      <c r="E98" s="62">
        <f t="shared" ref="E98:E118" si="3">TRUNC(+D98*3.3058,-1)</f>
        <v>58040</v>
      </c>
    </row>
    <row r="99" spans="1:7" x14ac:dyDescent="0.3">
      <c r="A99" s="2">
        <v>2</v>
      </c>
      <c r="C99" s="38" t="s">
        <v>40</v>
      </c>
      <c r="D99" s="42">
        <f>TRUNC(4249,-1)</f>
        <v>4240</v>
      </c>
      <c r="E99" s="63">
        <f t="shared" si="3"/>
        <v>14010</v>
      </c>
    </row>
    <row r="100" spans="1:7" x14ac:dyDescent="0.3">
      <c r="A100" s="2">
        <v>3</v>
      </c>
      <c r="C100" s="38" t="s">
        <v>41</v>
      </c>
      <c r="D100" s="42">
        <f>TRUNC(31624,-1)</f>
        <v>31620</v>
      </c>
      <c r="E100" s="63">
        <f t="shared" si="3"/>
        <v>104520</v>
      </c>
    </row>
    <row r="101" spans="1:7" x14ac:dyDescent="0.3">
      <c r="A101" s="2">
        <v>4</v>
      </c>
      <c r="C101" s="38" t="s">
        <v>42</v>
      </c>
      <c r="D101" s="42">
        <f>TRUNC(152,-1)</f>
        <v>150</v>
      </c>
      <c r="E101" s="63">
        <f t="shared" si="3"/>
        <v>490</v>
      </c>
    </row>
    <row r="102" spans="1:7" x14ac:dyDescent="0.3">
      <c r="A102" s="2">
        <v>5</v>
      </c>
      <c r="C102" s="38" t="s">
        <v>43</v>
      </c>
      <c r="D102" s="42">
        <f>TRUNC(7531,-1)</f>
        <v>7530</v>
      </c>
      <c r="E102" s="63">
        <f t="shared" si="3"/>
        <v>24890</v>
      </c>
    </row>
    <row r="103" spans="1:7" x14ac:dyDescent="0.3">
      <c r="A103" s="2">
        <v>6</v>
      </c>
      <c r="C103" s="38" t="s">
        <v>44</v>
      </c>
      <c r="D103" s="42">
        <f>TRUNC(4290,-1)</f>
        <v>4290</v>
      </c>
      <c r="E103" s="63">
        <f t="shared" si="3"/>
        <v>14180</v>
      </c>
    </row>
    <row r="104" spans="1:7" x14ac:dyDescent="0.3">
      <c r="A104" s="2">
        <v>7</v>
      </c>
      <c r="C104" s="38" t="s">
        <v>45</v>
      </c>
      <c r="D104" s="42">
        <f>TRUNC(4058,-1)</f>
        <v>4050</v>
      </c>
      <c r="E104" s="63">
        <f t="shared" si="3"/>
        <v>13380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TRUNC(1296,-1)</f>
        <v>1290</v>
      </c>
      <c r="E114" s="63">
        <f t="shared" si="3"/>
        <v>4260</v>
      </c>
    </row>
    <row r="115" spans="1:7" x14ac:dyDescent="0.3">
      <c r="A115" s="2">
        <v>18</v>
      </c>
      <c r="C115" s="38" t="s">
        <v>116</v>
      </c>
      <c r="D115" s="42">
        <f>TRUNC(4355,-1)</f>
        <v>4350</v>
      </c>
      <c r="E115" s="63">
        <f t="shared" si="3"/>
        <v>14380</v>
      </c>
      <c r="F115" s="2" t="s">
        <v>257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TRUNC(74059,-1)</f>
        <v>74050</v>
      </c>
      <c r="E117" s="63">
        <f t="shared" si="3"/>
        <v>244790</v>
      </c>
    </row>
    <row r="118" spans="1:7" ht="17.25" thickBot="1" x14ac:dyDescent="0.35">
      <c r="A118" s="2">
        <v>21</v>
      </c>
      <c r="C118" s="38" t="s">
        <v>47</v>
      </c>
      <c r="D118" s="43">
        <f>TRUNC(270,-1)</f>
        <v>270</v>
      </c>
      <c r="E118" s="64">
        <f t="shared" si="3"/>
        <v>890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149400</v>
      </c>
      <c r="E119" s="39">
        <f>SUM(E98:E118)</f>
        <v>493830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TRUNC(4909,-1)</f>
        <v>4900</v>
      </c>
      <c r="E122" s="62">
        <f t="shared" ref="E122:E132" si="4">TRUNC(+D122*3.3058,-1)</f>
        <v>16190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TRUNC(4052,-1)</f>
        <v>4050</v>
      </c>
      <c r="E125" s="63">
        <f t="shared" si="4"/>
        <v>13380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TRUNC(11387,-1)</f>
        <v>11380</v>
      </c>
      <c r="E130" s="63">
        <f t="shared" si="4"/>
        <v>37620</v>
      </c>
    </row>
    <row r="131" spans="1:7" x14ac:dyDescent="0.3">
      <c r="A131" s="2">
        <v>10</v>
      </c>
      <c r="C131" s="38" t="s">
        <v>148</v>
      </c>
      <c r="D131" s="42">
        <f>TRUNC(13251,-1)</f>
        <v>13250</v>
      </c>
      <c r="E131" s="63">
        <f t="shared" si="4"/>
        <v>43800</v>
      </c>
    </row>
    <row r="132" spans="1:7" ht="18" thickBot="1" x14ac:dyDescent="0.35">
      <c r="A132" s="2">
        <v>11</v>
      </c>
      <c r="C132" s="38" t="s">
        <v>47</v>
      </c>
      <c r="D132" s="43">
        <f>TRUNC(2589,-1)</f>
        <v>2580</v>
      </c>
      <c r="E132" s="64">
        <f t="shared" si="4"/>
        <v>8520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36160</v>
      </c>
      <c r="E133" s="39">
        <f>SUM(E122:E132)</f>
        <v>119510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TRUNC(273+3510+210,-1)</f>
        <v>3990</v>
      </c>
      <c r="E137" s="63">
        <f t="shared" si="5"/>
        <v>13190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TRUNC(9399,-1)</f>
        <v>9390</v>
      </c>
      <c r="E139" s="63">
        <f t="shared" si="5"/>
        <v>31040</v>
      </c>
    </row>
    <row r="140" spans="1:7" x14ac:dyDescent="0.3">
      <c r="A140" s="2">
        <v>5</v>
      </c>
      <c r="C140" s="38" t="s">
        <v>57</v>
      </c>
      <c r="D140" s="42">
        <f>TRUNC(2715,-1)</f>
        <v>2710</v>
      </c>
      <c r="E140" s="63">
        <f t="shared" si="5"/>
        <v>8950</v>
      </c>
    </row>
    <row r="141" spans="1:7" x14ac:dyDescent="0.3">
      <c r="A141" s="2">
        <v>6</v>
      </c>
      <c r="C141" s="38" t="s">
        <v>59</v>
      </c>
      <c r="D141" s="42">
        <f>TRUNC(30689,-1)</f>
        <v>30680</v>
      </c>
      <c r="E141" s="63">
        <f t="shared" si="5"/>
        <v>101420</v>
      </c>
    </row>
    <row r="142" spans="1:7" x14ac:dyDescent="0.3">
      <c r="A142" s="2">
        <v>7</v>
      </c>
      <c r="C142" s="38" t="s">
        <v>58</v>
      </c>
      <c r="D142" s="42">
        <f>TRUNC(6406,-1)</f>
        <v>6400</v>
      </c>
      <c r="E142" s="63">
        <f t="shared" si="5"/>
        <v>21150</v>
      </c>
    </row>
    <row r="143" spans="1:7" x14ac:dyDescent="0.3">
      <c r="A143" s="2">
        <v>8</v>
      </c>
      <c r="C143" s="38" t="s">
        <v>62</v>
      </c>
      <c r="D143" s="42">
        <f>TRUNC(4534,-1)</f>
        <v>4530</v>
      </c>
      <c r="E143" s="63">
        <f t="shared" si="5"/>
        <v>14970</v>
      </c>
    </row>
    <row r="144" spans="1:7" x14ac:dyDescent="0.3">
      <c r="A144" s="2">
        <v>9</v>
      </c>
      <c r="C144" s="38" t="s">
        <v>63</v>
      </c>
      <c r="D144" s="42">
        <f>TRUNC(19242,-1)</f>
        <v>19240</v>
      </c>
      <c r="E144" s="63">
        <f t="shared" si="5"/>
        <v>63600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76940</v>
      </c>
      <c r="E146" s="39">
        <f>SUM(E136:E145)</f>
        <v>254320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TRUNC(1388+542,-1)</f>
        <v>1930</v>
      </c>
      <c r="E149" s="62">
        <f>TRUNC(+D149*3.3058,-1)</f>
        <v>6380</v>
      </c>
    </row>
    <row r="150" spans="1:7" x14ac:dyDescent="0.3">
      <c r="A150" s="2">
        <v>2</v>
      </c>
      <c r="C150" s="38" t="s">
        <v>49</v>
      </c>
      <c r="D150" s="42">
        <f>TRUNC(3678,-1)</f>
        <v>3670</v>
      </c>
      <c r="E150" s="63">
        <f>TRUNC(+D150*3.3058,-1)</f>
        <v>12130</v>
      </c>
    </row>
    <row r="151" spans="1:7" x14ac:dyDescent="0.3">
      <c r="A151" s="2">
        <v>3</v>
      </c>
      <c r="C151" s="38" t="s">
        <v>50</v>
      </c>
      <c r="D151" s="42">
        <f>TRUNC(8607,-1)</f>
        <v>8600</v>
      </c>
      <c r="E151" s="63">
        <f>TRUNC(+D151*3.3058,-1)</f>
        <v>28420</v>
      </c>
    </row>
    <row r="152" spans="1:7" x14ac:dyDescent="0.3">
      <c r="A152" s="2">
        <v>4</v>
      </c>
      <c r="C152" s="38" t="s">
        <v>47</v>
      </c>
      <c r="D152" s="42">
        <f>TRUNC(687+350+29+1465,-1)</f>
        <v>2530</v>
      </c>
      <c r="E152" s="63">
        <f>TRUNC(+D152*3.3058,-1)</f>
        <v>8360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f>TRUNC(20468,-1)</f>
        <v>20460</v>
      </c>
      <c r="E153" s="64">
        <f>TRUNC(+D153*3.3058,-1)</f>
        <v>67630</v>
      </c>
    </row>
    <row r="154" spans="1:7" x14ac:dyDescent="0.3">
      <c r="A154" s="2">
        <v>6</v>
      </c>
      <c r="C154" s="27" t="s">
        <v>112</v>
      </c>
      <c r="D154" s="39">
        <f>SUM(D149:D153)</f>
        <v>37190</v>
      </c>
      <c r="E154" s="39">
        <f>SUM(E149:E153)</f>
        <v>122920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TRUNC(10882,-1)</f>
        <v>10880</v>
      </c>
      <c r="E157" s="62">
        <f>TRUNC(+D157*3.3058,-1)</f>
        <v>35960</v>
      </c>
    </row>
    <row r="158" spans="1:7" x14ac:dyDescent="0.3">
      <c r="A158" s="2">
        <v>2</v>
      </c>
      <c r="C158" s="38" t="s">
        <v>52</v>
      </c>
      <c r="D158" s="42">
        <f>TRUNC(6757,-1)</f>
        <v>6750</v>
      </c>
      <c r="E158" s="63">
        <f>TRUNC(+D158*3.3058,-1)</f>
        <v>22310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TRUNC(3719+2401,-1)</f>
        <v>6120</v>
      </c>
      <c r="E159" s="63">
        <f>TRUNC(+D159*3.3058,-1)</f>
        <v>20230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23750</v>
      </c>
      <c r="E161" s="39">
        <f>SUM(E157:E160)</f>
        <v>78500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2020-12-08T01:41:18Z</dcterms:modified>
</cp:coreProperties>
</file>