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58" i="4" l="1"/>
  <c r="D53" i="4"/>
  <c r="D52" i="4"/>
  <c r="D50" i="4"/>
  <c r="D49" i="4"/>
  <c r="D48" i="4"/>
  <c r="D46" i="4"/>
  <c r="D45" i="4"/>
  <c r="D44" i="4"/>
  <c r="D43" i="4"/>
  <c r="D42" i="4"/>
  <c r="D41" i="4"/>
  <c r="D40" i="4"/>
  <c r="D65" i="4"/>
  <c r="D63" i="4"/>
  <c r="D76" i="4"/>
  <c r="D91" i="4"/>
  <c r="D90" i="4"/>
  <c r="D89" i="4"/>
  <c r="D72" i="4"/>
  <c r="D71" i="4"/>
  <c r="D70" i="4"/>
  <c r="D69" i="4"/>
  <c r="D102" i="4"/>
  <c r="D101" i="4"/>
  <c r="D100" i="4"/>
  <c r="D99" i="4"/>
  <c r="D114" i="4"/>
  <c r="D98" i="4"/>
  <c r="D116" i="4"/>
  <c r="D118" i="4"/>
  <c r="D105" i="4"/>
  <c r="D104" i="4"/>
  <c r="D103" i="4"/>
  <c r="D132" i="4"/>
  <c r="D128" i="4"/>
  <c r="D127" i="4"/>
  <c r="D124" i="4"/>
  <c r="D125" i="4"/>
  <c r="D122" i="4"/>
  <c r="D130" i="4"/>
  <c r="D126" i="4"/>
  <c r="D145" i="4"/>
  <c r="D137" i="4"/>
  <c r="D144" i="4"/>
  <c r="D143" i="4"/>
  <c r="D139" i="4"/>
  <c r="D138" i="4"/>
  <c r="D141" i="4"/>
  <c r="D142" i="4"/>
  <c r="D140" i="4"/>
  <c r="D152" i="4"/>
  <c r="D150" i="4"/>
  <c r="D149" i="4"/>
  <c r="D159" i="4"/>
  <c r="D158" i="4"/>
  <c r="D157" i="4"/>
  <c r="D131" i="4"/>
  <c r="D117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0" i="4" l="1"/>
  <c r="E66" i="4"/>
  <c r="E95" i="4"/>
  <c r="E119" i="4"/>
  <c r="E133" i="4"/>
  <c r="E146" i="4"/>
  <c r="E154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D34" i="4"/>
  <c r="E34" i="4" l="1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<sst xmlns="http://schemas.openxmlformats.org/spreadsheetml/2006/main" count="395" uniqueCount="270">
  <si>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</si>
  <si>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</si>
  <si>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</si>
  <si>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</si>
  <si>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</si>
  <si>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</si>
  <si>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</si>
  <si>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</si>
  <si>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</si>
  <si>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</si>
  <si>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</si>
  <si>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</si>
  <si>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</si>
  <si>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</si>
  <si>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</si>
  <si>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</si>
  <si>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</si>
  <si>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</si>
  <si>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</si>
  <si>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</si>
  <si>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</si>
  <si>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</si>
  <si>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</si>
  <si>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</si>
  <si>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</si>
  <si>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</si>
  <si>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</si>
  <si>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</si>
  <si>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</si>
  <si>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</si>
  <si>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</si>
  <si>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</si>
  <si>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</si>
  <si>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</si>
  <si>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</si>
  <si>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</si>
  <si>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</si>
  <si>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</si>
  <si>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</si>
  <si>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</si>
  <si>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</si>
  <si>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</si>
  <si>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</si>
  <si>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</si>
  <si>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</si>
  <si>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</si>
  <si>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</si>
  <si>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</si>
  <si>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</si>
  <si>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</si>
  <si>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</si>
  <si>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</si>
  <si>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</si>
  <si>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</si>
  <si>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</si>
  <si>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</si>
  <si>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</si>
  <si>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</si>
  <si>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</si>
  <si>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</si>
  <si>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</si>
  <si>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</si>
  <si>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</si>
  <si>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</si>
  <si>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</si>
  <si>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</si>
  <si>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</si>
  <si>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</si>
  <si>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</si>
  <si>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</si>
  <si>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</si>
  <si>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</si>
  <si>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</si>
  <si>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</si>
  <si>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</si>
  <si>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</si>
  <si>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</si>
  <si>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</si>
  <si>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</si>
  <si>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</si>
  <si>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</si>
  <si>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</si>
  <si>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</si>
  <si>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</si>
  <si>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</si>
  <si>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</si>
  <si>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</si>
  <si>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</si>
  <si>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</si>
  <si>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</si>
  <si>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</si>
  <si>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</si>
  <si>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</si>
  <si>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</si>
  <si>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</si>
  <si>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</si>
  <si>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</si>
  <si>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</si>
  <si>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</si>
  <si>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</si>
  <si>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</si>
  <si>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</si>
  <si>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</si>
  <si>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</si>
  <si>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</si>
  <si>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</si>
  <si>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</si>
  <si>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</si>
  <si>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</si>
  <si>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</si>
  <si>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</si>
  <si>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</si>
  <si>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</si>
  <si>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</si>
  <si>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</si>
  <si>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</si>
  <si>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</si>
  <si>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</si>
  <si>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</si>
  <si>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</si>
  <si>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</si>
  <si>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</si>
  <si>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</si>
  <si>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</si>
  <si>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</si>
  <si>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</si>
  <si>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</si>
  <si>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</si>
  <si>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</si>
  <si>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</si>
  <si>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</si>
  <si>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</si>
  <si>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</si>
  <si>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</si>
  <si>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</si>
  <si>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</si>
  <si>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</si>
  <si>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</si>
  <si>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</si>
  <si>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</si>
  <si>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</si>
  <si>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</si>
  <si>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</si>
  <si>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</si>
  <si>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</si>
  <si>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</si>
  <si>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</si>
  <si>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</si>
  <si>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</si>
  <si>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</si>
  <si>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</si>
  <si>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</si>
  <si>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</si>
  <si>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</si>
  <si>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</si>
  <si>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</si>
  <si>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</si>
  <si>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</si>
  <si>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</si>
  <si>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</si>
  <si>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</si>
  <si>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</si>
  <si>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</si>
  <si>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</si>
  <si>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</si>
  <si>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</si>
  <si>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</si>
  <si>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</si>
  <si>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</si>
  <si>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</si>
  <si>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</si>
  <si>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</si>
  <si>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</si>
  <si>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</si>
  <si>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</si>
  <si>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</si>
  <si>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</si>
  <si>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</si>
  <si>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</si>
  <si>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</si>
  <si>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</si>
  <si>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</si>
  <si>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</si>
  <si>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</si>
  <si>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</si>
  <si>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</si>
  <si>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</si>
  <si>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</si>
  <si>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</si>
  <si>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</si>
  <si>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</si>
  <si>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</si>
  <si>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</si>
  <si>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</si>
  <si>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</si>
  <si>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</si>
  <si>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</si>
  <si>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</si>
  <si>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</si>
  <si>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</si>
  <si>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</si>
  <si>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</si>
  <si>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</si>
  <si>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</si>
  <si>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</si>
  <si>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</si>
  <si>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</si>
  <si>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</si>
  <si>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</si>
  <si>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</si>
  <si>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</si>
  <si>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</si>
  <si>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</si>
  <si>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</si>
  <si>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</si>
  <si>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</si>
  <si>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</si>
  <si>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</si>
  <si>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</si>
  <si>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</si>
  <si>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</si>
  <si>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</si>
  <si>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</si>
  <si>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</si>
  <si>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</si>
  <si>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</si>
  <si>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</si>
  <si>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</si>
  <si>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</si>
  <si>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</si>
  <si>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</si>
  <si>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</si>
  <si>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</si>
  <si>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</si>
  <si>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</si>
  <si>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</si>
  <si>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</si>
  <si>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</si>
  <si>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</si>
  <si>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</si>
  <si>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</si>
  <si>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</si>
  <si>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</si>
  <si>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</si>
  <si>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</si>
  <si>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</si>
  <si>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</si>
  <si>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</si>
  <si>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한국체육대학교 도서관(학생회관) 개축사업 공사</t>
    <phoneticPr fontId="2" type="noConversion"/>
  </si>
  <si>
    <t>교육연구</t>
  </si>
  <si>
    <t>서울</t>
  </si>
  <si>
    <t>기초공사,해체및철거공사,골재비및운반비,작업부산물,품질시험비,기타공사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</si>
  <si>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</si>
  <si>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</si>
  <si>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</si>
  <si>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</si>
  <si>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</si>
  <si>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</si>
  <si>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</si>
  <si>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펌프실배관공사,제연덕트설치공사,무선통신보조설비공사,기타공사</t>
    <phoneticPr fontId="2" type="noConversion"/>
  </si>
  <si>
    <t>우수공사,오수공사</t>
    <phoneticPr fontId="2" type="noConversion"/>
  </si>
  <si>
    <t>운반비</t>
    <phoneticPr fontId="2" type="noConversion"/>
  </si>
  <si>
    <t>포장공사</t>
    <phoneticPr fontId="2" type="noConversion"/>
  </si>
  <si>
    <t>조경시설물</t>
    <phoneticPr fontId="2" type="noConversion"/>
  </si>
  <si>
    <t>난방배관공사,기타공사,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</si>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</sst>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11437.5</v>
      </c>
      <c r="D7" s="36">
        <f>+C7/3.3058</f>
        <v>3459.8281807731864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956570</v>
      </c>
      <c r="E25" s="59">
        <f t="shared" si="0"/>
        <v>3162220</v>
      </c>
    </row>
    <row r="26" spans="1:5" x14ac:dyDescent="0.3">
      <c r="B26" s="2">
        <v>3</v>
      </c>
      <c r="C26" s="35" t="s">
        <v>95</v>
      </c>
      <c r="D26" s="45">
        <f>+D66</f>
        <v>46860</v>
      </c>
      <c r="E26" s="59">
        <f t="shared" si="0"/>
        <v>154900</v>
      </c>
    </row>
    <row r="27" spans="1:5" x14ac:dyDescent="0.3">
      <c r="B27" s="2">
        <v>4</v>
      </c>
      <c r="C27" s="35" t="s">
        <v>96</v>
      </c>
      <c r="D27" s="45">
        <f>+D95</f>
        <v>133110</v>
      </c>
      <c r="E27" s="59">
        <f t="shared" si="0"/>
        <v>440030</v>
      </c>
    </row>
    <row r="28" spans="1:5" x14ac:dyDescent="0.3">
      <c r="B28" s="2">
        <v>5</v>
      </c>
      <c r="C28" s="35" t="s">
        <v>97</v>
      </c>
      <c r="D28" s="45">
        <f>+D119</f>
        <v>370680</v>
      </c>
      <c r="E28" s="59">
        <f t="shared" si="0"/>
        <v>1225390</v>
      </c>
    </row>
    <row r="29" spans="1:5" x14ac:dyDescent="0.3">
      <c r="B29" s="2">
        <v>6</v>
      </c>
      <c r="C29" s="35" t="s">
        <v>98</v>
      </c>
      <c r="D29" s="45">
        <f>+D133</f>
        <v>95510</v>
      </c>
      <c r="E29" s="59">
        <f t="shared" si="0"/>
        <v>315730</v>
      </c>
    </row>
    <row r="30" spans="1:5" x14ac:dyDescent="0.3">
      <c r="B30" s="2">
        <v>7</v>
      </c>
      <c r="C30" s="35" t="s">
        <v>99</v>
      </c>
      <c r="D30" s="45">
        <f>+D146</f>
        <v>83520</v>
      </c>
      <c r="E30" s="59">
        <f t="shared" si="0"/>
        <v>276100</v>
      </c>
    </row>
    <row r="31" spans="1:5" x14ac:dyDescent="0.3">
      <c r="B31" s="2">
        <v>8</v>
      </c>
      <c r="C31" s="35" t="s">
        <v>100</v>
      </c>
      <c r="D31" s="45">
        <f>+D154</f>
        <v>8790</v>
      </c>
      <c r="E31" s="59">
        <f t="shared" si="0"/>
        <v>29050</v>
      </c>
    </row>
    <row r="32" spans="1:5" x14ac:dyDescent="0.3">
      <c r="B32" s="2">
        <v>9</v>
      </c>
      <c r="C32" s="35" t="s">
        <v>101</v>
      </c>
      <c r="D32" s="45">
        <f>+D161</f>
        <v>9690</v>
      </c>
      <c r="E32" s="59">
        <f t="shared" si="0"/>
        <v>32030</v>
      </c>
    </row>
    <row r="33" spans="1:7" x14ac:dyDescent="0.3">
      <c r="B33" s="2">
        <v>10</v>
      </c>
      <c r="C33" s="35" t="s">
        <v>154</v>
      </c>
      <c r="D33" s="53">
        <f>TRUNC(SUM(D24:D32)*0.275,-1)</f>
        <v>468800</v>
      </c>
      <c r="E33" s="60">
        <f t="shared" si="0"/>
        <v>1549750</v>
      </c>
    </row>
    <row r="34" spans="1:7" x14ac:dyDescent="0.3">
      <c r="C34" s="35" t="s">
        <v>112</v>
      </c>
      <c r="D34" s="44">
        <f>SUM(D24:D33)</f>
        <v>2173530</v>
      </c>
      <c r="E34" s="44">
        <f>SUM(E24:E33)</f>
        <v>7185200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TRUNC(78041,-1)</f>
        <v>78040</v>
      </c>
      <c r="E40" s="62">
        <f t="shared" ref="E40:E59" si="1">TRUNC(+D40*3.3058,-1)</f>
        <v>257980</v>
      </c>
    </row>
    <row r="41" spans="1:7" x14ac:dyDescent="0.3">
      <c r="A41" s="2">
        <v>2</v>
      </c>
      <c r="C41" s="38" t="s">
        <v>13</v>
      </c>
      <c r="D41" s="42">
        <f>TRUNC(149303,-1)</f>
        <v>149300</v>
      </c>
      <c r="E41" s="63">
        <f t="shared" si="1"/>
        <v>493550</v>
      </c>
    </row>
    <row r="42" spans="1:7" x14ac:dyDescent="0.3">
      <c r="A42" s="2">
        <v>3</v>
      </c>
      <c r="C42" s="38" t="s">
        <v>14</v>
      </c>
      <c r="D42" s="42">
        <f>TRUNC(31822,-1)</f>
        <v>31820</v>
      </c>
      <c r="E42" s="63">
        <f t="shared" si="1"/>
        <v>105190</v>
      </c>
    </row>
    <row r="43" spans="1:7" x14ac:dyDescent="0.3">
      <c r="A43" s="2">
        <v>4</v>
      </c>
      <c r="C43" s="38" t="s">
        <v>16</v>
      </c>
      <c r="D43" s="42">
        <f>TRUNC(13125,-1)</f>
        <v>13120</v>
      </c>
      <c r="E43" s="63">
        <f t="shared" si="1"/>
        <v>43370</v>
      </c>
    </row>
    <row r="44" spans="1:7" x14ac:dyDescent="0.3">
      <c r="A44" s="2">
        <v>5</v>
      </c>
      <c r="C44" s="38" t="s">
        <v>17</v>
      </c>
      <c r="D44" s="42">
        <f>TRUNC(22457,-1)</f>
        <v>22450</v>
      </c>
      <c r="E44" s="63">
        <f t="shared" si="1"/>
        <v>74210</v>
      </c>
    </row>
    <row r="45" spans="1:7" x14ac:dyDescent="0.3">
      <c r="A45" s="2">
        <v>6</v>
      </c>
      <c r="C45" s="38" t="s">
        <v>18</v>
      </c>
      <c r="D45" s="42">
        <f>TRUNC(4656,-1)</f>
        <v>4650</v>
      </c>
      <c r="E45" s="63">
        <f t="shared" si="1"/>
        <v>15370</v>
      </c>
    </row>
    <row r="46" spans="1:7" x14ac:dyDescent="0.3">
      <c r="A46" s="2">
        <v>7</v>
      </c>
      <c r="C46" s="38" t="s">
        <v>19</v>
      </c>
      <c r="D46" s="42">
        <f>TRUNC(26222,-1)</f>
        <v>26220</v>
      </c>
      <c r="E46" s="63">
        <f t="shared" si="1"/>
        <v>86670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TRUNC(35265,-1)</f>
        <v>35260</v>
      </c>
      <c r="E48" s="63">
        <f t="shared" si="1"/>
        <v>116560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TRUNC(24045,-1)</f>
        <v>24040</v>
      </c>
      <c r="E49" s="63">
        <f t="shared" si="1"/>
        <v>79470</v>
      </c>
    </row>
    <row r="50" spans="1:7" x14ac:dyDescent="0.3">
      <c r="A50" s="2">
        <v>11</v>
      </c>
      <c r="C50" s="38" t="s">
        <v>155</v>
      </c>
      <c r="D50" s="42">
        <f>TRUNC(58162,-1)</f>
        <v>58160</v>
      </c>
      <c r="E50" s="63">
        <f t="shared" si="1"/>
        <v>192260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TRUNC(12321,-1)</f>
        <v>12320</v>
      </c>
      <c r="E52" s="63">
        <f t="shared" si="1"/>
        <v>40720</v>
      </c>
    </row>
    <row r="53" spans="1:7" x14ac:dyDescent="0.3">
      <c r="A53" s="2">
        <v>14</v>
      </c>
      <c r="C53" s="38" t="s">
        <v>25</v>
      </c>
      <c r="D53" s="42">
        <f>TRUNC(49902,-1)</f>
        <v>49900</v>
      </c>
      <c r="E53" s="63">
        <f t="shared" si="1"/>
        <v>164950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TRUNC(973+7902+3112-1333+2540+17243,-1)</f>
        <v>30430</v>
      </c>
      <c r="E58" s="63">
        <f t="shared" si="1"/>
        <v>100590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TRUNC(420865,-1)</f>
        <v>420860</v>
      </c>
      <c r="E59" s="64">
        <f t="shared" si="1"/>
        <v>1391270</v>
      </c>
    </row>
    <row r="60" spans="1:7" x14ac:dyDescent="0.3">
      <c r="A60" s="2">
        <v>21</v>
      </c>
      <c r="C60" s="27" t="s">
        <v>112</v>
      </c>
      <c r="D60" s="39">
        <f>SUM(D40:D59)</f>
        <v>956570</v>
      </c>
      <c r="E60" s="39">
        <f>SUM(E40:E59)</f>
        <v>3162160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TRUNC(16324,-1)</f>
        <v>16320</v>
      </c>
      <c r="E63" s="62">
        <f>TRUNC(+D63*3.3058,-1)</f>
        <v>53950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TRUNC(30546,-1)</f>
        <v>30540</v>
      </c>
      <c r="E65" s="64">
        <f>TRUNC(+D65*3.3058,-1)</f>
        <v>100950</v>
      </c>
    </row>
    <row r="66" spans="1:7" x14ac:dyDescent="0.3">
      <c r="A66" s="2">
        <v>4</v>
      </c>
      <c r="C66" s="27" t="s">
        <v>112</v>
      </c>
      <c r="D66" s="39">
        <f>SUM(D63:D65)</f>
        <v>46860</v>
      </c>
      <c r="E66" s="65">
        <f>SUM(E63:E65)</f>
        <v>154900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TRUNC(6514,-1)</f>
        <v>6510</v>
      </c>
      <c r="E69" s="62">
        <f t="shared" ref="E69:E94" si="2">TRUNC(+D69*3.3058,-1)</f>
        <v>21520</v>
      </c>
    </row>
    <row r="70" spans="1:7" ht="16.5" customHeight="1" x14ac:dyDescent="0.3">
      <c r="A70" s="2">
        <v>2</v>
      </c>
      <c r="C70" s="38" t="s">
        <v>31</v>
      </c>
      <c r="D70" s="42">
        <f>TRUNC(11145,-1)</f>
        <v>11140</v>
      </c>
      <c r="E70" s="63">
        <f t="shared" si="2"/>
        <v>36820</v>
      </c>
    </row>
    <row r="71" spans="1:7" x14ac:dyDescent="0.3">
      <c r="A71" s="2">
        <v>3</v>
      </c>
      <c r="C71" s="38" t="s">
        <v>32</v>
      </c>
      <c r="D71" s="42">
        <f>TRUNC(20386,-1)</f>
        <v>20380</v>
      </c>
      <c r="E71" s="63">
        <f t="shared" si="2"/>
        <v>67370</v>
      </c>
    </row>
    <row r="72" spans="1:7" x14ac:dyDescent="0.3">
      <c r="A72" s="2">
        <v>4</v>
      </c>
      <c r="C72" s="38" t="s">
        <v>33</v>
      </c>
      <c r="D72" s="42">
        <f>TRUNC(3571,-1)</f>
        <v>3570</v>
      </c>
      <c r="E72" s="63">
        <f t="shared" si="2"/>
        <v>11800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TRUNC(35320,-1)</f>
        <v>35320</v>
      </c>
      <c r="E76" s="63">
        <f t="shared" si="2"/>
        <v>116760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TRUNC(31071,-1)</f>
        <v>31070</v>
      </c>
      <c r="E89" s="63">
        <f t="shared" si="2"/>
        <v>102710</v>
      </c>
    </row>
    <row r="90" spans="1:7" x14ac:dyDescent="0.3">
      <c r="A90" s="2">
        <v>22</v>
      </c>
      <c r="C90" s="38" t="s">
        <v>36</v>
      </c>
      <c r="D90" s="42">
        <f>TRUNC(1068,-1)</f>
        <v>1060</v>
      </c>
      <c r="E90" s="63">
        <f t="shared" si="2"/>
        <v>3500</v>
      </c>
    </row>
    <row r="91" spans="1:7" x14ac:dyDescent="0.3">
      <c r="A91" s="2">
        <v>23</v>
      </c>
      <c r="C91" s="38" t="s">
        <v>37</v>
      </c>
      <c r="D91" s="42">
        <f>TRUNC(17134,-1)</f>
        <v>17130</v>
      </c>
      <c r="E91" s="63">
        <f t="shared" si="2"/>
        <v>56620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TRUNC(780+5921+230,-1)</f>
        <v>6930</v>
      </c>
      <c r="E94" s="64">
        <f t="shared" si="2"/>
        <v>22900</v>
      </c>
      <c r="F94" s="2" t="s">
        <v>264</v>
      </c>
    </row>
    <row r="95" spans="1:7" x14ac:dyDescent="0.3">
      <c r="A95" s="2">
        <v>27</v>
      </c>
      <c r="C95" s="27" t="s">
        <v>112</v>
      </c>
      <c r="D95" s="39">
        <f>SUM(D69:D94)</f>
        <v>133110</v>
      </c>
      <c r="E95" s="39">
        <f>SUM(E69:E94)</f>
        <v>440000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TRUNC(14836,-1)</f>
        <v>14830</v>
      </c>
      <c r="E98" s="62">
        <f t="shared" ref="E98:E118" si="3">TRUNC(+D98*3.3058,-1)</f>
        <v>49020</v>
      </c>
    </row>
    <row r="99" spans="1:7" x14ac:dyDescent="0.3">
      <c r="A99" s="2">
        <v>2</v>
      </c>
      <c r="C99" s="38" t="s">
        <v>40</v>
      </c>
      <c r="D99" s="42">
        <f>TRUNC(6448,-1)</f>
        <v>6440</v>
      </c>
      <c r="E99" s="63">
        <f t="shared" si="3"/>
        <v>21280</v>
      </c>
    </row>
    <row r="100" spans="1:7" x14ac:dyDescent="0.3">
      <c r="A100" s="2">
        <v>3</v>
      </c>
      <c r="C100" s="38" t="s">
        <v>41</v>
      </c>
      <c r="D100" s="42">
        <f>TRUNC(26818,-1)</f>
        <v>26810</v>
      </c>
      <c r="E100" s="63">
        <f t="shared" si="3"/>
        <v>88620</v>
      </c>
    </row>
    <row r="101" spans="1:7" x14ac:dyDescent="0.3">
      <c r="A101" s="2">
        <v>4</v>
      </c>
      <c r="C101" s="38" t="s">
        <v>42</v>
      </c>
      <c r="D101" s="42">
        <f>TRUNC(8049,-1)</f>
        <v>8040</v>
      </c>
      <c r="E101" s="63">
        <f t="shared" si="3"/>
        <v>26570</v>
      </c>
    </row>
    <row r="102" spans="1:7" x14ac:dyDescent="0.3">
      <c r="A102" s="2">
        <v>5</v>
      </c>
      <c r="C102" s="38" t="s">
        <v>43</v>
      </c>
      <c r="D102" s="42">
        <f>TRUNC(12138,-1)</f>
        <v>12130</v>
      </c>
      <c r="E102" s="63">
        <f t="shared" si="3"/>
        <v>40090</v>
      </c>
    </row>
    <row r="103" spans="1:7" x14ac:dyDescent="0.3">
      <c r="A103" s="2">
        <v>6</v>
      </c>
      <c r="C103" s="38" t="s">
        <v>44</v>
      </c>
      <c r="D103" s="42">
        <f>TRUNC(4487,-1)</f>
        <v>4480</v>
      </c>
      <c r="E103" s="63">
        <f t="shared" si="3"/>
        <v>14800</v>
      </c>
    </row>
    <row r="104" spans="1:7" x14ac:dyDescent="0.3">
      <c r="A104" s="2">
        <v>7</v>
      </c>
      <c r="C104" s="38" t="s">
        <v>45</v>
      </c>
      <c r="D104" s="42">
        <f>TRUNC(1420,-1)</f>
        <v>1420</v>
      </c>
      <c r="E104" s="63">
        <f t="shared" si="3"/>
        <v>4690</v>
      </c>
    </row>
    <row r="105" spans="1:7" x14ac:dyDescent="0.3">
      <c r="A105" s="2">
        <v>8</v>
      </c>
      <c r="C105" s="38" t="s">
        <v>46</v>
      </c>
      <c r="D105" s="42">
        <f>TRUNC(20105,-1)</f>
        <v>20100</v>
      </c>
      <c r="E105" s="63">
        <f t="shared" si="3"/>
        <v>66440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TRUNC(1283,-1)</f>
        <v>1280</v>
      </c>
      <c r="E114" s="63">
        <f t="shared" si="3"/>
        <v>4230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TRUNC(72609,-1)</f>
        <v>72600</v>
      </c>
      <c r="E116" s="63">
        <f t="shared" si="3"/>
        <v>240000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TRUNC(201154,-1)</f>
        <v>201150</v>
      </c>
      <c r="E117" s="63">
        <f t="shared" si="3"/>
        <v>664960</v>
      </c>
    </row>
    <row r="118" spans="1:7" ht="17.25" thickBot="1" x14ac:dyDescent="0.35">
      <c r="A118" s="2">
        <v>21</v>
      </c>
      <c r="C118" s="38" t="s">
        <v>47</v>
      </c>
      <c r="D118" s="43">
        <f>TRUNC(1403,-1)</f>
        <v>1400</v>
      </c>
      <c r="E118" s="64">
        <f t="shared" si="3"/>
        <v>4620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370680</v>
      </c>
      <c r="E119" s="39">
        <f>SUM(E98:E118)</f>
        <v>1225320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TRUNC(3225,-1)</f>
        <v>3220</v>
      </c>
      <c r="E122" s="62">
        <f t="shared" ref="E122:E132" si="4">TRUNC(+D122*3.3058,-1)</f>
        <v>10640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TRUNC(1091,-1)</f>
        <v>1090</v>
      </c>
      <c r="E124" s="63">
        <f t="shared" si="4"/>
        <v>3600</v>
      </c>
    </row>
    <row r="125" spans="1:7" x14ac:dyDescent="0.3">
      <c r="A125" s="2">
        <v>4</v>
      </c>
      <c r="C125" s="38" t="s">
        <v>138</v>
      </c>
      <c r="D125" s="42">
        <f>TRUNC(9404,-1)</f>
        <v>9400</v>
      </c>
      <c r="E125" s="63">
        <f t="shared" si="4"/>
        <v>31070</v>
      </c>
    </row>
    <row r="126" spans="1:7" x14ac:dyDescent="0.3">
      <c r="A126" s="2">
        <v>5</v>
      </c>
      <c r="C126" s="38" t="s">
        <v>53</v>
      </c>
      <c r="D126" s="42">
        <f>TRUNC(12662,-1)</f>
        <v>12660</v>
      </c>
      <c r="E126" s="63">
        <f t="shared" si="4"/>
        <v>41850</v>
      </c>
    </row>
    <row r="127" spans="1:7" x14ac:dyDescent="0.3">
      <c r="A127" s="2">
        <v>6</v>
      </c>
      <c r="C127" s="38" t="s">
        <v>56</v>
      </c>
      <c r="D127" s="42">
        <f>TRUNC(3906,-1)</f>
        <v>3900</v>
      </c>
      <c r="E127" s="63">
        <f t="shared" si="4"/>
        <v>12890</v>
      </c>
    </row>
    <row r="128" spans="1:7" x14ac:dyDescent="0.3">
      <c r="A128" s="2">
        <v>7</v>
      </c>
      <c r="C128" s="38" t="s">
        <v>46</v>
      </c>
      <c r="D128" s="42">
        <f>TRUNC(5197,-1)</f>
        <v>5190</v>
      </c>
      <c r="E128" s="63">
        <f t="shared" si="4"/>
        <v>17150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TRUNC(12668,-1)</f>
        <v>12660</v>
      </c>
      <c r="E130" s="63">
        <f t="shared" si="4"/>
        <v>41850</v>
      </c>
    </row>
    <row r="131" spans="1:7" x14ac:dyDescent="0.3">
      <c r="A131" s="2">
        <v>10</v>
      </c>
      <c r="C131" s="38" t="s">
        <v>148</v>
      </c>
      <c r="D131" s="42">
        <f>TRUNC(44405,-1)</f>
        <v>44400</v>
      </c>
      <c r="E131" s="63">
        <f t="shared" si="4"/>
        <v>146770</v>
      </c>
    </row>
    <row r="132" spans="1:7" ht="18" thickBot="1" x14ac:dyDescent="0.35">
      <c r="A132" s="2">
        <v>11</v>
      </c>
      <c r="C132" s="38" t="s">
        <v>47</v>
      </c>
      <c r="D132" s="43">
        <f>TRUNC(1877+1115,-1)</f>
        <v>2990</v>
      </c>
      <c r="E132" s="64">
        <f t="shared" si="4"/>
        <v>9880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95510</v>
      </c>
      <c r="E133" s="39">
        <f>SUM(E122:E132)</f>
        <v>315700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TRUNC(2673+5326+774+1337,-1)</f>
        <v>10110</v>
      </c>
      <c r="E137" s="63">
        <f t="shared" si="5"/>
        <v>33420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f>TRUNC(11651,-1)</f>
        <v>11650</v>
      </c>
      <c r="E138" s="63">
        <f t="shared" si="5"/>
        <v>38510</v>
      </c>
    </row>
    <row r="139" spans="1:7" x14ac:dyDescent="0.3">
      <c r="A139" s="2">
        <v>4</v>
      </c>
      <c r="C139" s="38" t="s">
        <v>61</v>
      </c>
      <c r="D139" s="42">
        <f>TRUNC(2726,-1)</f>
        <v>2720</v>
      </c>
      <c r="E139" s="63">
        <f t="shared" si="5"/>
        <v>8990</v>
      </c>
    </row>
    <row r="140" spans="1:7" x14ac:dyDescent="0.3">
      <c r="A140" s="2">
        <v>5</v>
      </c>
      <c r="C140" s="38" t="s">
        <v>57</v>
      </c>
      <c r="D140" s="42">
        <f>TRUNC(3325,-1)</f>
        <v>3320</v>
      </c>
      <c r="E140" s="63">
        <f t="shared" si="5"/>
        <v>10970</v>
      </c>
    </row>
    <row r="141" spans="1:7" x14ac:dyDescent="0.3">
      <c r="A141" s="2">
        <v>6</v>
      </c>
      <c r="C141" s="38" t="s">
        <v>59</v>
      </c>
      <c r="D141" s="42">
        <f>TRUNC(24844,-1)</f>
        <v>24840</v>
      </c>
      <c r="E141" s="63">
        <f t="shared" si="5"/>
        <v>82110</v>
      </c>
    </row>
    <row r="142" spans="1:7" x14ac:dyDescent="0.3">
      <c r="A142" s="2">
        <v>7</v>
      </c>
      <c r="C142" s="38" t="s">
        <v>58</v>
      </c>
      <c r="D142" s="42">
        <f>TRUNC(6229,-1)</f>
        <v>6220</v>
      </c>
      <c r="E142" s="63">
        <f t="shared" si="5"/>
        <v>20560</v>
      </c>
    </row>
    <row r="143" spans="1:7" x14ac:dyDescent="0.3">
      <c r="A143" s="2">
        <v>8</v>
      </c>
      <c r="C143" s="38" t="s">
        <v>62</v>
      </c>
      <c r="D143" s="42">
        <f>TRUNC(5591,-1)</f>
        <v>5590</v>
      </c>
      <c r="E143" s="63">
        <f t="shared" si="5"/>
        <v>18470</v>
      </c>
    </row>
    <row r="144" spans="1:7" x14ac:dyDescent="0.3">
      <c r="A144" s="2">
        <v>9</v>
      </c>
      <c r="C144" s="38" t="s">
        <v>63</v>
      </c>
      <c r="D144" s="42">
        <f>TRUNC(14711,-1)</f>
        <v>14710</v>
      </c>
      <c r="E144" s="63">
        <f t="shared" si="5"/>
        <v>48620</v>
      </c>
    </row>
    <row r="145" spans="1:7" ht="17.25" thickBot="1" x14ac:dyDescent="0.35">
      <c r="A145" s="2">
        <v>10</v>
      </c>
      <c r="C145" s="38" t="s">
        <v>148</v>
      </c>
      <c r="D145" s="43">
        <f>TRUNC(4369,-1)</f>
        <v>4360</v>
      </c>
      <c r="E145" s="64">
        <f t="shared" si="5"/>
        <v>14410</v>
      </c>
    </row>
    <row r="146" spans="1:7" x14ac:dyDescent="0.3">
      <c r="A146" s="2">
        <v>11</v>
      </c>
      <c r="C146" s="27" t="s">
        <v>112</v>
      </c>
      <c r="D146" s="39">
        <f>SUM(D136:D145)</f>
        <v>83520</v>
      </c>
      <c r="E146" s="39">
        <f>SUM(E136:E145)</f>
        <v>276060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TRUNC(3940+1374,-1)</f>
        <v>5310</v>
      </c>
      <c r="E149" s="62">
        <f>TRUNC(+D149*3.3058,-1)</f>
        <v>17550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TRUNC(2985,-1)</f>
        <v>2980</v>
      </c>
      <c r="E150" s="63">
        <f>TRUNC(+D150*3.3058,-1)</f>
        <v>9850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TRUNC(506,-1)</f>
        <v>500</v>
      </c>
      <c r="E152" s="63">
        <f>TRUNC(+D152*3.3058,-1)</f>
        <v>1650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8790</v>
      </c>
      <c r="E154" s="39">
        <f>SUM(E149:E153)</f>
        <v>29050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TRUNC(3909,-1)</f>
        <v>3900</v>
      </c>
      <c r="E157" s="62">
        <f>TRUNC(+D157*3.3058,-1)</f>
        <v>12890</v>
      </c>
    </row>
    <row r="158" spans="1:7" x14ac:dyDescent="0.3">
      <c r="A158" s="2">
        <v>2</v>
      </c>
      <c r="C158" s="38" t="s">
        <v>52</v>
      </c>
      <c r="D158" s="42">
        <f>TRUNC(2207,-1)</f>
        <v>2200</v>
      </c>
      <c r="E158" s="63">
        <f>TRUNC(+D158*3.3058,-1)</f>
        <v>7270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TRUNC(3594,-1)</f>
        <v>3590</v>
      </c>
      <c r="E159" s="63">
        <f>TRUNC(+D159*3.3058,-1)</f>
        <v>11860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9690</v>
      </c>
      <c r="E161" s="39">
        <f>SUM(E157:E160)</f>
        <v>32020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2020-12-08T02:15:32Z</dcterms:modified>
</cp:coreProperties>
</file>