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4" i="4"/>
  <c r="D143" i="4"/>
  <c r="D142" i="4"/>
  <c r="D141" i="4"/>
  <c r="D139" i="4"/>
  <c r="D137" i="4"/>
  <c r="D132" i="4"/>
  <c r="D131" i="4"/>
  <c r="D130" i="4"/>
  <c r="D128" i="4"/>
  <c r="D125" i="4"/>
  <c r="D122" i="4"/>
  <c r="D118" i="4"/>
  <c r="D117" i="4"/>
  <c r="D116" i="4"/>
  <c r="D105" i="4"/>
  <c r="D104" i="4"/>
  <c r="D103" i="4"/>
  <c r="D102" i="4"/>
  <c r="D101" i="4"/>
  <c r="D100" i="4"/>
  <c r="D99" i="4"/>
  <c r="D98" i="4"/>
  <c r="D63" i="4"/>
  <c r="D58" i="4"/>
  <c r="D53" i="4"/>
  <c r="D52" i="4"/>
  <c r="D50" i="4"/>
  <c r="D49" i="4"/>
  <c r="D46" i="4"/>
  <c r="D48" i="4"/>
  <c r="D45" i="4"/>
  <c r="D44" i="4"/>
  <c r="D43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<sst xmlns="http://schemas.openxmlformats.org/spreadsheetml/2006/main" count="390" uniqueCount="264">
  <si>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</si>
  <si>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</si>
  <si>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</si>
  <si>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</si>
  <si>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</si>
  <si>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</si>
  <si>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</si>
  <si>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</si>
  <si>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</si>
  <si>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</si>
  <si>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</si>
  <si>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</si>
  <si>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</si>
  <si>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</si>
  <si>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</si>
  <si>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</si>
  <si>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</si>
  <si>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</si>
  <si>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</si>
  <si>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</si>
  <si>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</si>
  <si>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</si>
  <si>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</si>
  <si>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</si>
  <si>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</si>
  <si>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</si>
  <si>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</si>
  <si>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</si>
  <si>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</si>
  <si>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</si>
  <si>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</si>
  <si>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</si>
  <si>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</si>
  <si>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</si>
  <si>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</si>
  <si>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</si>
  <si>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</si>
  <si>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</si>
  <si>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</si>
  <si>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</si>
  <si>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</si>
  <si>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</si>
  <si>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</si>
  <si>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</si>
  <si>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</si>
  <si>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</si>
  <si>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</si>
  <si>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</si>
  <si>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</si>
  <si>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</si>
  <si>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</si>
  <si>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</si>
  <si>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</si>
  <si>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</si>
  <si>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</si>
  <si>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</si>
  <si>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</si>
  <si>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</si>
  <si>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</si>
  <si>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</si>
  <si>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</si>
  <si>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</si>
  <si>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</si>
  <si>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</si>
  <si>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</si>
  <si>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</si>
  <si>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</si>
  <si>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</si>
  <si>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</si>
  <si>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</si>
  <si>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</si>
  <si>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</si>
  <si>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</si>
  <si>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</si>
  <si>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</si>
  <si>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</si>
  <si>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</si>
  <si>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</si>
  <si>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</si>
  <si>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</si>
  <si>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</si>
  <si>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</si>
  <si>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</si>
  <si>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</si>
  <si>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</si>
  <si>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</si>
  <si>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</si>
  <si>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</si>
  <si>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</si>
  <si>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</si>
  <si>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</si>
  <si>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</si>
  <si>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</si>
  <si>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</si>
  <si>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</si>
  <si>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</si>
  <si>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</si>
  <si>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</si>
  <si>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</si>
  <si>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</si>
  <si>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</si>
  <si>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</si>
  <si>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</si>
  <si>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</si>
  <si>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</si>
  <si>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</si>
  <si>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</si>
  <si>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</si>
  <si>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</si>
  <si>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</si>
  <si>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</si>
  <si>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</si>
  <si>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</si>
  <si>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</si>
  <si>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</si>
  <si>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</si>
  <si>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</si>
  <si>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</si>
  <si>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</si>
  <si>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</si>
  <si>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</si>
  <si>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</si>
  <si>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</si>
  <si>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</si>
  <si>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</si>
  <si>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</si>
  <si>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</si>
  <si>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</si>
  <si>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</si>
  <si>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</si>
  <si>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</si>
  <si>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</si>
  <si>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</si>
  <si>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</si>
  <si>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</si>
  <si>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</si>
  <si>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</si>
  <si>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</si>
  <si>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</si>
  <si>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</si>
  <si>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</si>
  <si>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</si>
  <si>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</si>
  <si>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</si>
  <si>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</si>
  <si>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</si>
  <si>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</si>
  <si>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</si>
  <si>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</si>
  <si>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</si>
  <si>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</si>
  <si>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</si>
  <si>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</si>
  <si>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</si>
  <si>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</si>
  <si>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</si>
  <si>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</si>
  <si>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</si>
  <si>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</si>
  <si>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</si>
  <si>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</si>
  <si>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</si>
  <si>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</si>
  <si>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</si>
  <si>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</si>
  <si>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</si>
  <si>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</si>
  <si>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</si>
  <si>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</si>
  <si>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</si>
  <si>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</si>
  <si>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</si>
  <si>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</si>
  <si>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</si>
  <si>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</si>
  <si>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</si>
  <si>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</si>
  <si>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</si>
  <si>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</si>
  <si>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</si>
  <si>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</si>
  <si>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</si>
  <si>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</si>
  <si>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</si>
  <si>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</si>
  <si>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</si>
  <si>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</si>
  <si>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</si>
  <si>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</si>
  <si>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</si>
  <si>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</si>
  <si>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</si>
  <si>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</si>
  <si>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</si>
  <si>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</si>
  <si>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</si>
  <si>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</si>
  <si>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</si>
  <si>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</si>
  <si>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</si>
  <si>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</si>
  <si>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</si>
  <si>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</si>
  <si>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</si>
  <si>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</si>
  <si>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</si>
  <si>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</si>
  <si>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</si>
  <si>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</si>
  <si>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</si>
  <si>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</si>
  <si>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</si>
  <si>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</si>
  <si>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</si>
  <si>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</si>
  <si>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</si>
  <si>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</si>
  <si>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</si>
  <si>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</si>
  <si>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</si>
  <si>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</si>
  <si>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</si>
  <si>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</si>
  <si>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</si>
  <si>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</si>
  <si>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</si>
  <si>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</si>
  <si>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</si>
  <si>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</si>
  <si>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</si>
  <si>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</si>
  <si>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</si>
  <si>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</si>
  <si>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</si>
  <si>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</si>
  <si>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</si>
  <si>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</si>
  <si>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</si>
  <si>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</si>
  <si>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</si>
  <si>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</si>
  <si>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</si>
  <si>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</si>
  <si>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</si>
  <si>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</si>
  <si>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</si>
  <si>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</si>
  <si>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</si>
  <si>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</si>
  <si>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</si>
  <si>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</si>
  <si>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</si>
  <si>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</si>
  <si>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</si>
  <si>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</si>
  <si>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 xml:space="preserve"> 대구신천초등학교 개축공사(징기계속)</t>
    <phoneticPr fontId="2" type="noConversion"/>
  </si>
  <si>
    <t>대구시</t>
  </si>
  <si>
    <t>기초공사, 해체및철거공사, 골재비및운반비, 기타공사</t>
    <phoneticPr fontId="2" type="noConversion"/>
  </si>
  <si>
    <t>CCTV설비공사, 기타공사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</si>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</sst>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7883.75</v>
      </c>
      <c r="D7" s="36">
        <f>+C7/3.3058</f>
        <v>2384.8236432936051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805540</v>
      </c>
      <c r="E25" s="59">
        <f t="shared" si="0"/>
        <v>2662950</v>
      </c>
    </row>
    <row r="26" spans="1:5" x14ac:dyDescent="0.3">
      <c r="B26" s="2">
        <v>3</v>
      </c>
      <c r="C26" s="35" t="s">
        <v>95</v>
      </c>
      <c r="D26" s="45">
        <f>+D66</f>
        <v>4610</v>
      </c>
      <c r="E26" s="59">
        <f t="shared" si="0"/>
        <v>15230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193310</v>
      </c>
      <c r="E28" s="59">
        <f t="shared" si="0"/>
        <v>639040</v>
      </c>
    </row>
    <row r="29" spans="1:5" x14ac:dyDescent="0.3">
      <c r="B29" s="2">
        <v>6</v>
      </c>
      <c r="C29" s="35" t="s">
        <v>98</v>
      </c>
      <c r="D29" s="45">
        <f>+D133</f>
        <v>55710</v>
      </c>
      <c r="E29" s="59">
        <f t="shared" si="0"/>
        <v>184160</v>
      </c>
    </row>
    <row r="30" spans="1:5" x14ac:dyDescent="0.3">
      <c r="B30" s="2">
        <v>7</v>
      </c>
      <c r="C30" s="35" t="s">
        <v>99</v>
      </c>
      <c r="D30" s="45">
        <f>+D146</f>
        <v>42080</v>
      </c>
      <c r="E30" s="59">
        <f t="shared" si="0"/>
        <v>139100</v>
      </c>
    </row>
    <row r="31" spans="1:5" x14ac:dyDescent="0.3">
      <c r="B31" s="2">
        <v>8</v>
      </c>
      <c r="C31" s="35" t="s">
        <v>100</v>
      </c>
      <c r="D31" s="45">
        <f>+D154</f>
        <v>32110</v>
      </c>
      <c r="E31" s="59">
        <f t="shared" si="0"/>
        <v>106140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311670</v>
      </c>
      <c r="E33" s="60">
        <f t="shared" si="0"/>
        <v>1030310</v>
      </c>
    </row>
    <row r="34" spans="1:7" x14ac:dyDescent="0.3">
      <c r="C34" s="35" t="s">
        <v>112</v>
      </c>
      <c r="D34" s="44">
        <f>SUM(D24:D33)</f>
        <v>1445030</v>
      </c>
      <c r="E34" s="44">
        <f>SUM(E24:E33)</f>
        <v>4776930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TRUNC(42995,-1)</f>
        <v>42990</v>
      </c>
      <c r="E40" s="62">
        <f t="shared" ref="E40:E59" si="1">TRUNC(+D40*3.3058,-1)</f>
        <v>142110</v>
      </c>
    </row>
    <row r="41" spans="1:7" x14ac:dyDescent="0.3">
      <c r="A41" s="2">
        <v>2</v>
      </c>
      <c r="C41" s="38" t="s">
        <v>13</v>
      </c>
      <c r="D41" s="42">
        <f>TRUNC(162813,-1)</f>
        <v>162810</v>
      </c>
      <c r="E41" s="63">
        <f t="shared" si="1"/>
        <v>538210</v>
      </c>
    </row>
    <row r="42" spans="1:7" x14ac:dyDescent="0.3">
      <c r="A42" s="2">
        <v>3</v>
      </c>
      <c r="C42" s="38" t="s">
        <v>14</v>
      </c>
      <c r="D42" s="42">
        <v>260</v>
      </c>
      <c r="E42" s="63">
        <f t="shared" si="1"/>
        <v>850</v>
      </c>
    </row>
    <row r="43" spans="1:7" x14ac:dyDescent="0.3">
      <c r="A43" s="2">
        <v>4</v>
      </c>
      <c r="C43" s="38" t="s">
        <v>16</v>
      </c>
      <c r="D43" s="42">
        <f>TRUNC(29675,-1)</f>
        <v>29670</v>
      </c>
      <c r="E43" s="63">
        <f t="shared" si="1"/>
        <v>98080</v>
      </c>
    </row>
    <row r="44" spans="1:7" x14ac:dyDescent="0.3">
      <c r="A44" s="2">
        <v>5</v>
      </c>
      <c r="C44" s="38" t="s">
        <v>17</v>
      </c>
      <c r="D44" s="42">
        <f>TRUNC(31202,-1)</f>
        <v>31200</v>
      </c>
      <c r="E44" s="63">
        <f t="shared" si="1"/>
        <v>103140</v>
      </c>
    </row>
    <row r="45" spans="1:7" x14ac:dyDescent="0.3">
      <c r="A45" s="2">
        <v>6</v>
      </c>
      <c r="C45" s="38" t="s">
        <v>18</v>
      </c>
      <c r="D45" s="42">
        <f>TRUNC(8989,-1)</f>
        <v>8980</v>
      </c>
      <c r="E45" s="63">
        <f t="shared" si="1"/>
        <v>29680</v>
      </c>
    </row>
    <row r="46" spans="1:7" x14ac:dyDescent="0.3">
      <c r="A46" s="2">
        <v>7</v>
      </c>
      <c r="C46" s="38" t="s">
        <v>19</v>
      </c>
      <c r="D46" s="42">
        <f>TRUNC(56331,-1)</f>
        <v>56330</v>
      </c>
      <c r="E46" s="63">
        <f t="shared" si="1"/>
        <v>186210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TRUNC(33927,-1)</f>
        <v>33920</v>
      </c>
      <c r="E48" s="63">
        <f t="shared" si="1"/>
        <v>112130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TRUNC(15245,-1)</f>
        <v>15240</v>
      </c>
      <c r="E49" s="63">
        <f t="shared" si="1"/>
        <v>50380</v>
      </c>
    </row>
    <row r="50" spans="1:7" x14ac:dyDescent="0.3">
      <c r="A50" s="2">
        <v>11</v>
      </c>
      <c r="C50" s="38" t="s">
        <v>156</v>
      </c>
      <c r="D50" s="42">
        <f>TRUNC(39796,-1)</f>
        <v>39790</v>
      </c>
      <c r="E50" s="63">
        <f t="shared" si="1"/>
        <v>131530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TRUNC(9509,-1)</f>
        <v>9500</v>
      </c>
      <c r="E52" s="63">
        <f t="shared" si="1"/>
        <v>31400</v>
      </c>
    </row>
    <row r="53" spans="1:7" x14ac:dyDescent="0.3">
      <c r="A53" s="2">
        <v>14</v>
      </c>
      <c r="C53" s="38" t="s">
        <v>25</v>
      </c>
      <c r="D53" s="42">
        <f>TRUNC(60892,-1)</f>
        <v>60890</v>
      </c>
      <c r="E53" s="63">
        <f t="shared" si="1"/>
        <v>201290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TRUNC(22037+28854+3746+20712,-1)</f>
        <v>75340</v>
      </c>
      <c r="E58" s="63">
        <f t="shared" si="1"/>
        <v>249050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v>238620</v>
      </c>
      <c r="E59" s="64">
        <f t="shared" si="1"/>
        <v>788820</v>
      </c>
    </row>
    <row r="60" spans="1:7" x14ac:dyDescent="0.3">
      <c r="A60" s="2">
        <v>21</v>
      </c>
      <c r="C60" s="27" t="s">
        <v>112</v>
      </c>
      <c r="D60" s="39">
        <f>SUM(D40:D59)</f>
        <v>805540</v>
      </c>
      <c r="E60" s="39">
        <f>SUM(E40:E59)</f>
        <v>2662880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TRUNC(4611,-1)</f>
        <v>4610</v>
      </c>
      <c r="E63" s="62">
        <f>TRUNC(+D63*3.3058,-1)</f>
        <v>15230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4610</v>
      </c>
      <c r="E66" s="65">
        <f>SUM(E63:E65)</f>
        <v>15230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TRUNC(8475,-1)</f>
        <v>8470</v>
      </c>
      <c r="E98" s="62">
        <f t="shared" ref="E98:E118" si="3">TRUNC(+D98*3.3058,-1)</f>
        <v>28000</v>
      </c>
    </row>
    <row r="99" spans="1:7" x14ac:dyDescent="0.3">
      <c r="A99" s="2">
        <v>2</v>
      </c>
      <c r="C99" s="38" t="s">
        <v>40</v>
      </c>
      <c r="D99" s="42">
        <f>TRUNC(3306,-1)</f>
        <v>3300</v>
      </c>
      <c r="E99" s="63">
        <f t="shared" si="3"/>
        <v>10900</v>
      </c>
    </row>
    <row r="100" spans="1:7" x14ac:dyDescent="0.3">
      <c r="A100" s="2">
        <v>3</v>
      </c>
      <c r="C100" s="38" t="s">
        <v>41</v>
      </c>
      <c r="D100" s="42">
        <f>TRUNC(22428,-1)</f>
        <v>22420</v>
      </c>
      <c r="E100" s="63">
        <f t="shared" si="3"/>
        <v>74110</v>
      </c>
    </row>
    <row r="101" spans="1:7" x14ac:dyDescent="0.3">
      <c r="A101" s="2">
        <v>4</v>
      </c>
      <c r="C101" s="38" t="s">
        <v>42</v>
      </c>
      <c r="D101" s="42">
        <f>TRUNC(1552,-1)</f>
        <v>1550</v>
      </c>
      <c r="E101" s="63">
        <f t="shared" si="3"/>
        <v>5120</v>
      </c>
    </row>
    <row r="102" spans="1:7" x14ac:dyDescent="0.3">
      <c r="A102" s="2">
        <v>5</v>
      </c>
      <c r="C102" s="38" t="s">
        <v>43</v>
      </c>
      <c r="D102" s="42">
        <f>TRUNC(14214,-1)</f>
        <v>14210</v>
      </c>
      <c r="E102" s="63">
        <f t="shared" si="3"/>
        <v>46970</v>
      </c>
    </row>
    <row r="103" spans="1:7" x14ac:dyDescent="0.3">
      <c r="A103" s="2">
        <v>6</v>
      </c>
      <c r="C103" s="38" t="s">
        <v>44</v>
      </c>
      <c r="D103" s="42">
        <f>TRUNC(3791,-1)</f>
        <v>3790</v>
      </c>
      <c r="E103" s="63">
        <f t="shared" si="3"/>
        <v>12520</v>
      </c>
    </row>
    <row r="104" spans="1:7" x14ac:dyDescent="0.3">
      <c r="A104" s="2">
        <v>7</v>
      </c>
      <c r="C104" s="38" t="s">
        <v>45</v>
      </c>
      <c r="D104" s="42">
        <f>TRUNC(3133,-1)</f>
        <v>3130</v>
      </c>
      <c r="E104" s="63">
        <f t="shared" si="3"/>
        <v>10340</v>
      </c>
    </row>
    <row r="105" spans="1:7" x14ac:dyDescent="0.3">
      <c r="A105" s="2">
        <v>8</v>
      </c>
      <c r="C105" s="38" t="s">
        <v>46</v>
      </c>
      <c r="D105" s="42">
        <f>TRUNC(1723,-1)</f>
        <v>1720</v>
      </c>
      <c r="E105" s="63">
        <f t="shared" si="3"/>
        <v>5680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TRUNC(5866,-1)</f>
        <v>5860</v>
      </c>
      <c r="E116" s="63">
        <f t="shared" si="3"/>
        <v>19370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TRUNC(119185,-1)</f>
        <v>119180</v>
      </c>
      <c r="E117" s="63">
        <f t="shared" si="3"/>
        <v>393980</v>
      </c>
    </row>
    <row r="118" spans="1:7" ht="17.25" thickBot="1" x14ac:dyDescent="0.35">
      <c r="A118" s="2">
        <v>21</v>
      </c>
      <c r="C118" s="38" t="s">
        <v>47</v>
      </c>
      <c r="D118" s="43">
        <f>TRUNC(9689,-1)</f>
        <v>9680</v>
      </c>
      <c r="E118" s="64">
        <f t="shared" si="3"/>
        <v>32000</v>
      </c>
    </row>
    <row r="119" spans="1:7" x14ac:dyDescent="0.3">
      <c r="A119" s="2">
        <v>22</v>
      </c>
      <c r="C119" s="27" t="s">
        <v>112</v>
      </c>
      <c r="D119" s="39">
        <f>SUM(D98:D118)</f>
        <v>193310</v>
      </c>
      <c r="E119" s="39">
        <f>SUM(E98:E118)</f>
        <v>638990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TRUNC(4237,-1)</f>
        <v>4230</v>
      </c>
      <c r="E122" s="62">
        <f t="shared" ref="E122:E132" si="4">TRUNC(+D122*3.3058,-1)</f>
        <v>13980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1320</v>
      </c>
      <c r="E124" s="63">
        <f t="shared" si="4"/>
        <v>4360</v>
      </c>
    </row>
    <row r="125" spans="1:7" x14ac:dyDescent="0.3">
      <c r="A125" s="2">
        <v>4</v>
      </c>
      <c r="C125" s="38" t="s">
        <v>138</v>
      </c>
      <c r="D125" s="42">
        <f>TRUNC(6691,-1)</f>
        <v>6690</v>
      </c>
      <c r="E125" s="63">
        <f t="shared" si="4"/>
        <v>22110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TRUNC(2953,-1)</f>
        <v>2950</v>
      </c>
      <c r="E128" s="63">
        <f t="shared" si="4"/>
        <v>9750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TRUNC(16244,-1)</f>
        <v>16240</v>
      </c>
      <c r="E130" s="63">
        <f t="shared" si="4"/>
        <v>53680</v>
      </c>
    </row>
    <row r="131" spans="1:7" x14ac:dyDescent="0.3">
      <c r="A131" s="2">
        <v>10</v>
      </c>
      <c r="C131" s="38" t="s">
        <v>149</v>
      </c>
      <c r="D131" s="42">
        <f>TRUNC(19391,-1)</f>
        <v>19390</v>
      </c>
      <c r="E131" s="63">
        <f t="shared" si="4"/>
        <v>64090</v>
      </c>
    </row>
    <row r="132" spans="1:7" ht="18" thickBot="1" x14ac:dyDescent="0.35">
      <c r="A132" s="2">
        <v>11</v>
      </c>
      <c r="C132" s="38" t="s">
        <v>47</v>
      </c>
      <c r="D132" s="43">
        <f>TRUNC(2005+2887,-1)</f>
        <v>4890</v>
      </c>
      <c r="E132" s="64">
        <f t="shared" si="4"/>
        <v>16160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55710</v>
      </c>
      <c r="E133" s="39">
        <f>SUM(E122:E132)</f>
        <v>184130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TRUNC(3244+8370,-1)</f>
        <v>11610</v>
      </c>
      <c r="E137" s="63">
        <f t="shared" si="5"/>
        <v>38380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TRUNC(3074,-1)</f>
        <v>3070</v>
      </c>
      <c r="E139" s="63">
        <f t="shared" si="5"/>
        <v>10140</v>
      </c>
    </row>
    <row r="140" spans="1:7" x14ac:dyDescent="0.3">
      <c r="A140" s="2">
        <v>5</v>
      </c>
      <c r="C140" s="38" t="s">
        <v>57</v>
      </c>
      <c r="D140" s="42">
        <v>2940</v>
      </c>
      <c r="E140" s="63">
        <f t="shared" si="5"/>
        <v>9710</v>
      </c>
    </row>
    <row r="141" spans="1:7" x14ac:dyDescent="0.3">
      <c r="A141" s="2">
        <v>6</v>
      </c>
      <c r="C141" s="38" t="s">
        <v>59</v>
      </c>
      <c r="D141" s="42">
        <f>TRUNC(10227,-1)</f>
        <v>10220</v>
      </c>
      <c r="E141" s="63">
        <f t="shared" si="5"/>
        <v>33780</v>
      </c>
    </row>
    <row r="142" spans="1:7" x14ac:dyDescent="0.3">
      <c r="A142" s="2">
        <v>7</v>
      </c>
      <c r="C142" s="38" t="s">
        <v>58</v>
      </c>
      <c r="D142" s="42">
        <f>TRUNC(5038,-1)</f>
        <v>5030</v>
      </c>
      <c r="E142" s="63">
        <f t="shared" si="5"/>
        <v>16620</v>
      </c>
    </row>
    <row r="143" spans="1:7" x14ac:dyDescent="0.3">
      <c r="A143" s="2">
        <v>8</v>
      </c>
      <c r="C143" s="38" t="s">
        <v>62</v>
      </c>
      <c r="D143" s="42">
        <f>TRUNC(3804,-1)</f>
        <v>3800</v>
      </c>
      <c r="E143" s="63">
        <f t="shared" si="5"/>
        <v>12560</v>
      </c>
    </row>
    <row r="144" spans="1:7" x14ac:dyDescent="0.3">
      <c r="A144" s="2">
        <v>9</v>
      </c>
      <c r="C144" s="38" t="s">
        <v>63</v>
      </c>
      <c r="D144" s="42">
        <f>TRUNC(5417,-1)</f>
        <v>5410</v>
      </c>
      <c r="E144" s="63">
        <f t="shared" si="5"/>
        <v>17880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42080</v>
      </c>
      <c r="E146" s="39">
        <f>SUM(E136:E145)</f>
        <v>139070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8210+1070</f>
        <v>9280</v>
      </c>
      <c r="E149" s="62">
        <f>TRUNC(+D149*3.3058,-1)</f>
        <v>30670</v>
      </c>
    </row>
    <row r="150" spans="1:7" x14ac:dyDescent="0.3">
      <c r="A150" s="2">
        <v>2</v>
      </c>
      <c r="C150" s="38" t="s">
        <v>49</v>
      </c>
      <c r="D150" s="42">
        <f>TRUNC(10119,-1)</f>
        <v>10110</v>
      </c>
      <c r="E150" s="63">
        <f>TRUNC(+D150*3.3058,-1)</f>
        <v>33420</v>
      </c>
    </row>
    <row r="151" spans="1:7" x14ac:dyDescent="0.3">
      <c r="A151" s="2">
        <v>3</v>
      </c>
      <c r="C151" s="38" t="s">
        <v>50</v>
      </c>
      <c r="D151" s="42">
        <f>TRUNC(7875,-1)</f>
        <v>7870</v>
      </c>
      <c r="E151" s="63">
        <f>TRUNC(+D151*3.3058,-1)</f>
        <v>26010</v>
      </c>
    </row>
    <row r="152" spans="1:7" x14ac:dyDescent="0.3">
      <c r="A152" s="2">
        <v>4</v>
      </c>
      <c r="C152" s="38" t="s">
        <v>47</v>
      </c>
      <c r="D152" s="42">
        <f>TRUNC(172+4685,-1)</f>
        <v>4850</v>
      </c>
      <c r="E152" s="63">
        <f>TRUNC(+D152*3.3058,-1)</f>
        <v>16030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32110</v>
      </c>
      <c r="E154" s="39">
        <f>SUM(E149:E153)</f>
        <v>106130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2020-12-08T01:17:32Z</dcterms:modified>
</cp:coreProperties>
</file>