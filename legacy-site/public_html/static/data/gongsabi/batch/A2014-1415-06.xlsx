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13" i="4" l="1"/>
  <c r="E160" i="4" l="1"/>
  <c r="E159" i="4"/>
  <c r="E158" i="4"/>
  <c r="E157" i="4"/>
  <c r="E161" i="4" s="1"/>
  <c r="E153" i="4"/>
  <c r="E151" i="4"/>
  <c r="E150" i="4"/>
  <c r="E149" i="4"/>
  <c r="E145" i="4"/>
  <c r="E144" i="4"/>
  <c r="E143" i="4"/>
  <c r="E142" i="4"/>
  <c r="E141" i="4"/>
  <c r="E140" i="4"/>
  <c r="E139" i="4"/>
  <c r="E138" i="4"/>
  <c r="E136" i="4"/>
  <c r="E131" i="4"/>
  <c r="E130" i="4"/>
  <c r="E129" i="4"/>
  <c r="E128" i="4"/>
  <c r="E127" i="4"/>
  <c r="E126" i="4"/>
  <c r="E125" i="4"/>
  <c r="E124" i="4"/>
  <c r="E118" i="4"/>
  <c r="E117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0" i="4"/>
  <c r="E99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7" i="4"/>
  <c r="E76" i="4"/>
  <c r="E75" i="4"/>
  <c r="E74" i="4"/>
  <c r="E73" i="4"/>
  <c r="E71" i="4"/>
  <c r="E70" i="4"/>
  <c r="E65" i="4"/>
  <c r="E64" i="4"/>
  <c r="E63" i="4"/>
  <c r="E59" i="4"/>
  <c r="E57" i="4"/>
  <c r="E56" i="4"/>
  <c r="E54" i="4"/>
  <c r="E42" i="4"/>
  <c r="E37" i="4"/>
  <c r="E66" i="4" l="1"/>
  <c r="D58" i="4"/>
  <c r="E58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1" i="4"/>
  <c r="E41" i="4" s="1"/>
  <c r="D40" i="4"/>
  <c r="E40" i="4" s="1"/>
  <c r="D94" i="4"/>
  <c r="E94" i="4" s="1"/>
  <c r="E95" i="4" s="1"/>
  <c r="D78" i="4"/>
  <c r="E78" i="4" s="1"/>
  <c r="D72" i="4"/>
  <c r="E72" i="4" s="1"/>
  <c r="D69" i="4"/>
  <c r="E69" i="4" s="1"/>
  <c r="D116" i="4"/>
  <c r="E116" i="4" s="1"/>
  <c r="E119" i="4" s="1"/>
  <c r="D102" i="4"/>
  <c r="E102" i="4" s="1"/>
  <c r="D101" i="4"/>
  <c r="E101" i="4" s="1"/>
  <c r="D98" i="4"/>
  <c r="E98" i="4" s="1"/>
  <c r="D132" i="4"/>
  <c r="E132" i="4" s="1"/>
  <c r="D123" i="4"/>
  <c r="E123" i="4" s="1"/>
  <c r="D122" i="4"/>
  <c r="E122" i="4" s="1"/>
  <c r="D137" i="4"/>
  <c r="E137" i="4" s="1"/>
  <c r="E146" i="4" s="1"/>
  <c r="D152" i="4"/>
  <c r="E152" i="4" s="1"/>
  <c r="E154" i="4" s="1"/>
  <c r="E60" i="4" l="1"/>
  <c r="E133" i="4"/>
  <c r="D161" i="4"/>
  <c r="D154" i="4"/>
  <c r="D146" i="4"/>
  <c r="D133" i="4"/>
  <c r="D29" i="4" s="1"/>
  <c r="E29" i="4" s="1"/>
  <c r="D119" i="4"/>
  <c r="D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0" i="4"/>
  <c r="E30" i="4" s="1"/>
  <c r="D31" i="4"/>
  <c r="E31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8" i="4" l="1"/>
  <c r="D33" i="4"/>
  <c r="E33" i="4" l="1"/>
  <c r="E34" i="4"/>
  <c r="D34" i="4"/>
</calcChain>
</file>

<file path=xl/sharedStrings.xml><?xml version="1.0" encoding="utf-8"?>
<sst xmlns="http://schemas.openxmlformats.org/spreadsheetml/2006/main" count="389" uniqueCount="265">
  <si>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</si>
  <si>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</si>
  <si>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</si>
  <si>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</si>
  <si>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</si>
  <si>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</si>
  <si>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</si>
  <si>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</si>
  <si>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</si>
  <si>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</si>
  <si>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</si>
  <si>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</si>
  <si>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</si>
  <si>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</si>
  <si>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</si>
  <si>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</si>
  <si>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</si>
  <si>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</si>
  <si>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</si>
  <si>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</si>
  <si>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</si>
  <si>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</si>
  <si>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</si>
  <si>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</si>
  <si>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</si>
  <si>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</si>
  <si>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</si>
  <si>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</si>
  <si>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</si>
  <si>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</si>
  <si>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</si>
  <si>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</si>
  <si>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</si>
  <si>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</si>
  <si>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</si>
  <si>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</si>
  <si>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</si>
  <si>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</si>
  <si>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</si>
  <si>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</si>
  <si>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</si>
  <si>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</si>
  <si>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</si>
  <si>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</si>
  <si>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</si>
  <si>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</si>
  <si>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</si>
  <si>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</si>
  <si>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</si>
  <si>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</si>
  <si>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</si>
  <si>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</si>
  <si>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</si>
  <si>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</si>
  <si>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</si>
  <si>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</si>
  <si>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</si>
  <si>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</si>
  <si>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</si>
  <si>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</si>
  <si>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</si>
  <si>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</si>
  <si>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</si>
  <si>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</si>
  <si>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</si>
  <si>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</si>
  <si>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</si>
  <si>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</si>
  <si>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</si>
  <si>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</si>
  <si>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</si>
  <si>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</si>
  <si>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</si>
  <si>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</si>
  <si>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</si>
  <si>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</si>
  <si>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</si>
  <si>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</si>
  <si>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</si>
  <si>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</si>
  <si>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</si>
  <si>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</si>
  <si>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</si>
  <si>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</si>
  <si>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</si>
  <si>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</si>
  <si>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</si>
  <si>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</si>
  <si>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</si>
  <si>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</si>
  <si>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</si>
  <si>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</si>
  <si>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</si>
  <si>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</si>
  <si>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</si>
  <si>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</si>
  <si>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</si>
  <si>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</si>
  <si>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</si>
  <si>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</si>
  <si>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</si>
  <si>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</si>
  <si>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</si>
  <si>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</si>
  <si>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</si>
  <si>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</si>
  <si>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</si>
  <si>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</si>
  <si>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</si>
  <si>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</si>
  <si>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</si>
  <si>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</si>
  <si>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</si>
  <si>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</si>
  <si>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</si>
  <si>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</si>
  <si>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</si>
  <si>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</si>
  <si>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</si>
  <si>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</si>
  <si>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</si>
  <si>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</si>
  <si>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</si>
  <si>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</si>
  <si>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</si>
  <si>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</si>
  <si>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</si>
  <si>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</si>
  <si>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</si>
  <si>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</si>
  <si>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</si>
  <si>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</si>
  <si>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</si>
  <si>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</si>
  <si>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</si>
  <si>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</si>
  <si>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</si>
  <si>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</si>
  <si>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</si>
  <si>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</si>
  <si>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</si>
  <si>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</si>
  <si>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</si>
  <si>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</si>
  <si>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</si>
  <si>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</si>
  <si>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</si>
  <si>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</si>
  <si>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</si>
  <si>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</si>
  <si>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</si>
  <si>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</si>
  <si>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</si>
  <si>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</si>
  <si>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</si>
  <si>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</si>
  <si>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</si>
  <si>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</si>
  <si>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</si>
  <si>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</si>
  <si>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</si>
  <si>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</si>
  <si>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</si>
  <si>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</si>
  <si>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</si>
  <si>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</si>
  <si>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</si>
  <si>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</si>
  <si>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</si>
  <si>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</si>
  <si>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</si>
  <si>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</si>
  <si>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</si>
  <si>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</si>
  <si>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</si>
  <si>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</si>
  <si>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</si>
  <si>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</si>
  <si>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</si>
  <si>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</si>
  <si>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</si>
  <si>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</si>
  <si>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</si>
  <si>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</si>
  <si>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</si>
  <si>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</si>
  <si>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</si>
  <si>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</si>
  <si>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</si>
  <si>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</si>
  <si>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</si>
  <si>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</si>
  <si>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</si>
  <si>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</si>
  <si>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</si>
  <si>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</si>
  <si>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</si>
  <si>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</si>
  <si>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</si>
  <si>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</si>
  <si>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</si>
  <si>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</si>
  <si>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</si>
  <si>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</si>
  <si>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</si>
  <si>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</si>
  <si>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</si>
  <si>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</si>
  <si>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</si>
  <si>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</si>
  <si>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</si>
  <si>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</si>
  <si>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</si>
  <si>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</si>
  <si>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</si>
  <si>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</si>
  <si>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</si>
  <si>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</si>
  <si>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</si>
  <si>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</si>
  <si>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</si>
  <si>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</si>
  <si>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</si>
  <si>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</si>
  <si>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</si>
  <si>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</si>
  <si>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</si>
  <si>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</si>
  <si>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</si>
  <si>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</si>
  <si>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</si>
  <si>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</si>
  <si>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</si>
  <si>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</si>
  <si>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</si>
  <si>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</si>
  <si>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</si>
  <si>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</si>
  <si>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</si>
  <si>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</si>
  <si>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</si>
  <si>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</si>
  <si>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</si>
  <si>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</si>
  <si>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</si>
  <si>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</si>
  <si>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</si>
  <si>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</si>
  <si>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0000기상청 관사 신축</t>
    <phoneticPr fontId="2" type="noConversion"/>
  </si>
  <si>
    <t>대전시</t>
  </si>
  <si>
    <t>부대공사,부대토목공사</t>
    <phoneticPr fontId="2" type="noConversion"/>
  </si>
  <si>
    <t>기계 소화기구설치,전기소방</t>
    <phoneticPr fontId="2" type="noConversion"/>
  </si>
  <si>
    <t>통신인입설비공사,통신간선설비공사,비디오폰설비공사,CCTV설비공사</t>
    <phoneticPr fontId="2" type="noConversion"/>
  </si>
  <si>
    <t>전기간선설비공사</t>
    <phoneticPr fontId="2" type="noConversion"/>
  </si>
  <si>
    <t>난방배관배선 설비공사</t>
    <phoneticPr fontId="2" type="noConversion"/>
  </si>
  <si>
    <t>전기인입및분전반설비공사</t>
    <phoneticPr fontId="2" type="noConversion"/>
  </si>
  <si>
    <t>난방배관공사,위생배관공사</t>
    <phoneticPr fontId="2" type="noConversion"/>
  </si>
  <si>
    <t>토및지정공사,기타공사,골재및운반비,작업부산물</t>
    <phoneticPr fontId="2" type="noConversion"/>
  </si>
  <si>
    <t>원 /평</t>
    <phoneticPr fontId="2" type="noConversion"/>
  </si>
  <si>
    <t>숙박</t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</si>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</sst>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499</v>
      </c>
      <c r="D7" s="36">
        <f>+C7/3.3058</f>
        <v>150.94682073930667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258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972010</v>
      </c>
      <c r="E25" s="59">
        <f t="shared" si="0"/>
        <v>3213270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140500</v>
      </c>
      <c r="E27" s="59">
        <f t="shared" si="0"/>
        <v>464460</v>
      </c>
    </row>
    <row r="28" spans="1:5" x14ac:dyDescent="0.3">
      <c r="B28" s="2">
        <v>5</v>
      </c>
      <c r="C28" s="35" t="s">
        <v>97</v>
      </c>
      <c r="D28" s="45">
        <f>+D119</f>
        <v>114430</v>
      </c>
      <c r="E28" s="59">
        <f t="shared" si="0"/>
        <v>378280</v>
      </c>
    </row>
    <row r="29" spans="1:5" x14ac:dyDescent="0.3">
      <c r="B29" s="2">
        <v>6</v>
      </c>
      <c r="C29" s="35" t="s">
        <v>98</v>
      </c>
      <c r="D29" s="45">
        <f>+D133</f>
        <v>88070</v>
      </c>
      <c r="E29" s="59">
        <f t="shared" si="0"/>
        <v>291140</v>
      </c>
    </row>
    <row r="30" spans="1:5" x14ac:dyDescent="0.3">
      <c r="B30" s="2">
        <v>7</v>
      </c>
      <c r="C30" s="35" t="s">
        <v>99</v>
      </c>
      <c r="D30" s="45">
        <f>+D146</f>
        <v>560</v>
      </c>
      <c r="E30" s="59">
        <f t="shared" si="0"/>
        <v>1850</v>
      </c>
    </row>
    <row r="31" spans="1:5" x14ac:dyDescent="0.3">
      <c r="B31" s="2">
        <v>8</v>
      </c>
      <c r="C31" s="35" t="s">
        <v>100</v>
      </c>
      <c r="D31" s="45">
        <f>+D154</f>
        <v>147970</v>
      </c>
      <c r="E31" s="59">
        <f t="shared" si="0"/>
        <v>489150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402470</v>
      </c>
      <c r="E33" s="60">
        <f t="shared" si="0"/>
        <v>1330480</v>
      </c>
    </row>
    <row r="34" spans="1:7" x14ac:dyDescent="0.3">
      <c r="C34" s="35" t="s">
        <v>112</v>
      </c>
      <c r="D34" s="44">
        <f>SUM(D24:D33)</f>
        <v>1866010</v>
      </c>
      <c r="E34" s="44">
        <f>SUM(E24:E33)</f>
        <v>6168630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260</v>
      </c>
      <c r="E39" s="67" t="s">
        <v>261</v>
      </c>
      <c r="G39" s="68"/>
    </row>
    <row r="40" spans="1:7" x14ac:dyDescent="0.3">
      <c r="A40" s="2">
        <v>1</v>
      </c>
      <c r="C40" s="38" t="s">
        <v>15</v>
      </c>
      <c r="D40" s="40">
        <f>TRUNC(53543,-1)</f>
        <v>53540</v>
      </c>
      <c r="E40" s="62">
        <f t="shared" ref="E40:E59" si="1">TRUNC(+D40*3.3058,-1)</f>
        <v>176990</v>
      </c>
    </row>
    <row r="41" spans="1:7" x14ac:dyDescent="0.3">
      <c r="A41" s="2">
        <v>2</v>
      </c>
      <c r="C41" s="38" t="s">
        <v>13</v>
      </c>
      <c r="D41" s="42">
        <f>TRUNC(239943,-1)</f>
        <v>239940</v>
      </c>
      <c r="E41" s="63">
        <f t="shared" si="1"/>
        <v>793190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TRUNC(16911,-1)</f>
        <v>16910</v>
      </c>
      <c r="E43" s="63">
        <f t="shared" si="1"/>
        <v>55900</v>
      </c>
    </row>
    <row r="44" spans="1:7" x14ac:dyDescent="0.3">
      <c r="A44" s="2">
        <v>5</v>
      </c>
      <c r="C44" s="38" t="s">
        <v>17</v>
      </c>
      <c r="D44" s="42">
        <f>TRUNC(34926,-1)</f>
        <v>34920</v>
      </c>
      <c r="E44" s="63">
        <f t="shared" si="1"/>
        <v>115430</v>
      </c>
    </row>
    <row r="45" spans="1:7" x14ac:dyDescent="0.3">
      <c r="A45" s="2">
        <v>6</v>
      </c>
      <c r="C45" s="38" t="s">
        <v>18</v>
      </c>
      <c r="D45" s="42">
        <f>TRUNC(27793,-1)</f>
        <v>27790</v>
      </c>
      <c r="E45" s="63">
        <f t="shared" si="1"/>
        <v>91860</v>
      </c>
    </row>
    <row r="46" spans="1:7" x14ac:dyDescent="0.3">
      <c r="A46" s="2">
        <v>7</v>
      </c>
      <c r="C46" s="38" t="s">
        <v>19</v>
      </c>
      <c r="D46" s="42">
        <f>TRUNC(59921,-1)</f>
        <v>59920</v>
      </c>
      <c r="E46" s="63">
        <f t="shared" si="1"/>
        <v>198080</v>
      </c>
    </row>
    <row r="47" spans="1:7" x14ac:dyDescent="0.3">
      <c r="A47" s="2">
        <v>8</v>
      </c>
      <c r="C47" s="38" t="s">
        <v>20</v>
      </c>
      <c r="D47" s="42">
        <f>TRUNC(28517,-1)</f>
        <v>28510</v>
      </c>
      <c r="E47" s="63">
        <f t="shared" si="1"/>
        <v>94240</v>
      </c>
    </row>
    <row r="48" spans="1:7" x14ac:dyDescent="0.3">
      <c r="A48" s="2">
        <v>9</v>
      </c>
      <c r="C48" s="38" t="s">
        <v>21</v>
      </c>
      <c r="D48" s="42">
        <f>TRUNC(37124,-1)</f>
        <v>37120</v>
      </c>
      <c r="E48" s="63">
        <f t="shared" si="1"/>
        <v>122710</v>
      </c>
    </row>
    <row r="49" spans="1:7" x14ac:dyDescent="0.3">
      <c r="A49" s="2">
        <v>10</v>
      </c>
      <c r="C49" s="38" t="s">
        <v>22</v>
      </c>
      <c r="D49" s="42">
        <f>TRUNC(32572,-1)</f>
        <v>32570</v>
      </c>
      <c r="E49" s="63">
        <f t="shared" si="1"/>
        <v>107660</v>
      </c>
    </row>
    <row r="50" spans="1:7" x14ac:dyDescent="0.3">
      <c r="A50" s="2">
        <v>11</v>
      </c>
      <c r="C50" s="38" t="s">
        <v>155</v>
      </c>
      <c r="D50" s="42">
        <f>TRUNC(121407,-1)</f>
        <v>121400</v>
      </c>
      <c r="E50" s="63">
        <f t="shared" si="1"/>
        <v>401320</v>
      </c>
    </row>
    <row r="51" spans="1:7" x14ac:dyDescent="0.3">
      <c r="A51" s="2">
        <v>12</v>
      </c>
      <c r="C51" s="38" t="s">
        <v>23</v>
      </c>
      <c r="D51" s="42">
        <f>TRUNC(27935,-1)</f>
        <v>27930</v>
      </c>
      <c r="E51" s="63">
        <f t="shared" si="1"/>
        <v>92330</v>
      </c>
    </row>
    <row r="52" spans="1:7" x14ac:dyDescent="0.3">
      <c r="A52" s="2">
        <v>13</v>
      </c>
      <c r="C52" s="38" t="s">
        <v>24</v>
      </c>
      <c r="D52" s="42">
        <f>TRUNC(22997,-1)</f>
        <v>22990</v>
      </c>
      <c r="E52" s="63">
        <f t="shared" si="1"/>
        <v>76000</v>
      </c>
    </row>
    <row r="53" spans="1:7" x14ac:dyDescent="0.3">
      <c r="A53" s="2">
        <v>14</v>
      </c>
      <c r="C53" s="38" t="s">
        <v>25</v>
      </c>
      <c r="D53" s="42">
        <f>TRUNC(166275,-1)</f>
        <v>166270</v>
      </c>
      <c r="E53" s="63">
        <f t="shared" si="1"/>
        <v>549650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TRUNC(4745,-1)</f>
        <v>4740</v>
      </c>
      <c r="E55" s="63">
        <f t="shared" si="1"/>
        <v>15660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TRUNC(13730+78436+6584-1286,-1)</f>
        <v>97460</v>
      </c>
      <c r="E58" s="63">
        <f t="shared" si="1"/>
        <v>322180</v>
      </c>
      <c r="F58" s="2" t="s">
        <v>257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972010</v>
      </c>
      <c r="E60" s="39">
        <f>SUM(E40:E59)</f>
        <v>3213200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TRUNC(12389,-1)</f>
        <v>12380</v>
      </c>
      <c r="E69" s="62">
        <f t="shared" ref="E69:E94" si="2">TRUNC(+D69*3.3058,-1)</f>
        <v>40920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TRUNC(32677,-1)</f>
        <v>32670</v>
      </c>
      <c r="E72" s="63">
        <f t="shared" si="2"/>
        <v>108000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f>TRUNC(2923,-1)</f>
        <v>2920</v>
      </c>
      <c r="E78" s="63">
        <f t="shared" si="2"/>
        <v>9650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TRUNC(22992+69543,-1)</f>
        <v>92530</v>
      </c>
      <c r="E94" s="64">
        <f t="shared" si="2"/>
        <v>305880</v>
      </c>
      <c r="F94" s="2" t="s">
        <v>256</v>
      </c>
    </row>
    <row r="95" spans="1:7" x14ac:dyDescent="0.3">
      <c r="A95" s="2">
        <v>27</v>
      </c>
      <c r="C95" s="27" t="s">
        <v>112</v>
      </c>
      <c r="D95" s="39">
        <f>SUM(D69:D94)</f>
        <v>140500</v>
      </c>
      <c r="E95" s="39">
        <f>SUM(E69:E94)</f>
        <v>464450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TRUNC(20420,-1)</f>
        <v>20420</v>
      </c>
      <c r="E98" s="62">
        <f t="shared" ref="E98:E118" si="3">TRUNC(+D98*3.3058,-1)</f>
        <v>67500</v>
      </c>
      <c r="F98" s="2" t="s">
        <v>253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3"/>
        <v>0</v>
      </c>
    </row>
    <row r="100" spans="1:7" x14ac:dyDescent="0.3">
      <c r="A100" s="2">
        <v>3</v>
      </c>
      <c r="C100" s="38" t="s">
        <v>41</v>
      </c>
      <c r="D100" s="42">
        <v>0</v>
      </c>
      <c r="E100" s="63">
        <f t="shared" si="3"/>
        <v>0</v>
      </c>
    </row>
    <row r="101" spans="1:7" x14ac:dyDescent="0.3">
      <c r="A101" s="2">
        <v>4</v>
      </c>
      <c r="C101" s="38" t="s">
        <v>42</v>
      </c>
      <c r="D101" s="42">
        <f>TRUNC(30693,-1)</f>
        <v>30690</v>
      </c>
      <c r="E101" s="63">
        <f t="shared" si="3"/>
        <v>101450</v>
      </c>
    </row>
    <row r="102" spans="1:7" x14ac:dyDescent="0.3">
      <c r="A102" s="2">
        <v>5</v>
      </c>
      <c r="C102" s="38" t="s">
        <v>43</v>
      </c>
      <c r="D102" s="42">
        <f>TRUNC(31512,-1)</f>
        <v>31510</v>
      </c>
      <c r="E102" s="63">
        <f t="shared" si="3"/>
        <v>104160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f>TRUNC(9344,-1)</f>
        <v>9340</v>
      </c>
      <c r="E113" s="63">
        <f t="shared" si="3"/>
        <v>30870</v>
      </c>
      <c r="F113" s="2" t="s">
        <v>254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TRUNC(22472,-1)</f>
        <v>22470</v>
      </c>
      <c r="E116" s="63">
        <f t="shared" si="3"/>
        <v>74280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114430</v>
      </c>
      <c r="E119" s="39">
        <f>SUM(E98:E118)</f>
        <v>378260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TRUNC(10075,-1)</f>
        <v>10070</v>
      </c>
      <c r="E122" s="62">
        <f t="shared" ref="E122:E132" si="4">TRUNC(+D122*3.3058,-1)</f>
        <v>33280</v>
      </c>
    </row>
    <row r="123" spans="1:7" x14ac:dyDescent="0.3">
      <c r="A123" s="2">
        <v>2</v>
      </c>
      <c r="C123" s="38" t="s">
        <v>124</v>
      </c>
      <c r="D123" s="42">
        <f>TRUNC(16447,-1)</f>
        <v>16440</v>
      </c>
      <c r="E123" s="63">
        <f t="shared" si="4"/>
        <v>54340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v>0</v>
      </c>
      <c r="E125" s="63">
        <f t="shared" si="4"/>
        <v>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TRUNC(16240+25259+17744+2323,-1)</f>
        <v>61560</v>
      </c>
      <c r="E132" s="64">
        <f t="shared" si="4"/>
        <v>203500</v>
      </c>
      <c r="F132" s="54" t="s">
        <v>252</v>
      </c>
    </row>
    <row r="133" spans="1:7" x14ac:dyDescent="0.3">
      <c r="A133" s="2">
        <v>12</v>
      </c>
      <c r="C133" s="27" t="s">
        <v>112</v>
      </c>
      <c r="D133" s="39">
        <f>SUM(D122:D132)</f>
        <v>88070</v>
      </c>
      <c r="E133" s="39">
        <f>SUM(E122:E132)</f>
        <v>291120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TRUNC(565,-1)</f>
        <v>560</v>
      </c>
      <c r="E137" s="63">
        <f t="shared" si="5"/>
        <v>1850</v>
      </c>
      <c r="F137" s="2" t="s">
        <v>251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560</v>
      </c>
      <c r="E146" s="39">
        <f>SUM(E136:E145)</f>
        <v>1850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TRUNC(120324+27652,-1)</f>
        <v>147970</v>
      </c>
      <c r="E152" s="63">
        <f>TRUNC(+D152*3.3058,-1)</f>
        <v>489150</v>
      </c>
      <c r="F152" s="2" t="s">
        <v>250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147970</v>
      </c>
      <c r="E154" s="39">
        <f>SUM(E149:E153)</f>
        <v>489150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2020-12-07T09:45:27Z</dcterms:modified>
</cp:coreProperties>
</file>