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59" i="4" l="1"/>
  <c r="D93" i="4"/>
  <c r="D117" i="4"/>
  <c r="D131" i="4"/>
  <c r="D153" i="4"/>
  <c r="D159" i="4"/>
  <c r="D158" i="4"/>
  <c r="D157" i="4"/>
  <c r="D152" i="4"/>
  <c r="D150" i="4"/>
  <c r="D149" i="4"/>
  <c r="D137" i="4"/>
  <c r="D144" i="4"/>
  <c r="D143" i="4"/>
  <c r="D139" i="4"/>
  <c r="D141" i="4"/>
  <c r="D142" i="4"/>
  <c r="D140" i="4"/>
  <c r="D132" i="4"/>
  <c r="D128" i="4"/>
  <c r="D124" i="4"/>
  <c r="D125" i="4"/>
  <c r="D122" i="4"/>
  <c r="D130" i="4"/>
  <c r="D118" i="4"/>
  <c r="D105" i="4"/>
  <c r="D104" i="4"/>
  <c r="D103" i="4"/>
  <c r="D102" i="4"/>
  <c r="D100" i="4"/>
  <c r="D99" i="4"/>
  <c r="D114" i="4"/>
  <c r="D98" i="4"/>
  <c r="D116" i="4"/>
  <c r="D75" i="4"/>
  <c r="D76" i="4"/>
  <c r="D92" i="4"/>
  <c r="D91" i="4"/>
  <c r="D89" i="4"/>
  <c r="D73" i="4"/>
  <c r="D71" i="4"/>
  <c r="D70" i="4"/>
  <c r="D69" i="4"/>
  <c r="D65" i="4"/>
  <c r="D63" i="4"/>
  <c r="D58" i="4"/>
  <c r="D53" i="4"/>
  <c r="D52" i="4"/>
  <c r="D50" i="4"/>
  <c r="D49" i="4"/>
  <c r="D48" i="4"/>
  <c r="D46" i="4"/>
  <c r="D45" i="4"/>
  <c r="D44" i="4"/>
  <c r="D43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6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66" i="4"/>
  <c r="D26" i="4" s="1"/>
  <c r="E26" i="4" s="1"/>
  <c r="D60" i="4"/>
  <c r="D25" i="4" s="1"/>
  <c r="D24" i="4"/>
  <c r="E24" i="4" s="1"/>
  <c r="D27" i="4"/>
  <c r="E27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<sst xmlns="http://schemas.openxmlformats.org/spreadsheetml/2006/main" count="395" uniqueCount="269">
  <si>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</si>
  <si>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</si>
  <si>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</si>
  <si>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</si>
  <si>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</si>
  <si>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</si>
  <si>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</si>
  <si>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</si>
  <si>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</si>
  <si>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</si>
  <si>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</si>
  <si>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</si>
  <si>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</si>
  <si>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</si>
  <si>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</si>
  <si>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</si>
  <si>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</si>
  <si>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</si>
  <si>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</si>
  <si>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</si>
  <si>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</si>
  <si>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</si>
  <si>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</si>
  <si>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</si>
  <si>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</si>
  <si>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</si>
  <si>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</si>
  <si>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</si>
  <si>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</si>
  <si>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</si>
  <si>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</si>
  <si>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</si>
  <si>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</si>
  <si>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</si>
  <si>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</si>
  <si>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</si>
  <si>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</si>
  <si>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</si>
  <si>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</si>
  <si>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</si>
  <si>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</si>
  <si>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</si>
  <si>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</si>
  <si>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</si>
  <si>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</si>
  <si>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</si>
  <si>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</si>
  <si>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</si>
  <si>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</si>
  <si>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</si>
  <si>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</si>
  <si>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</si>
  <si>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</si>
  <si>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</si>
  <si>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</si>
  <si>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</si>
  <si>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</si>
  <si>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</si>
  <si>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</si>
  <si>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</si>
  <si>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</si>
  <si>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</si>
  <si>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</si>
  <si>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</si>
  <si>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</si>
  <si>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</si>
  <si>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</si>
  <si>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</si>
  <si>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</si>
  <si>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</si>
  <si>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</si>
  <si>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</si>
  <si>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</si>
  <si>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</si>
  <si>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</si>
  <si>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</si>
  <si>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</si>
  <si>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</si>
  <si>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</si>
  <si>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</si>
  <si>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</si>
  <si>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</si>
  <si>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</si>
  <si>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</si>
  <si>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</si>
  <si>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</si>
  <si>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</si>
  <si>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</si>
  <si>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</si>
  <si>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</si>
  <si>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</si>
  <si>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</si>
  <si>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</si>
  <si>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</si>
  <si>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</si>
  <si>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</si>
  <si>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</si>
  <si>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</si>
  <si>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</si>
  <si>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</si>
  <si>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</si>
  <si>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</si>
  <si>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</si>
  <si>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</si>
  <si>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</si>
  <si>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</si>
  <si>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</si>
  <si>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</si>
  <si>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</si>
  <si>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</si>
  <si>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</si>
  <si>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</si>
  <si>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</si>
  <si>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</si>
  <si>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</si>
  <si>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</si>
  <si>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</si>
  <si>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</si>
  <si>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</si>
  <si>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</si>
  <si>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</si>
  <si>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</si>
  <si>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</si>
  <si>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</si>
  <si>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</si>
  <si>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</si>
  <si>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</si>
  <si>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</si>
  <si>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</si>
  <si>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</si>
  <si>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</si>
  <si>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</si>
  <si>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</si>
  <si>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</si>
  <si>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</si>
  <si>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</si>
  <si>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</si>
  <si>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</si>
  <si>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</si>
  <si>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</si>
  <si>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</si>
  <si>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</si>
  <si>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</si>
  <si>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</si>
  <si>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</si>
  <si>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</si>
  <si>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</si>
  <si>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</si>
  <si>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</si>
  <si>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</si>
  <si>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</si>
  <si>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</si>
  <si>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</si>
  <si>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</si>
  <si>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</si>
  <si>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</si>
  <si>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</si>
  <si>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</si>
  <si>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</si>
  <si>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</si>
  <si>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</si>
  <si>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</si>
  <si>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</si>
  <si>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</si>
  <si>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</si>
  <si>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</si>
  <si>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</si>
  <si>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</si>
  <si>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</si>
  <si>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</si>
  <si>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</si>
  <si>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</si>
  <si>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</si>
  <si>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</si>
  <si>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</si>
  <si>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</si>
  <si>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</si>
  <si>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</si>
  <si>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</si>
  <si>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</si>
  <si>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</si>
  <si>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</si>
  <si>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</si>
  <si>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</si>
  <si>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</si>
  <si>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</si>
  <si>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</si>
  <si>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</si>
  <si>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</si>
  <si>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</si>
  <si>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</si>
  <si>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</si>
  <si>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</si>
  <si>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</si>
  <si>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</si>
  <si>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</si>
  <si>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</si>
  <si>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</si>
  <si>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</si>
  <si>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</si>
  <si>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</si>
  <si>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</si>
  <si>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</si>
  <si>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</si>
  <si>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</si>
  <si>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</si>
  <si>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</si>
  <si>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</si>
  <si>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</si>
  <si>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</si>
  <si>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</si>
  <si>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</si>
  <si>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</si>
  <si>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</si>
  <si>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</si>
  <si>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</si>
  <si>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</si>
  <si>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</si>
  <si>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</si>
  <si>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</si>
  <si>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</si>
  <si>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</si>
  <si>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</si>
  <si>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</si>
  <si>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</si>
  <si>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</si>
  <si>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</si>
  <si>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</si>
  <si>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</si>
  <si>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</si>
  <si>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</si>
  <si>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</si>
  <si>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</si>
  <si>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</si>
  <si>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</si>
  <si>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</si>
  <si>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</si>
  <si>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</si>
  <si>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</si>
  <si>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</si>
  <si>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</si>
  <si>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</si>
  <si>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</si>
  <si>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</si>
  <si>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</si>
  <si>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</si>
  <si>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</si>
  <si>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</si>
  <si>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</si>
  <si>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한국국토정보공사 평택지사 신축사옥 건축공사(조경,기계,토목 포함)</t>
    <phoneticPr fontId="2" type="noConversion"/>
  </si>
  <si>
    <t>교육연구</t>
  </si>
  <si>
    <t>전라도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</si>
  <si>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</si>
  <si>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</si>
  <si>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</si>
  <si>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기초공사,골재비및운반비,작업부산물,품질시험비,기타공사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</si>
  <si>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</si>
  <si>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</si>
  <si>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</si>
  <si>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CCTV설비공사,주차관제설비공사</t>
    <phoneticPr fontId="2" type="noConversion"/>
  </si>
  <si>
    <t>펌프실배관공사</t>
    <phoneticPr fontId="2" type="noConversion"/>
  </si>
  <si>
    <t>오수공사</t>
    <phoneticPr fontId="2" type="noConversion"/>
  </si>
  <si>
    <t>사급자재비,운반비,기타공사</t>
    <phoneticPr fontId="2" type="noConversion"/>
  </si>
  <si>
    <t>포장공사,기타공사</t>
    <phoneticPr fontId="2" type="noConversion"/>
  </si>
  <si>
    <t>조경시설물</t>
    <phoneticPr fontId="2" type="noConversion"/>
  </si>
  <si>
    <t>공조배관공사,난방배관공사,바닥난방공사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</si>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</sst>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9234.39</v>
      </c>
      <c r="D7" s="36">
        <f>+C7/3.3058</f>
        <v>2793.3904047431784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592370</v>
      </c>
      <c r="E25" s="59">
        <f t="shared" si="0"/>
        <v>1958250</v>
      </c>
    </row>
    <row r="26" spans="1:5" x14ac:dyDescent="0.3">
      <c r="B26" s="2">
        <v>3</v>
      </c>
      <c r="C26" s="35" t="s">
        <v>95</v>
      </c>
      <c r="D26" s="45">
        <f>+D66</f>
        <v>32100</v>
      </c>
      <c r="E26" s="59">
        <f t="shared" si="0"/>
        <v>106110</v>
      </c>
    </row>
    <row r="27" spans="1:5" x14ac:dyDescent="0.3">
      <c r="B27" s="2">
        <v>4</v>
      </c>
      <c r="C27" s="35" t="s">
        <v>96</v>
      </c>
      <c r="D27" s="45">
        <f>+D95</f>
        <v>204240</v>
      </c>
      <c r="E27" s="59">
        <f t="shared" si="0"/>
        <v>675170</v>
      </c>
    </row>
    <row r="28" spans="1:5" x14ac:dyDescent="0.3">
      <c r="B28" s="2">
        <v>5</v>
      </c>
      <c r="C28" s="35" t="s">
        <v>97</v>
      </c>
      <c r="D28" s="45">
        <f>+D119</f>
        <v>118860</v>
      </c>
      <c r="E28" s="59">
        <f t="shared" si="0"/>
        <v>392920</v>
      </c>
    </row>
    <row r="29" spans="1:5" x14ac:dyDescent="0.3">
      <c r="B29" s="2">
        <v>6</v>
      </c>
      <c r="C29" s="35" t="s">
        <v>98</v>
      </c>
      <c r="D29" s="45">
        <f>+D133</f>
        <v>88300</v>
      </c>
      <c r="E29" s="59">
        <f t="shared" si="0"/>
        <v>291900</v>
      </c>
    </row>
    <row r="30" spans="1:5" x14ac:dyDescent="0.3">
      <c r="B30" s="2">
        <v>7</v>
      </c>
      <c r="C30" s="35" t="s">
        <v>99</v>
      </c>
      <c r="D30" s="45">
        <f>+D146</f>
        <v>50160</v>
      </c>
      <c r="E30" s="59">
        <f t="shared" si="0"/>
        <v>165810</v>
      </c>
    </row>
    <row r="31" spans="1:5" x14ac:dyDescent="0.3">
      <c r="B31" s="2">
        <v>8</v>
      </c>
      <c r="C31" s="35" t="s">
        <v>100</v>
      </c>
      <c r="D31" s="45">
        <f>+D154</f>
        <v>9520</v>
      </c>
      <c r="E31" s="59">
        <f t="shared" si="0"/>
        <v>31470</v>
      </c>
    </row>
    <row r="32" spans="1:5" x14ac:dyDescent="0.3">
      <c r="B32" s="2">
        <v>9</v>
      </c>
      <c r="C32" s="35" t="s">
        <v>101</v>
      </c>
      <c r="D32" s="45">
        <f>+D161</f>
        <v>15030</v>
      </c>
      <c r="E32" s="59">
        <f t="shared" si="0"/>
        <v>49680</v>
      </c>
    </row>
    <row r="33" spans="1:7" x14ac:dyDescent="0.3">
      <c r="B33" s="2">
        <v>10</v>
      </c>
      <c r="C33" s="35" t="s">
        <v>154</v>
      </c>
      <c r="D33" s="53">
        <f>TRUNC(SUM(D24:D32)*0.275,-1)</f>
        <v>305400</v>
      </c>
      <c r="E33" s="60">
        <f t="shared" si="0"/>
        <v>1009590</v>
      </c>
    </row>
    <row r="34" spans="1:7" x14ac:dyDescent="0.3">
      <c r="C34" s="35" t="s">
        <v>112</v>
      </c>
      <c r="D34" s="44">
        <f>SUM(D24:D33)</f>
        <v>1415980</v>
      </c>
      <c r="E34" s="44">
        <f>SUM(E24:E33)</f>
        <v>4680900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235</v>
      </c>
      <c r="E39" s="57" t="s">
        <v>236</v>
      </c>
      <c r="G39" s="55"/>
    </row>
    <row r="40" spans="1:7" x14ac:dyDescent="0.3">
      <c r="A40" s="2">
        <v>1</v>
      </c>
      <c r="C40" s="38" t="s">
        <v>15</v>
      </c>
      <c r="D40" s="40">
        <f>TRUNC(45066,-1)</f>
        <v>45060</v>
      </c>
      <c r="E40" s="62">
        <f t="shared" ref="E40:E59" si="1">TRUNC(+D40*3.3058,-1)</f>
        <v>148950</v>
      </c>
    </row>
    <row r="41" spans="1:7" x14ac:dyDescent="0.3">
      <c r="A41" s="2">
        <v>2</v>
      </c>
      <c r="C41" s="38" t="s">
        <v>13</v>
      </c>
      <c r="D41" s="42">
        <f>TRUNC(141657,-1)</f>
        <v>141650</v>
      </c>
      <c r="E41" s="63">
        <f t="shared" si="1"/>
        <v>468260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TRUNC(10144,-1)</f>
        <v>10140</v>
      </c>
      <c r="E43" s="63">
        <f t="shared" si="1"/>
        <v>33520</v>
      </c>
    </row>
    <row r="44" spans="1:7" x14ac:dyDescent="0.3">
      <c r="A44" s="2">
        <v>5</v>
      </c>
      <c r="C44" s="38" t="s">
        <v>17</v>
      </c>
      <c r="D44" s="42">
        <f>TRUNC(21310,-1)</f>
        <v>21310</v>
      </c>
      <c r="E44" s="63">
        <f t="shared" si="1"/>
        <v>70440</v>
      </c>
    </row>
    <row r="45" spans="1:7" x14ac:dyDescent="0.3">
      <c r="A45" s="2">
        <v>6</v>
      </c>
      <c r="C45" s="38" t="s">
        <v>18</v>
      </c>
      <c r="D45" s="42">
        <f>TRUNC(5244,-1)</f>
        <v>5240</v>
      </c>
      <c r="E45" s="63">
        <f t="shared" si="1"/>
        <v>17320</v>
      </c>
    </row>
    <row r="46" spans="1:7" x14ac:dyDescent="0.3">
      <c r="A46" s="2">
        <v>7</v>
      </c>
      <c r="C46" s="38" t="s">
        <v>19</v>
      </c>
      <c r="D46" s="42">
        <f>TRUNC(38581,-1)</f>
        <v>38580</v>
      </c>
      <c r="E46" s="63">
        <f t="shared" si="1"/>
        <v>127530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TRUNC(16644,-1)</f>
        <v>16640</v>
      </c>
      <c r="E48" s="63">
        <f t="shared" si="1"/>
        <v>55000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TRUNC(11764,-1)</f>
        <v>11760</v>
      </c>
      <c r="E49" s="63">
        <f t="shared" si="1"/>
        <v>38870</v>
      </c>
    </row>
    <row r="50" spans="1:7" x14ac:dyDescent="0.3">
      <c r="A50" s="2">
        <v>11</v>
      </c>
      <c r="C50" s="38" t="s">
        <v>155</v>
      </c>
      <c r="D50" s="42">
        <f>TRUNC(21938,-1)</f>
        <v>21930</v>
      </c>
      <c r="E50" s="63">
        <f t="shared" si="1"/>
        <v>72490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TRUNC(14259,-1)</f>
        <v>14250</v>
      </c>
      <c r="E52" s="63">
        <f t="shared" si="1"/>
        <v>47100</v>
      </c>
    </row>
    <row r="53" spans="1:7" x14ac:dyDescent="0.3">
      <c r="A53" s="2">
        <v>14</v>
      </c>
      <c r="C53" s="38" t="s">
        <v>25</v>
      </c>
      <c r="D53" s="42">
        <f>TRUNC(34749,-1)</f>
        <v>34740</v>
      </c>
      <c r="E53" s="63">
        <f t="shared" si="1"/>
        <v>114840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TRUNC(63702+40+5848-453+490+4330,-1)</f>
        <v>73950</v>
      </c>
      <c r="E58" s="63">
        <f t="shared" si="1"/>
        <v>244460</v>
      </c>
      <c r="F58" s="2" t="s">
        <v>255</v>
      </c>
    </row>
    <row r="59" spans="1:7" ht="17.25" thickBot="1" x14ac:dyDescent="0.35">
      <c r="A59" s="2">
        <v>20</v>
      </c>
      <c r="C59" s="38" t="s">
        <v>148</v>
      </c>
      <c r="D59" s="43">
        <f>TRUNC(157120,-1)</f>
        <v>157120</v>
      </c>
      <c r="E59" s="64">
        <f t="shared" si="1"/>
        <v>519400</v>
      </c>
    </row>
    <row r="60" spans="1:7" x14ac:dyDescent="0.3">
      <c r="A60" s="2">
        <v>21</v>
      </c>
      <c r="C60" s="27" t="s">
        <v>112</v>
      </c>
      <c r="D60" s="39">
        <f>SUM(D40:D59)</f>
        <v>592370</v>
      </c>
      <c r="E60" s="39">
        <f>SUM(E40:E59)</f>
        <v>1958180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TRUNC(26656,-1)</f>
        <v>26650</v>
      </c>
      <c r="E63" s="62">
        <f>TRUNC(+D63*3.3058,-1)</f>
        <v>88090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TRUNC(5452,-1)</f>
        <v>5450</v>
      </c>
      <c r="E65" s="64">
        <f>TRUNC(+D65*3.3058,-1)</f>
        <v>18010</v>
      </c>
    </row>
    <row r="66" spans="1:7" x14ac:dyDescent="0.3">
      <c r="A66" s="2">
        <v>4</v>
      </c>
      <c r="C66" s="27" t="s">
        <v>112</v>
      </c>
      <c r="D66" s="39">
        <f>SUM(D63:D65)</f>
        <v>32100</v>
      </c>
      <c r="E66" s="65">
        <f>SUM(E63:E65)</f>
        <v>106100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TRUNC(13188,-1)</f>
        <v>13180</v>
      </c>
      <c r="E69" s="62">
        <f t="shared" ref="E69:E94" si="2">TRUNC(+D69*3.3058,-1)</f>
        <v>43570</v>
      </c>
    </row>
    <row r="70" spans="1:7" ht="16.5" customHeight="1" x14ac:dyDescent="0.3">
      <c r="A70" s="2">
        <v>2</v>
      </c>
      <c r="C70" s="38" t="s">
        <v>31</v>
      </c>
      <c r="D70" s="42">
        <f>TRUNC(218,-1)</f>
        <v>210</v>
      </c>
      <c r="E70" s="63">
        <f t="shared" si="2"/>
        <v>690</v>
      </c>
    </row>
    <row r="71" spans="1:7" x14ac:dyDescent="0.3">
      <c r="A71" s="2">
        <v>3</v>
      </c>
      <c r="C71" s="38" t="s">
        <v>32</v>
      </c>
      <c r="D71" s="42">
        <f>TRUNC(18262,-1)</f>
        <v>18260</v>
      </c>
      <c r="E71" s="63">
        <f t="shared" si="2"/>
        <v>60360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TRUNC(6701,-1)</f>
        <v>6700</v>
      </c>
      <c r="E73" s="63">
        <f t="shared" si="2"/>
        <v>22140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TRUNC(1004,-1)</f>
        <v>1000</v>
      </c>
      <c r="E75" s="63">
        <f t="shared" si="2"/>
        <v>3300</v>
      </c>
    </row>
    <row r="76" spans="1:7" x14ac:dyDescent="0.3">
      <c r="A76" s="2">
        <v>8</v>
      </c>
      <c r="C76" s="38" t="s">
        <v>119</v>
      </c>
      <c r="D76" s="42">
        <f>TRUNC(30331,-1)</f>
        <v>30330</v>
      </c>
      <c r="E76" s="63">
        <f t="shared" si="2"/>
        <v>100260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TRUNC(4719,-1)</f>
        <v>4710</v>
      </c>
      <c r="E89" s="63">
        <f t="shared" si="2"/>
        <v>15570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TRUNC(9201,-1)</f>
        <v>9200</v>
      </c>
      <c r="E91" s="63">
        <f t="shared" si="2"/>
        <v>30410</v>
      </c>
    </row>
    <row r="92" spans="1:7" x14ac:dyDescent="0.3">
      <c r="A92" s="2">
        <v>24</v>
      </c>
      <c r="C92" s="38" t="s">
        <v>38</v>
      </c>
      <c r="D92" s="42">
        <f>TRUNC(4549,-1)</f>
        <v>4540</v>
      </c>
      <c r="E92" s="63">
        <f t="shared" si="2"/>
        <v>15000</v>
      </c>
    </row>
    <row r="93" spans="1:7" x14ac:dyDescent="0.3">
      <c r="A93" s="2">
        <v>25</v>
      </c>
      <c r="C93" s="38" t="s">
        <v>148</v>
      </c>
      <c r="D93" s="42">
        <f>TRUNC(102422,-1)</f>
        <v>102420</v>
      </c>
      <c r="E93" s="63">
        <f t="shared" si="2"/>
        <v>338580</v>
      </c>
    </row>
    <row r="94" spans="1:7" ht="17.25" thickBot="1" x14ac:dyDescent="0.35">
      <c r="A94" s="2">
        <v>26</v>
      </c>
      <c r="C94" s="38" t="s">
        <v>47</v>
      </c>
      <c r="D94" s="43">
        <f>TRUNC(12107+956+629,-1)</f>
        <v>13690</v>
      </c>
      <c r="E94" s="64">
        <f t="shared" si="2"/>
        <v>45250</v>
      </c>
      <c r="F94" s="2" t="s">
        <v>265</v>
      </c>
    </row>
    <row r="95" spans="1:7" x14ac:dyDescent="0.3">
      <c r="A95" s="2">
        <v>27</v>
      </c>
      <c r="C95" s="27" t="s">
        <v>112</v>
      </c>
      <c r="D95" s="39">
        <f>SUM(D69:D94)</f>
        <v>204240</v>
      </c>
      <c r="E95" s="39">
        <f>SUM(E69:E94)</f>
        <v>675130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TRUNC(5542,-1)</f>
        <v>5540</v>
      </c>
      <c r="E98" s="62">
        <f t="shared" ref="E98:E118" si="3">TRUNC(+D98*3.3058,-1)</f>
        <v>18310</v>
      </c>
    </row>
    <row r="99" spans="1:7" x14ac:dyDescent="0.3">
      <c r="A99" s="2">
        <v>2</v>
      </c>
      <c r="C99" s="38" t="s">
        <v>40</v>
      </c>
      <c r="D99" s="42">
        <f>TRUNC(6137,-1)</f>
        <v>6130</v>
      </c>
      <c r="E99" s="63">
        <f t="shared" si="3"/>
        <v>20260</v>
      </c>
    </row>
    <row r="100" spans="1:7" x14ac:dyDescent="0.3">
      <c r="A100" s="2">
        <v>3</v>
      </c>
      <c r="C100" s="38" t="s">
        <v>41</v>
      </c>
      <c r="D100" s="42">
        <f>TRUNC(20656,-1)</f>
        <v>20650</v>
      </c>
      <c r="E100" s="63">
        <f t="shared" si="3"/>
        <v>68260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TRUNC(11515,-1)</f>
        <v>11510</v>
      </c>
      <c r="E102" s="63">
        <f t="shared" si="3"/>
        <v>38040</v>
      </c>
    </row>
    <row r="103" spans="1:7" x14ac:dyDescent="0.3">
      <c r="A103" s="2">
        <v>6</v>
      </c>
      <c r="C103" s="38" t="s">
        <v>44</v>
      </c>
      <c r="D103" s="42">
        <f>TRUNC(5149,-1)</f>
        <v>5140</v>
      </c>
      <c r="E103" s="63">
        <f t="shared" si="3"/>
        <v>16990</v>
      </c>
    </row>
    <row r="104" spans="1:7" x14ac:dyDescent="0.3">
      <c r="A104" s="2">
        <v>7</v>
      </c>
      <c r="C104" s="38" t="s">
        <v>45</v>
      </c>
      <c r="D104" s="42">
        <f>TRUNC(2581,-1)</f>
        <v>2580</v>
      </c>
      <c r="E104" s="63">
        <f t="shared" si="3"/>
        <v>8520</v>
      </c>
    </row>
    <row r="105" spans="1:7" x14ac:dyDescent="0.3">
      <c r="A105" s="2">
        <v>8</v>
      </c>
      <c r="C105" s="38" t="s">
        <v>46</v>
      </c>
      <c r="D105" s="42">
        <f>TRUNC(2771,-1)</f>
        <v>2770</v>
      </c>
      <c r="E105" s="63">
        <f t="shared" si="3"/>
        <v>9150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TRUNC(1173,-1)</f>
        <v>1170</v>
      </c>
      <c r="E114" s="63">
        <f t="shared" si="3"/>
        <v>3860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TRUNC(956,-1)</f>
        <v>950</v>
      </c>
      <c r="E116" s="63">
        <f t="shared" si="3"/>
        <v>3140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TRUNC(60115,-1)</f>
        <v>60110</v>
      </c>
      <c r="E117" s="63">
        <f t="shared" si="3"/>
        <v>198710</v>
      </c>
    </row>
    <row r="118" spans="1:7" ht="17.25" thickBot="1" x14ac:dyDescent="0.35">
      <c r="A118" s="2">
        <v>21</v>
      </c>
      <c r="C118" s="38" t="s">
        <v>47</v>
      </c>
      <c r="D118" s="43">
        <f>TRUNC(2315,-1)</f>
        <v>2310</v>
      </c>
      <c r="E118" s="64">
        <f t="shared" si="3"/>
        <v>7630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118860</v>
      </c>
      <c r="E119" s="39">
        <f>SUM(E98:E118)</f>
        <v>392870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TRUNC(4185,-1)</f>
        <v>4180</v>
      </c>
      <c r="E122" s="62">
        <f t="shared" ref="E122:E132" si="4">TRUNC(+D122*3.3058,-1)</f>
        <v>13810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TRUNC(2499,-1)</f>
        <v>2490</v>
      </c>
      <c r="E124" s="63">
        <f t="shared" si="4"/>
        <v>8230</v>
      </c>
    </row>
    <row r="125" spans="1:7" x14ac:dyDescent="0.3">
      <c r="A125" s="2">
        <v>4</v>
      </c>
      <c r="C125" s="38" t="s">
        <v>138</v>
      </c>
      <c r="D125" s="42">
        <f>TRUNC(4773,-1)</f>
        <v>4770</v>
      </c>
      <c r="E125" s="63">
        <f t="shared" si="4"/>
        <v>15760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TRUNC(2487,-1)</f>
        <v>2480</v>
      </c>
      <c r="E128" s="63">
        <f t="shared" si="4"/>
        <v>8190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TRUNC(13553,-1)</f>
        <v>13550</v>
      </c>
      <c r="E130" s="63">
        <f t="shared" si="4"/>
        <v>44790</v>
      </c>
    </row>
    <row r="131" spans="1:7" x14ac:dyDescent="0.3">
      <c r="A131" s="2">
        <v>10</v>
      </c>
      <c r="C131" s="38" t="s">
        <v>148</v>
      </c>
      <c r="D131" s="42">
        <f>TRUNC(58732,-1)</f>
        <v>58730</v>
      </c>
      <c r="E131" s="63">
        <f t="shared" si="4"/>
        <v>194140</v>
      </c>
    </row>
    <row r="132" spans="1:7" ht="18" thickBot="1" x14ac:dyDescent="0.35">
      <c r="A132" s="2">
        <v>11</v>
      </c>
      <c r="C132" s="38" t="s">
        <v>47</v>
      </c>
      <c r="D132" s="43">
        <f>TRUNC(1909+199,-1)</f>
        <v>2100</v>
      </c>
      <c r="E132" s="64">
        <f t="shared" si="4"/>
        <v>6940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88300</v>
      </c>
      <c r="E133" s="39">
        <f>SUM(E122:E132)</f>
        <v>291860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TRUNC(2711,-1)</f>
        <v>2710</v>
      </c>
      <c r="E137" s="63">
        <f t="shared" si="5"/>
        <v>8950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TRUNC(2154,-1)</f>
        <v>2150</v>
      </c>
      <c r="E139" s="63">
        <f t="shared" si="5"/>
        <v>7100</v>
      </c>
    </row>
    <row r="140" spans="1:7" x14ac:dyDescent="0.3">
      <c r="A140" s="2">
        <v>5</v>
      </c>
      <c r="C140" s="38" t="s">
        <v>57</v>
      </c>
      <c r="D140" s="42">
        <f>TRUNC(2839,-1)</f>
        <v>2830</v>
      </c>
      <c r="E140" s="63">
        <f t="shared" si="5"/>
        <v>9350</v>
      </c>
    </row>
    <row r="141" spans="1:7" x14ac:dyDescent="0.3">
      <c r="A141" s="2">
        <v>6</v>
      </c>
      <c r="C141" s="38" t="s">
        <v>59</v>
      </c>
      <c r="D141" s="42">
        <f>TRUNC(19963,-1)</f>
        <v>19960</v>
      </c>
      <c r="E141" s="63">
        <f t="shared" si="5"/>
        <v>65980</v>
      </c>
    </row>
    <row r="142" spans="1:7" x14ac:dyDescent="0.3">
      <c r="A142" s="2">
        <v>7</v>
      </c>
      <c r="C142" s="38" t="s">
        <v>58</v>
      </c>
      <c r="D142" s="42">
        <f>TRUNC(4113,-1)</f>
        <v>4110</v>
      </c>
      <c r="E142" s="63">
        <f t="shared" si="5"/>
        <v>13580</v>
      </c>
    </row>
    <row r="143" spans="1:7" x14ac:dyDescent="0.3">
      <c r="A143" s="2">
        <v>8</v>
      </c>
      <c r="C143" s="38" t="s">
        <v>62</v>
      </c>
      <c r="D143" s="42">
        <f>TRUNC(8381,-1)</f>
        <v>8380</v>
      </c>
      <c r="E143" s="63">
        <f t="shared" si="5"/>
        <v>27700</v>
      </c>
    </row>
    <row r="144" spans="1:7" x14ac:dyDescent="0.3">
      <c r="A144" s="2">
        <v>9</v>
      </c>
      <c r="C144" s="38" t="s">
        <v>63</v>
      </c>
      <c r="D144" s="42">
        <f>TRUNC(10027,-1)</f>
        <v>10020</v>
      </c>
      <c r="E144" s="63">
        <f t="shared" si="5"/>
        <v>33120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50160</v>
      </c>
      <c r="E146" s="39">
        <f>SUM(E136:E145)</f>
        <v>165780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TRUNC(308,-1)</f>
        <v>300</v>
      </c>
      <c r="E149" s="62">
        <f>TRUNC(+D149*3.3058,-1)</f>
        <v>990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TRUNC(2217,-1)</f>
        <v>2210</v>
      </c>
      <c r="E150" s="63">
        <f>TRUNC(+D150*3.3058,-1)</f>
        <v>7300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TRUNC(1015+216+1014,-1)</f>
        <v>2240</v>
      </c>
      <c r="E152" s="63">
        <f>TRUNC(+D152*3.3058,-1)</f>
        <v>7400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f>TRUNC(4773,-1)</f>
        <v>4770</v>
      </c>
      <c r="E153" s="64">
        <f>TRUNC(+D153*3.3058,-1)</f>
        <v>15760</v>
      </c>
    </row>
    <row r="154" spans="1:7" x14ac:dyDescent="0.3">
      <c r="A154" s="2">
        <v>6</v>
      </c>
      <c r="C154" s="27" t="s">
        <v>112</v>
      </c>
      <c r="D154" s="39">
        <f>SUM(D149:D153)</f>
        <v>9520</v>
      </c>
      <c r="E154" s="39">
        <f>SUM(E149:E153)</f>
        <v>31450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TRUNC(6251,-1)</f>
        <v>6250</v>
      </c>
      <c r="E157" s="62">
        <f>TRUNC(+D157*3.3058,-1)</f>
        <v>20660</v>
      </c>
    </row>
    <row r="158" spans="1:7" x14ac:dyDescent="0.3">
      <c r="A158" s="2">
        <v>2</v>
      </c>
      <c r="C158" s="38" t="s">
        <v>52</v>
      </c>
      <c r="D158" s="42">
        <f>TRUNC(5109,-1)</f>
        <v>5100</v>
      </c>
      <c r="E158" s="63">
        <f>TRUNC(+D158*3.3058,-1)</f>
        <v>16850</v>
      </c>
      <c r="F158" s="2" t="s">
        <v>264</v>
      </c>
    </row>
    <row r="159" spans="1:7" x14ac:dyDescent="0.3">
      <c r="A159" s="2">
        <v>3</v>
      </c>
      <c r="C159" s="38" t="s">
        <v>47</v>
      </c>
      <c r="D159" s="42">
        <f>TRUNC(3453+228,-1)</f>
        <v>3680</v>
      </c>
      <c r="E159" s="63">
        <f>TRUNC(+D159*3.3058,-1)</f>
        <v>12160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15030</v>
      </c>
      <c r="E161" s="39">
        <f>SUM(E157:E160)</f>
        <v>49670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2020-12-08T04:40:12Z</dcterms:modified>
</cp:coreProperties>
</file>