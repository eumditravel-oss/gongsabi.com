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3" i="4"/>
  <c r="D152" i="4"/>
  <c r="D151" i="4"/>
  <c r="D150" i="4"/>
  <c r="D149" i="4"/>
  <c r="D144" i="4"/>
  <c r="D143" i="4"/>
  <c r="D142" i="4"/>
  <c r="D141" i="4"/>
  <c r="D139" i="4"/>
  <c r="D132" i="4"/>
  <c r="D131" i="4"/>
  <c r="D130" i="4"/>
  <c r="D128" i="4"/>
  <c r="D126" i="4"/>
  <c r="D125" i="4"/>
  <c r="D122" i="4"/>
  <c r="D118" i="4"/>
  <c r="D117" i="4"/>
  <c r="D116" i="4"/>
  <c r="D114" i="4"/>
  <c r="D104" i="4"/>
  <c r="D102" i="4"/>
  <c r="D101" i="4"/>
  <c r="D100" i="4"/>
  <c r="D99" i="4"/>
  <c r="D98" i="4"/>
  <c r="D94" i="4"/>
  <c r="D93" i="4"/>
  <c r="D92" i="4"/>
  <c r="D91" i="4"/>
  <c r="D89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0" i="4"/>
  <c r="D41" i="4"/>
  <c r="D137" i="4" l="1"/>
  <c r="E41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0" i="4"/>
  <c r="E37" i="4"/>
  <c r="E161" i="4" l="1"/>
  <c r="E154" i="4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<sst xmlns="http://schemas.openxmlformats.org/spreadsheetml/2006/main" count="394" uniqueCount="271">
  <si>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</si>
  <si>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</si>
  <si>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</si>
  <si>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</si>
  <si>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</si>
  <si>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</si>
  <si>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</si>
  <si>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</si>
  <si>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</si>
  <si>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</si>
  <si>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</si>
  <si>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</si>
  <si>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</si>
  <si>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</si>
  <si>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</si>
  <si>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</si>
  <si>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</si>
  <si>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</si>
  <si>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</si>
  <si>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</si>
  <si>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</si>
  <si>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</si>
  <si>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</si>
  <si>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</si>
  <si>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</si>
  <si>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</si>
  <si>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</si>
  <si>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</si>
  <si>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</si>
  <si>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</si>
  <si>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</si>
  <si>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</si>
  <si>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</si>
  <si>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</si>
  <si>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</si>
  <si>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</si>
  <si>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</si>
  <si>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</si>
  <si>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</si>
  <si>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</si>
  <si>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</si>
  <si>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</si>
  <si>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</si>
  <si>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</si>
  <si>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</si>
  <si>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</si>
  <si>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</si>
  <si>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</si>
  <si>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</si>
  <si>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</si>
  <si>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</si>
  <si>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</si>
  <si>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</si>
  <si>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</si>
  <si>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</si>
  <si>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</si>
  <si>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</si>
  <si>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</si>
  <si>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</si>
  <si>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</si>
  <si>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</si>
  <si>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</si>
  <si>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</si>
  <si>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</si>
  <si>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</si>
  <si>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</si>
  <si>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</si>
  <si>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</si>
  <si>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</si>
  <si>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</si>
  <si>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</si>
  <si>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</si>
  <si>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</si>
  <si>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</si>
  <si>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</si>
  <si>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</si>
  <si>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</si>
  <si>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</si>
  <si>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</si>
  <si>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</si>
  <si>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</si>
  <si>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</si>
  <si>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</si>
  <si>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</si>
  <si>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</si>
  <si>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</si>
  <si>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</si>
  <si>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</si>
  <si>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</si>
  <si>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</si>
  <si>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</si>
  <si>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</si>
  <si>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</si>
  <si>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</si>
  <si>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</si>
  <si>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</si>
  <si>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</si>
  <si>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</si>
  <si>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</si>
  <si>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</si>
  <si>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</si>
  <si>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</si>
  <si>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</si>
  <si>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</si>
  <si>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</si>
  <si>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</si>
  <si>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</si>
  <si>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</si>
  <si>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</si>
  <si>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</si>
  <si>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</si>
  <si>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</si>
  <si>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</si>
  <si>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</si>
  <si>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</si>
  <si>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</si>
  <si>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</si>
  <si>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</si>
  <si>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</si>
  <si>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</si>
  <si>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</si>
  <si>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</si>
  <si>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</si>
  <si>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</si>
  <si>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</si>
  <si>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</si>
  <si>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</si>
  <si>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</si>
  <si>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</si>
  <si>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</si>
  <si>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</si>
  <si>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</si>
  <si>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</si>
  <si>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</si>
  <si>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</si>
  <si>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</si>
  <si>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</si>
  <si>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</si>
  <si>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</si>
  <si>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</si>
  <si>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</si>
  <si>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</si>
  <si>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</si>
  <si>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</si>
  <si>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</si>
  <si>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</si>
  <si>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</si>
  <si>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</si>
  <si>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</si>
  <si>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</si>
  <si>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</si>
  <si>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</si>
  <si>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</si>
  <si>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</si>
  <si>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</si>
  <si>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</si>
  <si>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</si>
  <si>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</si>
  <si>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</si>
  <si>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</si>
  <si>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</si>
  <si>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</si>
  <si>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</si>
  <si>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</si>
  <si>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</si>
  <si>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</si>
  <si>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</si>
  <si>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</si>
  <si>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</si>
  <si>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</si>
  <si>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</si>
  <si>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</si>
  <si>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</si>
  <si>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</si>
  <si>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</si>
  <si>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</si>
  <si>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</si>
  <si>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</si>
  <si>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</si>
  <si>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</si>
  <si>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</si>
  <si>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</si>
  <si>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</si>
  <si>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</si>
  <si>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</si>
  <si>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</si>
  <si>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</si>
  <si>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</si>
  <si>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</si>
  <si>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</si>
  <si>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</si>
  <si>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</si>
  <si>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</si>
  <si>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</si>
  <si>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</si>
  <si>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</si>
  <si>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</si>
  <si>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</si>
  <si>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</si>
  <si>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</si>
  <si>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</si>
  <si>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</si>
  <si>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</si>
  <si>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</si>
  <si>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</si>
  <si>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</si>
  <si>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</si>
  <si>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</si>
  <si>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</si>
  <si>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</si>
  <si>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</si>
  <si>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</si>
  <si>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</si>
  <si>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</si>
  <si>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</si>
  <si>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</si>
  <si>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</si>
  <si>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</si>
  <si>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</si>
  <si>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</si>
  <si>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</si>
  <si>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</si>
  <si>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</si>
  <si>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</si>
  <si>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</si>
  <si>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</si>
  <si>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</si>
  <si>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</si>
  <si>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</si>
  <si>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</si>
  <si>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</si>
  <si>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</si>
  <si>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</si>
  <si>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</si>
  <si>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</si>
  <si>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</si>
  <si>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</si>
  <si>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</si>
  <si>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</si>
  <si>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</si>
  <si>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</si>
  <si>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</si>
  <si>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</si>
  <si>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</si>
  <si>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</si>
  <si>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</si>
  <si>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</si>
  <si>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</si>
  <si>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율동지구 국민임대주택 건설공사(건축공사)</t>
    <phoneticPr fontId="2" type="noConversion"/>
  </si>
  <si>
    <t>아파트</t>
  </si>
  <si>
    <t>울산시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</si>
  <si>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</si>
  <si>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</si>
  <si>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</si>
  <si>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기초공사,골재비및운반비,품질시험비,기타공사</t>
    <phoneticPr fontId="2" type="noConversion"/>
  </si>
  <si>
    <t>난방배관공사,기타공사</t>
    <phoneticPr fontId="2" type="noConversion"/>
  </si>
  <si>
    <t>바닥난방공사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</si>
  <si>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</si>
  <si>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</si>
  <si>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</si>
  <si>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</si>
  <si>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옥외소화배관공사,펌프실배관공사,무선통신보조설비공사,기타공사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</si>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</sst>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36699.07</v>
      </c>
      <c r="D7" s="36">
        <f>+C7/3.3058</f>
        <v>11101.418718615765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607260</v>
      </c>
      <c r="E25" s="59">
        <f t="shared" si="0"/>
        <v>2007480</v>
      </c>
    </row>
    <row r="26" spans="1:5" x14ac:dyDescent="0.3">
      <c r="B26" s="2">
        <v>3</v>
      </c>
      <c r="C26" s="35" t="s">
        <v>95</v>
      </c>
      <c r="D26" s="45">
        <f>+D66</f>
        <v>50310</v>
      </c>
      <c r="E26" s="59">
        <f t="shared" si="0"/>
        <v>166310</v>
      </c>
    </row>
    <row r="27" spans="1:5" x14ac:dyDescent="0.3">
      <c r="B27" s="2">
        <v>4</v>
      </c>
      <c r="C27" s="35" t="s">
        <v>96</v>
      </c>
      <c r="D27" s="45">
        <f>+D95</f>
        <v>147960</v>
      </c>
      <c r="E27" s="59">
        <f t="shared" si="0"/>
        <v>489120</v>
      </c>
    </row>
    <row r="28" spans="1:5" x14ac:dyDescent="0.3">
      <c r="B28" s="2">
        <v>5</v>
      </c>
      <c r="C28" s="35" t="s">
        <v>97</v>
      </c>
      <c r="D28" s="45">
        <f>+D119</f>
        <v>107730</v>
      </c>
      <c r="E28" s="59">
        <f t="shared" si="0"/>
        <v>356130</v>
      </c>
    </row>
    <row r="29" spans="1:5" x14ac:dyDescent="0.3">
      <c r="B29" s="2">
        <v>6</v>
      </c>
      <c r="C29" s="35" t="s">
        <v>98</v>
      </c>
      <c r="D29" s="45">
        <f>+D133</f>
        <v>122100</v>
      </c>
      <c r="E29" s="59">
        <f t="shared" si="0"/>
        <v>403630</v>
      </c>
    </row>
    <row r="30" spans="1:5" x14ac:dyDescent="0.3">
      <c r="B30" s="2">
        <v>7</v>
      </c>
      <c r="C30" s="35" t="s">
        <v>99</v>
      </c>
      <c r="D30" s="45">
        <f>+D146</f>
        <v>84630</v>
      </c>
      <c r="E30" s="59">
        <f t="shared" si="0"/>
        <v>279760</v>
      </c>
    </row>
    <row r="31" spans="1:5" x14ac:dyDescent="0.3">
      <c r="B31" s="2">
        <v>8</v>
      </c>
      <c r="C31" s="35" t="s">
        <v>100</v>
      </c>
      <c r="D31" s="45">
        <f>+D154</f>
        <v>11050</v>
      </c>
      <c r="E31" s="59">
        <f t="shared" si="0"/>
        <v>36520</v>
      </c>
    </row>
    <row r="32" spans="1:5" x14ac:dyDescent="0.3">
      <c r="B32" s="2">
        <v>9</v>
      </c>
      <c r="C32" s="35" t="s">
        <v>101</v>
      </c>
      <c r="D32" s="45">
        <f>+D161</f>
        <v>6760</v>
      </c>
      <c r="E32" s="59">
        <f t="shared" si="0"/>
        <v>22340</v>
      </c>
    </row>
    <row r="33" spans="1:7" x14ac:dyDescent="0.3">
      <c r="B33" s="2">
        <v>10</v>
      </c>
      <c r="C33" s="35" t="s">
        <v>154</v>
      </c>
      <c r="D33" s="53">
        <f>TRUNC(SUM(D24:D32)*0.275,-1)</f>
        <v>312890</v>
      </c>
      <c r="E33" s="60">
        <f t="shared" si="0"/>
        <v>1034350</v>
      </c>
    </row>
    <row r="34" spans="1:7" x14ac:dyDescent="0.3">
      <c r="C34" s="35" t="s">
        <v>112</v>
      </c>
      <c r="D34" s="44">
        <f>SUM(D24:D33)</f>
        <v>1450690</v>
      </c>
      <c r="E34" s="44">
        <f>SUM(E24:E33)</f>
        <v>4795640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264</v>
      </c>
      <c r="C39" s="56" t="s">
        <v>265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f>TRUNC(40579,-1)</f>
        <v>40570</v>
      </c>
      <c r="E40" s="62">
        <f t="shared" ref="E40:E59" si="1">TRUNC(+D40*3.3058,-1)</f>
        <v>134110</v>
      </c>
    </row>
    <row r="41" spans="1:7" x14ac:dyDescent="0.3">
      <c r="A41" s="2">
        <v>2</v>
      </c>
      <c r="C41" s="38" t="s">
        <v>13</v>
      </c>
      <c r="D41" s="42">
        <f>TRUNC(120334,-1)</f>
        <v>120330</v>
      </c>
      <c r="E41" s="63">
        <f t="shared" si="1"/>
        <v>397780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TRUNC(9345,-1)</f>
        <v>9340</v>
      </c>
      <c r="E43" s="63">
        <f t="shared" si="1"/>
        <v>30870</v>
      </c>
    </row>
    <row r="44" spans="1:7" x14ac:dyDescent="0.3">
      <c r="A44" s="2">
        <v>5</v>
      </c>
      <c r="C44" s="38" t="s">
        <v>17</v>
      </c>
      <c r="D44" s="42">
        <f>TRUNC(28189,-1)</f>
        <v>28180</v>
      </c>
      <c r="E44" s="63">
        <f t="shared" si="1"/>
        <v>93150</v>
      </c>
    </row>
    <row r="45" spans="1:7" x14ac:dyDescent="0.3">
      <c r="A45" s="2">
        <v>6</v>
      </c>
      <c r="C45" s="38" t="s">
        <v>18</v>
      </c>
      <c r="D45" s="42">
        <f>TRUNC(2843,-1)</f>
        <v>2840</v>
      </c>
      <c r="E45" s="63">
        <f t="shared" si="1"/>
        <v>9380</v>
      </c>
    </row>
    <row r="46" spans="1:7" x14ac:dyDescent="0.3">
      <c r="A46" s="2">
        <v>7</v>
      </c>
      <c r="C46" s="38" t="s">
        <v>19</v>
      </c>
      <c r="D46" s="42">
        <f>TRUNC(11857,-1)</f>
        <v>11850</v>
      </c>
      <c r="E46" s="63">
        <f t="shared" si="1"/>
        <v>39170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TRUNC(12704,-1)</f>
        <v>12700</v>
      </c>
      <c r="E48" s="63">
        <f t="shared" si="1"/>
        <v>41980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TRUNC(27317,-1)</f>
        <v>27310</v>
      </c>
      <c r="E49" s="63">
        <f t="shared" si="1"/>
        <v>90280</v>
      </c>
    </row>
    <row r="50" spans="1:7" x14ac:dyDescent="0.3">
      <c r="A50" s="2">
        <v>11</v>
      </c>
      <c r="C50" s="38" t="s">
        <v>155</v>
      </c>
      <c r="D50" s="42">
        <f>TRUNC(29837,-1)</f>
        <v>29830</v>
      </c>
      <c r="E50" s="63">
        <f t="shared" si="1"/>
        <v>98610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TRUNC(20238,-1)</f>
        <v>20230</v>
      </c>
      <c r="E52" s="63">
        <f t="shared" si="1"/>
        <v>66870</v>
      </c>
    </row>
    <row r="53" spans="1:7" x14ac:dyDescent="0.3">
      <c r="A53" s="2">
        <v>14</v>
      </c>
      <c r="C53" s="38" t="s">
        <v>25</v>
      </c>
      <c r="D53" s="42">
        <f>TRUNC(47706,-1)</f>
        <v>47700</v>
      </c>
      <c r="E53" s="63">
        <f t="shared" si="1"/>
        <v>157680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TRUNC(18573+2820+650+4075,-1)</f>
        <v>26110</v>
      </c>
      <c r="E58" s="63">
        <f t="shared" si="1"/>
        <v>86310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TRUNC(230273,-1)</f>
        <v>230270</v>
      </c>
      <c r="E59" s="64">
        <f t="shared" si="1"/>
        <v>761220</v>
      </c>
    </row>
    <row r="60" spans="1:7" x14ac:dyDescent="0.3">
      <c r="A60" s="2">
        <v>21</v>
      </c>
      <c r="C60" s="27" t="s">
        <v>112</v>
      </c>
      <c r="D60" s="39">
        <f>SUM(D40:D59)</f>
        <v>607260</v>
      </c>
      <c r="E60" s="39">
        <f>SUM(E40:E59)</f>
        <v>2007410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TRUNC(5174,-1)</f>
        <v>5170</v>
      </c>
      <c r="E63" s="62">
        <f>TRUNC(+D63*3.3058,-1)</f>
        <v>17090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TRUNC(45142,-1)</f>
        <v>45140</v>
      </c>
      <c r="E65" s="64">
        <f>TRUNC(+D65*3.3058,-1)</f>
        <v>149220</v>
      </c>
    </row>
    <row r="66" spans="1:7" x14ac:dyDescent="0.3">
      <c r="A66" s="2">
        <v>4</v>
      </c>
      <c r="C66" s="27" t="s">
        <v>112</v>
      </c>
      <c r="D66" s="39">
        <f>SUM(D63:D65)</f>
        <v>50310</v>
      </c>
      <c r="E66" s="65">
        <f>SUM(E63:E65)</f>
        <v>166310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TRUNC(10812,-1)</f>
        <v>10810</v>
      </c>
      <c r="E69" s="62">
        <f t="shared" ref="E69:E94" si="2">TRUNC(+D69*3.3058,-1)</f>
        <v>35730</v>
      </c>
    </row>
    <row r="70" spans="1:7" ht="16.5" customHeight="1" x14ac:dyDescent="0.3">
      <c r="A70" s="2">
        <v>2</v>
      </c>
      <c r="C70" s="38" t="s">
        <v>31</v>
      </c>
      <c r="D70" s="42">
        <f>TRUNC(71,-1)</f>
        <v>70</v>
      </c>
      <c r="E70" s="63">
        <f t="shared" si="2"/>
        <v>230</v>
      </c>
    </row>
    <row r="71" spans="1:7" x14ac:dyDescent="0.3">
      <c r="A71" s="2">
        <v>3</v>
      </c>
      <c r="C71" s="38" t="s">
        <v>32</v>
      </c>
      <c r="D71" s="42">
        <f>TRUNC(1172,-1)</f>
        <v>1170</v>
      </c>
      <c r="E71" s="63">
        <f t="shared" si="2"/>
        <v>3860</v>
      </c>
    </row>
    <row r="72" spans="1:7" x14ac:dyDescent="0.3">
      <c r="A72" s="2">
        <v>4</v>
      </c>
      <c r="C72" s="38" t="s">
        <v>33</v>
      </c>
      <c r="D72" s="42">
        <f>TRUNC(14053,-1)</f>
        <v>14050</v>
      </c>
      <c r="E72" s="63">
        <f t="shared" si="2"/>
        <v>46440</v>
      </c>
    </row>
    <row r="73" spans="1:7" x14ac:dyDescent="0.3">
      <c r="A73" s="2">
        <v>5</v>
      </c>
      <c r="C73" s="38" t="s">
        <v>34</v>
      </c>
      <c r="D73" s="42">
        <f>TRUNC(30836,-1)</f>
        <v>30830</v>
      </c>
      <c r="E73" s="63">
        <f t="shared" si="2"/>
        <v>101910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300</v>
      </c>
      <c r="E84" s="63">
        <f t="shared" si="2"/>
        <v>990</v>
      </c>
      <c r="F84" s="2" t="s">
        <v>256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TRUNC(20207,-1)</f>
        <v>20200</v>
      </c>
      <c r="E89" s="63">
        <f t="shared" si="2"/>
        <v>66770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TRUNC(10302,-1)</f>
        <v>10300</v>
      </c>
      <c r="E91" s="63">
        <f t="shared" si="2"/>
        <v>34040</v>
      </c>
    </row>
    <row r="92" spans="1:7" x14ac:dyDescent="0.3">
      <c r="A92" s="2">
        <v>24</v>
      </c>
      <c r="C92" s="38" t="s">
        <v>38</v>
      </c>
      <c r="D92" s="42">
        <f>TRUNC(2063,-1)</f>
        <v>2060</v>
      </c>
      <c r="E92" s="63">
        <f t="shared" si="2"/>
        <v>6800</v>
      </c>
    </row>
    <row r="93" spans="1:7" x14ac:dyDescent="0.3">
      <c r="A93" s="2">
        <v>25</v>
      </c>
      <c r="C93" s="38" t="s">
        <v>148</v>
      </c>
      <c r="D93" s="42">
        <f>TRUNC(10375,-1)</f>
        <v>10370</v>
      </c>
      <c r="E93" s="63">
        <f t="shared" si="2"/>
        <v>34280</v>
      </c>
    </row>
    <row r="94" spans="1:7" ht="17.25" thickBot="1" x14ac:dyDescent="0.35">
      <c r="A94" s="2">
        <v>26</v>
      </c>
      <c r="C94" s="38" t="s">
        <v>47</v>
      </c>
      <c r="D94" s="43">
        <f>TRUNC(25671+22134,-1)</f>
        <v>47800</v>
      </c>
      <c r="E94" s="64">
        <f t="shared" si="2"/>
        <v>158010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147960</v>
      </c>
      <c r="E95" s="39">
        <f>SUM(E69:E94)</f>
        <v>489060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TRUNC(10644,-1)</f>
        <v>10640</v>
      </c>
      <c r="E98" s="62">
        <f t="shared" ref="E98:E118" si="3">TRUNC(+D98*3.3058,-1)</f>
        <v>35170</v>
      </c>
    </row>
    <row r="99" spans="1:7" x14ac:dyDescent="0.3">
      <c r="A99" s="2">
        <v>2</v>
      </c>
      <c r="C99" s="38" t="s">
        <v>40</v>
      </c>
      <c r="D99" s="42">
        <f>TRUNC(2297,-1)</f>
        <v>2290</v>
      </c>
      <c r="E99" s="63">
        <f t="shared" si="3"/>
        <v>7570</v>
      </c>
    </row>
    <row r="100" spans="1:7" x14ac:dyDescent="0.3">
      <c r="A100" s="2">
        <v>3</v>
      </c>
      <c r="C100" s="38" t="s">
        <v>41</v>
      </c>
      <c r="D100" s="42">
        <f>TRUNC(5609,-1)</f>
        <v>5600</v>
      </c>
      <c r="E100" s="63">
        <f t="shared" si="3"/>
        <v>18510</v>
      </c>
    </row>
    <row r="101" spans="1:7" x14ac:dyDescent="0.3">
      <c r="A101" s="2">
        <v>4</v>
      </c>
      <c r="C101" s="38" t="s">
        <v>42</v>
      </c>
      <c r="D101" s="42">
        <f>TRUNC(118,-1)</f>
        <v>110</v>
      </c>
      <c r="E101" s="63">
        <f t="shared" si="3"/>
        <v>360</v>
      </c>
    </row>
    <row r="102" spans="1:7" x14ac:dyDescent="0.3">
      <c r="A102" s="2">
        <v>5</v>
      </c>
      <c r="C102" s="38" t="s">
        <v>43</v>
      </c>
      <c r="D102" s="42">
        <f>TRUNC(8442,-1)</f>
        <v>8440</v>
      </c>
      <c r="E102" s="63">
        <f t="shared" si="3"/>
        <v>27900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TRUNC(1404,-1)</f>
        <v>1400</v>
      </c>
      <c r="E104" s="63">
        <f t="shared" si="3"/>
        <v>4620</v>
      </c>
    </row>
    <row r="105" spans="1:7" x14ac:dyDescent="0.3">
      <c r="A105" s="2">
        <v>8</v>
      </c>
      <c r="C105" s="38" t="s">
        <v>46</v>
      </c>
      <c r="D105" s="42">
        <v>2300</v>
      </c>
      <c r="E105" s="63">
        <f t="shared" si="3"/>
        <v>7600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TRUNC(946,-1)</f>
        <v>940</v>
      </c>
      <c r="E114" s="63">
        <f t="shared" si="3"/>
        <v>3100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TRUNC(2406,-1)</f>
        <v>2400</v>
      </c>
      <c r="E116" s="63">
        <f t="shared" si="3"/>
        <v>7930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TRUNC(28345,-1)</f>
        <v>28340</v>
      </c>
      <c r="E117" s="63">
        <f t="shared" si="3"/>
        <v>93680</v>
      </c>
    </row>
    <row r="118" spans="1:7" ht="17.25" thickBot="1" x14ac:dyDescent="0.35">
      <c r="A118" s="2">
        <v>21</v>
      </c>
      <c r="C118" s="38" t="s">
        <v>47</v>
      </c>
      <c r="D118" s="43">
        <f>TRUNC(3685+41594,-1)</f>
        <v>45270</v>
      </c>
      <c r="E118" s="64">
        <f t="shared" si="3"/>
        <v>149650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107730</v>
      </c>
      <c r="E119" s="39">
        <f>SUM(E98:E118)</f>
        <v>356090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TRUNC(4692,-1)</f>
        <v>4690</v>
      </c>
      <c r="E122" s="62">
        <f t="shared" ref="E122:E132" si="4">TRUNC(+D122*3.3058,-1)</f>
        <v>15500</v>
      </c>
      <c r="F122" s="2" t="s">
        <v>259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TRUNC(5115,-1)</f>
        <v>5110</v>
      </c>
      <c r="E125" s="63">
        <f t="shared" si="4"/>
        <v>16890</v>
      </c>
    </row>
    <row r="126" spans="1:7" x14ac:dyDescent="0.3">
      <c r="A126" s="2">
        <v>5</v>
      </c>
      <c r="C126" s="38" t="s">
        <v>53</v>
      </c>
      <c r="D126" s="42">
        <f>TRUNC(3182,-1)</f>
        <v>3180</v>
      </c>
      <c r="E126" s="63">
        <f t="shared" si="4"/>
        <v>10510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TRUNC(1468,-1)</f>
        <v>1460</v>
      </c>
      <c r="E128" s="63">
        <f t="shared" si="4"/>
        <v>4820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TRUNC(12915,-1)</f>
        <v>12910</v>
      </c>
      <c r="E130" s="63">
        <f t="shared" si="4"/>
        <v>42670</v>
      </c>
    </row>
    <row r="131" spans="1:7" x14ac:dyDescent="0.3">
      <c r="A131" s="2">
        <v>10</v>
      </c>
      <c r="C131" s="38" t="s">
        <v>148</v>
      </c>
      <c r="D131" s="42">
        <f>TRUNC(58892,-1)</f>
        <v>58890</v>
      </c>
      <c r="E131" s="63">
        <f t="shared" si="4"/>
        <v>194670</v>
      </c>
    </row>
    <row r="132" spans="1:7" ht="18" thickBot="1" x14ac:dyDescent="0.35">
      <c r="A132" s="2">
        <v>11</v>
      </c>
      <c r="C132" s="38" t="s">
        <v>47</v>
      </c>
      <c r="D132" s="43">
        <f>TRUNC(769+35093,-1)</f>
        <v>35860</v>
      </c>
      <c r="E132" s="64">
        <f t="shared" si="4"/>
        <v>118540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122100</v>
      </c>
      <c r="E133" s="39">
        <f>SUM(E122:E132)</f>
        <v>403600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127+2170+618+155</f>
        <v>3070</v>
      </c>
      <c r="E137" s="63">
        <f t="shared" si="5"/>
        <v>10140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TRUNC(2104,-1)</f>
        <v>2100</v>
      </c>
      <c r="E139" s="63">
        <f t="shared" si="5"/>
        <v>6940</v>
      </c>
    </row>
    <row r="140" spans="1:7" x14ac:dyDescent="0.3">
      <c r="A140" s="2">
        <v>5</v>
      </c>
      <c r="C140" s="38" t="s">
        <v>57</v>
      </c>
      <c r="D140" s="42">
        <v>380</v>
      </c>
      <c r="E140" s="63">
        <f t="shared" si="5"/>
        <v>1250</v>
      </c>
    </row>
    <row r="141" spans="1:7" x14ac:dyDescent="0.3">
      <c r="A141" s="2">
        <v>6</v>
      </c>
      <c r="C141" s="38" t="s">
        <v>59</v>
      </c>
      <c r="D141" s="42">
        <f>TRUNC(544,-1)</f>
        <v>540</v>
      </c>
      <c r="E141" s="63">
        <f t="shared" si="5"/>
        <v>1780</v>
      </c>
    </row>
    <row r="142" spans="1:7" x14ac:dyDescent="0.3">
      <c r="A142" s="2">
        <v>7</v>
      </c>
      <c r="C142" s="38" t="s">
        <v>58</v>
      </c>
      <c r="D142" s="42">
        <f>TRUNC(53707,-1)</f>
        <v>53700</v>
      </c>
      <c r="E142" s="63">
        <f t="shared" si="5"/>
        <v>177520</v>
      </c>
    </row>
    <row r="143" spans="1:7" x14ac:dyDescent="0.3">
      <c r="A143" s="2">
        <v>8</v>
      </c>
      <c r="C143" s="38" t="s">
        <v>62</v>
      </c>
      <c r="D143" s="42">
        <f>TRUNC(2907,-1)</f>
        <v>2900</v>
      </c>
      <c r="E143" s="63">
        <f t="shared" si="5"/>
        <v>9580</v>
      </c>
    </row>
    <row r="144" spans="1:7" x14ac:dyDescent="0.3">
      <c r="A144" s="2">
        <v>9</v>
      </c>
      <c r="C144" s="38" t="s">
        <v>63</v>
      </c>
      <c r="D144" s="42">
        <f>TRUNC(21941,-1)</f>
        <v>21940</v>
      </c>
      <c r="E144" s="63">
        <f t="shared" si="5"/>
        <v>72520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84630</v>
      </c>
      <c r="E146" s="39">
        <f>SUM(E136:E145)</f>
        <v>279730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TRUNC(3268+94,-1)</f>
        <v>3360</v>
      </c>
      <c r="E149" s="62">
        <f>TRUNC(+D149*3.3058,-1)</f>
        <v>11100</v>
      </c>
      <c r="F149" s="2" t="s">
        <v>262</v>
      </c>
    </row>
    <row r="150" spans="1:7" x14ac:dyDescent="0.3">
      <c r="A150" s="2">
        <v>2</v>
      </c>
      <c r="C150" s="38" t="s">
        <v>49</v>
      </c>
      <c r="D150" s="42">
        <f>TRUNC(1526,-1)</f>
        <v>1520</v>
      </c>
      <c r="E150" s="63">
        <f>TRUNC(+D150*3.3058,-1)</f>
        <v>5020</v>
      </c>
    </row>
    <row r="151" spans="1:7" x14ac:dyDescent="0.3">
      <c r="A151" s="2">
        <v>3</v>
      </c>
      <c r="C151" s="38" t="s">
        <v>50</v>
      </c>
      <c r="D151" s="42">
        <f>TRUNC(1964,-1)</f>
        <v>1960</v>
      </c>
      <c r="E151" s="63">
        <f>TRUNC(+D151*3.3058,-1)</f>
        <v>6470</v>
      </c>
    </row>
    <row r="152" spans="1:7" x14ac:dyDescent="0.3">
      <c r="A152" s="2">
        <v>4</v>
      </c>
      <c r="C152" s="38" t="s">
        <v>47</v>
      </c>
      <c r="D152" s="42">
        <f>TRUNC(206+1718+32+27,-1)</f>
        <v>1980</v>
      </c>
      <c r="E152" s="63">
        <f>TRUNC(+D152*3.3058,-1)</f>
        <v>6540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f>TRUNC(2237,-1)</f>
        <v>2230</v>
      </c>
      <c r="E153" s="64">
        <f>TRUNC(+D153*3.3058,-1)</f>
        <v>7370</v>
      </c>
    </row>
    <row r="154" spans="1:7" x14ac:dyDescent="0.3">
      <c r="A154" s="2">
        <v>6</v>
      </c>
      <c r="C154" s="27" t="s">
        <v>112</v>
      </c>
      <c r="D154" s="39">
        <f>SUM(D149:D153)</f>
        <v>11050</v>
      </c>
      <c r="E154" s="39">
        <f>SUM(E149:E153)</f>
        <v>36500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TRUNC(6767,-1)</f>
        <v>6760</v>
      </c>
      <c r="E159" s="63">
        <f>TRUNC(+D159*3.3058,-1)</f>
        <v>22340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6760</v>
      </c>
      <c r="E161" s="39">
        <f>SUM(E157:E160)</f>
        <v>22340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2020-12-08T04:24:29Z</dcterms:modified>
</cp:coreProperties>
</file>