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7" i="4" l="1"/>
  <c r="D24" i="4"/>
  <c r="E24" i="4" s="1"/>
  <c r="E37" i="4"/>
  <c r="D40" i="4"/>
  <c r="E40" i="4"/>
  <c r="D41" i="4"/>
  <c r="E41" i="4"/>
  <c r="D42" i="4"/>
  <c r="E42" i="4"/>
  <c r="E43" i="4"/>
  <c r="D44" i="4"/>
  <c r="E44" i="4" s="1"/>
  <c r="D45" i="4"/>
  <c r="E45" i="4" s="1"/>
  <c r="D46" i="4"/>
  <c r="E46" i="4"/>
  <c r="E47" i="4"/>
  <c r="D48" i="4"/>
  <c r="E48" i="4" s="1"/>
  <c r="D49" i="4"/>
  <c r="E49" i="4"/>
  <c r="D50" i="4"/>
  <c r="E50" i="4" s="1"/>
  <c r="E51" i="4"/>
  <c r="D52" i="4"/>
  <c r="E52" i="4"/>
  <c r="D53" i="4"/>
  <c r="E53" i="4" s="1"/>
  <c r="E54" i="4"/>
  <c r="E55" i="4"/>
  <c r="E56" i="4"/>
  <c r="E57" i="4"/>
  <c r="D58" i="4"/>
  <c r="D59" i="4"/>
  <c r="E59" i="4"/>
  <c r="D63" i="4"/>
  <c r="E63" i="4"/>
  <c r="E64" i="4"/>
  <c r="D65" i="4"/>
  <c r="E69" i="4"/>
  <c r="D70" i="4"/>
  <c r="E70" i="4" s="1"/>
  <c r="D71" i="4"/>
  <c r="E71" i="4" s="1"/>
  <c r="D72" i="4"/>
  <c r="E72" i="4"/>
  <c r="D73" i="4"/>
  <c r="E73" i="4" s="1"/>
  <c r="E74" i="4"/>
  <c r="D75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D89" i="4"/>
  <c r="E90" i="4"/>
  <c r="D91" i="4"/>
  <c r="E91" i="4" s="1"/>
  <c r="D92" i="4"/>
  <c r="E92" i="4" s="1"/>
  <c r="D93" i="4"/>
  <c r="E93" i="4" s="1"/>
  <c r="D94" i="4"/>
  <c r="E94" i="4" s="1"/>
  <c r="D98" i="4"/>
  <c r="E98" i="4" s="1"/>
  <c r="D99" i="4"/>
  <c r="E99" i="4" s="1"/>
  <c r="D100" i="4"/>
  <c r="E100" i="4" s="1"/>
  <c r="E101" i="4"/>
  <c r="D102" i="4"/>
  <c r="E102" i="4" s="1"/>
  <c r="D103" i="4"/>
  <c r="E103" i="4" s="1"/>
  <c r="D104" i="4"/>
  <c r="E104" i="4" s="1"/>
  <c r="D105" i="4"/>
  <c r="E105" i="4"/>
  <c r="E106" i="4"/>
  <c r="E107" i="4"/>
  <c r="E108" i="4"/>
  <c r="E109" i="4"/>
  <c r="E110" i="4"/>
  <c r="E111" i="4"/>
  <c r="E112" i="4"/>
  <c r="E113" i="4"/>
  <c r="D114" i="4"/>
  <c r="E114" i="4" s="1"/>
  <c r="E115" i="4"/>
  <c r="D116" i="4"/>
  <c r="E116" i="4"/>
  <c r="D117" i="4"/>
  <c r="E117" i="4" s="1"/>
  <c r="D118" i="4"/>
  <c r="D122" i="4"/>
  <c r="E122" i="4" s="1"/>
  <c r="E123" i="4"/>
  <c r="D124" i="4"/>
  <c r="E124" i="4"/>
  <c r="D125" i="4"/>
  <c r="E125" i="4" s="1"/>
  <c r="E126" i="4"/>
  <c r="E127" i="4"/>
  <c r="D128" i="4"/>
  <c r="E128" i="4" s="1"/>
  <c r="E129" i="4"/>
  <c r="E130" i="4"/>
  <c r="D131" i="4"/>
  <c r="D132" i="4"/>
  <c r="E132" i="4"/>
  <c r="E136" i="4"/>
  <c r="D137" i="4"/>
  <c r="E137" i="4" s="1"/>
  <c r="E138" i="4"/>
  <c r="E139" i="4"/>
  <c r="D140" i="4"/>
  <c r="E140" i="4" s="1"/>
  <c r="D141" i="4"/>
  <c r="E141" i="4" s="1"/>
  <c r="E142" i="4"/>
  <c r="D143" i="4"/>
  <c r="E143" i="4" s="1"/>
  <c r="E144" i="4"/>
  <c r="E145" i="4"/>
  <c r="D149" i="4"/>
  <c r="E149" i="4" s="1"/>
  <c r="E150" i="4"/>
  <c r="E151" i="4"/>
  <c r="D152" i="4"/>
  <c r="E152" i="4" s="1"/>
  <c r="D153" i="4"/>
  <c r="E153" i="4" s="1"/>
  <c r="E157" i="4"/>
  <c r="E158" i="4"/>
  <c r="E159" i="4"/>
  <c r="E160" i="4"/>
  <c r="D161" i="4"/>
  <c r="D32" i="4" s="1"/>
  <c r="E32" i="4" s="1"/>
  <c r="D154" i="4" l="1"/>
  <c r="D31" i="4" s="1"/>
  <c r="E31" i="4" s="1"/>
  <c r="E146" i="4"/>
  <c r="E118" i="4"/>
  <c r="D119" i="4"/>
  <c r="D28" i="4" s="1"/>
  <c r="E28" i="4" s="1"/>
  <c r="E161" i="4"/>
  <c r="E154" i="4"/>
  <c r="D146" i="4"/>
  <c r="D30" i="4" s="1"/>
  <c r="E30" i="4" s="1"/>
  <c r="E133" i="4"/>
  <c r="E65" i="4"/>
  <c r="D66" i="4"/>
  <c r="D26" i="4" s="1"/>
  <c r="E26" i="4" s="1"/>
  <c r="E131" i="4"/>
  <c r="D133" i="4"/>
  <c r="D29" i="4" s="1"/>
  <c r="E29" i="4" s="1"/>
  <c r="E89" i="4"/>
  <c r="D95" i="4"/>
  <c r="D27" i="4" s="1"/>
  <c r="E27" i="4" s="1"/>
  <c r="E66" i="4"/>
  <c r="E58" i="4"/>
  <c r="D60" i="4"/>
  <c r="D25" i="4" s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95" i="4" l="1"/>
  <c r="E60" i="4"/>
  <c r="E25" i="4"/>
  <c r="D33" i="4"/>
  <c r="E33" i="4" s="1"/>
  <c r="E119" i="4"/>
  <c r="D34" i="4" l="1"/>
  <c r="E34" i="4"/>
</calcChain>
</file>

<file path=xl/sharedStrings.xml><?xml version="1.0" encoding="utf-8"?>
<sst xmlns="http://schemas.openxmlformats.org/spreadsheetml/2006/main" count="396" uniqueCount="267">
  <si>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</si>
  <si>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</si>
  <si>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</si>
  <si>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</si>
  <si>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</si>
  <si>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</si>
  <si>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</si>
  <si>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</si>
  <si>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</si>
  <si>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</si>
  <si>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</si>
  <si>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</si>
  <si>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</si>
  <si>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</si>
  <si>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</si>
  <si>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</si>
  <si>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</si>
  <si>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</si>
  <si>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</si>
  <si>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</si>
  <si>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</si>
  <si>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</si>
  <si>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</si>
  <si>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</si>
  <si>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</si>
  <si>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</si>
  <si>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</si>
  <si>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</si>
  <si>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</si>
  <si>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</si>
  <si>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</si>
  <si>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</si>
  <si>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</si>
  <si>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</si>
  <si>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</si>
  <si>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</si>
  <si>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</si>
  <si>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</si>
  <si>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</si>
  <si>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</si>
  <si>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</si>
  <si>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</si>
  <si>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</si>
  <si>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</si>
  <si>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</si>
  <si>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</si>
  <si>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</si>
  <si>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</si>
  <si>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</si>
  <si>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</si>
  <si>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</si>
  <si>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</si>
  <si>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</si>
  <si>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</si>
  <si>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</si>
  <si>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</si>
  <si>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</si>
  <si>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</si>
  <si>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</si>
  <si>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</si>
  <si>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</si>
  <si>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</si>
  <si>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</si>
  <si>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</si>
  <si>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</si>
  <si>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</si>
  <si>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</si>
  <si>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</si>
  <si>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</si>
  <si>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</si>
  <si>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</si>
  <si>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</si>
  <si>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</si>
  <si>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</si>
  <si>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</si>
  <si>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</si>
  <si>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</si>
  <si>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</si>
  <si>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</si>
  <si>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</si>
  <si>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</si>
  <si>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</si>
  <si>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</si>
  <si>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</si>
  <si>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</si>
  <si>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</si>
  <si>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</si>
  <si>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</si>
  <si>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</si>
  <si>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</si>
  <si>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</si>
  <si>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</si>
  <si>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</si>
  <si>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</si>
  <si>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</si>
  <si>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</si>
  <si>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</si>
  <si>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</si>
  <si>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</si>
  <si>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</si>
  <si>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</si>
  <si>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</si>
  <si>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</si>
  <si>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</si>
  <si>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</si>
  <si>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</si>
  <si>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</si>
  <si>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</si>
  <si>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</si>
  <si>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</si>
  <si>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</si>
  <si>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</si>
  <si>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</si>
  <si>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</si>
  <si>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</si>
  <si>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</si>
  <si>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</si>
  <si>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</si>
  <si>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</si>
  <si>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</si>
  <si>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</si>
  <si>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</si>
  <si>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</si>
  <si>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</si>
  <si>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</si>
  <si>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</si>
  <si>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</si>
  <si>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</si>
  <si>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</si>
  <si>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</si>
  <si>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</si>
  <si>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</si>
  <si>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</si>
  <si>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</si>
  <si>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</si>
  <si>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</si>
  <si>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</si>
  <si>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</si>
  <si>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</si>
  <si>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</si>
  <si>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</si>
  <si>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</si>
  <si>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</si>
  <si>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</si>
  <si>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</si>
  <si>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</si>
  <si>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</si>
  <si>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</si>
  <si>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</si>
  <si>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</si>
  <si>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</si>
  <si>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</si>
  <si>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</si>
  <si>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</si>
  <si>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</si>
  <si>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</si>
  <si>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</si>
  <si>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</si>
  <si>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</si>
  <si>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</si>
  <si>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</si>
  <si>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</si>
  <si>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</si>
  <si>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</si>
  <si>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</si>
  <si>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</si>
  <si>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</si>
  <si>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</si>
  <si>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</si>
  <si>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</si>
  <si>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</si>
  <si>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</si>
  <si>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</si>
  <si>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</si>
  <si>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</si>
  <si>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</si>
  <si>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</si>
  <si>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</si>
  <si>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</si>
  <si>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</si>
  <si>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</si>
  <si>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</si>
  <si>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</si>
  <si>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</si>
  <si>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</si>
  <si>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</si>
  <si>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</si>
  <si>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</si>
  <si>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</si>
  <si>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</si>
  <si>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</si>
  <si>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</si>
  <si>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</si>
  <si>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</si>
  <si>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</si>
  <si>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</si>
  <si>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</si>
  <si>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</si>
  <si>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</si>
  <si>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</si>
  <si>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</si>
  <si>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</si>
  <si>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</si>
  <si>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</si>
  <si>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</si>
  <si>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</si>
  <si>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</si>
  <si>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</si>
  <si>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</si>
  <si>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</si>
  <si>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</si>
  <si>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</si>
  <si>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</si>
  <si>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</si>
  <si>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</si>
  <si>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</si>
  <si>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</si>
  <si>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</si>
  <si>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</si>
  <si>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</si>
  <si>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</si>
  <si>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</si>
  <si>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</si>
  <si>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</si>
  <si>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</si>
  <si>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</si>
  <si>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</si>
  <si>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</si>
  <si>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</si>
  <si>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</si>
  <si>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</si>
  <si>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</si>
  <si>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</si>
  <si>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</si>
  <si>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</si>
  <si>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</si>
  <si>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</si>
  <si>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</si>
  <si>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</si>
  <si>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</si>
  <si>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</si>
  <si>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</si>
  <si>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</si>
  <si>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</si>
  <si>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</si>
  <si>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</si>
  <si>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</si>
  <si>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</si>
  <si>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</si>
  <si>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</si>
  <si>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목공사, 인테리어공사 포함</t>
    <phoneticPr fontId="2" type="noConversion"/>
  </si>
  <si>
    <t>기초공사,골재비및운반비, 작업부산물, 품질시험비, 기타공사</t>
    <phoneticPr fontId="2" type="noConversion"/>
  </si>
  <si>
    <t>옥외보안등설비공사</t>
    <phoneticPr fontId="2" type="noConversion"/>
  </si>
  <si>
    <t>CATV 및 TV 설비공사</t>
    <phoneticPr fontId="2" type="noConversion"/>
  </si>
  <si>
    <t>기타공사</t>
    <phoneticPr fontId="2" type="noConversion"/>
  </si>
  <si>
    <t>교육연구</t>
  </si>
  <si>
    <t>학생교양회관 신축공사</t>
    <phoneticPr fontId="2" type="noConversion"/>
  </si>
  <si>
    <t>부산시</t>
  </si>
  <si>
    <t>공조배관공사, 우수처리시설공사, 기타공사</t>
    <phoneticPr fontId="2" type="noConversion"/>
  </si>
  <si>
    <t>전기인입 및 수변전 설비공사</t>
    <phoneticPr fontId="2" type="noConversion"/>
  </si>
  <si>
    <t>옥외소화배관공사, 펌프실배관공사, 제연덕트설치공사, 기타공사</t>
    <phoneticPr fontId="2" type="noConversion"/>
  </si>
  <si>
    <t>토목 사급자재비, 기타공사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</si>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</sst>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1" t="s">
        <v>156</v>
      </c>
      <c r="B2" s="74" t="s">
        <v>0</v>
      </c>
      <c r="C2" s="75"/>
      <c r="D2" s="74" t="s">
        <v>1</v>
      </c>
      <c r="E2" s="75"/>
      <c r="F2" s="74" t="s">
        <v>157</v>
      </c>
      <c r="G2" s="75"/>
      <c r="H2" s="74" t="s">
        <v>2</v>
      </c>
      <c r="I2" s="75"/>
      <c r="J2" s="74" t="s">
        <v>3</v>
      </c>
      <c r="K2" s="75"/>
      <c r="L2" s="74" t="s">
        <v>158</v>
      </c>
      <c r="M2" s="75"/>
      <c r="N2" s="74" t="s">
        <v>159</v>
      </c>
      <c r="O2" s="75"/>
      <c r="P2" s="74" t="s">
        <v>5</v>
      </c>
      <c r="Q2" s="75"/>
      <c r="R2" s="68" t="s">
        <v>94</v>
      </c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0"/>
    </row>
    <row r="3" spans="1:33" x14ac:dyDescent="0.3">
      <c r="A3" s="72"/>
      <c r="B3" s="76"/>
      <c r="C3" s="77"/>
      <c r="D3" s="76"/>
      <c r="E3" s="77"/>
      <c r="F3" s="76"/>
      <c r="G3" s="77"/>
      <c r="H3" s="76"/>
      <c r="I3" s="77"/>
      <c r="J3" s="76"/>
      <c r="K3" s="77"/>
      <c r="L3" s="76"/>
      <c r="M3" s="77"/>
      <c r="N3" s="76"/>
      <c r="O3" s="77"/>
      <c r="P3" s="76"/>
      <c r="Q3" s="77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3"/>
      <c r="B4" s="78"/>
      <c r="C4" s="79"/>
      <c r="D4" s="78"/>
      <c r="E4" s="79"/>
      <c r="F4" s="78"/>
      <c r="G4" s="79"/>
      <c r="H4" s="78"/>
      <c r="I4" s="79"/>
      <c r="J4" s="78"/>
      <c r="K4" s="79"/>
      <c r="L4" s="78"/>
      <c r="M4" s="79"/>
      <c r="N4" s="78"/>
      <c r="O4" s="79"/>
      <c r="P4" s="78"/>
      <c r="Q4" s="79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256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255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9498.74</v>
      </c>
      <c r="D7" s="36">
        <f>+C7/3.3058</f>
        <v>2873.3559198983603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257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202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7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797270</v>
      </c>
      <c r="E25" s="58">
        <f t="shared" si="0"/>
        <v>2635610</v>
      </c>
    </row>
    <row r="26" spans="1:5" x14ac:dyDescent="0.3">
      <c r="B26" s="2">
        <v>3</v>
      </c>
      <c r="C26" s="35" t="s">
        <v>95</v>
      </c>
      <c r="D26" s="45">
        <f>+D66</f>
        <v>35250</v>
      </c>
      <c r="E26" s="58">
        <f t="shared" si="0"/>
        <v>116520</v>
      </c>
    </row>
    <row r="27" spans="1:5" x14ac:dyDescent="0.3">
      <c r="B27" s="2">
        <v>4</v>
      </c>
      <c r="C27" s="35" t="s">
        <v>96</v>
      </c>
      <c r="D27" s="45">
        <f>+D95</f>
        <v>139520</v>
      </c>
      <c r="E27" s="58">
        <f t="shared" si="0"/>
        <v>461220</v>
      </c>
    </row>
    <row r="28" spans="1:5" x14ac:dyDescent="0.3">
      <c r="B28" s="2">
        <v>5</v>
      </c>
      <c r="C28" s="35" t="s">
        <v>97</v>
      </c>
      <c r="D28" s="45">
        <f>+D119</f>
        <v>204730</v>
      </c>
      <c r="E28" s="58">
        <f t="shared" si="0"/>
        <v>676790</v>
      </c>
    </row>
    <row r="29" spans="1:5" x14ac:dyDescent="0.3">
      <c r="B29" s="2">
        <v>6</v>
      </c>
      <c r="C29" s="35" t="s">
        <v>98</v>
      </c>
      <c r="D29" s="45">
        <f>+D133</f>
        <v>58820</v>
      </c>
      <c r="E29" s="58">
        <f t="shared" si="0"/>
        <v>194440</v>
      </c>
    </row>
    <row r="30" spans="1:5" x14ac:dyDescent="0.3">
      <c r="B30" s="2">
        <v>7</v>
      </c>
      <c r="C30" s="35" t="s">
        <v>99</v>
      </c>
      <c r="D30" s="45">
        <f>+D146</f>
        <v>62550</v>
      </c>
      <c r="E30" s="58">
        <f t="shared" si="0"/>
        <v>206770</v>
      </c>
    </row>
    <row r="31" spans="1:5" x14ac:dyDescent="0.3">
      <c r="B31" s="2">
        <v>8</v>
      </c>
      <c r="C31" s="35" t="s">
        <v>100</v>
      </c>
      <c r="D31" s="45">
        <f>+D154</f>
        <v>31530</v>
      </c>
      <c r="E31" s="58">
        <f t="shared" si="0"/>
        <v>104230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8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365650</v>
      </c>
      <c r="E33" s="59">
        <f t="shared" si="0"/>
        <v>1208760</v>
      </c>
    </row>
    <row r="34" spans="1:7" x14ac:dyDescent="0.3">
      <c r="C34" s="35" t="s">
        <v>112</v>
      </c>
      <c r="D34" s="44">
        <f>SUM(D24:D33)</f>
        <v>1695320</v>
      </c>
      <c r="E34" s="44">
        <f>SUM(E24:E33)</f>
        <v>5604340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238</v>
      </c>
      <c r="D36" s="56" t="s">
        <v>235</v>
      </c>
      <c r="E36" s="56" t="s">
        <v>153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0">
        <f>TRUNC(+D37*3.3058,-1)</f>
        <v>0</v>
      </c>
    </row>
    <row r="38" spans="1:7" s="65" customFormat="1" x14ac:dyDescent="0.3">
      <c r="C38" s="66"/>
      <c r="D38" s="66"/>
      <c r="E38" s="66"/>
      <c r="G38" s="67"/>
    </row>
    <row r="39" spans="1:7" s="65" customFormat="1" ht="17.25" thickBot="1" x14ac:dyDescent="0.35">
      <c r="B39" s="65" t="s">
        <v>111</v>
      </c>
      <c r="C39" s="65" t="s">
        <v>242</v>
      </c>
      <c r="D39" s="66" t="s">
        <v>262</v>
      </c>
      <c r="E39" s="66" t="s">
        <v>263</v>
      </c>
      <c r="G39" s="67"/>
    </row>
    <row r="40" spans="1:7" x14ac:dyDescent="0.3">
      <c r="A40" s="2">
        <v>1</v>
      </c>
      <c r="C40" s="38" t="s">
        <v>15</v>
      </c>
      <c r="D40" s="40">
        <f>TRUNC(68582,-1)</f>
        <v>68580</v>
      </c>
      <c r="E40" s="61">
        <f t="shared" ref="E40:E59" si="1">TRUNC(+D40*3.3058,-1)</f>
        <v>226710</v>
      </c>
    </row>
    <row r="41" spans="1:7" x14ac:dyDescent="0.3">
      <c r="A41" s="2">
        <v>2</v>
      </c>
      <c r="C41" s="38" t="s">
        <v>13</v>
      </c>
      <c r="D41" s="42">
        <f>TRUNC(141685,-1)</f>
        <v>141680</v>
      </c>
      <c r="E41" s="62">
        <f t="shared" si="1"/>
        <v>468360</v>
      </c>
    </row>
    <row r="42" spans="1:7" x14ac:dyDescent="0.3">
      <c r="A42" s="2">
        <v>3</v>
      </c>
      <c r="C42" s="38" t="s">
        <v>14</v>
      </c>
      <c r="D42" s="42">
        <f>TRUNC(12093,-1)</f>
        <v>12090</v>
      </c>
      <c r="E42" s="62">
        <f t="shared" si="1"/>
        <v>39960</v>
      </c>
    </row>
    <row r="43" spans="1:7" x14ac:dyDescent="0.3">
      <c r="A43" s="2">
        <v>4</v>
      </c>
      <c r="C43" s="38" t="s">
        <v>16</v>
      </c>
      <c r="D43" s="42">
        <v>30660</v>
      </c>
      <c r="E43" s="62">
        <f t="shared" si="1"/>
        <v>101350</v>
      </c>
    </row>
    <row r="44" spans="1:7" x14ac:dyDescent="0.3">
      <c r="A44" s="2">
        <v>5</v>
      </c>
      <c r="C44" s="38" t="s">
        <v>17</v>
      </c>
      <c r="D44" s="42">
        <f>TRUNC(24256,-1)</f>
        <v>24250</v>
      </c>
      <c r="E44" s="62">
        <f t="shared" si="1"/>
        <v>80160</v>
      </c>
    </row>
    <row r="45" spans="1:7" x14ac:dyDescent="0.3">
      <c r="A45" s="2">
        <v>6</v>
      </c>
      <c r="C45" s="38" t="s">
        <v>18</v>
      </c>
      <c r="D45" s="42">
        <f>TRUNC(10968,-1)</f>
        <v>10960</v>
      </c>
      <c r="E45" s="62">
        <f t="shared" si="1"/>
        <v>36230</v>
      </c>
    </row>
    <row r="46" spans="1:7" x14ac:dyDescent="0.3">
      <c r="A46" s="2">
        <v>7</v>
      </c>
      <c r="C46" s="38" t="s">
        <v>19</v>
      </c>
      <c r="D46" s="42">
        <f>TRUNC(12856,-1)</f>
        <v>12850</v>
      </c>
      <c r="E46" s="62">
        <f t="shared" si="1"/>
        <v>42470</v>
      </c>
    </row>
    <row r="47" spans="1:7" x14ac:dyDescent="0.3">
      <c r="A47" s="2">
        <v>8</v>
      </c>
      <c r="C47" s="38" t="s">
        <v>20</v>
      </c>
      <c r="D47" s="42">
        <v>0</v>
      </c>
      <c r="E47" s="62">
        <f t="shared" si="1"/>
        <v>0</v>
      </c>
    </row>
    <row r="48" spans="1:7" x14ac:dyDescent="0.3">
      <c r="A48" s="2">
        <v>9</v>
      </c>
      <c r="C48" s="38" t="s">
        <v>21</v>
      </c>
      <c r="D48" s="42">
        <f>TRUNC(40412,-1)</f>
        <v>40410</v>
      </c>
      <c r="E48" s="62">
        <f t="shared" si="1"/>
        <v>133580</v>
      </c>
      <c r="F48" s="2" t="s">
        <v>248</v>
      </c>
    </row>
    <row r="49" spans="1:7" x14ac:dyDescent="0.3">
      <c r="A49" s="2">
        <v>10</v>
      </c>
      <c r="C49" s="38" t="s">
        <v>22</v>
      </c>
      <c r="D49" s="42">
        <f>TRUNC(25033,-1)</f>
        <v>25030</v>
      </c>
      <c r="E49" s="62">
        <f t="shared" si="1"/>
        <v>82740</v>
      </c>
    </row>
    <row r="50" spans="1:7" x14ac:dyDescent="0.3">
      <c r="A50" s="2">
        <v>11</v>
      </c>
      <c r="C50" s="38" t="s">
        <v>155</v>
      </c>
      <c r="D50" s="42">
        <f>TRUNC(50085,-1)</f>
        <v>50080</v>
      </c>
      <c r="E50" s="62">
        <f t="shared" si="1"/>
        <v>165550</v>
      </c>
      <c r="F50" s="2" t="s">
        <v>249</v>
      </c>
    </row>
    <row r="51" spans="1:7" x14ac:dyDescent="0.3">
      <c r="A51" s="2">
        <v>12</v>
      </c>
      <c r="C51" s="38" t="s">
        <v>23</v>
      </c>
      <c r="D51" s="42">
        <v>0</v>
      </c>
      <c r="E51" s="62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TRUNC(17423,-1)</f>
        <v>17420</v>
      </c>
      <c r="E52" s="62">
        <f t="shared" si="1"/>
        <v>57580</v>
      </c>
    </row>
    <row r="53" spans="1:7" x14ac:dyDescent="0.3">
      <c r="A53" s="2">
        <v>14</v>
      </c>
      <c r="C53" s="38" t="s">
        <v>25</v>
      </c>
      <c r="D53" s="42">
        <f>TRUNC(77552,-1)</f>
        <v>77550</v>
      </c>
      <c r="E53" s="62">
        <f t="shared" si="1"/>
        <v>256360</v>
      </c>
      <c r="F53" s="2" t="s">
        <v>250</v>
      </c>
    </row>
    <row r="54" spans="1:7" x14ac:dyDescent="0.3">
      <c r="A54" s="2">
        <v>15</v>
      </c>
      <c r="C54" s="38" t="s">
        <v>147</v>
      </c>
      <c r="D54" s="42">
        <v>0</v>
      </c>
      <c r="E54" s="62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2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2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2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TRUNC(13004+7409-565+1375+2206,-1)</f>
        <v>23420</v>
      </c>
      <c r="E58" s="62">
        <f t="shared" si="1"/>
        <v>77420</v>
      </c>
      <c r="F58" s="2" t="s">
        <v>251</v>
      </c>
    </row>
    <row r="59" spans="1:7" ht="17.25" thickBot="1" x14ac:dyDescent="0.35">
      <c r="A59" s="2">
        <v>20</v>
      </c>
      <c r="C59" s="38" t="s">
        <v>148</v>
      </c>
      <c r="D59" s="43">
        <f>TRUNC(262295,-1)</f>
        <v>262290</v>
      </c>
      <c r="E59" s="63">
        <f t="shared" si="1"/>
        <v>867070</v>
      </c>
    </row>
    <row r="60" spans="1:7" x14ac:dyDescent="0.3">
      <c r="A60" s="2">
        <v>21</v>
      </c>
      <c r="C60" s="27" t="s">
        <v>112</v>
      </c>
      <c r="D60" s="39">
        <f>SUM(D40:D59)</f>
        <v>797270</v>
      </c>
      <c r="E60" s="39">
        <f>SUM(E40:E59)</f>
        <v>2635540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239</v>
      </c>
      <c r="C62" s="55" t="s">
        <v>240</v>
      </c>
      <c r="D62" s="56" t="s">
        <v>237</v>
      </c>
      <c r="E62" s="56" t="s">
        <v>153</v>
      </c>
      <c r="F62" s="54"/>
      <c r="G62" s="54"/>
    </row>
    <row r="63" spans="1:7" x14ac:dyDescent="0.3">
      <c r="A63" s="2">
        <v>1</v>
      </c>
      <c r="C63" s="38" t="s">
        <v>27</v>
      </c>
      <c r="D63" s="40">
        <f>TRUNC(12236,-1)</f>
        <v>12230</v>
      </c>
      <c r="E63" s="61">
        <f>TRUNC(+D63*3.3058,-1)</f>
        <v>40420</v>
      </c>
    </row>
    <row r="64" spans="1:7" x14ac:dyDescent="0.3">
      <c r="A64" s="2">
        <v>2</v>
      </c>
      <c r="C64" s="38" t="s">
        <v>29</v>
      </c>
      <c r="D64" s="42">
        <v>0</v>
      </c>
      <c r="E64" s="62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TRUNC(23026,-1)</f>
        <v>23020</v>
      </c>
      <c r="E65" s="63">
        <f>TRUNC(+D65*3.3058,-1)</f>
        <v>76090</v>
      </c>
    </row>
    <row r="66" spans="1:7" x14ac:dyDescent="0.3">
      <c r="A66" s="2">
        <v>4</v>
      </c>
      <c r="C66" s="27" t="s">
        <v>112</v>
      </c>
      <c r="D66" s="39">
        <f>SUM(D63:D65)</f>
        <v>35250</v>
      </c>
      <c r="E66" s="64">
        <f>SUM(E63:E65)</f>
        <v>116510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241</v>
      </c>
      <c r="C68" s="55" t="s">
        <v>242</v>
      </c>
      <c r="D68" s="56" t="s">
        <v>235</v>
      </c>
      <c r="E68" s="56" t="s">
        <v>153</v>
      </c>
      <c r="F68" s="54"/>
      <c r="G68" s="54"/>
    </row>
    <row r="69" spans="1:7" x14ac:dyDescent="0.3">
      <c r="A69" s="2">
        <v>1</v>
      </c>
      <c r="C69" s="38" t="s">
        <v>30</v>
      </c>
      <c r="D69" s="40">
        <v>2880</v>
      </c>
      <c r="E69" s="61">
        <f t="shared" ref="E69:E94" si="2">TRUNC(+D69*3.3058,-1)</f>
        <v>9520</v>
      </c>
    </row>
    <row r="70" spans="1:7" ht="16.5" customHeight="1" x14ac:dyDescent="0.3">
      <c r="A70" s="2">
        <v>2</v>
      </c>
      <c r="C70" s="38" t="s">
        <v>31</v>
      </c>
      <c r="D70" s="42">
        <f>TRUNC(119,-1)</f>
        <v>110</v>
      </c>
      <c r="E70" s="62">
        <f t="shared" si="2"/>
        <v>360</v>
      </c>
    </row>
    <row r="71" spans="1:7" x14ac:dyDescent="0.3">
      <c r="A71" s="2">
        <v>3</v>
      </c>
      <c r="C71" s="38" t="s">
        <v>32</v>
      </c>
      <c r="D71" s="42">
        <f>TRUNC(4383,-1)</f>
        <v>4380</v>
      </c>
      <c r="E71" s="62">
        <f t="shared" si="2"/>
        <v>14470</v>
      </c>
    </row>
    <row r="72" spans="1:7" x14ac:dyDescent="0.3">
      <c r="A72" s="2">
        <v>4</v>
      </c>
      <c r="C72" s="38" t="s">
        <v>33</v>
      </c>
      <c r="D72" s="42">
        <f>TRUNC(3419,-1)</f>
        <v>3410</v>
      </c>
      <c r="E72" s="62">
        <f t="shared" si="2"/>
        <v>11270</v>
      </c>
    </row>
    <row r="73" spans="1:7" x14ac:dyDescent="0.3">
      <c r="A73" s="2">
        <v>5</v>
      </c>
      <c r="C73" s="38" t="s">
        <v>34</v>
      </c>
      <c r="D73" s="42">
        <f>TRUNC(6193,-1)</f>
        <v>6190</v>
      </c>
      <c r="E73" s="62">
        <f t="shared" si="2"/>
        <v>20460</v>
      </c>
    </row>
    <row r="74" spans="1:7" x14ac:dyDescent="0.3">
      <c r="A74" s="2">
        <v>6</v>
      </c>
      <c r="C74" s="38" t="s">
        <v>176</v>
      </c>
      <c r="D74" s="42">
        <v>0</v>
      </c>
      <c r="E74" s="62">
        <f t="shared" si="2"/>
        <v>0</v>
      </c>
    </row>
    <row r="75" spans="1:7" x14ac:dyDescent="0.3">
      <c r="A75" s="2">
        <v>7</v>
      </c>
      <c r="C75" s="38" t="s">
        <v>140</v>
      </c>
      <c r="D75" s="42">
        <f>TRUNC(1596,-1)</f>
        <v>1590</v>
      </c>
      <c r="E75" s="62">
        <f t="shared" si="2"/>
        <v>5250</v>
      </c>
    </row>
    <row r="76" spans="1:7" x14ac:dyDescent="0.3">
      <c r="A76" s="2">
        <v>8</v>
      </c>
      <c r="C76" s="38" t="s">
        <v>119</v>
      </c>
      <c r="D76" s="42">
        <v>0</v>
      </c>
      <c r="E76" s="62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2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2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2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2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2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2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2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2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2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2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2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2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TRUNC(10315,-1)</f>
        <v>10310</v>
      </c>
      <c r="E89" s="62">
        <f t="shared" si="2"/>
        <v>34080</v>
      </c>
    </row>
    <row r="90" spans="1:7" x14ac:dyDescent="0.3">
      <c r="A90" s="2">
        <v>22</v>
      </c>
      <c r="C90" s="38" t="s">
        <v>36</v>
      </c>
      <c r="D90" s="42">
        <v>0</v>
      </c>
      <c r="E90" s="62">
        <f t="shared" si="2"/>
        <v>0</v>
      </c>
    </row>
    <row r="91" spans="1:7" x14ac:dyDescent="0.3">
      <c r="A91" s="2">
        <v>23</v>
      </c>
      <c r="C91" s="38" t="s">
        <v>37</v>
      </c>
      <c r="D91" s="42">
        <f>TRUNC(7977,-1)</f>
        <v>7970</v>
      </c>
      <c r="E91" s="62">
        <f t="shared" si="2"/>
        <v>26340</v>
      </c>
    </row>
    <row r="92" spans="1:7" x14ac:dyDescent="0.3">
      <c r="A92" s="2">
        <v>24</v>
      </c>
      <c r="C92" s="38" t="s">
        <v>38</v>
      </c>
      <c r="D92" s="42">
        <f>TRUNC(8737,-1)</f>
        <v>8730</v>
      </c>
      <c r="E92" s="62">
        <f t="shared" si="2"/>
        <v>28850</v>
      </c>
    </row>
    <row r="93" spans="1:7" x14ac:dyDescent="0.3">
      <c r="A93" s="2">
        <v>25</v>
      </c>
      <c r="C93" s="38" t="s">
        <v>148</v>
      </c>
      <c r="D93" s="42">
        <f>TRUNC(82743,-1)</f>
        <v>82740</v>
      </c>
      <c r="E93" s="62">
        <f t="shared" si="2"/>
        <v>273520</v>
      </c>
    </row>
    <row r="94" spans="1:7" ht="17.25" thickBot="1" x14ac:dyDescent="0.35">
      <c r="A94" s="2">
        <v>26</v>
      </c>
      <c r="C94" s="38" t="s">
        <v>47</v>
      </c>
      <c r="D94" s="43">
        <f>TRUNC(1491+906+8818,-1)</f>
        <v>11210</v>
      </c>
      <c r="E94" s="63">
        <f t="shared" si="2"/>
        <v>37050</v>
      </c>
      <c r="F94" s="2" t="s">
        <v>258</v>
      </c>
    </row>
    <row r="95" spans="1:7" x14ac:dyDescent="0.3">
      <c r="A95" s="2">
        <v>27</v>
      </c>
      <c r="C95" s="27" t="s">
        <v>112</v>
      </c>
      <c r="D95" s="39">
        <f>SUM(D69:D94)</f>
        <v>139520</v>
      </c>
      <c r="E95" s="39">
        <f>SUM(E69:E94)</f>
        <v>461170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243</v>
      </c>
      <c r="C97" s="55" t="s">
        <v>242</v>
      </c>
      <c r="D97" s="56" t="s">
        <v>235</v>
      </c>
      <c r="E97" s="56" t="s">
        <v>153</v>
      </c>
      <c r="F97" s="54"/>
      <c r="G97" s="54"/>
    </row>
    <row r="98" spans="1:7" x14ac:dyDescent="0.3">
      <c r="A98" s="2">
        <v>1</v>
      </c>
      <c r="C98" s="38" t="s">
        <v>39</v>
      </c>
      <c r="D98" s="40">
        <f>TRUNC(10995,-1)</f>
        <v>10990</v>
      </c>
      <c r="E98" s="61">
        <f t="shared" ref="E98:E118" si="3">TRUNC(+D98*3.3058,-1)</f>
        <v>36330</v>
      </c>
    </row>
    <row r="99" spans="1:7" x14ac:dyDescent="0.3">
      <c r="A99" s="2">
        <v>2</v>
      </c>
      <c r="C99" s="38" t="s">
        <v>40</v>
      </c>
      <c r="D99" s="42">
        <f>TRUNC(4307,-1)</f>
        <v>4300</v>
      </c>
      <c r="E99" s="62">
        <f t="shared" si="3"/>
        <v>14210</v>
      </c>
    </row>
    <row r="100" spans="1:7" x14ac:dyDescent="0.3">
      <c r="A100" s="2">
        <v>3</v>
      </c>
      <c r="C100" s="38" t="s">
        <v>41</v>
      </c>
      <c r="D100" s="42">
        <f>TRUNC(35291,-1)</f>
        <v>35290</v>
      </c>
      <c r="E100" s="62">
        <f t="shared" si="3"/>
        <v>116660</v>
      </c>
    </row>
    <row r="101" spans="1:7" x14ac:dyDescent="0.3">
      <c r="A101" s="2">
        <v>4</v>
      </c>
      <c r="C101" s="38" t="s">
        <v>42</v>
      </c>
      <c r="D101" s="42">
        <v>0</v>
      </c>
      <c r="E101" s="62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TRUNC(16326,-1)</f>
        <v>16320</v>
      </c>
      <c r="E102" s="62">
        <f t="shared" si="3"/>
        <v>53950</v>
      </c>
    </row>
    <row r="103" spans="1:7" x14ac:dyDescent="0.3">
      <c r="A103" s="2">
        <v>6</v>
      </c>
      <c r="C103" s="38" t="s">
        <v>44</v>
      </c>
      <c r="D103" s="42">
        <f>TRUNC(4475,-1)</f>
        <v>4470</v>
      </c>
      <c r="E103" s="62">
        <f t="shared" si="3"/>
        <v>14770</v>
      </c>
    </row>
    <row r="104" spans="1:7" x14ac:dyDescent="0.3">
      <c r="A104" s="2">
        <v>7</v>
      </c>
      <c r="C104" s="38" t="s">
        <v>45</v>
      </c>
      <c r="D104" s="42">
        <f>TRUNC(5338,-1)</f>
        <v>5330</v>
      </c>
      <c r="E104" s="62">
        <f t="shared" si="3"/>
        <v>17610</v>
      </c>
    </row>
    <row r="105" spans="1:7" x14ac:dyDescent="0.3">
      <c r="A105" s="2">
        <v>8</v>
      </c>
      <c r="C105" s="38" t="s">
        <v>46</v>
      </c>
      <c r="D105" s="42">
        <f>TRUNC(4799,-1)</f>
        <v>4790</v>
      </c>
      <c r="E105" s="62">
        <f t="shared" si="3"/>
        <v>15830</v>
      </c>
    </row>
    <row r="106" spans="1:7" x14ac:dyDescent="0.3">
      <c r="A106" s="2">
        <v>9</v>
      </c>
      <c r="C106" s="38" t="s">
        <v>135</v>
      </c>
      <c r="D106" s="42">
        <v>0</v>
      </c>
      <c r="E106" s="62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2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2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2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2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2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2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2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TRUNC(1625,-1)</f>
        <v>1620</v>
      </c>
      <c r="E114" s="62">
        <f t="shared" si="3"/>
        <v>5350</v>
      </c>
      <c r="F114" s="2" t="s">
        <v>252</v>
      </c>
    </row>
    <row r="115" spans="1:7" x14ac:dyDescent="0.3">
      <c r="A115" s="2">
        <v>18</v>
      </c>
      <c r="C115" s="38" t="s">
        <v>116</v>
      </c>
      <c r="D115" s="42">
        <v>0</v>
      </c>
      <c r="E115" s="62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TRUNC(12718,-1)</f>
        <v>12710</v>
      </c>
      <c r="E116" s="62">
        <f t="shared" si="3"/>
        <v>42010</v>
      </c>
      <c r="F116" s="2" t="s">
        <v>259</v>
      </c>
    </row>
    <row r="117" spans="1:7" x14ac:dyDescent="0.3">
      <c r="A117" s="2">
        <v>20</v>
      </c>
      <c r="C117" s="38" t="s">
        <v>148</v>
      </c>
      <c r="D117" s="42">
        <f>TRUNC(106183,-1)</f>
        <v>106180</v>
      </c>
      <c r="E117" s="62">
        <f t="shared" si="3"/>
        <v>351000</v>
      </c>
    </row>
    <row r="118" spans="1:7" ht="17.25" thickBot="1" x14ac:dyDescent="0.35">
      <c r="A118" s="2">
        <v>21</v>
      </c>
      <c r="C118" s="38" t="s">
        <v>47</v>
      </c>
      <c r="D118" s="43">
        <f>TRUNC(2736,-1)</f>
        <v>2730</v>
      </c>
      <c r="E118" s="63">
        <f t="shared" si="3"/>
        <v>9020</v>
      </c>
    </row>
    <row r="119" spans="1:7" x14ac:dyDescent="0.3">
      <c r="A119" s="2">
        <v>22</v>
      </c>
      <c r="C119" s="27" t="s">
        <v>112</v>
      </c>
      <c r="D119" s="39">
        <f>SUM(D98:D118)</f>
        <v>204730</v>
      </c>
      <c r="E119" s="39">
        <f>SUM(E98:E118)</f>
        <v>676740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244</v>
      </c>
      <c r="C121" s="55" t="s">
        <v>242</v>
      </c>
      <c r="D121" s="56" t="s">
        <v>235</v>
      </c>
      <c r="E121" s="56" t="s">
        <v>153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f>TRUNC(4668,-1)</f>
        <v>4660</v>
      </c>
      <c r="E122" s="61">
        <f t="shared" ref="E122:E132" si="4">TRUNC(+D122*3.3058,-1)</f>
        <v>15400</v>
      </c>
      <c r="F122" s="2" t="s">
        <v>253</v>
      </c>
    </row>
    <row r="123" spans="1:7" x14ac:dyDescent="0.3">
      <c r="A123" s="2">
        <v>2</v>
      </c>
      <c r="C123" s="38" t="s">
        <v>124</v>
      </c>
      <c r="D123" s="42">
        <v>0</v>
      </c>
      <c r="E123" s="62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TRUNC(1521,-1)</f>
        <v>1520</v>
      </c>
      <c r="E124" s="62">
        <f t="shared" si="4"/>
        <v>5020</v>
      </c>
    </row>
    <row r="125" spans="1:7" x14ac:dyDescent="0.3">
      <c r="A125" s="2">
        <v>4</v>
      </c>
      <c r="C125" s="38" t="s">
        <v>138</v>
      </c>
      <c r="D125" s="42">
        <f>TRUNC(4626,-1)</f>
        <v>4620</v>
      </c>
      <c r="E125" s="62">
        <f t="shared" si="4"/>
        <v>15270</v>
      </c>
    </row>
    <row r="126" spans="1:7" x14ac:dyDescent="0.3">
      <c r="A126" s="2">
        <v>5</v>
      </c>
      <c r="C126" s="38" t="s">
        <v>53</v>
      </c>
      <c r="D126" s="42">
        <v>0</v>
      </c>
      <c r="E126" s="62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2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TRUNC(4102,-1)</f>
        <v>4100</v>
      </c>
      <c r="E128" s="62">
        <f t="shared" si="4"/>
        <v>13550</v>
      </c>
    </row>
    <row r="129" spans="1:7" x14ac:dyDescent="0.3">
      <c r="A129" s="2">
        <v>8</v>
      </c>
      <c r="C129" s="38" t="s">
        <v>126</v>
      </c>
      <c r="D129" s="42">
        <v>0</v>
      </c>
      <c r="E129" s="62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22020</v>
      </c>
      <c r="E130" s="62">
        <f t="shared" si="4"/>
        <v>72790</v>
      </c>
    </row>
    <row r="131" spans="1:7" x14ac:dyDescent="0.3">
      <c r="A131" s="2">
        <v>10</v>
      </c>
      <c r="C131" s="38" t="s">
        <v>148</v>
      </c>
      <c r="D131" s="42">
        <f>TRUNC(20715,-1)</f>
        <v>20710</v>
      </c>
      <c r="E131" s="62">
        <f t="shared" si="4"/>
        <v>68460</v>
      </c>
    </row>
    <row r="132" spans="1:7" ht="17.25" thickBot="1" x14ac:dyDescent="0.35">
      <c r="A132" s="2">
        <v>11</v>
      </c>
      <c r="C132" s="38" t="s">
        <v>47</v>
      </c>
      <c r="D132" s="43">
        <f>TRUNC(1197,-1)</f>
        <v>1190</v>
      </c>
      <c r="E132" s="63">
        <f t="shared" si="4"/>
        <v>3930</v>
      </c>
      <c r="F132" s="2" t="s">
        <v>254</v>
      </c>
    </row>
    <row r="133" spans="1:7" x14ac:dyDescent="0.3">
      <c r="A133" s="2">
        <v>12</v>
      </c>
      <c r="C133" s="27" t="s">
        <v>112</v>
      </c>
      <c r="D133" s="39">
        <f>SUM(D122:D132)</f>
        <v>58820</v>
      </c>
      <c r="E133" s="39">
        <f>SUM(E122:E132)</f>
        <v>194420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245</v>
      </c>
      <c r="C135" s="55" t="s">
        <v>242</v>
      </c>
      <c r="D135" s="56" t="s">
        <v>235</v>
      </c>
      <c r="E135" s="56" t="s">
        <v>153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0</v>
      </c>
      <c r="E136" s="61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174+4936+9560+1300</f>
        <v>15970</v>
      </c>
      <c r="E137" s="62">
        <f t="shared" si="5"/>
        <v>52790</v>
      </c>
      <c r="F137" s="2" t="s">
        <v>260</v>
      </c>
    </row>
    <row r="138" spans="1:7" x14ac:dyDescent="0.3">
      <c r="A138" s="2">
        <v>3</v>
      </c>
      <c r="C138" s="38" t="s">
        <v>60</v>
      </c>
      <c r="D138" s="42">
        <v>0</v>
      </c>
      <c r="E138" s="62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2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TRUNC(2628,-1)</f>
        <v>2620</v>
      </c>
      <c r="E140" s="62">
        <f t="shared" si="5"/>
        <v>8660</v>
      </c>
    </row>
    <row r="141" spans="1:7" x14ac:dyDescent="0.3">
      <c r="A141" s="2">
        <v>6</v>
      </c>
      <c r="C141" s="38" t="s">
        <v>59</v>
      </c>
      <c r="D141" s="42">
        <f>TRUNC(23566,-1)</f>
        <v>23560</v>
      </c>
      <c r="E141" s="62">
        <f t="shared" si="5"/>
        <v>77880</v>
      </c>
    </row>
    <row r="142" spans="1:7" x14ac:dyDescent="0.3">
      <c r="A142" s="2">
        <v>7</v>
      </c>
      <c r="C142" s="38" t="s">
        <v>58</v>
      </c>
      <c r="D142" s="42">
        <v>4360</v>
      </c>
      <c r="E142" s="62">
        <f t="shared" si="5"/>
        <v>14410</v>
      </c>
    </row>
    <row r="143" spans="1:7" x14ac:dyDescent="0.3">
      <c r="A143" s="2">
        <v>8</v>
      </c>
      <c r="C143" s="38" t="s">
        <v>62</v>
      </c>
      <c r="D143" s="42">
        <f>TRUNC(3893,-1)</f>
        <v>3890</v>
      </c>
      <c r="E143" s="62">
        <f t="shared" si="5"/>
        <v>12850</v>
      </c>
    </row>
    <row r="144" spans="1:7" x14ac:dyDescent="0.3">
      <c r="A144" s="2">
        <v>9</v>
      </c>
      <c r="C144" s="38" t="s">
        <v>63</v>
      </c>
      <c r="D144" s="42">
        <v>12150</v>
      </c>
      <c r="E144" s="62">
        <f t="shared" si="5"/>
        <v>40160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3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62550</v>
      </c>
      <c r="E146" s="39">
        <f>SUM(E136:E145)</f>
        <v>206750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246</v>
      </c>
      <c r="C148" s="55" t="s">
        <v>242</v>
      </c>
      <c r="D148" s="56" t="s">
        <v>235</v>
      </c>
      <c r="E148" s="56" t="s">
        <v>153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f>TRUNC(1812+76,-1)</f>
        <v>1880</v>
      </c>
      <c r="E149" s="61">
        <f>TRUNC(+D149*3.3058,-1)</f>
        <v>6210</v>
      </c>
      <c r="F149" s="2" t="s">
        <v>232</v>
      </c>
    </row>
    <row r="150" spans="1:7" x14ac:dyDescent="0.3">
      <c r="A150" s="2">
        <v>2</v>
      </c>
      <c r="C150" s="38" t="s">
        <v>49</v>
      </c>
      <c r="D150" s="42">
        <v>2350</v>
      </c>
      <c r="E150" s="62">
        <f>TRUNC(+D150*3.3058,-1)</f>
        <v>7760</v>
      </c>
      <c r="F150" s="2" t="s">
        <v>232</v>
      </c>
    </row>
    <row r="151" spans="1:7" x14ac:dyDescent="0.3">
      <c r="A151" s="2">
        <v>3</v>
      </c>
      <c r="C151" s="38" t="s">
        <v>50</v>
      </c>
      <c r="D151" s="42">
        <v>0</v>
      </c>
      <c r="E151" s="62">
        <f>TRUNC(+D151*3.3058,-1)</f>
        <v>0</v>
      </c>
      <c r="F151" s="2" t="s">
        <v>232</v>
      </c>
    </row>
    <row r="152" spans="1:7" x14ac:dyDescent="0.3">
      <c r="A152" s="2">
        <v>4</v>
      </c>
      <c r="C152" s="38" t="s">
        <v>47</v>
      </c>
      <c r="D152" s="42">
        <f>TRUNC(11821+6531,-1)</f>
        <v>18350</v>
      </c>
      <c r="E152" s="62">
        <f>TRUNC(+D152*3.3058,-1)</f>
        <v>60660</v>
      </c>
      <c r="F152" s="2" t="s">
        <v>261</v>
      </c>
    </row>
    <row r="153" spans="1:7" ht="17.25" thickBot="1" x14ac:dyDescent="0.35">
      <c r="A153" s="2">
        <v>5</v>
      </c>
      <c r="C153" s="38" t="s">
        <v>148</v>
      </c>
      <c r="D153" s="43">
        <f>TRUNC(8953,-1)</f>
        <v>8950</v>
      </c>
      <c r="E153" s="63">
        <f>TRUNC(+D153*3.3058,-1)</f>
        <v>29580</v>
      </c>
      <c r="F153" s="2" t="s">
        <v>232</v>
      </c>
    </row>
    <row r="154" spans="1:7" x14ac:dyDescent="0.3">
      <c r="A154" s="2">
        <v>6</v>
      </c>
      <c r="C154" s="27" t="s">
        <v>112</v>
      </c>
      <c r="D154" s="39">
        <f>SUM(D149:D153)</f>
        <v>31530</v>
      </c>
      <c r="E154" s="39">
        <f>SUM(E149:E153)</f>
        <v>104210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247</v>
      </c>
      <c r="C156" s="55" t="s">
        <v>242</v>
      </c>
      <c r="D156" s="56" t="s">
        <v>235</v>
      </c>
      <c r="E156" s="56" t="s">
        <v>153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v>0</v>
      </c>
      <c r="E157" s="61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2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2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3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2020-12-07T09:56:55Z</dcterms:modified>
</cp:coreProperties>
</file>