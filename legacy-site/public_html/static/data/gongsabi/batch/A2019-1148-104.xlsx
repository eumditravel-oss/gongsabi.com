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3" i="4"/>
  <c r="D152" i="4"/>
  <c r="D151" i="4"/>
  <c r="D150" i="4"/>
  <c r="D144" i="4"/>
  <c r="D143" i="4"/>
  <c r="D142" i="4"/>
  <c r="D141" i="4"/>
  <c r="D140" i="4"/>
  <c r="D139" i="4"/>
  <c r="D137" i="4"/>
  <c r="D132" i="4"/>
  <c r="D131" i="4"/>
  <c r="D130" i="4"/>
  <c r="D128" i="4"/>
  <c r="D125" i="4"/>
  <c r="D124" i="4"/>
  <c r="D122" i="4"/>
  <c r="D98" i="4"/>
  <c r="D117" i="4"/>
  <c r="D114" i="4"/>
  <c r="D105" i="4"/>
  <c r="D104" i="4"/>
  <c r="D102" i="4"/>
  <c r="D101" i="4"/>
  <c r="D99" i="4"/>
  <c r="D94" i="4"/>
  <c r="D93" i="4"/>
  <c r="D92" i="4"/>
  <c r="D89" i="4"/>
  <c r="D73" i="4"/>
  <c r="D72" i="4"/>
  <c r="D70" i="4"/>
  <c r="D63" i="4"/>
  <c r="D59" i="4"/>
  <c r="D58" i="4"/>
  <c r="D53" i="4"/>
  <c r="D52" i="4"/>
  <c r="D50" i="4"/>
  <c r="D49" i="4"/>
  <c r="D48" i="4"/>
  <c r="D46" i="4"/>
  <c r="D44" i="4"/>
  <c r="D43" i="4"/>
  <c r="D42" i="4"/>
  <c r="D41" i="4"/>
  <c r="D14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<sst xmlns="http://schemas.openxmlformats.org/spreadsheetml/2006/main" count="392" uniqueCount="266">
  <si>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</si>
  <si>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</si>
  <si>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</si>
  <si>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</si>
  <si>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</si>
  <si>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</si>
  <si>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</si>
  <si>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</si>
  <si>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</si>
  <si>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</si>
  <si>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</si>
  <si>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</si>
  <si>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</si>
  <si>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</si>
  <si>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</si>
  <si>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</si>
  <si>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</si>
  <si>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</si>
  <si>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</si>
  <si>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</si>
  <si>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</si>
  <si>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</si>
  <si>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</si>
  <si>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</si>
  <si>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</si>
  <si>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</si>
  <si>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</si>
  <si>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</si>
  <si>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</si>
  <si>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</si>
  <si>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</si>
  <si>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</si>
  <si>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</si>
  <si>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</si>
  <si>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</si>
  <si>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</si>
  <si>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</si>
  <si>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</si>
  <si>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</si>
  <si>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</si>
  <si>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</si>
  <si>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</si>
  <si>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</si>
  <si>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</si>
  <si>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</si>
  <si>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</si>
  <si>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</si>
  <si>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</si>
  <si>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</si>
  <si>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</si>
  <si>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</si>
  <si>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</si>
  <si>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</si>
  <si>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</si>
  <si>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</si>
  <si>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</si>
  <si>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</si>
  <si>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</si>
  <si>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</si>
  <si>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</si>
  <si>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</si>
  <si>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</si>
  <si>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</si>
  <si>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</si>
  <si>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</si>
  <si>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</si>
  <si>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</si>
  <si>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</si>
  <si>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</si>
  <si>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</si>
  <si>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</si>
  <si>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</si>
  <si>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</si>
  <si>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</si>
  <si>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</si>
  <si>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</si>
  <si>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</si>
  <si>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</si>
  <si>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</si>
  <si>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</si>
  <si>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</si>
  <si>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</si>
  <si>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</si>
  <si>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</si>
  <si>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</si>
  <si>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</si>
  <si>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</si>
  <si>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</si>
  <si>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</si>
  <si>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</si>
  <si>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</si>
  <si>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</si>
  <si>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</si>
  <si>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</si>
  <si>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</si>
  <si>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</si>
  <si>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</si>
  <si>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</si>
  <si>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</si>
  <si>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</si>
  <si>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</si>
  <si>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</si>
  <si>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</si>
  <si>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</si>
  <si>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</si>
  <si>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</si>
  <si>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</si>
  <si>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</si>
  <si>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</si>
  <si>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</si>
  <si>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</si>
  <si>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</si>
  <si>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</si>
  <si>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</si>
  <si>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</si>
  <si>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</si>
  <si>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</si>
  <si>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</si>
  <si>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</si>
  <si>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</si>
  <si>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</si>
  <si>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</si>
  <si>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</si>
  <si>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</si>
  <si>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</si>
  <si>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</si>
  <si>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</si>
  <si>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</si>
  <si>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</si>
  <si>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</si>
  <si>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</si>
  <si>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</si>
  <si>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</si>
  <si>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</si>
  <si>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</si>
  <si>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</si>
  <si>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</si>
  <si>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</si>
  <si>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</si>
  <si>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</si>
  <si>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</si>
  <si>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</si>
  <si>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</si>
  <si>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</si>
  <si>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</si>
  <si>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</si>
  <si>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</si>
  <si>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</si>
  <si>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</si>
  <si>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</si>
  <si>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</si>
  <si>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</si>
  <si>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</si>
  <si>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</si>
  <si>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</si>
  <si>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</si>
  <si>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</si>
  <si>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</si>
  <si>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</si>
  <si>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</si>
  <si>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</si>
  <si>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</si>
  <si>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</si>
  <si>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</si>
  <si>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</si>
  <si>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</si>
  <si>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</si>
  <si>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</si>
  <si>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</si>
  <si>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</si>
  <si>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</si>
  <si>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</si>
  <si>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</si>
  <si>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</si>
  <si>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</si>
  <si>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</si>
  <si>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</si>
  <si>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</si>
  <si>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</si>
  <si>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</si>
  <si>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</si>
  <si>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</si>
  <si>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</si>
  <si>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</si>
  <si>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</si>
  <si>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</si>
  <si>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</si>
  <si>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</si>
  <si>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</si>
  <si>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</si>
  <si>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</si>
  <si>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</si>
  <si>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</si>
  <si>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</si>
  <si>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</si>
  <si>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</si>
  <si>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</si>
  <si>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</si>
  <si>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</si>
  <si>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</si>
  <si>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</si>
  <si>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</si>
  <si>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</si>
  <si>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</si>
  <si>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</si>
  <si>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</si>
  <si>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</si>
  <si>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</si>
  <si>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</si>
  <si>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</si>
  <si>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</si>
  <si>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</si>
  <si>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</si>
  <si>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</si>
  <si>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</si>
  <si>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</si>
  <si>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</si>
  <si>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</si>
  <si>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</si>
  <si>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</si>
  <si>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</si>
  <si>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</si>
  <si>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</si>
  <si>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</si>
  <si>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</si>
  <si>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</si>
  <si>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</si>
  <si>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</si>
  <si>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</si>
  <si>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</si>
  <si>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</si>
  <si>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</si>
  <si>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</si>
  <si>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</si>
  <si>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</si>
  <si>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</si>
  <si>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</si>
  <si>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</si>
  <si>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</si>
  <si>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</si>
  <si>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</si>
  <si>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</si>
  <si>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</si>
  <si>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</si>
  <si>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</si>
  <si>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</si>
  <si>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</si>
  <si>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</si>
  <si>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</si>
  <si>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</si>
  <si>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지붕및홈통공사 포함</t>
    <phoneticPr fontId="2" type="noConversion"/>
  </si>
  <si>
    <t>목공사및수장공사(인테리어공사 포함)</t>
    <phoneticPr fontId="2" type="noConversion"/>
  </si>
  <si>
    <t>공조배관공사, 난방배관공사,바닥난방공사, 기타공사</t>
    <phoneticPr fontId="2" type="noConversion"/>
  </si>
  <si>
    <t>CATV 및 TV 설비공사</t>
    <phoneticPr fontId="2" type="noConversion"/>
  </si>
  <si>
    <t>창호및유리공사</t>
    <phoneticPr fontId="2" type="noConversion"/>
  </si>
  <si>
    <t>반곡고등학교 신축공사</t>
    <phoneticPr fontId="2" type="noConversion"/>
  </si>
  <si>
    <t>세종시</t>
  </si>
  <si>
    <t>기초공사, 골재비및운반비, 작업부산물, 품질시험비, 기타공사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</si>
  <si>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</si>
  <si>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</si>
  <si>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CCTV설비공사, 주차관제설비공사</t>
    <phoneticPr fontId="2" type="noConversion"/>
  </si>
  <si>
    <t>사급자재비, 운반비, 기타공사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</si>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</sst>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15993.64</v>
      </c>
      <c r="D7" s="36">
        <f>+C7/3.3058</f>
        <v>4838.0543287555201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798270</v>
      </c>
      <c r="E25" s="59">
        <f t="shared" si="0"/>
        <v>2638920</v>
      </c>
    </row>
    <row r="26" spans="1:5" x14ac:dyDescent="0.3">
      <c r="B26" s="2">
        <v>3</v>
      </c>
      <c r="C26" s="35" t="s">
        <v>95</v>
      </c>
      <c r="D26" s="45">
        <f>+D66</f>
        <v>1790</v>
      </c>
      <c r="E26" s="59">
        <f t="shared" si="0"/>
        <v>5910</v>
      </c>
    </row>
    <row r="27" spans="1:5" x14ac:dyDescent="0.3">
      <c r="B27" s="2">
        <v>4</v>
      </c>
      <c r="C27" s="35" t="s">
        <v>96</v>
      </c>
      <c r="D27" s="45">
        <f>+D95</f>
        <v>173710</v>
      </c>
      <c r="E27" s="59">
        <f t="shared" si="0"/>
        <v>574250</v>
      </c>
    </row>
    <row r="28" spans="1:5" x14ac:dyDescent="0.3">
      <c r="B28" s="2">
        <v>5</v>
      </c>
      <c r="C28" s="35" t="s">
        <v>97</v>
      </c>
      <c r="D28" s="45">
        <f>+D119</f>
        <v>180490</v>
      </c>
      <c r="E28" s="59">
        <f t="shared" si="0"/>
        <v>596660</v>
      </c>
    </row>
    <row r="29" spans="1:5" x14ac:dyDescent="0.3">
      <c r="B29" s="2">
        <v>6</v>
      </c>
      <c r="C29" s="35" t="s">
        <v>98</v>
      </c>
      <c r="D29" s="45">
        <f>+D133</f>
        <v>63650</v>
      </c>
      <c r="E29" s="59">
        <f t="shared" si="0"/>
        <v>210410</v>
      </c>
    </row>
    <row r="30" spans="1:5" x14ac:dyDescent="0.3">
      <c r="B30" s="2">
        <v>7</v>
      </c>
      <c r="C30" s="35" t="s">
        <v>99</v>
      </c>
      <c r="D30" s="45">
        <f>+D146</f>
        <v>42810</v>
      </c>
      <c r="E30" s="59">
        <f t="shared" si="0"/>
        <v>141520</v>
      </c>
    </row>
    <row r="31" spans="1:5" x14ac:dyDescent="0.3">
      <c r="B31" s="2">
        <v>8</v>
      </c>
      <c r="C31" s="35" t="s">
        <v>100</v>
      </c>
      <c r="D31" s="45">
        <f>+D154</f>
        <v>58040</v>
      </c>
      <c r="E31" s="59">
        <f t="shared" si="0"/>
        <v>191860</v>
      </c>
    </row>
    <row r="32" spans="1:5" x14ac:dyDescent="0.3">
      <c r="B32" s="2">
        <v>9</v>
      </c>
      <c r="C32" s="35" t="s">
        <v>101</v>
      </c>
      <c r="D32" s="45">
        <f>+D161</f>
        <v>34810</v>
      </c>
      <c r="E32" s="59">
        <f t="shared" si="0"/>
        <v>115070</v>
      </c>
    </row>
    <row r="33" spans="1:7" x14ac:dyDescent="0.3">
      <c r="B33" s="2">
        <v>10</v>
      </c>
      <c r="C33" s="35" t="s">
        <v>155</v>
      </c>
      <c r="D33" s="53">
        <f>TRUNC(SUM(D24:D32)*0.275,-1)</f>
        <v>372230</v>
      </c>
      <c r="E33" s="60">
        <f t="shared" si="0"/>
        <v>1230510</v>
      </c>
    </row>
    <row r="34" spans="1:7" x14ac:dyDescent="0.3">
      <c r="C34" s="35" t="s">
        <v>112</v>
      </c>
      <c r="D34" s="44">
        <f>SUM(D24:D33)</f>
        <v>1725800</v>
      </c>
      <c r="E34" s="44">
        <f>SUM(E24:E33)</f>
        <v>5705110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v>39640</v>
      </c>
      <c r="E40" s="62">
        <f t="shared" ref="E40:E59" si="1">TRUNC(+D40*3.3058,-1)</f>
        <v>131040</v>
      </c>
    </row>
    <row r="41" spans="1:7" x14ac:dyDescent="0.3">
      <c r="A41" s="2">
        <v>2</v>
      </c>
      <c r="C41" s="38" t="s">
        <v>13</v>
      </c>
      <c r="D41" s="42">
        <f>TRUNC(131014,-1)</f>
        <v>131010</v>
      </c>
      <c r="E41" s="63">
        <f t="shared" si="1"/>
        <v>433090</v>
      </c>
    </row>
    <row r="42" spans="1:7" x14ac:dyDescent="0.3">
      <c r="A42" s="2">
        <v>3</v>
      </c>
      <c r="C42" s="38" t="s">
        <v>14</v>
      </c>
      <c r="D42" s="42">
        <f>TRUNC(6411,-1)</f>
        <v>6410</v>
      </c>
      <c r="E42" s="63">
        <f t="shared" si="1"/>
        <v>21190</v>
      </c>
    </row>
    <row r="43" spans="1:7" x14ac:dyDescent="0.3">
      <c r="A43" s="2">
        <v>4</v>
      </c>
      <c r="C43" s="38" t="s">
        <v>16</v>
      </c>
      <c r="D43" s="42">
        <f>TRUNC(26879,-1)</f>
        <v>26870</v>
      </c>
      <c r="E43" s="63">
        <f t="shared" si="1"/>
        <v>88820</v>
      </c>
    </row>
    <row r="44" spans="1:7" x14ac:dyDescent="0.3">
      <c r="A44" s="2">
        <v>5</v>
      </c>
      <c r="C44" s="38" t="s">
        <v>17</v>
      </c>
      <c r="D44" s="42">
        <f>TRUNC(11383,-1)</f>
        <v>11380</v>
      </c>
      <c r="E44" s="63">
        <f t="shared" si="1"/>
        <v>37620</v>
      </c>
    </row>
    <row r="45" spans="1:7" x14ac:dyDescent="0.3">
      <c r="A45" s="2">
        <v>6</v>
      </c>
      <c r="C45" s="38" t="s">
        <v>18</v>
      </c>
      <c r="D45" s="42">
        <v>6100</v>
      </c>
      <c r="E45" s="63">
        <f t="shared" si="1"/>
        <v>20160</v>
      </c>
    </row>
    <row r="46" spans="1:7" x14ac:dyDescent="0.3">
      <c r="A46" s="2">
        <v>7</v>
      </c>
      <c r="C46" s="38" t="s">
        <v>19</v>
      </c>
      <c r="D46" s="42">
        <f>TRUNC(39311,-1)</f>
        <v>39310</v>
      </c>
      <c r="E46" s="63">
        <f t="shared" si="1"/>
        <v>129950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TRUNC(45753,-1)</f>
        <v>45750</v>
      </c>
      <c r="E48" s="63">
        <f t="shared" si="1"/>
        <v>151240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TRUNC(15031,-1)</f>
        <v>15030</v>
      </c>
      <c r="E49" s="63">
        <f t="shared" si="1"/>
        <v>49680</v>
      </c>
    </row>
    <row r="50" spans="1:7" x14ac:dyDescent="0.3">
      <c r="A50" s="2">
        <v>11</v>
      </c>
      <c r="C50" s="38" t="s">
        <v>156</v>
      </c>
      <c r="D50" s="42">
        <f>TRUNC(75816,-1)</f>
        <v>75810</v>
      </c>
      <c r="E50" s="63">
        <f t="shared" si="1"/>
        <v>250610</v>
      </c>
      <c r="F50" s="2" t="s">
        <v>254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TRUNC(10882,-1)</f>
        <v>10880</v>
      </c>
      <c r="E52" s="63">
        <f t="shared" si="1"/>
        <v>35960</v>
      </c>
    </row>
    <row r="53" spans="1:7" x14ac:dyDescent="0.3">
      <c r="A53" s="2">
        <v>14</v>
      </c>
      <c r="C53" s="38" t="s">
        <v>25</v>
      </c>
      <c r="D53" s="42">
        <f>TRUNC(82886,-1)</f>
        <v>82880</v>
      </c>
      <c r="E53" s="63">
        <f t="shared" si="1"/>
        <v>273980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TRUNC(27502+7035-760+860+7537,-1)</f>
        <v>42170</v>
      </c>
      <c r="E58" s="63">
        <f t="shared" si="1"/>
        <v>139400</v>
      </c>
      <c r="F58" s="2" t="s">
        <v>257</v>
      </c>
    </row>
    <row r="59" spans="1:7" ht="17.25" thickBot="1" x14ac:dyDescent="0.35">
      <c r="A59" s="2">
        <v>20</v>
      </c>
      <c r="C59" s="38" t="s">
        <v>149</v>
      </c>
      <c r="D59" s="43">
        <f>TRUNC(265032,-1)</f>
        <v>265030</v>
      </c>
      <c r="E59" s="64">
        <f t="shared" si="1"/>
        <v>876130</v>
      </c>
    </row>
    <row r="60" spans="1:7" x14ac:dyDescent="0.3">
      <c r="A60" s="2">
        <v>21</v>
      </c>
      <c r="C60" s="27" t="s">
        <v>112</v>
      </c>
      <c r="D60" s="39">
        <f>SUM(D40:D59)</f>
        <v>798270</v>
      </c>
      <c r="E60" s="39">
        <f>SUM(E40:E59)</f>
        <v>2638870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TRUNC(1795,-1)</f>
        <v>1790</v>
      </c>
      <c r="E63" s="62">
        <f>TRUNC(+D63*3.3058,-1)</f>
        <v>5910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1790</v>
      </c>
      <c r="E66" s="65">
        <f>SUM(E63:E65)</f>
        <v>5910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v>8460</v>
      </c>
      <c r="E69" s="62">
        <f t="shared" ref="E69:E94" si="2">TRUNC(+D69*3.3058,-1)</f>
        <v>27960</v>
      </c>
    </row>
    <row r="70" spans="1:7" ht="16.5" customHeight="1" x14ac:dyDescent="0.3">
      <c r="A70" s="2">
        <v>2</v>
      </c>
      <c r="C70" s="38" t="s">
        <v>31</v>
      </c>
      <c r="D70" s="42">
        <f>TRUNC(1815,-1)</f>
        <v>1810</v>
      </c>
      <c r="E70" s="63">
        <f t="shared" si="2"/>
        <v>5980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TRUNC(3103,-1)</f>
        <v>3100</v>
      </c>
      <c r="E72" s="63">
        <f t="shared" si="2"/>
        <v>10240</v>
      </c>
    </row>
    <row r="73" spans="1:7" x14ac:dyDescent="0.3">
      <c r="A73" s="2">
        <v>5</v>
      </c>
      <c r="C73" s="38" t="s">
        <v>34</v>
      </c>
      <c r="D73" s="42">
        <f>TRUNC(15485,-1)</f>
        <v>15480</v>
      </c>
      <c r="E73" s="63">
        <f t="shared" si="2"/>
        <v>51170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TRUNC(4204,-1)</f>
        <v>4200</v>
      </c>
      <c r="E89" s="63">
        <f t="shared" si="2"/>
        <v>13880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TRUNC(6251,-1)</f>
        <v>6250</v>
      </c>
      <c r="E92" s="63">
        <f t="shared" si="2"/>
        <v>20660</v>
      </c>
    </row>
    <row r="93" spans="1:7" x14ac:dyDescent="0.3">
      <c r="A93" s="2">
        <v>25</v>
      </c>
      <c r="C93" s="38" t="s">
        <v>149</v>
      </c>
      <c r="D93" s="42">
        <f>TRUNC(89939,-1)</f>
        <v>89930</v>
      </c>
      <c r="E93" s="63">
        <f t="shared" si="2"/>
        <v>297290</v>
      </c>
    </row>
    <row r="94" spans="1:7" ht="17.25" thickBot="1" x14ac:dyDescent="0.35">
      <c r="A94" s="2">
        <v>26</v>
      </c>
      <c r="C94" s="38" t="s">
        <v>47</v>
      </c>
      <c r="D94" s="43">
        <f>TRUNC(4162+27963+226+12137,-1)</f>
        <v>44480</v>
      </c>
      <c r="E94" s="64">
        <f t="shared" si="2"/>
        <v>147040</v>
      </c>
      <c r="F94" s="2" t="s">
        <v>252</v>
      </c>
    </row>
    <row r="95" spans="1:7" x14ac:dyDescent="0.3">
      <c r="A95" s="2">
        <v>27</v>
      </c>
      <c r="C95" s="27" t="s">
        <v>112</v>
      </c>
      <c r="D95" s="39">
        <f>SUM(D69:D94)</f>
        <v>173710</v>
      </c>
      <c r="E95" s="39">
        <f>SUM(E69:E94)</f>
        <v>574220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TRUNC(14415,-1)</f>
        <v>14410</v>
      </c>
      <c r="E98" s="62">
        <f t="shared" ref="E98:E118" si="3">TRUNC(+D98*3.3058,-1)</f>
        <v>47630</v>
      </c>
    </row>
    <row r="99" spans="1:7" x14ac:dyDescent="0.3">
      <c r="A99" s="2">
        <v>2</v>
      </c>
      <c r="C99" s="38" t="s">
        <v>40</v>
      </c>
      <c r="D99" s="42">
        <f>TRUNC(9892,-1)</f>
        <v>9890</v>
      </c>
      <c r="E99" s="63">
        <f t="shared" si="3"/>
        <v>32690</v>
      </c>
    </row>
    <row r="100" spans="1:7" x14ac:dyDescent="0.3">
      <c r="A100" s="2">
        <v>3</v>
      </c>
      <c r="C100" s="38" t="s">
        <v>41</v>
      </c>
      <c r="D100" s="42">
        <v>35760</v>
      </c>
      <c r="E100" s="63">
        <f t="shared" si="3"/>
        <v>118210</v>
      </c>
    </row>
    <row r="101" spans="1:7" x14ac:dyDescent="0.3">
      <c r="A101" s="2">
        <v>4</v>
      </c>
      <c r="C101" s="38" t="s">
        <v>42</v>
      </c>
      <c r="D101" s="42">
        <f>TRUNC(631,-1)</f>
        <v>630</v>
      </c>
      <c r="E101" s="63">
        <f t="shared" si="3"/>
        <v>2080</v>
      </c>
    </row>
    <row r="102" spans="1:7" x14ac:dyDescent="0.3">
      <c r="A102" s="2">
        <v>5</v>
      </c>
      <c r="C102" s="38" t="s">
        <v>43</v>
      </c>
      <c r="D102" s="42">
        <f>TRUNC(16414,-1)</f>
        <v>16410</v>
      </c>
      <c r="E102" s="63">
        <f t="shared" si="3"/>
        <v>54240</v>
      </c>
    </row>
    <row r="103" spans="1:7" x14ac:dyDescent="0.3">
      <c r="A103" s="2">
        <v>6</v>
      </c>
      <c r="C103" s="38" t="s">
        <v>44</v>
      </c>
      <c r="D103" s="42">
        <v>7390</v>
      </c>
      <c r="E103" s="63">
        <f t="shared" si="3"/>
        <v>24420</v>
      </c>
    </row>
    <row r="104" spans="1:7" x14ac:dyDescent="0.3">
      <c r="A104" s="2">
        <v>7</v>
      </c>
      <c r="C104" s="38" t="s">
        <v>45</v>
      </c>
      <c r="D104" s="42">
        <f>TRUNC(3766,-1)</f>
        <v>3760</v>
      </c>
      <c r="E104" s="63">
        <f t="shared" si="3"/>
        <v>12420</v>
      </c>
    </row>
    <row r="105" spans="1:7" x14ac:dyDescent="0.3">
      <c r="A105" s="2">
        <v>8</v>
      </c>
      <c r="C105" s="38" t="s">
        <v>46</v>
      </c>
      <c r="D105" s="42">
        <f>TRUNC(6116,-1)</f>
        <v>6110</v>
      </c>
      <c r="E105" s="63">
        <f t="shared" si="3"/>
        <v>20190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TRUNC(2779,-1)</f>
        <v>2770</v>
      </c>
      <c r="E114" s="63">
        <f t="shared" si="3"/>
        <v>9150</v>
      </c>
      <c r="F114" s="2" t="s">
        <v>259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2420</v>
      </c>
      <c r="E116" s="63">
        <f t="shared" si="3"/>
        <v>8000</v>
      </c>
      <c r="F116" s="2" t="s">
        <v>258</v>
      </c>
    </row>
    <row r="117" spans="1:7" x14ac:dyDescent="0.3">
      <c r="A117" s="2">
        <v>20</v>
      </c>
      <c r="C117" s="38" t="s">
        <v>149</v>
      </c>
      <c r="D117" s="42">
        <f>TRUNC(78869,-1)</f>
        <v>78860</v>
      </c>
      <c r="E117" s="63">
        <f t="shared" si="3"/>
        <v>260690</v>
      </c>
    </row>
    <row r="118" spans="1:7" ht="17.25" thickBot="1" x14ac:dyDescent="0.35">
      <c r="A118" s="2">
        <v>21</v>
      </c>
      <c r="C118" s="38" t="s">
        <v>47</v>
      </c>
      <c r="D118" s="43">
        <v>2080</v>
      </c>
      <c r="E118" s="64">
        <f t="shared" si="3"/>
        <v>6870</v>
      </c>
    </row>
    <row r="119" spans="1:7" x14ac:dyDescent="0.3">
      <c r="A119" s="2">
        <v>22</v>
      </c>
      <c r="C119" s="27" t="s">
        <v>112</v>
      </c>
      <c r="D119" s="39">
        <f>SUM(D98:D118)</f>
        <v>180490</v>
      </c>
      <c r="E119" s="39">
        <f>SUM(E98:E118)</f>
        <v>596590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TRUNC(4166,-1)</f>
        <v>4160</v>
      </c>
      <c r="E122" s="62">
        <f t="shared" ref="E122:E132" si="4">TRUNC(+D122*3.3058,-1)</f>
        <v>13750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TRUNC(1108,-1)</f>
        <v>1100</v>
      </c>
      <c r="E124" s="63">
        <f t="shared" si="4"/>
        <v>3630</v>
      </c>
    </row>
    <row r="125" spans="1:7" x14ac:dyDescent="0.3">
      <c r="A125" s="2">
        <v>4</v>
      </c>
      <c r="C125" s="38" t="s">
        <v>138</v>
      </c>
      <c r="D125" s="42">
        <f>TRUNC(10093,-1)</f>
        <v>10090</v>
      </c>
      <c r="E125" s="63">
        <f t="shared" si="4"/>
        <v>33350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TRUNC(7779,-1)</f>
        <v>7770</v>
      </c>
      <c r="E128" s="63">
        <f t="shared" si="4"/>
        <v>25680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TRUNC(15555,-1)</f>
        <v>15550</v>
      </c>
      <c r="E130" s="63">
        <f t="shared" si="4"/>
        <v>51400</v>
      </c>
    </row>
    <row r="131" spans="1:7" x14ac:dyDescent="0.3">
      <c r="A131" s="2">
        <v>10</v>
      </c>
      <c r="C131" s="38" t="s">
        <v>149</v>
      </c>
      <c r="D131" s="42">
        <f>TRUNC(20337,-1)</f>
        <v>20330</v>
      </c>
      <c r="E131" s="63">
        <f t="shared" si="4"/>
        <v>67200</v>
      </c>
    </row>
    <row r="132" spans="1:7" ht="18" thickBot="1" x14ac:dyDescent="0.35">
      <c r="A132" s="2">
        <v>11</v>
      </c>
      <c r="C132" s="38" t="s">
        <v>47</v>
      </c>
      <c r="D132" s="43">
        <f>TRUNC(4189+464,-1)</f>
        <v>4650</v>
      </c>
      <c r="E132" s="64">
        <f t="shared" si="4"/>
        <v>15370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63650</v>
      </c>
      <c r="E133" s="39">
        <f>SUM(E122:E132)</f>
        <v>210380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TRUNC(206,-1)</f>
        <v>200</v>
      </c>
      <c r="E137" s="63">
        <f t="shared" si="5"/>
        <v>660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TRUNC(1688,-1)</f>
        <v>1680</v>
      </c>
      <c r="E139" s="63">
        <f t="shared" si="5"/>
        <v>5550</v>
      </c>
    </row>
    <row r="140" spans="1:7" x14ac:dyDescent="0.3">
      <c r="A140" s="2">
        <v>5</v>
      </c>
      <c r="C140" s="38" t="s">
        <v>57</v>
      </c>
      <c r="D140" s="42">
        <f>TRUNC(8676,-1)</f>
        <v>8670</v>
      </c>
      <c r="E140" s="63">
        <f t="shared" si="5"/>
        <v>28660</v>
      </c>
    </row>
    <row r="141" spans="1:7" x14ac:dyDescent="0.3">
      <c r="A141" s="2">
        <v>6</v>
      </c>
      <c r="C141" s="38" t="s">
        <v>59</v>
      </c>
      <c r="D141" s="42">
        <f>TRUNC(1949,-1)</f>
        <v>1940</v>
      </c>
      <c r="E141" s="63">
        <f t="shared" si="5"/>
        <v>6410</v>
      </c>
    </row>
    <row r="142" spans="1:7" x14ac:dyDescent="0.3">
      <c r="A142" s="2">
        <v>7</v>
      </c>
      <c r="C142" s="38" t="s">
        <v>58</v>
      </c>
      <c r="D142" s="42">
        <f>TRUNC(14558,-1)</f>
        <v>14550</v>
      </c>
      <c r="E142" s="63">
        <f t="shared" si="5"/>
        <v>48090</v>
      </c>
    </row>
    <row r="143" spans="1:7" x14ac:dyDescent="0.3">
      <c r="A143" s="2">
        <v>8</v>
      </c>
      <c r="C143" s="38" t="s">
        <v>62</v>
      </c>
      <c r="D143" s="42">
        <f>TRUNC(6737,-1)</f>
        <v>6730</v>
      </c>
      <c r="E143" s="63">
        <f t="shared" si="5"/>
        <v>22240</v>
      </c>
    </row>
    <row r="144" spans="1:7" x14ac:dyDescent="0.3">
      <c r="A144" s="2">
        <v>9</v>
      </c>
      <c r="C144" s="38" t="s">
        <v>63</v>
      </c>
      <c r="D144" s="42">
        <f>TRUNC(9044,-1)</f>
        <v>9040</v>
      </c>
      <c r="E144" s="63">
        <f t="shared" si="5"/>
        <v>29880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42810</v>
      </c>
      <c r="E146" s="39">
        <f>SUM(E136:E145)</f>
        <v>141490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6476+1804</f>
        <v>8280</v>
      </c>
      <c r="E149" s="62">
        <f>TRUNC(+D149*3.3058,-1)</f>
        <v>27370</v>
      </c>
    </row>
    <row r="150" spans="1:7" x14ac:dyDescent="0.3">
      <c r="A150" s="2">
        <v>2</v>
      </c>
      <c r="C150" s="38" t="s">
        <v>49</v>
      </c>
      <c r="D150" s="42">
        <f>TRUNC(19573,-1)</f>
        <v>19570</v>
      </c>
      <c r="E150" s="63">
        <f>TRUNC(+D150*3.3058,-1)</f>
        <v>64690</v>
      </c>
    </row>
    <row r="151" spans="1:7" x14ac:dyDescent="0.3">
      <c r="A151" s="2">
        <v>3</v>
      </c>
      <c r="C151" s="38" t="s">
        <v>50</v>
      </c>
      <c r="D151" s="42">
        <f>TRUNC(1063,-1)</f>
        <v>1060</v>
      </c>
      <c r="E151" s="63">
        <f>TRUNC(+D151*3.3058,-1)</f>
        <v>3500</v>
      </c>
    </row>
    <row r="152" spans="1:7" x14ac:dyDescent="0.3">
      <c r="A152" s="2">
        <v>4</v>
      </c>
      <c r="C152" s="38" t="s">
        <v>47</v>
      </c>
      <c r="D152" s="42">
        <f>TRUNC(-4+57+14,-1)</f>
        <v>60</v>
      </c>
      <c r="E152" s="63">
        <f>TRUNC(+D152*3.3058,-1)</f>
        <v>190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f>TRUNC(29078,-1)</f>
        <v>29070</v>
      </c>
      <c r="E153" s="64">
        <f>TRUNC(+D153*3.3058,-1)</f>
        <v>96090</v>
      </c>
    </row>
    <row r="154" spans="1:7" x14ac:dyDescent="0.3">
      <c r="A154" s="2">
        <v>6</v>
      </c>
      <c r="C154" s="27" t="s">
        <v>112</v>
      </c>
      <c r="D154" s="39">
        <f>SUM(D149:D153)</f>
        <v>58040</v>
      </c>
      <c r="E154" s="39">
        <f>SUM(E149:E153)</f>
        <v>191840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TRUNC(16075,-1)</f>
        <v>16070</v>
      </c>
      <c r="E157" s="62">
        <f>TRUNC(+D157*3.3058,-1)</f>
        <v>53120</v>
      </c>
    </row>
    <row r="158" spans="1:7" x14ac:dyDescent="0.3">
      <c r="A158" s="2">
        <v>2</v>
      </c>
      <c r="C158" s="38" t="s">
        <v>52</v>
      </c>
      <c r="D158" s="42">
        <f>TRUNC(5305,-1)</f>
        <v>5300</v>
      </c>
      <c r="E158" s="63">
        <f>TRUNC(+D158*3.3058,-1)</f>
        <v>17520</v>
      </c>
    </row>
    <row r="159" spans="1:7" x14ac:dyDescent="0.3">
      <c r="A159" s="2">
        <v>3</v>
      </c>
      <c r="C159" s="38" t="s">
        <v>47</v>
      </c>
      <c r="D159" s="42">
        <f>TRUNC(2085+1689,-1)</f>
        <v>3770</v>
      </c>
      <c r="E159" s="63">
        <f>TRUNC(+D159*3.3058,-1)</f>
        <v>12460</v>
      </c>
      <c r="F159" s="2" t="s">
        <v>262</v>
      </c>
    </row>
    <row r="160" spans="1:7" ht="17.25" thickBot="1" x14ac:dyDescent="0.35">
      <c r="A160" s="2">
        <v>4</v>
      </c>
      <c r="C160" s="38" t="s">
        <v>149</v>
      </c>
      <c r="D160" s="43">
        <f>TRUNC(9675,-1)</f>
        <v>9670</v>
      </c>
      <c r="E160" s="64">
        <f>TRUNC(+D160*3.3058,-1)</f>
        <v>31960</v>
      </c>
    </row>
    <row r="161" spans="1:5" x14ac:dyDescent="0.3">
      <c r="A161" s="2">
        <v>5</v>
      </c>
      <c r="C161" s="27" t="s">
        <v>112</v>
      </c>
      <c r="D161" s="39">
        <f>SUM(D157:D160)</f>
        <v>34810</v>
      </c>
      <c r="E161" s="39">
        <f>SUM(E157:E160)</f>
        <v>115060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2020-12-08T04:35:40Z</dcterms:modified>
</cp:coreProperties>
</file>