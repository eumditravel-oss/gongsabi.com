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2" i="4" l="1"/>
  <c r="D124" i="4"/>
  <c r="D127" i="4"/>
  <c r="D125" i="4"/>
  <c r="D128" i="4"/>
  <c r="D122" i="4"/>
  <c r="D130" i="4"/>
  <c r="D118" i="4"/>
  <c r="D100" i="4"/>
  <c r="D102" i="4"/>
  <c r="D104" i="4"/>
  <c r="D105" i="4"/>
  <c r="D99" i="4"/>
  <c r="D98" i="4"/>
  <c r="D101" i="4"/>
  <c r="D115" i="4"/>
  <c r="D114" i="4"/>
  <c r="D94" i="4"/>
  <c r="D85" i="4"/>
  <c r="D90" i="4"/>
  <c r="D84" i="4"/>
  <c r="D72" i="4"/>
  <c r="D79" i="4"/>
  <c r="D71" i="4"/>
  <c r="D70" i="4"/>
  <c r="D69" i="4"/>
  <c r="D58" i="4"/>
  <c r="D45" i="4"/>
  <c r="D50" i="4"/>
  <c r="D55" i="4"/>
  <c r="D43" i="4"/>
  <c r="D51" i="4"/>
  <c r="D53" i="4"/>
  <c r="D46" i="4"/>
  <c r="D44" i="4"/>
  <c r="D49" i="4"/>
  <c r="D47" i="4"/>
  <c r="D52" i="4"/>
  <c r="D48" i="4"/>
  <c r="D41" i="4"/>
  <c r="D40" i="4"/>
  <c r="D37" i="4"/>
  <c r="D159" i="4"/>
  <c r="D152" i="4"/>
  <c r="D137" i="4"/>
  <c r="D136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33" i="4"/>
  <c r="E119" i="4"/>
  <c r="E95" i="4"/>
  <c r="E60" i="4"/>
  <c r="E154" i="4"/>
  <c r="E146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<sst xmlns="http://schemas.openxmlformats.org/spreadsheetml/2006/main" count="392" uniqueCount="267">
  <si>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</si>
  <si>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</si>
  <si>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</si>
  <si>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</si>
  <si>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</si>
  <si>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</si>
  <si>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</si>
  <si>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</si>
  <si>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</si>
  <si>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</si>
  <si>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</si>
  <si>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</si>
  <si>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</si>
  <si>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</si>
  <si>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</si>
  <si>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</si>
  <si>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</si>
  <si>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</si>
  <si>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</si>
  <si>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</si>
  <si>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</si>
  <si>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</si>
  <si>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</si>
  <si>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</si>
  <si>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</si>
  <si>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</si>
  <si>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</si>
  <si>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</si>
  <si>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</si>
  <si>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</si>
  <si>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</si>
  <si>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</si>
  <si>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</si>
  <si>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</si>
  <si>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</si>
  <si>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</si>
  <si>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</si>
  <si>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</si>
  <si>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</si>
  <si>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</si>
  <si>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</si>
  <si>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</si>
  <si>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</si>
  <si>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</si>
  <si>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</si>
  <si>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</si>
  <si>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</si>
  <si>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</si>
  <si>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</si>
  <si>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</si>
  <si>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</si>
  <si>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</si>
  <si>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</si>
  <si>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</si>
  <si>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</si>
  <si>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</si>
  <si>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</si>
  <si>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</si>
  <si>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</si>
  <si>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</si>
  <si>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</si>
  <si>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</si>
  <si>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</si>
  <si>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</si>
  <si>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</si>
  <si>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</si>
  <si>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</si>
  <si>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</si>
  <si>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</si>
  <si>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</si>
  <si>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</si>
  <si>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</si>
  <si>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</si>
  <si>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</si>
  <si>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</si>
  <si>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</si>
  <si>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</si>
  <si>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</si>
  <si>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</si>
  <si>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</si>
  <si>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</si>
  <si>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</si>
  <si>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</si>
  <si>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</si>
  <si>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</si>
  <si>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</si>
  <si>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</si>
  <si>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</si>
  <si>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</si>
  <si>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</si>
  <si>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</si>
  <si>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</si>
  <si>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</si>
  <si>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</si>
  <si>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</si>
  <si>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</si>
  <si>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</si>
  <si>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</si>
  <si>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</si>
  <si>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</si>
  <si>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</si>
  <si>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</si>
  <si>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</si>
  <si>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</si>
  <si>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</si>
  <si>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</si>
  <si>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</si>
  <si>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</si>
  <si>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</si>
  <si>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</si>
  <si>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</si>
  <si>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</si>
  <si>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</si>
  <si>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</si>
  <si>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</si>
  <si>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</si>
  <si>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</si>
  <si>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</si>
  <si>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</si>
  <si>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</si>
  <si>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</si>
  <si>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</si>
  <si>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</si>
  <si>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</si>
  <si>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</si>
  <si>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</si>
  <si>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</si>
  <si>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</si>
  <si>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</si>
  <si>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</si>
  <si>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</si>
  <si>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</si>
  <si>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</si>
  <si>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</si>
  <si>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</si>
  <si>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</si>
  <si>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</si>
  <si>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</si>
  <si>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</si>
  <si>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</si>
  <si>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</si>
  <si>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</si>
  <si>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</si>
  <si>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</si>
  <si>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</si>
  <si>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</si>
  <si>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</si>
  <si>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</si>
  <si>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</si>
  <si>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</si>
  <si>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</si>
  <si>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</si>
  <si>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</si>
  <si>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</si>
  <si>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</si>
  <si>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</si>
  <si>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</si>
  <si>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</si>
  <si>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</si>
  <si>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</si>
  <si>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</si>
  <si>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</si>
  <si>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</si>
  <si>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</si>
  <si>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</si>
  <si>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</si>
  <si>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</si>
  <si>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</si>
  <si>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</si>
  <si>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</si>
  <si>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</si>
  <si>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</si>
  <si>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</si>
  <si>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</si>
  <si>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</si>
  <si>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</si>
  <si>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</si>
  <si>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</si>
  <si>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</si>
  <si>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</si>
  <si>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</si>
  <si>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</si>
  <si>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</si>
  <si>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</si>
  <si>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</si>
  <si>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</si>
  <si>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</si>
  <si>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</si>
  <si>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</si>
  <si>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</si>
  <si>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</si>
  <si>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</si>
  <si>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</si>
  <si>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</si>
  <si>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</si>
  <si>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</si>
  <si>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</si>
  <si>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</si>
  <si>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</si>
  <si>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</si>
  <si>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</si>
  <si>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</si>
  <si>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</si>
  <si>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</si>
  <si>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</si>
  <si>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</si>
  <si>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</si>
  <si>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</si>
  <si>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</si>
  <si>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</si>
  <si>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</si>
  <si>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</si>
  <si>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</si>
  <si>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</si>
  <si>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</si>
  <si>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</si>
  <si>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</si>
  <si>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</si>
  <si>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</si>
  <si>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</si>
  <si>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</si>
  <si>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</si>
  <si>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</si>
  <si>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</si>
  <si>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</si>
  <si>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</si>
  <si>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</si>
  <si>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</si>
  <si>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</si>
  <si>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</si>
  <si>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</si>
  <si>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</si>
  <si>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</si>
  <si>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</si>
  <si>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</si>
  <si>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</si>
  <si>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</si>
  <si>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</si>
  <si>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</si>
  <si>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</si>
  <si>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</si>
  <si>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</si>
  <si>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</si>
  <si>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</si>
  <si>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</si>
  <si>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</si>
  <si>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</si>
  <si>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</si>
  <si>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00000진흥원 00신청사 신축 건축공사</t>
    <phoneticPr fontId="2" type="noConversion"/>
  </si>
  <si>
    <t>업무</t>
  </si>
  <si>
    <t>제주도</t>
  </si>
  <si>
    <t>기계 소화설비공사</t>
    <phoneticPr fontId="2" type="noConversion"/>
  </si>
  <si>
    <t>전기 소방공사</t>
    <phoneticPr fontId="2" type="noConversion"/>
  </si>
  <si>
    <t>부대토목공사</t>
    <phoneticPr fontId="2" type="noConversion"/>
  </si>
  <si>
    <t>부대조경공사</t>
    <phoneticPr fontId="2" type="noConversion"/>
  </si>
  <si>
    <t>토및지정공사,기타공사,품질관리비</t>
    <phoneticPr fontId="2" type="noConversion"/>
  </si>
  <si>
    <t>환기덕트설치공사</t>
    <phoneticPr fontId="2" type="noConversion"/>
  </si>
  <si>
    <t>냉난방스리브공사</t>
    <phoneticPr fontId="2" type="noConversion"/>
  </si>
  <si>
    <t>위생배관공사,항온항습기설치공사,우수처리설비공사</t>
    <phoneticPr fontId="2" type="noConversion"/>
  </si>
  <si>
    <t>단위세대전기공사,태양광설비공사</t>
    <phoneticPr fontId="2" type="noConversion"/>
  </si>
  <si>
    <t>CATV설비공사</t>
    <phoneticPr fontId="2" type="noConversion"/>
  </si>
  <si>
    <t>CCTV설비공사,객실관리설비공사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</si>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</sst>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4956</v>
      </c>
      <c r="D7" s="36">
        <f>+C7/3.3058</f>
        <v>1499.1832536753584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10960</v>
      </c>
      <c r="E24" s="58">
        <f t="shared" ref="E24:E33" si="0">TRUNC(+D24*3.3058,-1)</f>
        <v>36230</v>
      </c>
    </row>
    <row r="25" spans="1:5" x14ac:dyDescent="0.3">
      <c r="B25" s="2">
        <v>2</v>
      </c>
      <c r="C25" s="35" t="s">
        <v>111</v>
      </c>
      <c r="D25" s="45">
        <f>+D60</f>
        <v>551520</v>
      </c>
      <c r="E25" s="59">
        <f t="shared" si="0"/>
        <v>1823210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111070</v>
      </c>
      <c r="E27" s="59">
        <f t="shared" si="0"/>
        <v>367170</v>
      </c>
    </row>
    <row r="28" spans="1:5" x14ac:dyDescent="0.3">
      <c r="B28" s="2">
        <v>5</v>
      </c>
      <c r="C28" s="35" t="s">
        <v>97</v>
      </c>
      <c r="D28" s="45">
        <f>+D119</f>
        <v>137080</v>
      </c>
      <c r="E28" s="59">
        <f t="shared" si="0"/>
        <v>453150</v>
      </c>
    </row>
    <row r="29" spans="1:5" x14ac:dyDescent="0.3">
      <c r="B29" s="2">
        <v>6</v>
      </c>
      <c r="C29" s="35" t="s">
        <v>98</v>
      </c>
      <c r="D29" s="45">
        <f>+D133</f>
        <v>89180</v>
      </c>
      <c r="E29" s="59">
        <f t="shared" si="0"/>
        <v>294810</v>
      </c>
    </row>
    <row r="30" spans="1:5" x14ac:dyDescent="0.3">
      <c r="B30" s="2">
        <v>7</v>
      </c>
      <c r="C30" s="35" t="s">
        <v>99</v>
      </c>
      <c r="D30" s="45">
        <f>+D146</f>
        <v>47100</v>
      </c>
      <c r="E30" s="59">
        <f t="shared" si="0"/>
        <v>155700</v>
      </c>
    </row>
    <row r="31" spans="1:5" x14ac:dyDescent="0.3">
      <c r="B31" s="2">
        <v>8</v>
      </c>
      <c r="C31" s="35" t="s">
        <v>100</v>
      </c>
      <c r="D31" s="45">
        <f>+D154</f>
        <v>63840</v>
      </c>
      <c r="E31" s="59">
        <f t="shared" si="0"/>
        <v>211040</v>
      </c>
    </row>
    <row r="32" spans="1:5" x14ac:dyDescent="0.3">
      <c r="B32" s="2">
        <v>9</v>
      </c>
      <c r="C32" s="35" t="s">
        <v>101</v>
      </c>
      <c r="D32" s="45">
        <f>+D161</f>
        <v>112870</v>
      </c>
      <c r="E32" s="59">
        <f t="shared" si="0"/>
        <v>373120</v>
      </c>
    </row>
    <row r="33" spans="1:7" x14ac:dyDescent="0.3">
      <c r="B33" s="2">
        <v>10</v>
      </c>
      <c r="C33" s="35" t="s">
        <v>154</v>
      </c>
      <c r="D33" s="53">
        <f>TRUNC(SUM(D24:D32)*0.275,-1)</f>
        <v>308990</v>
      </c>
      <c r="E33" s="60">
        <f t="shared" si="0"/>
        <v>1021450</v>
      </c>
    </row>
    <row r="34" spans="1:7" x14ac:dyDescent="0.3">
      <c r="C34" s="35" t="s">
        <v>112</v>
      </c>
      <c r="D34" s="44">
        <f>SUM(D24:D33)</f>
        <v>1432610</v>
      </c>
      <c r="E34" s="44">
        <f>SUM(E24:E33)</f>
        <v>4735880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TRUNC(10967,-1)</f>
        <v>10960</v>
      </c>
      <c r="E37" s="61">
        <f>TRUNC(+D37*3.3058,-1)</f>
        <v>36230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TRUNC(38859,-1)</f>
        <v>38850</v>
      </c>
      <c r="E40" s="62">
        <f t="shared" ref="E40:E59" si="1">TRUNC(+D40*3.3058,-1)</f>
        <v>128430</v>
      </c>
    </row>
    <row r="41" spans="1:7" x14ac:dyDescent="0.3">
      <c r="A41" s="2">
        <v>2</v>
      </c>
      <c r="C41" s="38" t="s">
        <v>13</v>
      </c>
      <c r="D41" s="42">
        <f>TRUNC(110923,-1)</f>
        <v>110920</v>
      </c>
      <c r="E41" s="63">
        <f t="shared" si="1"/>
        <v>366670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TRUNC(21794,-1)</f>
        <v>21790</v>
      </c>
      <c r="E43" s="63">
        <f t="shared" si="1"/>
        <v>72030</v>
      </c>
    </row>
    <row r="44" spans="1:7" x14ac:dyDescent="0.3">
      <c r="A44" s="2">
        <v>5</v>
      </c>
      <c r="C44" s="38" t="s">
        <v>17</v>
      </c>
      <c r="D44" s="42">
        <f>TRUNC(33027,-1)</f>
        <v>33020</v>
      </c>
      <c r="E44" s="63">
        <f t="shared" si="1"/>
        <v>109150</v>
      </c>
    </row>
    <row r="45" spans="1:7" x14ac:dyDescent="0.3">
      <c r="A45" s="2">
        <v>6</v>
      </c>
      <c r="C45" s="38" t="s">
        <v>18</v>
      </c>
      <c r="D45" s="42">
        <f>TRUNC(14507,-1)</f>
        <v>14500</v>
      </c>
      <c r="E45" s="63">
        <f t="shared" si="1"/>
        <v>47930</v>
      </c>
    </row>
    <row r="46" spans="1:7" x14ac:dyDescent="0.3">
      <c r="A46" s="2">
        <v>7</v>
      </c>
      <c r="C46" s="38" t="s">
        <v>19</v>
      </c>
      <c r="D46" s="42">
        <f>TRUNC(14609,-1)</f>
        <v>14600</v>
      </c>
      <c r="E46" s="63">
        <f t="shared" si="1"/>
        <v>48260</v>
      </c>
    </row>
    <row r="47" spans="1:7" x14ac:dyDescent="0.3">
      <c r="A47" s="2">
        <v>8</v>
      </c>
      <c r="C47" s="38" t="s">
        <v>20</v>
      </c>
      <c r="D47" s="42">
        <f>TRUNC(3944,-1)</f>
        <v>3940</v>
      </c>
      <c r="E47" s="63">
        <f t="shared" si="1"/>
        <v>13020</v>
      </c>
    </row>
    <row r="48" spans="1:7" x14ac:dyDescent="0.3">
      <c r="A48" s="2">
        <v>9</v>
      </c>
      <c r="C48" s="38" t="s">
        <v>21</v>
      </c>
      <c r="D48" s="42">
        <f>TRUNC(43877,-1)</f>
        <v>43870</v>
      </c>
      <c r="E48" s="63">
        <f t="shared" si="1"/>
        <v>145020</v>
      </c>
    </row>
    <row r="49" spans="1:7" x14ac:dyDescent="0.3">
      <c r="A49" s="2">
        <v>10</v>
      </c>
      <c r="C49" s="38" t="s">
        <v>22</v>
      </c>
      <c r="D49" s="42">
        <f>TRUNC(26158,-1)</f>
        <v>26150</v>
      </c>
      <c r="E49" s="63">
        <f t="shared" si="1"/>
        <v>86440</v>
      </c>
    </row>
    <row r="50" spans="1:7" x14ac:dyDescent="0.3">
      <c r="A50" s="2">
        <v>11</v>
      </c>
      <c r="C50" s="38" t="s">
        <v>155</v>
      </c>
      <c r="D50" s="42">
        <f>TRUNC(57523,-1)</f>
        <v>57520</v>
      </c>
      <c r="E50" s="63">
        <f t="shared" si="1"/>
        <v>190140</v>
      </c>
    </row>
    <row r="51" spans="1:7" x14ac:dyDescent="0.3">
      <c r="A51" s="2">
        <v>12</v>
      </c>
      <c r="C51" s="38" t="s">
        <v>23</v>
      </c>
      <c r="D51" s="42">
        <f>TRUNC(27386,-1)</f>
        <v>27380</v>
      </c>
      <c r="E51" s="63">
        <f t="shared" si="1"/>
        <v>90510</v>
      </c>
    </row>
    <row r="52" spans="1:7" x14ac:dyDescent="0.3">
      <c r="A52" s="2">
        <v>13</v>
      </c>
      <c r="C52" s="38" t="s">
        <v>24</v>
      </c>
      <c r="D52" s="42">
        <f>TRUNC(15846,-1)</f>
        <v>15840</v>
      </c>
      <c r="E52" s="63">
        <f t="shared" si="1"/>
        <v>52360</v>
      </c>
    </row>
    <row r="53" spans="1:7" x14ac:dyDescent="0.3">
      <c r="A53" s="2">
        <v>14</v>
      </c>
      <c r="C53" s="38" t="s">
        <v>25</v>
      </c>
      <c r="D53" s="42">
        <f>TRUNC(110334,-1)</f>
        <v>110330</v>
      </c>
      <c r="E53" s="63">
        <f t="shared" si="1"/>
        <v>364720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TRUNC(1296,-1)</f>
        <v>1290</v>
      </c>
      <c r="E55" s="63">
        <f t="shared" si="1"/>
        <v>4260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TRUNC(25059+3840+2625,-1)</f>
        <v>31520</v>
      </c>
      <c r="E58" s="63">
        <f t="shared" si="1"/>
        <v>104190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551520</v>
      </c>
      <c r="E60" s="39">
        <f>SUM(E40:E59)</f>
        <v>1823130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TRUNC(16396,-1)</f>
        <v>16390</v>
      </c>
      <c r="E69" s="62">
        <f t="shared" ref="E69:E94" si="2">TRUNC(+D69*3.3058,-1)</f>
        <v>54180</v>
      </c>
    </row>
    <row r="70" spans="1:7" ht="16.5" customHeight="1" x14ac:dyDescent="0.3">
      <c r="A70" s="2">
        <v>2</v>
      </c>
      <c r="C70" s="38" t="s">
        <v>31</v>
      </c>
      <c r="D70" s="42">
        <f>TRUNC(162,-1)</f>
        <v>160</v>
      </c>
      <c r="E70" s="63">
        <f t="shared" si="2"/>
        <v>520</v>
      </c>
    </row>
    <row r="71" spans="1:7" x14ac:dyDescent="0.3">
      <c r="A71" s="2">
        <v>3</v>
      </c>
      <c r="C71" s="38" t="s">
        <v>32</v>
      </c>
      <c r="D71" s="42">
        <f>TRUNC(6949,-1)</f>
        <v>6940</v>
      </c>
      <c r="E71" s="63">
        <f t="shared" si="2"/>
        <v>22940</v>
      </c>
    </row>
    <row r="72" spans="1:7" x14ac:dyDescent="0.3">
      <c r="A72" s="2">
        <v>4</v>
      </c>
      <c r="C72" s="38" t="s">
        <v>33</v>
      </c>
      <c r="D72" s="42">
        <f>TRUNC(10858,-1)</f>
        <v>10850</v>
      </c>
      <c r="E72" s="63">
        <f t="shared" si="2"/>
        <v>35860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TRUNC(10330,-1)</f>
        <v>10330</v>
      </c>
      <c r="E79" s="63">
        <f t="shared" si="2"/>
        <v>34140</v>
      </c>
      <c r="F79" s="2" t="s">
        <v>256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TRUNC(129,-1)</f>
        <v>120</v>
      </c>
      <c r="E84" s="63">
        <f t="shared" si="2"/>
        <v>390</v>
      </c>
      <c r="F84" s="2" t="s">
        <v>257</v>
      </c>
    </row>
    <row r="85" spans="1:7" x14ac:dyDescent="0.3">
      <c r="A85" s="2">
        <v>17</v>
      </c>
      <c r="C85" s="38" t="s">
        <v>123</v>
      </c>
      <c r="D85" s="42">
        <f>TRUNC(2426,-1)</f>
        <v>2420</v>
      </c>
      <c r="E85" s="63">
        <f t="shared" si="2"/>
        <v>8000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TRUNC(5255,-1)</f>
        <v>5250</v>
      </c>
      <c r="E90" s="63">
        <f t="shared" si="2"/>
        <v>17350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TRUNC(39734+4180+14704,-1)</f>
        <v>58610</v>
      </c>
      <c r="E94" s="64">
        <f t="shared" si="2"/>
        <v>193750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111070</v>
      </c>
      <c r="E95" s="39">
        <f>SUM(E69:E94)</f>
        <v>367130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TRUNC(31448,-1)</f>
        <v>31440</v>
      </c>
      <c r="E98" s="62">
        <f t="shared" ref="E98:E118" si="3">TRUNC(+D98*3.3058,-1)</f>
        <v>103930</v>
      </c>
    </row>
    <row r="99" spans="1:7" x14ac:dyDescent="0.3">
      <c r="A99" s="2">
        <v>2</v>
      </c>
      <c r="C99" s="38" t="s">
        <v>40</v>
      </c>
      <c r="D99" s="42">
        <f>TRUNC(9617,-1)</f>
        <v>9610</v>
      </c>
      <c r="E99" s="63">
        <f t="shared" si="3"/>
        <v>31760</v>
      </c>
    </row>
    <row r="100" spans="1:7" x14ac:dyDescent="0.3">
      <c r="A100" s="2">
        <v>3</v>
      </c>
      <c r="C100" s="38" t="s">
        <v>41</v>
      </c>
      <c r="D100" s="42">
        <f>TRUNC(32398,-1)</f>
        <v>32390</v>
      </c>
      <c r="E100" s="63">
        <f t="shared" si="3"/>
        <v>107070</v>
      </c>
    </row>
    <row r="101" spans="1:7" x14ac:dyDescent="0.3">
      <c r="A101" s="2">
        <v>4</v>
      </c>
      <c r="C101" s="38" t="s">
        <v>42</v>
      </c>
      <c r="D101" s="42">
        <f>TRUNC(2941,-1)</f>
        <v>2940</v>
      </c>
      <c r="E101" s="63">
        <f t="shared" si="3"/>
        <v>9710</v>
      </c>
    </row>
    <row r="102" spans="1:7" x14ac:dyDescent="0.3">
      <c r="A102" s="2">
        <v>5</v>
      </c>
      <c r="C102" s="38" t="s">
        <v>43</v>
      </c>
      <c r="D102" s="42">
        <f>TRUNC(14756,-1)</f>
        <v>14750</v>
      </c>
      <c r="E102" s="63">
        <f t="shared" si="3"/>
        <v>48760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TRUNC(9674,-1)</f>
        <v>9670</v>
      </c>
      <c r="E104" s="63">
        <f t="shared" si="3"/>
        <v>31960</v>
      </c>
    </row>
    <row r="105" spans="1:7" x14ac:dyDescent="0.3">
      <c r="A105" s="2">
        <v>8</v>
      </c>
      <c r="C105" s="38" t="s">
        <v>46</v>
      </c>
      <c r="D105" s="42">
        <f>TRUNC(9223,-1)</f>
        <v>9220</v>
      </c>
      <c r="E105" s="63">
        <f t="shared" si="3"/>
        <v>30470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TRUNC(4999,-1)</f>
        <v>4990</v>
      </c>
      <c r="E114" s="63">
        <f t="shared" si="3"/>
        <v>16490</v>
      </c>
    </row>
    <row r="115" spans="1:7" x14ac:dyDescent="0.3">
      <c r="A115" s="2">
        <v>18</v>
      </c>
      <c r="C115" s="38" t="s">
        <v>116</v>
      </c>
      <c r="D115" s="42">
        <f>TRUNC(5766,-1)</f>
        <v>5760</v>
      </c>
      <c r="E115" s="63">
        <f t="shared" si="3"/>
        <v>19040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TRUNC(10671+5644,-1)</f>
        <v>16310</v>
      </c>
      <c r="E118" s="64">
        <f t="shared" si="3"/>
        <v>53910</v>
      </c>
      <c r="F118" s="2" t="s">
        <v>259</v>
      </c>
    </row>
    <row r="119" spans="1:7" x14ac:dyDescent="0.3">
      <c r="A119" s="2">
        <v>22</v>
      </c>
      <c r="C119" s="27" t="s">
        <v>112</v>
      </c>
      <c r="D119" s="39">
        <f>SUM(D98:D118)</f>
        <v>137080</v>
      </c>
      <c r="E119" s="39">
        <f>SUM(E98:E118)</f>
        <v>453100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TRUNC(8610,-1)</f>
        <v>8610</v>
      </c>
      <c r="E122" s="62">
        <f t="shared" ref="E122:E132" si="4">TRUNC(+D122*3.3058,-1)</f>
        <v>28460</v>
      </c>
      <c r="F122" s="2" t="s">
        <v>260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TRUNC(5087,-1)</f>
        <v>5080</v>
      </c>
      <c r="E124" s="63">
        <f t="shared" si="4"/>
        <v>16790</v>
      </c>
    </row>
    <row r="125" spans="1:7" x14ac:dyDescent="0.3">
      <c r="A125" s="2">
        <v>4</v>
      </c>
      <c r="C125" s="38" t="s">
        <v>138</v>
      </c>
      <c r="D125" s="42">
        <f>TRUNC(11357,-1)</f>
        <v>11350</v>
      </c>
      <c r="E125" s="63">
        <f t="shared" si="4"/>
        <v>37520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TRUNC(10814,-1)</f>
        <v>10810</v>
      </c>
      <c r="E127" s="63">
        <f t="shared" si="4"/>
        <v>35730</v>
      </c>
    </row>
    <row r="128" spans="1:7" x14ac:dyDescent="0.3">
      <c r="A128" s="2">
        <v>7</v>
      </c>
      <c r="C128" s="38" t="s">
        <v>46</v>
      </c>
      <c r="D128" s="42">
        <f>TRUNC(5277,-1)</f>
        <v>5270</v>
      </c>
      <c r="E128" s="63">
        <f t="shared" si="4"/>
        <v>17420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TRUNC(38167,-1)</f>
        <v>38160</v>
      </c>
      <c r="E130" s="63">
        <f t="shared" si="4"/>
        <v>126140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TRUNC(4142+5759,-1)</f>
        <v>9900</v>
      </c>
      <c r="E132" s="64">
        <f t="shared" si="4"/>
        <v>32720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89180</v>
      </c>
      <c r="E133" s="39">
        <f>SUM(E122:E132)</f>
        <v>294780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TRUNC(28371,-1)</f>
        <v>28370</v>
      </c>
      <c r="E136" s="62">
        <f t="shared" ref="E136:E145" si="5">TRUNC(+D136*3.3058,-1)</f>
        <v>93780</v>
      </c>
      <c r="F136" s="2" t="s">
        <v>251</v>
      </c>
    </row>
    <row r="137" spans="1:7" x14ac:dyDescent="0.3">
      <c r="A137" s="2">
        <v>2</v>
      </c>
      <c r="C137" s="38" t="s">
        <v>47</v>
      </c>
      <c r="D137" s="42">
        <f>TRUNC(18734,-1)</f>
        <v>18730</v>
      </c>
      <c r="E137" s="63">
        <f t="shared" si="5"/>
        <v>61910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47100</v>
      </c>
      <c r="E146" s="39">
        <f>SUM(E136:E145)</f>
        <v>155690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TRUNC(63844,-1)</f>
        <v>63840</v>
      </c>
      <c r="E152" s="63">
        <f>TRUNC(+D152*3.3058,-1)</f>
        <v>211040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63840</v>
      </c>
      <c r="E154" s="39">
        <f>SUM(E149:E153)</f>
        <v>211040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TRUNC(112874,-1)</f>
        <v>112870</v>
      </c>
      <c r="E159" s="63">
        <f>TRUNC(+D159*3.3058,-1)</f>
        <v>373120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112870</v>
      </c>
      <c r="E161" s="39">
        <f>SUM(E157:E160)</f>
        <v>373120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2020-12-07T09:49:18Z</dcterms:modified>
</cp:coreProperties>
</file>