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60" i="4" l="1"/>
  <c r="D153" i="4"/>
  <c r="D131" i="4"/>
  <c r="D117" i="4"/>
  <c r="D93" i="4"/>
  <c r="D59" i="4"/>
  <c r="D53" i="4"/>
  <c r="D52" i="4"/>
  <c r="D50" i="4"/>
  <c r="D49" i="4"/>
  <c r="D48" i="4"/>
  <c r="D46" i="4"/>
  <c r="D45" i="4"/>
  <c r="D44" i="4"/>
  <c r="D43" i="4"/>
  <c r="D42" i="4"/>
  <c r="D41" i="4"/>
  <c r="D58" i="4"/>
  <c r="D40" i="4"/>
  <c r="D76" i="4"/>
  <c r="D92" i="4"/>
  <c r="D91" i="4"/>
  <c r="D90" i="4"/>
  <c r="D89" i="4"/>
  <c r="D73" i="4"/>
  <c r="D72" i="4"/>
  <c r="D71" i="4"/>
  <c r="D70" i="4"/>
  <c r="D69" i="4"/>
  <c r="D105" i="4"/>
  <c r="D104" i="4"/>
  <c r="D102" i="4"/>
  <c r="D100" i="4"/>
  <c r="D99" i="4"/>
  <c r="D114" i="4"/>
  <c r="D98" i="4"/>
  <c r="D116" i="4"/>
  <c r="D118" i="4"/>
  <c r="D132" i="4"/>
  <c r="D128" i="4"/>
  <c r="D127" i="4"/>
  <c r="D124" i="4"/>
  <c r="D125" i="4"/>
  <c r="D122" i="4"/>
  <c r="D130" i="4"/>
  <c r="D126" i="4"/>
  <c r="D144" i="4"/>
  <c r="D143" i="4"/>
  <c r="D139" i="4"/>
  <c r="D141" i="4"/>
  <c r="D142" i="4"/>
  <c r="D137" i="4"/>
  <c r="D140" i="4"/>
  <c r="D65" i="4"/>
  <c r="D63" i="4"/>
  <c r="D152" i="4"/>
  <c r="D151" i="4"/>
  <c r="D150" i="4"/>
  <c r="D149" i="4"/>
  <c r="D159" i="4"/>
  <c r="D158" i="4"/>
  <c r="D157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60" i="4"/>
  <c r="E95" i="4"/>
  <c r="E119" i="4"/>
  <c r="E133" i="4"/>
  <c r="E146" i="4"/>
  <c r="E66" i="4"/>
  <c r="E154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<sst xmlns="http://schemas.openxmlformats.org/spreadsheetml/2006/main" count="395" uniqueCount="270">
  <si>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</si>
  <si>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</si>
  <si>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</si>
  <si>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</si>
  <si>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</si>
  <si>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</si>
  <si>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</si>
  <si>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</si>
  <si>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</si>
  <si>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</si>
  <si>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</si>
  <si>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</si>
  <si>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</si>
  <si>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</si>
  <si>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</si>
  <si>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</si>
  <si>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</si>
  <si>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</si>
  <si>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</si>
  <si>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</si>
  <si>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</si>
  <si>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</si>
  <si>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</si>
  <si>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</si>
  <si>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</si>
  <si>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</si>
  <si>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</si>
  <si>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</si>
  <si>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</si>
  <si>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</si>
  <si>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</si>
  <si>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</si>
  <si>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</si>
  <si>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</si>
  <si>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</si>
  <si>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</si>
  <si>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</si>
  <si>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</si>
  <si>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</si>
  <si>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</si>
  <si>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</si>
  <si>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</si>
  <si>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</si>
  <si>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</si>
  <si>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</si>
  <si>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</si>
  <si>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</si>
  <si>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</si>
  <si>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</si>
  <si>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</si>
  <si>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</si>
  <si>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</si>
  <si>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</si>
  <si>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</si>
  <si>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</si>
  <si>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</si>
  <si>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</si>
  <si>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</si>
  <si>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</si>
  <si>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</si>
  <si>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</si>
  <si>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</si>
  <si>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</si>
  <si>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</si>
  <si>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</si>
  <si>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</si>
  <si>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</si>
  <si>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</si>
  <si>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</si>
  <si>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</si>
  <si>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</si>
  <si>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</si>
  <si>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</si>
  <si>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</si>
  <si>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</si>
  <si>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</si>
  <si>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</si>
  <si>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</si>
  <si>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</si>
  <si>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</si>
  <si>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</si>
  <si>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</si>
  <si>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</si>
  <si>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</si>
  <si>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</si>
  <si>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</si>
  <si>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</si>
  <si>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</si>
  <si>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</si>
  <si>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</si>
  <si>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</si>
  <si>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</si>
  <si>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</si>
  <si>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</si>
  <si>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</si>
  <si>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</si>
  <si>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</si>
  <si>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</si>
  <si>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</si>
  <si>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</si>
  <si>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</si>
  <si>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</si>
  <si>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</si>
  <si>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</si>
  <si>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</si>
  <si>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</si>
  <si>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</si>
  <si>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</si>
  <si>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</si>
  <si>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</si>
  <si>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</si>
  <si>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</si>
  <si>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</si>
  <si>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</si>
  <si>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</si>
  <si>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</si>
  <si>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</si>
  <si>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</si>
  <si>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</si>
  <si>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</si>
  <si>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</si>
  <si>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</si>
  <si>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</si>
  <si>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</si>
  <si>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</si>
  <si>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</si>
  <si>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</si>
  <si>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</si>
  <si>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</si>
  <si>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</si>
  <si>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</si>
  <si>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</si>
  <si>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</si>
  <si>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</si>
  <si>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</si>
  <si>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</si>
  <si>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</si>
  <si>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</si>
  <si>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</si>
  <si>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</si>
  <si>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</si>
  <si>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</si>
  <si>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</si>
  <si>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</si>
  <si>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</si>
  <si>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</si>
  <si>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</si>
  <si>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</si>
  <si>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</si>
  <si>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</si>
  <si>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</si>
  <si>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</si>
  <si>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</si>
  <si>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</si>
  <si>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</si>
  <si>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</si>
  <si>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</si>
  <si>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</si>
  <si>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</si>
  <si>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</si>
  <si>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</si>
  <si>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</si>
  <si>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</si>
  <si>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</si>
  <si>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</si>
  <si>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</si>
  <si>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</si>
  <si>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</si>
  <si>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</si>
  <si>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</si>
  <si>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</si>
  <si>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</si>
  <si>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</si>
  <si>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</si>
  <si>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</si>
  <si>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</si>
  <si>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</si>
  <si>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</si>
  <si>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</si>
  <si>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</si>
  <si>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</si>
  <si>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</si>
  <si>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</si>
  <si>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</si>
  <si>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</si>
  <si>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</si>
  <si>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</si>
  <si>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</si>
  <si>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</si>
  <si>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</si>
  <si>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</si>
  <si>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</si>
  <si>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</si>
  <si>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</si>
  <si>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</si>
  <si>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</si>
  <si>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</si>
  <si>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</si>
  <si>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</si>
  <si>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</si>
  <si>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</si>
  <si>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</si>
  <si>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</si>
  <si>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</si>
  <si>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</si>
  <si>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</si>
  <si>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</si>
  <si>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</si>
  <si>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</si>
  <si>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</si>
  <si>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</si>
  <si>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</si>
  <si>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</si>
  <si>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</si>
  <si>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</si>
  <si>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</si>
  <si>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</si>
  <si>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</si>
  <si>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</si>
  <si>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</si>
  <si>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</si>
  <si>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</si>
  <si>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</si>
  <si>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</si>
  <si>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</si>
  <si>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</si>
  <si>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</si>
  <si>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</si>
  <si>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</si>
  <si>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</si>
  <si>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</si>
  <si>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</si>
  <si>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</si>
  <si>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</si>
  <si>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</si>
  <si>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</si>
  <si>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</si>
  <si>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</si>
  <si>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</si>
  <si>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</si>
  <si>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</si>
  <si>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</si>
  <si>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</si>
  <si>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</si>
  <si>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</si>
  <si>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</si>
  <si>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</si>
  <si>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</si>
  <si>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마산동부서 신축공사(건축)</t>
    <phoneticPr fontId="2" type="noConversion"/>
  </si>
  <si>
    <t>업무</t>
  </si>
  <si>
    <t>경상도</t>
  </si>
  <si>
    <t>해체및철거공사,폐기물처리비,골재비및운반비,작업부산물,기타공사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</si>
  <si>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</si>
  <si>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</si>
  <si>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</si>
  <si>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</si>
  <si>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</si>
  <si>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</si>
  <si>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</si>
  <si>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</si>
  <si>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</si>
  <si>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</si>
  <si>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</si>
  <si>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</si>
  <si>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원/ m2</t>
  </si>
  <si>
    <t>원 /평</t>
  </si>
  <si>
    <t>우수처리시설공사, 바닥난방공사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</si>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</sst>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10849</v>
      </c>
      <c r="D7" s="36">
        <f>+C7/3.3058</f>
        <v>3281.8077318652067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836810</v>
      </c>
      <c r="E25" s="59">
        <f t="shared" si="0"/>
        <v>2766320</v>
      </c>
    </row>
    <row r="26" spans="1:5" x14ac:dyDescent="0.3">
      <c r="B26" s="2">
        <v>3</v>
      </c>
      <c r="C26" s="35" t="s">
        <v>95</v>
      </c>
      <c r="D26" s="45">
        <f>+D66</f>
        <v>127070</v>
      </c>
      <c r="E26" s="59">
        <f t="shared" si="0"/>
        <v>420060</v>
      </c>
    </row>
    <row r="27" spans="1:5" x14ac:dyDescent="0.3">
      <c r="B27" s="2">
        <v>4</v>
      </c>
      <c r="C27" s="35" t="s">
        <v>96</v>
      </c>
      <c r="D27" s="45">
        <f>+D95</f>
        <v>200450</v>
      </c>
      <c r="E27" s="59">
        <f t="shared" si="0"/>
        <v>662640</v>
      </c>
    </row>
    <row r="28" spans="1:5" x14ac:dyDescent="0.3">
      <c r="B28" s="2">
        <v>5</v>
      </c>
      <c r="C28" s="35" t="s">
        <v>97</v>
      </c>
      <c r="D28" s="45">
        <f>+D119</f>
        <v>143610</v>
      </c>
      <c r="E28" s="59">
        <f t="shared" si="0"/>
        <v>474740</v>
      </c>
    </row>
    <row r="29" spans="1:5" x14ac:dyDescent="0.3">
      <c r="B29" s="2">
        <v>6</v>
      </c>
      <c r="C29" s="35" t="s">
        <v>98</v>
      </c>
      <c r="D29" s="45">
        <f>+D133</f>
        <v>84480</v>
      </c>
      <c r="E29" s="59">
        <f t="shared" si="0"/>
        <v>279270</v>
      </c>
    </row>
    <row r="30" spans="1:5" x14ac:dyDescent="0.3">
      <c r="B30" s="2">
        <v>7</v>
      </c>
      <c r="C30" s="35" t="s">
        <v>99</v>
      </c>
      <c r="D30" s="45">
        <f>+D146</f>
        <v>64690</v>
      </c>
      <c r="E30" s="59">
        <f t="shared" si="0"/>
        <v>213850</v>
      </c>
    </row>
    <row r="31" spans="1:5" x14ac:dyDescent="0.3">
      <c r="B31" s="2">
        <v>8</v>
      </c>
      <c r="C31" s="35" t="s">
        <v>100</v>
      </c>
      <c r="D31" s="45">
        <f>+D154</f>
        <v>72410</v>
      </c>
      <c r="E31" s="59">
        <f t="shared" si="0"/>
        <v>239370</v>
      </c>
    </row>
    <row r="32" spans="1:5" x14ac:dyDescent="0.3">
      <c r="B32" s="2">
        <v>9</v>
      </c>
      <c r="C32" s="35" t="s">
        <v>101</v>
      </c>
      <c r="D32" s="45">
        <f>+D161</f>
        <v>22660</v>
      </c>
      <c r="E32" s="59">
        <f t="shared" si="0"/>
        <v>74900</v>
      </c>
    </row>
    <row r="33" spans="1:7" x14ac:dyDescent="0.3">
      <c r="B33" s="2">
        <v>10</v>
      </c>
      <c r="C33" s="35" t="s">
        <v>154</v>
      </c>
      <c r="D33" s="53">
        <f>TRUNC(SUM(D24:D32)*0.275,-1)</f>
        <v>426840</v>
      </c>
      <c r="E33" s="60">
        <f t="shared" si="0"/>
        <v>1411040</v>
      </c>
    </row>
    <row r="34" spans="1:7" x14ac:dyDescent="0.3">
      <c r="C34" s="35" t="s">
        <v>112</v>
      </c>
      <c r="D34" s="44">
        <f>SUM(D24:D33)</f>
        <v>1979020</v>
      </c>
      <c r="E34" s="44">
        <f>SUM(E24:E33)</f>
        <v>6542190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TRUNC(73457,-1)</f>
        <v>73450</v>
      </c>
      <c r="E40" s="62">
        <f t="shared" ref="E40:E59" si="1">TRUNC(+D40*3.3058,-1)</f>
        <v>242810</v>
      </c>
    </row>
    <row r="41" spans="1:7" x14ac:dyDescent="0.3">
      <c r="A41" s="2">
        <v>2</v>
      </c>
      <c r="C41" s="38" t="s">
        <v>13</v>
      </c>
      <c r="D41" s="42">
        <f>TRUNC(170666,-1)</f>
        <v>170660</v>
      </c>
      <c r="E41" s="63">
        <f t="shared" si="1"/>
        <v>564160</v>
      </c>
    </row>
    <row r="42" spans="1:7" x14ac:dyDescent="0.3">
      <c r="A42" s="2">
        <v>3</v>
      </c>
      <c r="C42" s="38" t="s">
        <v>14</v>
      </c>
      <c r="D42" s="42">
        <f>TRUNC(10842,-1)</f>
        <v>10840</v>
      </c>
      <c r="E42" s="63">
        <f t="shared" si="1"/>
        <v>35830</v>
      </c>
    </row>
    <row r="43" spans="1:7" x14ac:dyDescent="0.3">
      <c r="A43" s="2">
        <v>4</v>
      </c>
      <c r="C43" s="38" t="s">
        <v>16</v>
      </c>
      <c r="D43" s="42">
        <f>TRUNC(22653,-1)</f>
        <v>22650</v>
      </c>
      <c r="E43" s="63">
        <f t="shared" si="1"/>
        <v>74870</v>
      </c>
    </row>
    <row r="44" spans="1:7" x14ac:dyDescent="0.3">
      <c r="A44" s="2">
        <v>5</v>
      </c>
      <c r="C44" s="38" t="s">
        <v>17</v>
      </c>
      <c r="D44" s="42">
        <f>TRUNC(24358,-1)</f>
        <v>24350</v>
      </c>
      <c r="E44" s="63">
        <f t="shared" si="1"/>
        <v>80490</v>
      </c>
    </row>
    <row r="45" spans="1:7" x14ac:dyDescent="0.3">
      <c r="A45" s="2">
        <v>6</v>
      </c>
      <c r="C45" s="38" t="s">
        <v>18</v>
      </c>
      <c r="D45" s="42">
        <f>TRUNC(9744,-1)</f>
        <v>9740</v>
      </c>
      <c r="E45" s="63">
        <f t="shared" si="1"/>
        <v>32190</v>
      </c>
    </row>
    <row r="46" spans="1:7" x14ac:dyDescent="0.3">
      <c r="A46" s="2">
        <v>7</v>
      </c>
      <c r="C46" s="38" t="s">
        <v>19</v>
      </c>
      <c r="D46" s="42">
        <f>TRUNC(51024,-1)</f>
        <v>51020</v>
      </c>
      <c r="E46" s="63">
        <f t="shared" si="1"/>
        <v>168660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TRUNC(18895,-1)</f>
        <v>18890</v>
      </c>
      <c r="E48" s="63">
        <f t="shared" si="1"/>
        <v>62440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TRUNC(9088,-1)</f>
        <v>9080</v>
      </c>
      <c r="E49" s="63">
        <f t="shared" si="1"/>
        <v>30010</v>
      </c>
    </row>
    <row r="50" spans="1:7" x14ac:dyDescent="0.3">
      <c r="A50" s="2">
        <v>11</v>
      </c>
      <c r="C50" s="38" t="s">
        <v>155</v>
      </c>
      <c r="D50" s="42">
        <f>TRUNC(56885,-1)</f>
        <v>56880</v>
      </c>
      <c r="E50" s="63">
        <f t="shared" si="1"/>
        <v>188030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TRUNC(11841,-1)</f>
        <v>11840</v>
      </c>
      <c r="E52" s="63">
        <f t="shared" si="1"/>
        <v>39140</v>
      </c>
    </row>
    <row r="53" spans="1:7" x14ac:dyDescent="0.3">
      <c r="A53" s="2">
        <v>14</v>
      </c>
      <c r="C53" s="38" t="s">
        <v>25</v>
      </c>
      <c r="D53" s="42">
        <f>TRUNC(111714,-1)</f>
        <v>111710</v>
      </c>
      <c r="E53" s="63">
        <f t="shared" si="1"/>
        <v>369290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TRUNC(19007+1616+4930-14218+14905,-1)</f>
        <v>26240</v>
      </c>
      <c r="E58" s="63">
        <f t="shared" si="1"/>
        <v>86740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TRUNC(239461,-1)</f>
        <v>239460</v>
      </c>
      <c r="E59" s="64">
        <f t="shared" si="1"/>
        <v>791600</v>
      </c>
    </row>
    <row r="60" spans="1:7" x14ac:dyDescent="0.3">
      <c r="A60" s="2">
        <v>21</v>
      </c>
      <c r="C60" s="27" t="s">
        <v>112</v>
      </c>
      <c r="D60" s="39">
        <f>SUM(D40:D59)</f>
        <v>836810</v>
      </c>
      <c r="E60" s="39">
        <f>SUM(E40:E59)</f>
        <v>2766260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TRUNC(8914,-1)</f>
        <v>8910</v>
      </c>
      <c r="E63" s="62">
        <f>TRUNC(+D63*3.3058,-1)</f>
        <v>29450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TRUNC(118166,-1)</f>
        <v>118160</v>
      </c>
      <c r="E65" s="64">
        <f>TRUNC(+D65*3.3058,-1)</f>
        <v>390610</v>
      </c>
    </row>
    <row r="66" spans="1:7" x14ac:dyDescent="0.3">
      <c r="A66" s="2">
        <v>4</v>
      </c>
      <c r="C66" s="27" t="s">
        <v>112</v>
      </c>
      <c r="D66" s="39">
        <f>SUM(D63:D65)</f>
        <v>127070</v>
      </c>
      <c r="E66" s="65">
        <f>SUM(E63:E65)</f>
        <v>420060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TRUNC(5185,-1)</f>
        <v>5180</v>
      </c>
      <c r="E69" s="62">
        <f t="shared" ref="E69:E94" si="2">TRUNC(+D69*3.3058,-1)</f>
        <v>17120</v>
      </c>
    </row>
    <row r="70" spans="1:7" ht="16.5" customHeight="1" x14ac:dyDescent="0.3">
      <c r="A70" s="2">
        <v>2</v>
      </c>
      <c r="C70" s="38" t="s">
        <v>31</v>
      </c>
      <c r="D70" s="42">
        <f>TRUNC(157,-1)</f>
        <v>150</v>
      </c>
      <c r="E70" s="63">
        <f t="shared" si="2"/>
        <v>490</v>
      </c>
    </row>
    <row r="71" spans="1:7" x14ac:dyDescent="0.3">
      <c r="A71" s="2">
        <v>3</v>
      </c>
      <c r="C71" s="38" t="s">
        <v>32</v>
      </c>
      <c r="D71" s="42">
        <f>TRUNC(7670,-1)</f>
        <v>7670</v>
      </c>
      <c r="E71" s="63">
        <f t="shared" si="2"/>
        <v>25350</v>
      </c>
    </row>
    <row r="72" spans="1:7" x14ac:dyDescent="0.3">
      <c r="A72" s="2">
        <v>4</v>
      </c>
      <c r="C72" s="38" t="s">
        <v>33</v>
      </c>
      <c r="D72" s="42">
        <f>TRUNC(2303,-1)</f>
        <v>2300</v>
      </c>
      <c r="E72" s="63">
        <f t="shared" si="2"/>
        <v>7600</v>
      </c>
    </row>
    <row r="73" spans="1:7" x14ac:dyDescent="0.3">
      <c r="A73" s="2">
        <v>5</v>
      </c>
      <c r="C73" s="38" t="s">
        <v>34</v>
      </c>
      <c r="D73" s="42">
        <f>TRUNC(8978,-1)</f>
        <v>8970</v>
      </c>
      <c r="E73" s="63">
        <f t="shared" si="2"/>
        <v>29650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TRUNC(41882,-1)</f>
        <v>41880</v>
      </c>
      <c r="E76" s="63">
        <f t="shared" si="2"/>
        <v>138440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TRUNC(5875,-1)</f>
        <v>5870</v>
      </c>
      <c r="E89" s="63">
        <f t="shared" si="2"/>
        <v>19400</v>
      </c>
    </row>
    <row r="90" spans="1:7" x14ac:dyDescent="0.3">
      <c r="A90" s="2">
        <v>22</v>
      </c>
      <c r="C90" s="38" t="s">
        <v>36</v>
      </c>
      <c r="D90" s="42">
        <f>TRUNC(1624,-1)</f>
        <v>1620</v>
      </c>
      <c r="E90" s="63">
        <f t="shared" si="2"/>
        <v>5350</v>
      </c>
    </row>
    <row r="91" spans="1:7" x14ac:dyDescent="0.3">
      <c r="A91" s="2">
        <v>23</v>
      </c>
      <c r="C91" s="38" t="s">
        <v>37</v>
      </c>
      <c r="D91" s="42">
        <f>TRUNC(8335,-1)</f>
        <v>8330</v>
      </c>
      <c r="E91" s="63">
        <f t="shared" si="2"/>
        <v>27530</v>
      </c>
    </row>
    <row r="92" spans="1:7" x14ac:dyDescent="0.3">
      <c r="A92" s="2">
        <v>24</v>
      </c>
      <c r="C92" s="38" t="s">
        <v>38</v>
      </c>
      <c r="D92" s="42">
        <f>TRUNC(10877,-1)</f>
        <v>10870</v>
      </c>
      <c r="E92" s="63">
        <f t="shared" si="2"/>
        <v>35930</v>
      </c>
    </row>
    <row r="93" spans="1:7" x14ac:dyDescent="0.3">
      <c r="A93" s="2">
        <v>25</v>
      </c>
      <c r="C93" s="38" t="s">
        <v>148</v>
      </c>
      <c r="D93" s="42">
        <f>TRUNC(99694,-1)</f>
        <v>99690</v>
      </c>
      <c r="E93" s="63">
        <f t="shared" si="2"/>
        <v>329550</v>
      </c>
    </row>
    <row r="94" spans="1:7" ht="17.25" thickBot="1" x14ac:dyDescent="0.35">
      <c r="A94" s="2">
        <v>26</v>
      </c>
      <c r="C94" s="38" t="s">
        <v>47</v>
      </c>
      <c r="D94" s="43">
        <f>TRUNC(6509+1420,-1)</f>
        <v>7920</v>
      </c>
      <c r="E94" s="64">
        <f t="shared" si="2"/>
        <v>26180</v>
      </c>
      <c r="F94" s="2" t="s">
        <v>266</v>
      </c>
    </row>
    <row r="95" spans="1:7" x14ac:dyDescent="0.3">
      <c r="A95" s="2">
        <v>27</v>
      </c>
      <c r="C95" s="27" t="s">
        <v>112</v>
      </c>
      <c r="D95" s="39">
        <f>SUM(D69:D94)</f>
        <v>200450</v>
      </c>
      <c r="E95" s="39">
        <f>SUM(E69:E94)</f>
        <v>662590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TRUNC(10911,-1)</f>
        <v>10910</v>
      </c>
      <c r="E98" s="62">
        <f t="shared" ref="E98:E118" si="3">TRUNC(+D98*3.3058,-1)</f>
        <v>36060</v>
      </c>
    </row>
    <row r="99" spans="1:7" x14ac:dyDescent="0.3">
      <c r="A99" s="2">
        <v>2</v>
      </c>
      <c r="C99" s="38" t="s">
        <v>40</v>
      </c>
      <c r="D99" s="42">
        <f>TRUNC(10723,-1)</f>
        <v>10720</v>
      </c>
      <c r="E99" s="63">
        <f t="shared" si="3"/>
        <v>35430</v>
      </c>
    </row>
    <row r="100" spans="1:7" x14ac:dyDescent="0.3">
      <c r="A100" s="2">
        <v>3</v>
      </c>
      <c r="C100" s="38" t="s">
        <v>41</v>
      </c>
      <c r="D100" s="42">
        <f>TRUNC(39738,-1)</f>
        <v>39730</v>
      </c>
      <c r="E100" s="63">
        <f t="shared" si="3"/>
        <v>131330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TRUNC(12476,-1)</f>
        <v>12470</v>
      </c>
      <c r="E102" s="63">
        <f t="shared" si="3"/>
        <v>41220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TRUNC(1564,-1)</f>
        <v>1560</v>
      </c>
      <c r="E104" s="63">
        <f t="shared" si="3"/>
        <v>5150</v>
      </c>
    </row>
    <row r="105" spans="1:7" x14ac:dyDescent="0.3">
      <c r="A105" s="2">
        <v>8</v>
      </c>
      <c r="C105" s="38" t="s">
        <v>46</v>
      </c>
      <c r="D105" s="42">
        <f>TRUNC(5936,-1)</f>
        <v>5930</v>
      </c>
      <c r="E105" s="63">
        <f t="shared" si="3"/>
        <v>19600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TRUNC(2158,-1)</f>
        <v>2150</v>
      </c>
      <c r="E114" s="63">
        <f t="shared" si="3"/>
        <v>7100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TRUNC(4374,-1)</f>
        <v>4370</v>
      </c>
      <c r="E116" s="63">
        <f t="shared" si="3"/>
        <v>14440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TRUNC(55522,-1)</f>
        <v>55520</v>
      </c>
      <c r="E117" s="63">
        <f t="shared" si="3"/>
        <v>183530</v>
      </c>
    </row>
    <row r="118" spans="1:7" ht="17.25" thickBot="1" x14ac:dyDescent="0.35">
      <c r="A118" s="2">
        <v>21</v>
      </c>
      <c r="C118" s="38" t="s">
        <v>47</v>
      </c>
      <c r="D118" s="43">
        <f>TRUNC(259,-1)</f>
        <v>250</v>
      </c>
      <c r="E118" s="64">
        <f t="shared" si="3"/>
        <v>820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143610</v>
      </c>
      <c r="E119" s="39">
        <f>SUM(E98:E118)</f>
        <v>474680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TRUNC(4416,-1)</f>
        <v>4410</v>
      </c>
      <c r="E122" s="62">
        <f t="shared" ref="E122:E132" si="4">TRUNC(+D122*3.3058,-1)</f>
        <v>14570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TRUNC(3776,-1)</f>
        <v>3770</v>
      </c>
      <c r="E124" s="63">
        <f t="shared" si="4"/>
        <v>12460</v>
      </c>
    </row>
    <row r="125" spans="1:7" x14ac:dyDescent="0.3">
      <c r="A125" s="2">
        <v>4</v>
      </c>
      <c r="C125" s="38" t="s">
        <v>138</v>
      </c>
      <c r="D125" s="42">
        <f>TRUNC(5747,-1)</f>
        <v>5740</v>
      </c>
      <c r="E125" s="63">
        <f t="shared" si="4"/>
        <v>18970</v>
      </c>
    </row>
    <row r="126" spans="1:7" x14ac:dyDescent="0.3">
      <c r="A126" s="2">
        <v>5</v>
      </c>
      <c r="C126" s="38" t="s">
        <v>53</v>
      </c>
      <c r="D126" s="42">
        <f>TRUNC(3597,-1)</f>
        <v>3590</v>
      </c>
      <c r="E126" s="63">
        <f t="shared" si="4"/>
        <v>11860</v>
      </c>
    </row>
    <row r="127" spans="1:7" x14ac:dyDescent="0.3">
      <c r="A127" s="2">
        <v>6</v>
      </c>
      <c r="C127" s="38" t="s">
        <v>56</v>
      </c>
      <c r="D127" s="42">
        <f>TRUNC(2525,-1)</f>
        <v>2520</v>
      </c>
      <c r="E127" s="63">
        <f t="shared" si="4"/>
        <v>8330</v>
      </c>
    </row>
    <row r="128" spans="1:7" x14ac:dyDescent="0.3">
      <c r="A128" s="2">
        <v>7</v>
      </c>
      <c r="C128" s="38" t="s">
        <v>46</v>
      </c>
      <c r="D128" s="42">
        <f>TRUNC(5653,-1)</f>
        <v>5650</v>
      </c>
      <c r="E128" s="63">
        <f t="shared" si="4"/>
        <v>18670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TRUNC(27403,-1)</f>
        <v>27400</v>
      </c>
      <c r="E130" s="63">
        <f t="shared" si="4"/>
        <v>90570</v>
      </c>
    </row>
    <row r="131" spans="1:7" x14ac:dyDescent="0.3">
      <c r="A131" s="2">
        <v>10</v>
      </c>
      <c r="C131" s="38" t="s">
        <v>148</v>
      </c>
      <c r="D131" s="42">
        <f>TRUNC(26383,-1)</f>
        <v>26380</v>
      </c>
      <c r="E131" s="63">
        <f t="shared" si="4"/>
        <v>87200</v>
      </c>
    </row>
    <row r="132" spans="1:7" ht="18" thickBot="1" x14ac:dyDescent="0.35">
      <c r="A132" s="2">
        <v>11</v>
      </c>
      <c r="C132" s="38" t="s">
        <v>47</v>
      </c>
      <c r="D132" s="43">
        <f>TRUNC(4766+259,-1)</f>
        <v>5020</v>
      </c>
      <c r="E132" s="64">
        <f t="shared" si="4"/>
        <v>16590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84480</v>
      </c>
      <c r="E133" s="39">
        <f>SUM(E122:E132)</f>
        <v>279220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TRUNC(140+3470+261,-1)</f>
        <v>3870</v>
      </c>
      <c r="E137" s="63">
        <f t="shared" si="5"/>
        <v>12790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TRUNC(2655,-1)</f>
        <v>2650</v>
      </c>
      <c r="E139" s="63">
        <f t="shared" si="5"/>
        <v>8760</v>
      </c>
    </row>
    <row r="140" spans="1:7" x14ac:dyDescent="0.3">
      <c r="A140" s="2">
        <v>5</v>
      </c>
      <c r="C140" s="38" t="s">
        <v>57</v>
      </c>
      <c r="D140" s="42">
        <f>TRUNC(1027,-1)</f>
        <v>1020</v>
      </c>
      <c r="E140" s="63">
        <f t="shared" si="5"/>
        <v>3370</v>
      </c>
    </row>
    <row r="141" spans="1:7" x14ac:dyDescent="0.3">
      <c r="A141" s="2">
        <v>6</v>
      </c>
      <c r="C141" s="38" t="s">
        <v>59</v>
      </c>
      <c r="D141" s="42">
        <f>TRUNC(27148,-1)</f>
        <v>27140</v>
      </c>
      <c r="E141" s="63">
        <f t="shared" si="5"/>
        <v>89710</v>
      </c>
    </row>
    <row r="142" spans="1:7" x14ac:dyDescent="0.3">
      <c r="A142" s="2">
        <v>7</v>
      </c>
      <c r="C142" s="38" t="s">
        <v>58</v>
      </c>
      <c r="D142" s="42">
        <f>TRUNC(9731,-1)</f>
        <v>9730</v>
      </c>
      <c r="E142" s="63">
        <f t="shared" si="5"/>
        <v>32160</v>
      </c>
    </row>
    <row r="143" spans="1:7" x14ac:dyDescent="0.3">
      <c r="A143" s="2">
        <v>8</v>
      </c>
      <c r="C143" s="38" t="s">
        <v>62</v>
      </c>
      <c r="D143" s="42">
        <f>TRUNC(4666,-1)</f>
        <v>4660</v>
      </c>
      <c r="E143" s="63">
        <f t="shared" si="5"/>
        <v>15400</v>
      </c>
    </row>
    <row r="144" spans="1:7" x14ac:dyDescent="0.3">
      <c r="A144" s="2">
        <v>9</v>
      </c>
      <c r="C144" s="38" t="s">
        <v>63</v>
      </c>
      <c r="D144" s="42">
        <f>TRUNC(15623,-1)</f>
        <v>15620</v>
      </c>
      <c r="E144" s="63">
        <f t="shared" si="5"/>
        <v>51630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64690</v>
      </c>
      <c r="E146" s="39">
        <f>SUM(E136:E145)</f>
        <v>213820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TRUNC(10333+2175,-1)</f>
        <v>12500</v>
      </c>
      <c r="E149" s="62">
        <f>TRUNC(+D149*3.3058,-1)</f>
        <v>41320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TRUNC(7152,-1)</f>
        <v>7150</v>
      </c>
      <c r="E150" s="63">
        <f>TRUNC(+D150*3.3058,-1)</f>
        <v>23630</v>
      </c>
    </row>
    <row r="151" spans="1:7" x14ac:dyDescent="0.3">
      <c r="A151" s="2">
        <v>3</v>
      </c>
      <c r="C151" s="38" t="s">
        <v>50</v>
      </c>
      <c r="D151" s="42">
        <f>TRUNC(6302,-1)</f>
        <v>6300</v>
      </c>
      <c r="E151" s="63">
        <f>TRUNC(+D151*3.3058,-1)</f>
        <v>20820</v>
      </c>
    </row>
    <row r="152" spans="1:7" x14ac:dyDescent="0.3">
      <c r="A152" s="2">
        <v>4</v>
      </c>
      <c r="C152" s="38" t="s">
        <v>47</v>
      </c>
      <c r="D152" s="42">
        <f>TRUNC(1168+3449+39+10531,-1)</f>
        <v>15180</v>
      </c>
      <c r="E152" s="63">
        <f>TRUNC(+D152*3.3058,-1)</f>
        <v>50180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TRUNC(31285,-1)</f>
        <v>31280</v>
      </c>
      <c r="E153" s="64">
        <f>TRUNC(+D153*3.3058,-1)</f>
        <v>103400</v>
      </c>
    </row>
    <row r="154" spans="1:7" x14ac:dyDescent="0.3">
      <c r="A154" s="2">
        <v>6</v>
      </c>
      <c r="C154" s="27" t="s">
        <v>112</v>
      </c>
      <c r="D154" s="39">
        <f>SUM(D149:D153)</f>
        <v>72410</v>
      </c>
      <c r="E154" s="39">
        <f>SUM(E149:E153)</f>
        <v>239350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TRUNC(5573,-1)</f>
        <v>5570</v>
      </c>
      <c r="E157" s="62">
        <f>TRUNC(+D157*3.3058,-1)</f>
        <v>18410</v>
      </c>
    </row>
    <row r="158" spans="1:7" x14ac:dyDescent="0.3">
      <c r="A158" s="2">
        <v>2</v>
      </c>
      <c r="C158" s="38" t="s">
        <v>52</v>
      </c>
      <c r="D158" s="42">
        <f>TRUNC(6286,-1)</f>
        <v>6280</v>
      </c>
      <c r="E158" s="63">
        <f>TRUNC(+D158*3.3058,-1)</f>
        <v>20760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TRUNC(3907+594,-1)</f>
        <v>4500</v>
      </c>
      <c r="E159" s="63">
        <f>TRUNC(+D159*3.3058,-1)</f>
        <v>14870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f>TRUNC(6312,-1)</f>
        <v>6310</v>
      </c>
      <c r="E160" s="64">
        <f>TRUNC(+D160*3.3058,-1)</f>
        <v>20850</v>
      </c>
    </row>
    <row r="161" spans="1:5" x14ac:dyDescent="0.3">
      <c r="A161" s="2">
        <v>5</v>
      </c>
      <c r="C161" s="27" t="s">
        <v>112</v>
      </c>
      <c r="D161" s="39">
        <f>SUM(D157:D160)</f>
        <v>22660</v>
      </c>
      <c r="E161" s="39">
        <f>SUM(E157:E160)</f>
        <v>74890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2020-12-08T04:01:42Z</dcterms:modified>
</cp:coreProperties>
</file>