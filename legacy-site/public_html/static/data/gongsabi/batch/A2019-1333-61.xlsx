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3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1" i="4"/>
  <c r="D100" i="4"/>
  <c r="D99" i="4"/>
  <c r="D98" i="4"/>
  <c r="D94" i="4"/>
  <c r="D92" i="4"/>
  <c r="D91" i="4"/>
  <c r="D90" i="4"/>
  <c r="D73" i="4"/>
  <c r="D72" i="4"/>
  <c r="D71" i="4"/>
  <c r="D70" i="4"/>
  <c r="D69" i="4"/>
  <c r="D65" i="4"/>
  <c r="D59" i="4"/>
  <c r="D58" i="4"/>
  <c r="D52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<sst xmlns="http://schemas.openxmlformats.org/spreadsheetml/2006/main" count="392" uniqueCount="266">
  <si>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</si>
  <si>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</si>
  <si>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</si>
  <si>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</si>
  <si>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</si>
  <si>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</si>
  <si>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</si>
  <si>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</si>
  <si>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</si>
  <si>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</si>
  <si>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</si>
  <si>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</si>
  <si>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</si>
  <si>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</si>
  <si>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</si>
  <si>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</si>
  <si>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</si>
  <si>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</si>
  <si>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</si>
  <si>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</si>
  <si>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</si>
  <si>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</si>
  <si>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</si>
  <si>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</si>
  <si>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</si>
  <si>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</si>
  <si>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</si>
  <si>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</si>
  <si>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</si>
  <si>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</si>
  <si>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</si>
  <si>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</si>
  <si>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</si>
  <si>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</si>
  <si>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</si>
  <si>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</si>
  <si>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</si>
  <si>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</si>
  <si>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</si>
  <si>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</si>
  <si>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</si>
  <si>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</si>
  <si>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</si>
  <si>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</si>
  <si>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</si>
  <si>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</si>
  <si>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</si>
  <si>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</si>
  <si>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</si>
  <si>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</si>
  <si>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</si>
  <si>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</si>
  <si>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</si>
  <si>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</si>
  <si>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</si>
  <si>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</si>
  <si>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</si>
  <si>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</si>
  <si>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</si>
  <si>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</si>
  <si>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</si>
  <si>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</si>
  <si>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</si>
  <si>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</si>
  <si>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</si>
  <si>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</si>
  <si>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</si>
  <si>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</si>
  <si>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</si>
  <si>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</si>
  <si>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</si>
  <si>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</si>
  <si>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</si>
  <si>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</si>
  <si>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</si>
  <si>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</si>
  <si>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</si>
  <si>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</si>
  <si>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</si>
  <si>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</si>
  <si>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</si>
  <si>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</si>
  <si>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</si>
  <si>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</si>
  <si>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</si>
  <si>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</si>
  <si>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</si>
  <si>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</si>
  <si>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</si>
  <si>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</si>
  <si>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</si>
  <si>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</si>
  <si>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</si>
  <si>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</si>
  <si>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</si>
  <si>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</si>
  <si>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</si>
  <si>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</si>
  <si>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</si>
  <si>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</si>
  <si>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</si>
  <si>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</si>
  <si>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</si>
  <si>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</si>
  <si>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</si>
  <si>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</si>
  <si>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</si>
  <si>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</si>
  <si>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</si>
  <si>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</si>
  <si>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</si>
  <si>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</si>
  <si>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</si>
  <si>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</si>
  <si>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</si>
  <si>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</si>
  <si>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</si>
  <si>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</si>
  <si>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</si>
  <si>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</si>
  <si>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</si>
  <si>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</si>
  <si>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</si>
  <si>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</si>
  <si>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</si>
  <si>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</si>
  <si>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</si>
  <si>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</si>
  <si>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</si>
  <si>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</si>
  <si>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</si>
  <si>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</si>
  <si>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</si>
  <si>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</si>
  <si>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</si>
  <si>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</si>
  <si>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</si>
  <si>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</si>
  <si>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</si>
  <si>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</si>
  <si>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</si>
  <si>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</si>
  <si>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</si>
  <si>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</si>
  <si>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</si>
  <si>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</si>
  <si>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</si>
  <si>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</si>
  <si>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</si>
  <si>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</si>
  <si>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</si>
  <si>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</si>
  <si>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</si>
  <si>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</si>
  <si>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</si>
  <si>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</si>
  <si>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</si>
  <si>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</si>
  <si>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</si>
  <si>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</si>
  <si>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</si>
  <si>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</si>
  <si>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</si>
  <si>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</si>
  <si>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</si>
  <si>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</si>
  <si>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</si>
  <si>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</si>
  <si>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</si>
  <si>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</si>
  <si>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</si>
  <si>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</si>
  <si>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</si>
  <si>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</si>
  <si>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</si>
  <si>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</si>
  <si>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</si>
  <si>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</si>
  <si>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</si>
  <si>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</si>
  <si>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</si>
  <si>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</si>
  <si>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</si>
  <si>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</si>
  <si>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</si>
  <si>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</si>
  <si>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</si>
  <si>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</si>
  <si>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</si>
  <si>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</si>
  <si>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</si>
  <si>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</si>
  <si>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</si>
  <si>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</si>
  <si>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</si>
  <si>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</si>
  <si>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</si>
  <si>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</si>
  <si>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</si>
  <si>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</si>
  <si>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</si>
  <si>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</si>
  <si>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</si>
  <si>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</si>
  <si>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</si>
  <si>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</si>
  <si>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</si>
  <si>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</si>
  <si>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</si>
  <si>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</si>
  <si>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</si>
  <si>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</si>
  <si>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</si>
  <si>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</si>
  <si>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</si>
  <si>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</si>
  <si>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</si>
  <si>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</si>
  <si>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</si>
  <si>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</si>
  <si>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</si>
  <si>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</si>
  <si>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</si>
  <si>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</si>
  <si>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</si>
  <si>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</si>
  <si>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</si>
  <si>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</si>
  <si>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</si>
  <si>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</si>
  <si>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</si>
  <si>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</si>
  <si>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</si>
  <si>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</si>
  <si>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</si>
  <si>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</si>
  <si>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</si>
  <si>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</si>
  <si>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</si>
  <si>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</si>
  <si>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</si>
  <si>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</si>
  <si>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</si>
  <si>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</si>
  <si>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</si>
  <si>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</si>
  <si>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</si>
  <si>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</si>
  <si>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</si>
  <si>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</si>
  <si>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</si>
  <si>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</si>
  <si>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</si>
  <si>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</si>
  <si>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</si>
  <si>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</si>
  <si>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</si>
  <si>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인천영종동우체국 건립공사</t>
    <phoneticPr fontId="2" type="noConversion"/>
  </si>
  <si>
    <t>인천시</t>
  </si>
  <si>
    <t>업무</t>
  </si>
  <si>
    <t>공조배관공사, 난방배관공사, 기타공사</t>
    <phoneticPr fontId="2" type="noConversion"/>
  </si>
  <si>
    <t>CCTV설비공사, 기타공사</t>
    <phoneticPr fontId="2" type="noConversion"/>
  </si>
  <si>
    <t>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</si>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</sst>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7761.21</v>
      </c>
      <c r="D7" s="36">
        <f>+C7/3.3058</f>
        <v>2347.7554601004294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863090</v>
      </c>
      <c r="E25" s="59">
        <f t="shared" si="0"/>
        <v>2853200</v>
      </c>
    </row>
    <row r="26" spans="1:5" x14ac:dyDescent="0.3">
      <c r="B26" s="2">
        <v>3</v>
      </c>
      <c r="C26" s="35" t="s">
        <v>95</v>
      </c>
      <c r="D26" s="45">
        <f>+D66</f>
        <v>102880</v>
      </c>
      <c r="E26" s="59">
        <f t="shared" si="0"/>
        <v>340100</v>
      </c>
    </row>
    <row r="27" spans="1:5" x14ac:dyDescent="0.3">
      <c r="B27" s="2">
        <v>4</v>
      </c>
      <c r="C27" s="35" t="s">
        <v>96</v>
      </c>
      <c r="D27" s="45">
        <f>+D95</f>
        <v>217170</v>
      </c>
      <c r="E27" s="59">
        <f t="shared" si="0"/>
        <v>717920</v>
      </c>
    </row>
    <row r="28" spans="1:5" x14ac:dyDescent="0.3">
      <c r="B28" s="2">
        <v>5</v>
      </c>
      <c r="C28" s="35" t="s">
        <v>97</v>
      </c>
      <c r="D28" s="45">
        <f>+D119</f>
        <v>311600</v>
      </c>
      <c r="E28" s="59">
        <f t="shared" si="0"/>
        <v>1030080</v>
      </c>
    </row>
    <row r="29" spans="1:5" x14ac:dyDescent="0.3">
      <c r="B29" s="2">
        <v>6</v>
      </c>
      <c r="C29" s="35" t="s">
        <v>98</v>
      </c>
      <c r="D29" s="45">
        <f>+D133</f>
        <v>75430</v>
      </c>
      <c r="E29" s="59">
        <f t="shared" si="0"/>
        <v>249350</v>
      </c>
    </row>
    <row r="30" spans="1:5" x14ac:dyDescent="0.3">
      <c r="B30" s="2">
        <v>7</v>
      </c>
      <c r="C30" s="35" t="s">
        <v>99</v>
      </c>
      <c r="D30" s="45">
        <f>+D146</f>
        <v>28410</v>
      </c>
      <c r="E30" s="59">
        <f t="shared" si="0"/>
        <v>93910</v>
      </c>
    </row>
    <row r="31" spans="1:5" x14ac:dyDescent="0.3">
      <c r="B31" s="2">
        <v>8</v>
      </c>
      <c r="C31" s="35" t="s">
        <v>100</v>
      </c>
      <c r="D31" s="45">
        <f>+D154</f>
        <v>22910</v>
      </c>
      <c r="E31" s="59">
        <f t="shared" si="0"/>
        <v>75730</v>
      </c>
    </row>
    <row r="32" spans="1:5" x14ac:dyDescent="0.3">
      <c r="B32" s="2">
        <v>9</v>
      </c>
      <c r="C32" s="35" t="s">
        <v>101</v>
      </c>
      <c r="D32" s="45">
        <f>+D161</f>
        <v>55940</v>
      </c>
      <c r="E32" s="59">
        <f t="shared" si="0"/>
        <v>184920</v>
      </c>
    </row>
    <row r="33" spans="1:7" x14ac:dyDescent="0.3">
      <c r="B33" s="2">
        <v>10</v>
      </c>
      <c r="C33" s="35" t="s">
        <v>155</v>
      </c>
      <c r="D33" s="53">
        <f>TRUNC(SUM(D24:D32)*0.275,-1)</f>
        <v>461290</v>
      </c>
      <c r="E33" s="60">
        <f t="shared" si="0"/>
        <v>1524930</v>
      </c>
    </row>
    <row r="34" spans="1:7" x14ac:dyDescent="0.3">
      <c r="C34" s="35" t="s">
        <v>112</v>
      </c>
      <c r="D34" s="44">
        <f>SUM(D24:D33)</f>
        <v>2138720</v>
      </c>
      <c r="E34" s="44">
        <f>SUM(E24:E33)</f>
        <v>7070140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TRUNC(64859,-1)</f>
        <v>64850</v>
      </c>
      <c r="E40" s="62">
        <f t="shared" ref="E40:E59" si="1">TRUNC(+D40*3.3058,-1)</f>
        <v>214380</v>
      </c>
    </row>
    <row r="41" spans="1:7" x14ac:dyDescent="0.3">
      <c r="A41" s="2">
        <v>2</v>
      </c>
      <c r="C41" s="38" t="s">
        <v>13</v>
      </c>
      <c r="D41" s="42">
        <f>TRUNC(165558,-1)</f>
        <v>165550</v>
      </c>
      <c r="E41" s="63">
        <f t="shared" si="1"/>
        <v>547270</v>
      </c>
    </row>
    <row r="42" spans="1:7" x14ac:dyDescent="0.3">
      <c r="A42" s="2">
        <v>3</v>
      </c>
      <c r="C42" s="38" t="s">
        <v>14</v>
      </c>
      <c r="D42" s="42">
        <f>TRUNC(1049,-1)</f>
        <v>1040</v>
      </c>
      <c r="E42" s="63">
        <f t="shared" si="1"/>
        <v>3430</v>
      </c>
    </row>
    <row r="43" spans="1:7" x14ac:dyDescent="0.3">
      <c r="A43" s="2">
        <v>4</v>
      </c>
      <c r="C43" s="38" t="s">
        <v>16</v>
      </c>
      <c r="D43" s="42">
        <f>TRUNC(18632,-1)</f>
        <v>18630</v>
      </c>
      <c r="E43" s="63">
        <f t="shared" si="1"/>
        <v>61580</v>
      </c>
    </row>
    <row r="44" spans="1:7" x14ac:dyDescent="0.3">
      <c r="A44" s="2">
        <v>5</v>
      </c>
      <c r="C44" s="38" t="s">
        <v>17</v>
      </c>
      <c r="D44" s="42">
        <f>TRUNC(30578,-1)</f>
        <v>30570</v>
      </c>
      <c r="E44" s="63">
        <f t="shared" si="1"/>
        <v>101050</v>
      </c>
    </row>
    <row r="45" spans="1:7" x14ac:dyDescent="0.3">
      <c r="A45" s="2">
        <v>6</v>
      </c>
      <c r="C45" s="38" t="s">
        <v>18</v>
      </c>
      <c r="D45" s="42">
        <v>3380</v>
      </c>
      <c r="E45" s="63">
        <f t="shared" si="1"/>
        <v>11170</v>
      </c>
    </row>
    <row r="46" spans="1:7" x14ac:dyDescent="0.3">
      <c r="A46" s="2">
        <v>7</v>
      </c>
      <c r="C46" s="38" t="s">
        <v>19</v>
      </c>
      <c r="D46" s="42">
        <f>TRUNC(18882,-1)</f>
        <v>18880</v>
      </c>
      <c r="E46" s="63">
        <f t="shared" si="1"/>
        <v>62410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TRUNC(54344,-1)</f>
        <v>54340</v>
      </c>
      <c r="E48" s="63">
        <f t="shared" si="1"/>
        <v>179630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TRUNC(27084,-1)</f>
        <v>27080</v>
      </c>
      <c r="E49" s="63">
        <f t="shared" si="1"/>
        <v>89520</v>
      </c>
    </row>
    <row r="50" spans="1:7" x14ac:dyDescent="0.3">
      <c r="A50" s="2">
        <v>11</v>
      </c>
      <c r="C50" s="38" t="s">
        <v>156</v>
      </c>
      <c r="D50" s="42">
        <v>40660</v>
      </c>
      <c r="E50" s="63">
        <f t="shared" si="1"/>
        <v>134410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TRUNC(6889,-1)</f>
        <v>6880</v>
      </c>
      <c r="E52" s="63">
        <f t="shared" si="1"/>
        <v>22740</v>
      </c>
    </row>
    <row r="53" spans="1:7" x14ac:dyDescent="0.3">
      <c r="A53" s="2">
        <v>14</v>
      </c>
      <c r="C53" s="38" t="s">
        <v>25</v>
      </c>
      <c r="D53" s="42">
        <v>74160</v>
      </c>
      <c r="E53" s="63">
        <f t="shared" si="1"/>
        <v>245150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TRUNC(68416+8947-819+1398+39119,-1)</f>
        <v>117060</v>
      </c>
      <c r="E58" s="63">
        <f t="shared" si="1"/>
        <v>386970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TRUNC(240015,-1)</f>
        <v>240010</v>
      </c>
      <c r="E59" s="64">
        <f t="shared" si="1"/>
        <v>793420</v>
      </c>
    </row>
    <row r="60" spans="1:7" x14ac:dyDescent="0.3">
      <c r="A60" s="2">
        <v>21</v>
      </c>
      <c r="C60" s="27" t="s">
        <v>112</v>
      </c>
      <c r="D60" s="39">
        <f>SUM(D40:D59)</f>
        <v>863090</v>
      </c>
      <c r="E60" s="39">
        <f>SUM(E40:E59)</f>
        <v>2853130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32220</v>
      </c>
      <c r="E63" s="62">
        <f>TRUNC(+D63*3.3058,-1)</f>
        <v>106510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TRUNC(70664,-1)</f>
        <v>70660</v>
      </c>
      <c r="E65" s="64">
        <f>TRUNC(+D65*3.3058,-1)</f>
        <v>233580</v>
      </c>
    </row>
    <row r="66" spans="1:7" x14ac:dyDescent="0.3">
      <c r="A66" s="2">
        <v>4</v>
      </c>
      <c r="C66" s="27" t="s">
        <v>112</v>
      </c>
      <c r="D66" s="39">
        <f>SUM(D63:D65)</f>
        <v>102880</v>
      </c>
      <c r="E66" s="65">
        <f>SUM(E63:E65)</f>
        <v>340090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TRUNC(19153,-1)</f>
        <v>19150</v>
      </c>
      <c r="E69" s="62">
        <f t="shared" ref="E69:E94" si="2">TRUNC(+D69*3.3058,-1)</f>
        <v>63300</v>
      </c>
    </row>
    <row r="70" spans="1:7" ht="16.5" customHeight="1" x14ac:dyDescent="0.3">
      <c r="A70" s="2">
        <v>2</v>
      </c>
      <c r="C70" s="38" t="s">
        <v>31</v>
      </c>
      <c r="D70" s="42">
        <f>TRUNC(836,-1)</f>
        <v>830</v>
      </c>
      <c r="E70" s="63">
        <f t="shared" si="2"/>
        <v>2740</v>
      </c>
    </row>
    <row r="71" spans="1:7" x14ac:dyDescent="0.3">
      <c r="A71" s="2">
        <v>3</v>
      </c>
      <c r="C71" s="38" t="s">
        <v>32</v>
      </c>
      <c r="D71" s="42">
        <f>TRUNC(11266,-1)</f>
        <v>11260</v>
      </c>
      <c r="E71" s="63">
        <f t="shared" si="2"/>
        <v>37220</v>
      </c>
    </row>
    <row r="72" spans="1:7" x14ac:dyDescent="0.3">
      <c r="A72" s="2">
        <v>4</v>
      </c>
      <c r="C72" s="38" t="s">
        <v>33</v>
      </c>
      <c r="D72" s="42">
        <f>TRUNC(2407,-1)</f>
        <v>2400</v>
      </c>
      <c r="E72" s="63">
        <f t="shared" si="2"/>
        <v>7930</v>
      </c>
    </row>
    <row r="73" spans="1:7" x14ac:dyDescent="0.3">
      <c r="A73" s="2">
        <v>5</v>
      </c>
      <c r="C73" s="38" t="s">
        <v>34</v>
      </c>
      <c r="D73" s="42">
        <f>TRUNC(9053,-1)</f>
        <v>9050</v>
      </c>
      <c r="E73" s="63">
        <f t="shared" si="2"/>
        <v>29910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19320</v>
      </c>
      <c r="E89" s="63">
        <f t="shared" si="2"/>
        <v>63860</v>
      </c>
    </row>
    <row r="90" spans="1:7" x14ac:dyDescent="0.3">
      <c r="A90" s="2">
        <v>22</v>
      </c>
      <c r="C90" s="38" t="s">
        <v>36</v>
      </c>
      <c r="D90" s="42">
        <f>TRUNC(4788,-1)</f>
        <v>4780</v>
      </c>
      <c r="E90" s="63">
        <f t="shared" si="2"/>
        <v>15800</v>
      </c>
    </row>
    <row r="91" spans="1:7" x14ac:dyDescent="0.3">
      <c r="A91" s="2">
        <v>23</v>
      </c>
      <c r="C91" s="38" t="s">
        <v>37</v>
      </c>
      <c r="D91" s="42">
        <f>TRUNC(17732,-1)</f>
        <v>17730</v>
      </c>
      <c r="E91" s="63">
        <f t="shared" si="2"/>
        <v>58610</v>
      </c>
    </row>
    <row r="92" spans="1:7" x14ac:dyDescent="0.3">
      <c r="A92" s="2">
        <v>24</v>
      </c>
      <c r="C92" s="38" t="s">
        <v>38</v>
      </c>
      <c r="D92" s="42">
        <f>TRUNC(4451,-1)</f>
        <v>4450</v>
      </c>
      <c r="E92" s="63">
        <f t="shared" si="2"/>
        <v>14710</v>
      </c>
    </row>
    <row r="93" spans="1:7" x14ac:dyDescent="0.3">
      <c r="A93" s="2">
        <v>25</v>
      </c>
      <c r="C93" s="38" t="s">
        <v>149</v>
      </c>
      <c r="D93" s="42">
        <v>75720</v>
      </c>
      <c r="E93" s="63">
        <f t="shared" si="2"/>
        <v>250310</v>
      </c>
    </row>
    <row r="94" spans="1:7" ht="17.25" thickBot="1" x14ac:dyDescent="0.35">
      <c r="A94" s="2">
        <v>26</v>
      </c>
      <c r="C94" s="38" t="s">
        <v>47</v>
      </c>
      <c r="D94" s="43">
        <f>TRUNC(9899+1874+40716,-1)</f>
        <v>52480</v>
      </c>
      <c r="E94" s="64">
        <f t="shared" si="2"/>
        <v>173480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217170</v>
      </c>
      <c r="E95" s="39">
        <f>SUM(E69:E94)</f>
        <v>717870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TRUNC(14345,-1)</f>
        <v>14340</v>
      </c>
      <c r="E98" s="62">
        <f t="shared" ref="E98:E118" si="3">TRUNC(+D98*3.3058,-1)</f>
        <v>47400</v>
      </c>
    </row>
    <row r="99" spans="1:7" x14ac:dyDescent="0.3">
      <c r="A99" s="2">
        <v>2</v>
      </c>
      <c r="C99" s="38" t="s">
        <v>40</v>
      </c>
      <c r="D99" s="42">
        <f>TRUNC(13006,-1)</f>
        <v>13000</v>
      </c>
      <c r="E99" s="63">
        <f t="shared" si="3"/>
        <v>42970</v>
      </c>
    </row>
    <row r="100" spans="1:7" x14ac:dyDescent="0.3">
      <c r="A100" s="2">
        <v>3</v>
      </c>
      <c r="C100" s="38" t="s">
        <v>41</v>
      </c>
      <c r="D100" s="42">
        <f>TRUNC(35061,-1)</f>
        <v>35060</v>
      </c>
      <c r="E100" s="63">
        <f t="shared" si="3"/>
        <v>115900</v>
      </c>
    </row>
    <row r="101" spans="1:7" x14ac:dyDescent="0.3">
      <c r="A101" s="2">
        <v>4</v>
      </c>
      <c r="C101" s="38" t="s">
        <v>42</v>
      </c>
      <c r="D101" s="42">
        <f>TRUNC(6616,-1)</f>
        <v>6610</v>
      </c>
      <c r="E101" s="63">
        <f t="shared" si="3"/>
        <v>21850</v>
      </c>
    </row>
    <row r="102" spans="1:7" x14ac:dyDescent="0.3">
      <c r="A102" s="2">
        <v>5</v>
      </c>
      <c r="C102" s="38" t="s">
        <v>43</v>
      </c>
      <c r="D102" s="42">
        <v>16810</v>
      </c>
      <c r="E102" s="63">
        <f t="shared" si="3"/>
        <v>55570</v>
      </c>
    </row>
    <row r="103" spans="1:7" x14ac:dyDescent="0.3">
      <c r="A103" s="2">
        <v>6</v>
      </c>
      <c r="C103" s="38" t="s">
        <v>44</v>
      </c>
      <c r="D103" s="42">
        <v>6530</v>
      </c>
      <c r="E103" s="63">
        <f t="shared" si="3"/>
        <v>21580</v>
      </c>
    </row>
    <row r="104" spans="1:7" x14ac:dyDescent="0.3">
      <c r="A104" s="2">
        <v>7</v>
      </c>
      <c r="C104" s="38" t="s">
        <v>45</v>
      </c>
      <c r="D104" s="42">
        <f>TRUNC(7934,-1)</f>
        <v>7930</v>
      </c>
      <c r="E104" s="63">
        <f t="shared" si="3"/>
        <v>26210</v>
      </c>
    </row>
    <row r="105" spans="1:7" x14ac:dyDescent="0.3">
      <c r="A105" s="2">
        <v>8</v>
      </c>
      <c r="C105" s="38" t="s">
        <v>46</v>
      </c>
      <c r="D105" s="42">
        <f>TRUNC(9392,-1)</f>
        <v>9390</v>
      </c>
      <c r="E105" s="63">
        <f t="shared" si="3"/>
        <v>31040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TRUNC(2257,-1)</f>
        <v>2250</v>
      </c>
      <c r="E114" s="63">
        <f t="shared" si="3"/>
        <v>7430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TRUNC(4367,-1)</f>
        <v>4360</v>
      </c>
      <c r="E116" s="63">
        <f t="shared" si="3"/>
        <v>14410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TRUNC(192198,-1)</f>
        <v>192190</v>
      </c>
      <c r="E117" s="63">
        <f t="shared" si="3"/>
        <v>635340</v>
      </c>
    </row>
    <row r="118" spans="1:7" ht="17.25" thickBot="1" x14ac:dyDescent="0.35">
      <c r="A118" s="2">
        <v>21</v>
      </c>
      <c r="C118" s="38" t="s">
        <v>47</v>
      </c>
      <c r="D118" s="43">
        <f>TRUNC(3135,-1)</f>
        <v>3130</v>
      </c>
      <c r="E118" s="64">
        <f t="shared" si="3"/>
        <v>10340</v>
      </c>
    </row>
    <row r="119" spans="1:7" x14ac:dyDescent="0.3">
      <c r="A119" s="2">
        <v>22</v>
      </c>
      <c r="C119" s="27" t="s">
        <v>112</v>
      </c>
      <c r="D119" s="39">
        <f>SUM(D98:D118)</f>
        <v>311600</v>
      </c>
      <c r="E119" s="39">
        <f>SUM(E98:E118)</f>
        <v>1030040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TRUNC(3719,-1)</f>
        <v>3710</v>
      </c>
      <c r="E122" s="62">
        <f t="shared" ref="E122:E132" si="4">TRUNC(+D122*3.3058,-1)</f>
        <v>12260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TRUNC(503,-1)</f>
        <v>500</v>
      </c>
      <c r="E124" s="63">
        <f t="shared" si="4"/>
        <v>1650</v>
      </c>
    </row>
    <row r="125" spans="1:7" x14ac:dyDescent="0.3">
      <c r="A125" s="2">
        <v>4</v>
      </c>
      <c r="C125" s="38" t="s">
        <v>138</v>
      </c>
      <c r="D125" s="42">
        <f>TRUNC(7659,-1)</f>
        <v>7650</v>
      </c>
      <c r="E125" s="63">
        <f t="shared" si="4"/>
        <v>25280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TRUNC(12138,-1)</f>
        <v>12130</v>
      </c>
      <c r="E128" s="63">
        <f t="shared" si="4"/>
        <v>40090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TRUNC(13191,-1)</f>
        <v>13190</v>
      </c>
      <c r="E130" s="63">
        <f t="shared" si="4"/>
        <v>43600</v>
      </c>
    </row>
    <row r="131" spans="1:7" x14ac:dyDescent="0.3">
      <c r="A131" s="2">
        <v>10</v>
      </c>
      <c r="C131" s="38" t="s">
        <v>149</v>
      </c>
      <c r="D131" s="42">
        <f>TRUNC(32653,-1)</f>
        <v>32650</v>
      </c>
      <c r="E131" s="63">
        <f t="shared" si="4"/>
        <v>107930</v>
      </c>
    </row>
    <row r="132" spans="1:7" ht="18" thickBot="1" x14ac:dyDescent="0.35">
      <c r="A132" s="2">
        <v>11</v>
      </c>
      <c r="C132" s="38" t="s">
        <v>47</v>
      </c>
      <c r="D132" s="43">
        <f>TRUNC(4316+1285,-1)</f>
        <v>5600</v>
      </c>
      <c r="E132" s="64">
        <f t="shared" si="4"/>
        <v>18510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75430</v>
      </c>
      <c r="E133" s="39">
        <f>SUM(E122:E132)</f>
        <v>249320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TRUNC(392,-1)</f>
        <v>390</v>
      </c>
      <c r="E137" s="63">
        <f t="shared" si="5"/>
        <v>1280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TRUNC(6044,-1)</f>
        <v>6040</v>
      </c>
      <c r="E143" s="63">
        <f t="shared" si="5"/>
        <v>19960</v>
      </c>
    </row>
    <row r="144" spans="1:7" x14ac:dyDescent="0.3">
      <c r="A144" s="2">
        <v>9</v>
      </c>
      <c r="C144" s="38" t="s">
        <v>63</v>
      </c>
      <c r="D144" s="42">
        <f>TRUNC(21981,-1)</f>
        <v>21980</v>
      </c>
      <c r="E144" s="63">
        <f t="shared" si="5"/>
        <v>72660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28410</v>
      </c>
      <c r="E146" s="39">
        <f>SUM(E136:E145)</f>
        <v>93900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TRUNC(5604+1614,-1)</f>
        <v>7210</v>
      </c>
      <c r="E149" s="62">
        <f>TRUNC(+D149*3.3058,-1)</f>
        <v>23830</v>
      </c>
    </row>
    <row r="150" spans="1:7" x14ac:dyDescent="0.3">
      <c r="A150" s="2">
        <v>2</v>
      </c>
      <c r="C150" s="38" t="s">
        <v>49</v>
      </c>
      <c r="D150" s="42">
        <f>TRUNC(4077,-1)</f>
        <v>4070</v>
      </c>
      <c r="E150" s="63">
        <f>TRUNC(+D150*3.3058,-1)</f>
        <v>13450</v>
      </c>
    </row>
    <row r="151" spans="1:7" x14ac:dyDescent="0.3">
      <c r="A151" s="2">
        <v>3</v>
      </c>
      <c r="C151" s="38" t="s">
        <v>50</v>
      </c>
      <c r="D151" s="42">
        <f>TRUNC(1466,-1)</f>
        <v>1460</v>
      </c>
      <c r="E151" s="63">
        <f>TRUNC(+D151*3.3058,-1)</f>
        <v>4820</v>
      </c>
    </row>
    <row r="152" spans="1:7" x14ac:dyDescent="0.3">
      <c r="A152" s="2">
        <v>4</v>
      </c>
      <c r="C152" s="38" t="s">
        <v>47</v>
      </c>
      <c r="D152" s="42">
        <f>TRUNC(1281,-1)</f>
        <v>1280</v>
      </c>
      <c r="E152" s="63">
        <f>TRUNC(+D152*3.3058,-1)</f>
        <v>4230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TRUNC(8899,-1)</f>
        <v>8890</v>
      </c>
      <c r="E153" s="64">
        <f>TRUNC(+D153*3.3058,-1)</f>
        <v>29380</v>
      </c>
    </row>
    <row r="154" spans="1:7" x14ac:dyDescent="0.3">
      <c r="A154" s="2">
        <v>6</v>
      </c>
      <c r="C154" s="27" t="s">
        <v>112</v>
      </c>
      <c r="D154" s="39">
        <f>SUM(D149:D153)</f>
        <v>22910</v>
      </c>
      <c r="E154" s="39">
        <f>SUM(E149:E153)</f>
        <v>75710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TRUNC(25377,-1)</f>
        <v>25370</v>
      </c>
      <c r="E157" s="62">
        <f>TRUNC(+D157*3.3058,-1)</f>
        <v>83860</v>
      </c>
    </row>
    <row r="158" spans="1:7" x14ac:dyDescent="0.3">
      <c r="A158" s="2">
        <v>2</v>
      </c>
      <c r="C158" s="38" t="s">
        <v>52</v>
      </c>
      <c r="D158" s="42">
        <f>TRUNC(9778,-1)</f>
        <v>9770</v>
      </c>
      <c r="E158" s="63">
        <f>TRUNC(+D158*3.3058,-1)</f>
        <v>32290</v>
      </c>
    </row>
    <row r="159" spans="1:7" x14ac:dyDescent="0.3">
      <c r="A159" s="2">
        <v>3</v>
      </c>
      <c r="C159" s="38" t="s">
        <v>47</v>
      </c>
      <c r="D159" s="42">
        <f>TRUNC(18463+1862,-1)</f>
        <v>20320</v>
      </c>
      <c r="E159" s="63">
        <f>TRUNC(+D159*3.3058,-1)</f>
        <v>67170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f>TRUNC(483,-1)</f>
        <v>480</v>
      </c>
      <c r="E160" s="64">
        <f>TRUNC(+D160*3.3058,-1)</f>
        <v>1580</v>
      </c>
    </row>
    <row r="161" spans="1:5" x14ac:dyDescent="0.3">
      <c r="A161" s="2">
        <v>5</v>
      </c>
      <c r="C161" s="27" t="s">
        <v>112</v>
      </c>
      <c r="D161" s="39">
        <f>SUM(D157:D160)</f>
        <v>55940</v>
      </c>
      <c r="E161" s="39">
        <f>SUM(E157:E160)</f>
        <v>184900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2020-12-08T04:31:01Z</dcterms:modified>
</cp:coreProperties>
</file>