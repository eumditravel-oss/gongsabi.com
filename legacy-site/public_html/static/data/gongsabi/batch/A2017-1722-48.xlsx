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59" i="4"/>
  <c r="D159" i="4"/>
  <c r="D158" i="4"/>
  <c r="D157" i="4"/>
  <c r="D152" i="4"/>
  <c r="D151" i="4"/>
  <c r="D150" i="4"/>
  <c r="D149" i="4"/>
  <c r="D137" i="4"/>
  <c r="D139" i="4"/>
  <c r="D141" i="4"/>
  <c r="D142" i="4"/>
  <c r="D140" i="4"/>
  <c r="D132" i="4"/>
  <c r="D124" i="4"/>
  <c r="D125" i="4"/>
  <c r="D122" i="4"/>
  <c r="D130" i="4"/>
  <c r="D118" i="4"/>
  <c r="D104" i="4"/>
  <c r="D102" i="4"/>
  <c r="D101" i="4"/>
  <c r="D100" i="4"/>
  <c r="D99" i="4"/>
  <c r="D114" i="4"/>
  <c r="D98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<sst xmlns="http://schemas.openxmlformats.org/spreadsheetml/2006/main" count="393" uniqueCount="268">
  <si>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</si>
  <si>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</si>
  <si>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</si>
  <si>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</si>
  <si>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</si>
  <si>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</si>
  <si>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</si>
  <si>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</si>
  <si>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</si>
  <si>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</si>
  <si>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</si>
  <si>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</si>
  <si>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</si>
  <si>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</si>
  <si>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</si>
  <si>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</si>
  <si>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</si>
  <si>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</si>
  <si>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</si>
  <si>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</si>
  <si>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</si>
  <si>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</si>
  <si>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</si>
  <si>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</si>
  <si>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</si>
  <si>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</si>
  <si>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</si>
  <si>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</si>
  <si>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</si>
  <si>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</si>
  <si>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</si>
  <si>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</si>
  <si>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</si>
  <si>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</si>
  <si>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</si>
  <si>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</si>
  <si>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</si>
  <si>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</si>
  <si>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</si>
  <si>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</si>
  <si>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</si>
  <si>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</si>
  <si>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</si>
  <si>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</si>
  <si>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</si>
  <si>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</si>
  <si>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</si>
  <si>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</si>
  <si>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</si>
  <si>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</si>
  <si>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</si>
  <si>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</si>
  <si>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</si>
  <si>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</si>
  <si>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</si>
  <si>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</si>
  <si>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</si>
  <si>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</si>
  <si>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</si>
  <si>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</si>
  <si>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</si>
  <si>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</si>
  <si>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</si>
  <si>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</si>
  <si>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</si>
  <si>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</si>
  <si>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</si>
  <si>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</si>
  <si>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</si>
  <si>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</si>
  <si>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</si>
  <si>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</si>
  <si>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</si>
  <si>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</si>
  <si>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</si>
  <si>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</si>
  <si>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</si>
  <si>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</si>
  <si>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</si>
  <si>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</si>
  <si>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</si>
  <si>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</si>
  <si>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</si>
  <si>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</si>
  <si>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</si>
  <si>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</si>
  <si>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</si>
  <si>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</si>
  <si>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</si>
  <si>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</si>
  <si>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</si>
  <si>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</si>
  <si>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</si>
  <si>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</si>
  <si>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</si>
  <si>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</si>
  <si>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</si>
  <si>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</si>
  <si>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</si>
  <si>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</si>
  <si>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</si>
  <si>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</si>
  <si>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</si>
  <si>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</si>
  <si>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</si>
  <si>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</si>
  <si>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</si>
  <si>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</si>
  <si>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</si>
  <si>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</si>
  <si>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</si>
  <si>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</si>
  <si>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</si>
  <si>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</si>
  <si>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</si>
  <si>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</si>
  <si>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</si>
  <si>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</si>
  <si>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</si>
  <si>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</si>
  <si>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</si>
  <si>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</si>
  <si>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</si>
  <si>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</si>
  <si>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</si>
  <si>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</si>
  <si>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</si>
  <si>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</si>
  <si>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</si>
  <si>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</si>
  <si>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</si>
  <si>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</si>
  <si>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</si>
  <si>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</si>
  <si>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</si>
  <si>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</si>
  <si>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</si>
  <si>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</si>
  <si>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</si>
  <si>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</si>
  <si>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</si>
  <si>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</si>
  <si>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</si>
  <si>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</si>
  <si>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</si>
  <si>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</si>
  <si>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</si>
  <si>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</si>
  <si>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</si>
  <si>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</si>
  <si>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</si>
  <si>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</si>
  <si>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</si>
  <si>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</si>
  <si>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</si>
  <si>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</si>
  <si>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</si>
  <si>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</si>
  <si>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</si>
  <si>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</si>
  <si>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</si>
  <si>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</si>
  <si>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</si>
  <si>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</si>
  <si>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</si>
  <si>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</si>
  <si>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</si>
  <si>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</si>
  <si>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</si>
  <si>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</si>
  <si>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</si>
  <si>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</si>
  <si>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</si>
  <si>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</si>
  <si>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</si>
  <si>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</si>
  <si>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</si>
  <si>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</si>
  <si>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</si>
  <si>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</si>
  <si>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</si>
  <si>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</si>
  <si>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</si>
  <si>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</si>
  <si>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</si>
  <si>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</si>
  <si>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</si>
  <si>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</si>
  <si>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</si>
  <si>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</si>
  <si>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</si>
  <si>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</si>
  <si>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</si>
  <si>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</si>
  <si>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</si>
  <si>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</si>
  <si>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</si>
  <si>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</si>
  <si>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</si>
  <si>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</si>
  <si>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</si>
  <si>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</si>
  <si>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</si>
  <si>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</si>
  <si>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</si>
  <si>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</si>
  <si>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</si>
  <si>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</si>
  <si>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</si>
  <si>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</si>
  <si>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</si>
  <si>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</si>
  <si>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</si>
  <si>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</si>
  <si>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</si>
  <si>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</si>
  <si>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</si>
  <si>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</si>
  <si>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</si>
  <si>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</si>
  <si>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</si>
  <si>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</si>
  <si>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</si>
  <si>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</si>
  <si>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</si>
  <si>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</si>
  <si>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</si>
  <si>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</si>
  <si>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</si>
  <si>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</si>
  <si>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</si>
  <si>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</si>
  <si>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</si>
  <si>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</si>
  <si>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</si>
  <si>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</si>
  <si>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</si>
  <si>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</si>
  <si>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</si>
  <si>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</si>
  <si>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</si>
  <si>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</si>
  <si>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</si>
  <si>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</si>
  <si>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</si>
  <si>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</si>
  <si>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</si>
  <si>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</si>
  <si>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</si>
  <si>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여주시 육아종합지원센터 신축공사</t>
    <phoneticPr fontId="2" type="noConversion"/>
  </si>
  <si>
    <t>기타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</si>
  <si>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</si>
  <si>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</si>
  <si>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</si>
  <si>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기초공사,골재비및운반비,작업부산물,기타공사</t>
    <phoneticPr fontId="2" type="noConversion"/>
  </si>
  <si>
    <t>난방배관공사,기타공사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</si>
  <si>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</si>
  <si>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</si>
  <si>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</si>
  <si>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펌프실배관공사,기타공사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</si>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</sst>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1"/>
      <color rgb="FF50505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5" fillId="0" borderId="0" xfId="0" applyFont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3" t="s">
        <v>156</v>
      </c>
      <c r="B2" s="76" t="s">
        <v>0</v>
      </c>
      <c r="C2" s="77"/>
      <c r="D2" s="76" t="s">
        <v>1</v>
      </c>
      <c r="E2" s="77"/>
      <c r="F2" s="76" t="s">
        <v>157</v>
      </c>
      <c r="G2" s="77"/>
      <c r="H2" s="76" t="s">
        <v>2</v>
      </c>
      <c r="I2" s="77"/>
      <c r="J2" s="76" t="s">
        <v>3</v>
      </c>
      <c r="K2" s="77"/>
      <c r="L2" s="76" t="s">
        <v>158</v>
      </c>
      <c r="M2" s="77"/>
      <c r="N2" s="76" t="s">
        <v>159</v>
      </c>
      <c r="O2" s="77"/>
      <c r="P2" s="76" t="s">
        <v>5</v>
      </c>
      <c r="Q2" s="77"/>
      <c r="R2" s="70" t="s">
        <v>94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4"/>
      <c r="B3" s="78"/>
      <c r="C3" s="79"/>
      <c r="D3" s="78"/>
      <c r="E3" s="79"/>
      <c r="F3" s="78"/>
      <c r="G3" s="79"/>
      <c r="H3" s="78"/>
      <c r="I3" s="79"/>
      <c r="J3" s="78"/>
      <c r="K3" s="79"/>
      <c r="L3" s="78"/>
      <c r="M3" s="79"/>
      <c r="N3" s="78"/>
      <c r="O3" s="79"/>
      <c r="P3" s="78"/>
      <c r="Q3" s="79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5"/>
      <c r="B4" s="80"/>
      <c r="C4" s="81"/>
      <c r="D4" s="80"/>
      <c r="E4" s="81"/>
      <c r="F4" s="80"/>
      <c r="G4" s="81"/>
      <c r="H4" s="80"/>
      <c r="I4" s="81"/>
      <c r="J4" s="80"/>
      <c r="K4" s="81"/>
      <c r="L4" s="80"/>
      <c r="M4" s="81"/>
      <c r="N4" s="80"/>
      <c r="O4" s="81"/>
      <c r="P4" s="80"/>
      <c r="Q4" s="81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250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1716.24</v>
      </c>
      <c r="D7" s="36">
        <f>+C7/3.3058</f>
        <v>519.16026377881303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1407070</v>
      </c>
      <c r="E25" s="59">
        <f t="shared" si="0"/>
        <v>4651490</v>
      </c>
    </row>
    <row r="26" spans="1:5" x14ac:dyDescent="0.3">
      <c r="B26" s="2">
        <v>3</v>
      </c>
      <c r="C26" s="35" t="s">
        <v>95</v>
      </c>
      <c r="D26" s="45">
        <f>+D66</f>
        <v>12010</v>
      </c>
      <c r="E26" s="59">
        <f t="shared" si="0"/>
        <v>39700</v>
      </c>
    </row>
    <row r="27" spans="1:5" x14ac:dyDescent="0.3">
      <c r="B27" s="2">
        <v>4</v>
      </c>
      <c r="C27" s="35" t="s">
        <v>96</v>
      </c>
      <c r="D27" s="45">
        <f>+D95</f>
        <v>103880</v>
      </c>
      <c r="E27" s="59">
        <f t="shared" si="0"/>
        <v>343400</v>
      </c>
    </row>
    <row r="28" spans="1:5" x14ac:dyDescent="0.3">
      <c r="B28" s="2">
        <v>5</v>
      </c>
      <c r="C28" s="35" t="s">
        <v>97</v>
      </c>
      <c r="D28" s="45">
        <f>+D119</f>
        <v>263860</v>
      </c>
      <c r="E28" s="59">
        <f t="shared" si="0"/>
        <v>872260</v>
      </c>
    </row>
    <row r="29" spans="1:5" x14ac:dyDescent="0.3">
      <c r="B29" s="2">
        <v>6</v>
      </c>
      <c r="C29" s="35" t="s">
        <v>98</v>
      </c>
      <c r="D29" s="45">
        <f>+D133</f>
        <v>169920</v>
      </c>
      <c r="E29" s="59">
        <f t="shared" si="0"/>
        <v>561720</v>
      </c>
    </row>
    <row r="30" spans="1:5" x14ac:dyDescent="0.3">
      <c r="B30" s="2">
        <v>7</v>
      </c>
      <c r="C30" s="35" t="s">
        <v>99</v>
      </c>
      <c r="D30" s="45">
        <f>+D146</f>
        <v>115460</v>
      </c>
      <c r="E30" s="59">
        <f t="shared" si="0"/>
        <v>381680</v>
      </c>
    </row>
    <row r="31" spans="1:5" x14ac:dyDescent="0.3">
      <c r="B31" s="2">
        <v>8</v>
      </c>
      <c r="C31" s="35" t="s">
        <v>100</v>
      </c>
      <c r="D31" s="45">
        <f>+D154</f>
        <v>50830</v>
      </c>
      <c r="E31" s="59">
        <f t="shared" si="0"/>
        <v>168030</v>
      </c>
    </row>
    <row r="32" spans="1:5" x14ac:dyDescent="0.3">
      <c r="B32" s="2">
        <v>9</v>
      </c>
      <c r="C32" s="35" t="s">
        <v>101</v>
      </c>
      <c r="D32" s="45">
        <f>+D161</f>
        <v>31210</v>
      </c>
      <c r="E32" s="59">
        <f t="shared" si="0"/>
        <v>103170</v>
      </c>
    </row>
    <row r="33" spans="1:7" x14ac:dyDescent="0.3">
      <c r="B33" s="2">
        <v>10</v>
      </c>
      <c r="C33" s="35" t="s">
        <v>154</v>
      </c>
      <c r="D33" s="53">
        <f>TRUNC(SUM(D24:D32)*0.275,-1)</f>
        <v>592410</v>
      </c>
      <c r="E33" s="60">
        <f t="shared" si="0"/>
        <v>1958380</v>
      </c>
    </row>
    <row r="34" spans="1:7" x14ac:dyDescent="0.3">
      <c r="C34" s="35" t="s">
        <v>112</v>
      </c>
      <c r="D34" s="44">
        <f>SUM(D24:D33)</f>
        <v>2746650</v>
      </c>
      <c r="E34" s="44">
        <f>SUM(E24:E33)</f>
        <v>9079830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7" customFormat="1" x14ac:dyDescent="0.3">
      <c r="C38" s="68"/>
      <c r="D38" s="68"/>
      <c r="E38" s="68"/>
      <c r="G38" s="69"/>
    </row>
    <row r="39" spans="1:7" s="67" customFormat="1" ht="17.25" thickBot="1" x14ac:dyDescent="0.35">
      <c r="B39" s="67" t="s">
        <v>111</v>
      </c>
      <c r="C39" s="67" t="s">
        <v>243</v>
      </c>
      <c r="D39" s="68" t="s">
        <v>263</v>
      </c>
      <c r="E39" s="68" t="s">
        <v>264</v>
      </c>
      <c r="G39" s="69"/>
    </row>
    <row r="40" spans="1:7" x14ac:dyDescent="0.3">
      <c r="A40" s="2">
        <v>1</v>
      </c>
      <c r="C40" s="38" t="s">
        <v>15</v>
      </c>
      <c r="D40" s="40">
        <f>TRUNC(71157,-1)</f>
        <v>71150</v>
      </c>
      <c r="E40" s="62">
        <f t="shared" ref="E40:E59" si="1">TRUNC(+D40*3.3058,-1)</f>
        <v>235200</v>
      </c>
    </row>
    <row r="41" spans="1:7" x14ac:dyDescent="0.3">
      <c r="A41" s="2">
        <v>2</v>
      </c>
      <c r="C41" s="38" t="s">
        <v>13</v>
      </c>
      <c r="D41" s="42">
        <f>TRUNC(257035,-1)</f>
        <v>257030</v>
      </c>
      <c r="E41" s="63">
        <f t="shared" si="1"/>
        <v>849680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TRUNC(39250,-1)</f>
        <v>39250</v>
      </c>
      <c r="E43" s="63">
        <f t="shared" si="1"/>
        <v>129750</v>
      </c>
    </row>
    <row r="44" spans="1:7" x14ac:dyDescent="0.3">
      <c r="A44" s="2">
        <v>5</v>
      </c>
      <c r="C44" s="38" t="s">
        <v>17</v>
      </c>
      <c r="D44" s="42">
        <f>TRUNC(49627,-1)</f>
        <v>49620</v>
      </c>
      <c r="E44" s="63">
        <f t="shared" si="1"/>
        <v>164030</v>
      </c>
    </row>
    <row r="45" spans="1:7" x14ac:dyDescent="0.3">
      <c r="A45" s="2">
        <v>6</v>
      </c>
      <c r="C45" s="38" t="s">
        <v>18</v>
      </c>
      <c r="D45" s="42">
        <f>TRUNC(23341,-1)</f>
        <v>23340</v>
      </c>
      <c r="E45" s="63">
        <f t="shared" si="1"/>
        <v>77150</v>
      </c>
    </row>
    <row r="46" spans="1:7" x14ac:dyDescent="0.3">
      <c r="A46" s="2">
        <v>7</v>
      </c>
      <c r="C46" s="38" t="s">
        <v>19</v>
      </c>
      <c r="D46" s="42">
        <f>TRUNC(18141,-1)</f>
        <v>18140</v>
      </c>
      <c r="E46" s="63">
        <f t="shared" si="1"/>
        <v>59960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TRUNC(74006,-1)</f>
        <v>74000</v>
      </c>
      <c r="E48" s="63">
        <f t="shared" si="1"/>
        <v>244620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TRUNC(27902,-1)</f>
        <v>27900</v>
      </c>
      <c r="E49" s="63">
        <f t="shared" si="1"/>
        <v>92230</v>
      </c>
    </row>
    <row r="50" spans="1:7" x14ac:dyDescent="0.3">
      <c r="A50" s="2">
        <v>11</v>
      </c>
      <c r="C50" s="38" t="s">
        <v>155</v>
      </c>
      <c r="D50" s="42">
        <f>TRUNC(65597,-1)</f>
        <v>65590</v>
      </c>
      <c r="E50" s="63">
        <f t="shared" si="1"/>
        <v>216820</v>
      </c>
      <c r="F50" s="66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TRUNC(11951,-1)</f>
        <v>11950</v>
      </c>
      <c r="E52" s="63">
        <f t="shared" si="1"/>
        <v>39500</v>
      </c>
    </row>
    <row r="53" spans="1:7" x14ac:dyDescent="0.3">
      <c r="A53" s="2">
        <v>14</v>
      </c>
      <c r="C53" s="38" t="s">
        <v>25</v>
      </c>
      <c r="D53" s="42">
        <f>TRUNC(248442,-1)</f>
        <v>248440</v>
      </c>
      <c r="E53" s="63">
        <f t="shared" si="1"/>
        <v>821290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TRUNC(22296+5214-71+4070,-1)</f>
        <v>31500</v>
      </c>
      <c r="E58" s="63">
        <f t="shared" si="1"/>
        <v>104130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TRUNC(489169,-1)</f>
        <v>489160</v>
      </c>
      <c r="E59" s="64">
        <f t="shared" si="1"/>
        <v>1617060</v>
      </c>
    </row>
    <row r="60" spans="1:7" x14ac:dyDescent="0.3">
      <c r="A60" s="2">
        <v>21</v>
      </c>
      <c r="C60" s="27" t="s">
        <v>112</v>
      </c>
      <c r="D60" s="39">
        <f>SUM(D40:D59)</f>
        <v>1407070</v>
      </c>
      <c r="E60" s="39">
        <f>SUM(E40:E59)</f>
        <v>4651420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TRUNC(12016,-1)</f>
        <v>12010</v>
      </c>
      <c r="E63" s="62">
        <f>TRUNC(+D63*3.3058,-1)</f>
        <v>39700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12010</v>
      </c>
      <c r="E66" s="65">
        <f>SUM(E63:E65)</f>
        <v>39700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TRUNC(6401,-1)</f>
        <v>6400</v>
      </c>
      <c r="E69" s="62">
        <f t="shared" ref="E69:E94" si="2">TRUNC(+D69*3.3058,-1)</f>
        <v>21150</v>
      </c>
    </row>
    <row r="70" spans="1:7" ht="16.5" customHeight="1" x14ac:dyDescent="0.3">
      <c r="A70" s="2">
        <v>2</v>
      </c>
      <c r="C70" s="38" t="s">
        <v>31</v>
      </c>
      <c r="D70" s="42">
        <f>TRUNC(543,-1)</f>
        <v>540</v>
      </c>
      <c r="E70" s="63">
        <f t="shared" si="2"/>
        <v>1780</v>
      </c>
    </row>
    <row r="71" spans="1:7" x14ac:dyDescent="0.3">
      <c r="A71" s="2">
        <v>3</v>
      </c>
      <c r="C71" s="38" t="s">
        <v>32</v>
      </c>
      <c r="D71" s="42">
        <f>TRUNC(15620,-1)</f>
        <v>15620</v>
      </c>
      <c r="E71" s="63">
        <f t="shared" si="2"/>
        <v>51630</v>
      </c>
    </row>
    <row r="72" spans="1:7" x14ac:dyDescent="0.3">
      <c r="A72" s="2">
        <v>4</v>
      </c>
      <c r="C72" s="38" t="s">
        <v>33</v>
      </c>
      <c r="D72" s="42">
        <f>TRUNC(9450,-1)</f>
        <v>9450</v>
      </c>
      <c r="E72" s="63">
        <f t="shared" si="2"/>
        <v>31230</v>
      </c>
    </row>
    <row r="73" spans="1:7" x14ac:dyDescent="0.3">
      <c r="A73" s="2">
        <v>5</v>
      </c>
      <c r="C73" s="38" t="s">
        <v>34</v>
      </c>
      <c r="D73" s="42">
        <f>TRUNC(17187,-1)</f>
        <v>17180</v>
      </c>
      <c r="E73" s="63">
        <f t="shared" si="2"/>
        <v>56790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TRUNC(10111,-1)</f>
        <v>10110</v>
      </c>
      <c r="E89" s="63">
        <f t="shared" si="2"/>
        <v>33420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TRUNC(5612,-1)</f>
        <v>5610</v>
      </c>
      <c r="E91" s="63">
        <f t="shared" si="2"/>
        <v>18540</v>
      </c>
    </row>
    <row r="92" spans="1:7" x14ac:dyDescent="0.3">
      <c r="A92" s="2">
        <v>24</v>
      </c>
      <c r="C92" s="38" t="s">
        <v>38</v>
      </c>
      <c r="D92" s="42">
        <f>TRUNC(13751,-1)</f>
        <v>13750</v>
      </c>
      <c r="E92" s="63">
        <f t="shared" si="2"/>
        <v>45450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TRUNC(20563+4657,-1)</f>
        <v>25220</v>
      </c>
      <c r="E94" s="64">
        <f t="shared" si="2"/>
        <v>83370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103880</v>
      </c>
      <c r="E95" s="39">
        <f>SUM(E69:E94)</f>
        <v>343360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TRUNC(24851,-1)</f>
        <v>24850</v>
      </c>
      <c r="E98" s="62">
        <f t="shared" ref="E98:E118" si="3">TRUNC(+D98*3.3058,-1)</f>
        <v>82140</v>
      </c>
    </row>
    <row r="99" spans="1:7" x14ac:dyDescent="0.3">
      <c r="A99" s="2">
        <v>2</v>
      </c>
      <c r="C99" s="38" t="s">
        <v>40</v>
      </c>
      <c r="D99" s="42">
        <f>TRUNC(11830,-1)</f>
        <v>11830</v>
      </c>
      <c r="E99" s="63">
        <f t="shared" si="3"/>
        <v>39100</v>
      </c>
    </row>
    <row r="100" spans="1:7" x14ac:dyDescent="0.3">
      <c r="A100" s="2">
        <v>3</v>
      </c>
      <c r="C100" s="38" t="s">
        <v>41</v>
      </c>
      <c r="D100" s="42">
        <f>TRUNC(33225,-1)</f>
        <v>33220</v>
      </c>
      <c r="E100" s="63">
        <f t="shared" si="3"/>
        <v>109810</v>
      </c>
    </row>
    <row r="101" spans="1:7" x14ac:dyDescent="0.3">
      <c r="A101" s="2">
        <v>4</v>
      </c>
      <c r="C101" s="38" t="s">
        <v>42</v>
      </c>
      <c r="D101" s="42">
        <f>TRUNC(5161,-1)</f>
        <v>5160</v>
      </c>
      <c r="E101" s="63">
        <f t="shared" si="3"/>
        <v>17050</v>
      </c>
    </row>
    <row r="102" spans="1:7" x14ac:dyDescent="0.3">
      <c r="A102" s="2">
        <v>5</v>
      </c>
      <c r="C102" s="38" t="s">
        <v>43</v>
      </c>
      <c r="D102" s="42">
        <f>TRUNC(16092,-1)</f>
        <v>16090</v>
      </c>
      <c r="E102" s="63">
        <f t="shared" si="3"/>
        <v>53190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TRUNC(8674,-1)</f>
        <v>8670</v>
      </c>
      <c r="E104" s="63">
        <f t="shared" si="3"/>
        <v>28660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TRUNC(5693,-1)</f>
        <v>5690</v>
      </c>
      <c r="E114" s="63">
        <f t="shared" si="3"/>
        <v>18810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TRUNC(156159,-1)</f>
        <v>156150</v>
      </c>
      <c r="E117" s="63">
        <f t="shared" si="3"/>
        <v>516200</v>
      </c>
    </row>
    <row r="118" spans="1:7" ht="17.25" thickBot="1" x14ac:dyDescent="0.35">
      <c r="A118" s="2">
        <v>21</v>
      </c>
      <c r="C118" s="38" t="s">
        <v>47</v>
      </c>
      <c r="D118" s="43">
        <f>TRUNC(2207,-1)</f>
        <v>2200</v>
      </c>
      <c r="E118" s="64">
        <f t="shared" si="3"/>
        <v>7270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263860</v>
      </c>
      <c r="E119" s="39">
        <f>SUM(E98:E118)</f>
        <v>872230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TRUNC(9667,-1)</f>
        <v>9660</v>
      </c>
      <c r="E122" s="62">
        <f t="shared" ref="E122:E132" si="4">TRUNC(+D122*3.3058,-1)</f>
        <v>31930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TRUNC(5324,-1)</f>
        <v>5320</v>
      </c>
      <c r="E124" s="63">
        <f t="shared" si="4"/>
        <v>17580</v>
      </c>
    </row>
    <row r="125" spans="1:7" x14ac:dyDescent="0.3">
      <c r="A125" s="2">
        <v>4</v>
      </c>
      <c r="C125" s="38" t="s">
        <v>138</v>
      </c>
      <c r="D125" s="42">
        <f>TRUNC(11857,-1)</f>
        <v>11850</v>
      </c>
      <c r="E125" s="63">
        <f t="shared" si="4"/>
        <v>39170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TRUNC(25219,-1)</f>
        <v>25210</v>
      </c>
      <c r="E130" s="63">
        <f t="shared" si="4"/>
        <v>83330</v>
      </c>
    </row>
    <row r="131" spans="1:7" x14ac:dyDescent="0.3">
      <c r="A131" s="2">
        <v>10</v>
      </c>
      <c r="C131" s="38" t="s">
        <v>148</v>
      </c>
      <c r="D131" s="42">
        <f>TRUNC(110929,-1)</f>
        <v>110920</v>
      </c>
      <c r="E131" s="63">
        <f t="shared" si="4"/>
        <v>366670</v>
      </c>
    </row>
    <row r="132" spans="1:7" ht="18" thickBot="1" x14ac:dyDescent="0.35">
      <c r="A132" s="2">
        <v>11</v>
      </c>
      <c r="C132" s="38" t="s">
        <v>47</v>
      </c>
      <c r="D132" s="43">
        <f>TRUNC(6965,-1)</f>
        <v>6960</v>
      </c>
      <c r="E132" s="64">
        <f t="shared" si="4"/>
        <v>23000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169920</v>
      </c>
      <c r="E133" s="39">
        <f>SUM(E122:E132)</f>
        <v>561680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TRUNC(12248+43897,-1)</f>
        <v>56140</v>
      </c>
      <c r="E137" s="63">
        <f t="shared" si="5"/>
        <v>185580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TRUNC(9301,-1)</f>
        <v>9300</v>
      </c>
      <c r="E139" s="63">
        <f t="shared" si="5"/>
        <v>30740</v>
      </c>
    </row>
    <row r="140" spans="1:7" x14ac:dyDescent="0.3">
      <c r="A140" s="2">
        <v>5</v>
      </c>
      <c r="C140" s="38" t="s">
        <v>57</v>
      </c>
      <c r="D140" s="42">
        <f>TRUNC(9013,-1)</f>
        <v>9010</v>
      </c>
      <c r="E140" s="63">
        <f t="shared" si="5"/>
        <v>29780</v>
      </c>
    </row>
    <row r="141" spans="1:7" x14ac:dyDescent="0.3">
      <c r="A141" s="2">
        <v>6</v>
      </c>
      <c r="C141" s="38" t="s">
        <v>59</v>
      </c>
      <c r="D141" s="42">
        <f>TRUNC(34789,-1)</f>
        <v>34780</v>
      </c>
      <c r="E141" s="63">
        <f t="shared" si="5"/>
        <v>114970</v>
      </c>
    </row>
    <row r="142" spans="1:7" x14ac:dyDescent="0.3">
      <c r="A142" s="2">
        <v>7</v>
      </c>
      <c r="C142" s="38" t="s">
        <v>58</v>
      </c>
      <c r="D142" s="42">
        <f>TRUNC(6232,-1)</f>
        <v>6230</v>
      </c>
      <c r="E142" s="63">
        <f t="shared" si="5"/>
        <v>20590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115460</v>
      </c>
      <c r="E146" s="39">
        <f>SUM(E136:E145)</f>
        <v>381660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TRUNC(15871+733,-1)</f>
        <v>16600</v>
      </c>
      <c r="E149" s="62">
        <f>TRUNC(+D149*3.3058,-1)</f>
        <v>54870</v>
      </c>
    </row>
    <row r="150" spans="1:7" x14ac:dyDescent="0.3">
      <c r="A150" s="2">
        <v>2</v>
      </c>
      <c r="C150" s="38" t="s">
        <v>49</v>
      </c>
      <c r="D150" s="42">
        <f>TRUNC(14163,-1)</f>
        <v>14160</v>
      </c>
      <c r="E150" s="63">
        <f>TRUNC(+D150*3.3058,-1)</f>
        <v>46810</v>
      </c>
    </row>
    <row r="151" spans="1:7" x14ac:dyDescent="0.3">
      <c r="A151" s="2">
        <v>3</v>
      </c>
      <c r="C151" s="38" t="s">
        <v>50</v>
      </c>
      <c r="D151" s="42">
        <f>TRUNC(19130,-1)</f>
        <v>19130</v>
      </c>
      <c r="E151" s="63">
        <f>TRUNC(+D151*3.3058,-1)</f>
        <v>63230</v>
      </c>
    </row>
    <row r="152" spans="1:7" x14ac:dyDescent="0.3">
      <c r="A152" s="2">
        <v>4</v>
      </c>
      <c r="C152" s="38" t="s">
        <v>47</v>
      </c>
      <c r="D152" s="42">
        <f>TRUNC(184+759,-1)</f>
        <v>940</v>
      </c>
      <c r="E152" s="63">
        <f>TRUNC(+D152*3.3058,-1)</f>
        <v>3100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50830</v>
      </c>
      <c r="E154" s="39">
        <f>SUM(E149:E153)</f>
        <v>168010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TRUNC(9076,-1)</f>
        <v>9070</v>
      </c>
      <c r="E157" s="62">
        <f>TRUNC(+D157*3.3058,-1)</f>
        <v>29980</v>
      </c>
    </row>
    <row r="158" spans="1:7" x14ac:dyDescent="0.3">
      <c r="A158" s="2">
        <v>2</v>
      </c>
      <c r="C158" s="38" t="s">
        <v>52</v>
      </c>
      <c r="D158" s="42">
        <f>TRUNC(17080,-1)</f>
        <v>17080</v>
      </c>
      <c r="E158" s="63">
        <f>TRUNC(+D158*3.3058,-1)</f>
        <v>56460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TRUNC(4604+465,-1)</f>
        <v>5060</v>
      </c>
      <c r="E159" s="63">
        <f>TRUNC(+D159*3.3058,-1)</f>
        <v>16720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31210</v>
      </c>
      <c r="E161" s="39">
        <f>SUM(E157:E160)</f>
        <v>103160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2020-12-08T01:54:44Z</dcterms:modified>
</cp:coreProperties>
</file>