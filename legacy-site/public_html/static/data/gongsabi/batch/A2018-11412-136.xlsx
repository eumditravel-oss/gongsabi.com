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51" i="4"/>
  <c r="D149" i="4"/>
  <c r="D137" i="4"/>
  <c r="D143" i="4"/>
  <c r="D144" i="4"/>
  <c r="D139" i="4"/>
  <c r="D141" i="4"/>
  <c r="D142" i="4"/>
  <c r="D140" i="4"/>
  <c r="D132" i="4"/>
  <c r="D128" i="4"/>
  <c r="D124" i="4"/>
  <c r="D125" i="4"/>
  <c r="D122" i="4"/>
  <c r="D130" i="4"/>
  <c r="D126" i="4"/>
  <c r="D118" i="4"/>
  <c r="D105" i="4"/>
  <c r="D104" i="4"/>
  <c r="D103" i="4"/>
  <c r="D102" i="4"/>
  <c r="D101" i="4"/>
  <c r="D100" i="4"/>
  <c r="D99" i="4"/>
  <c r="D98" i="4"/>
  <c r="D92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6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54" i="4"/>
  <c r="E146" i="4"/>
  <c r="E95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<sst xmlns="http://schemas.openxmlformats.org/spreadsheetml/2006/main" count="394" uniqueCount="267">
  <si>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</si>
  <si>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</si>
  <si>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</si>
  <si>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</si>
  <si>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</si>
  <si>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</si>
  <si>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</si>
  <si>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</si>
  <si>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</si>
  <si>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</si>
  <si>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</si>
  <si>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</si>
  <si>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</si>
  <si>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</si>
  <si>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</si>
  <si>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</si>
  <si>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</si>
  <si>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</si>
  <si>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</si>
  <si>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</si>
  <si>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</si>
  <si>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</si>
  <si>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</si>
  <si>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</si>
  <si>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</si>
  <si>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</si>
  <si>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</si>
  <si>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</si>
  <si>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</si>
  <si>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</si>
  <si>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</si>
  <si>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</si>
  <si>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</si>
  <si>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</si>
  <si>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</si>
  <si>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</si>
  <si>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</si>
  <si>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</si>
  <si>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</si>
  <si>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</si>
  <si>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</si>
  <si>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</si>
  <si>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</si>
  <si>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</si>
  <si>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</si>
  <si>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</si>
  <si>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</si>
  <si>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</si>
  <si>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</si>
  <si>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</si>
  <si>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</si>
  <si>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</si>
  <si>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</si>
  <si>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</si>
  <si>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</si>
  <si>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</si>
  <si>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</si>
  <si>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</si>
  <si>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</si>
  <si>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</si>
  <si>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</si>
  <si>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</si>
  <si>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</si>
  <si>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</si>
  <si>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</si>
  <si>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</si>
  <si>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</si>
  <si>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</si>
  <si>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</si>
  <si>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</si>
  <si>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</si>
  <si>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</si>
  <si>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</si>
  <si>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</si>
  <si>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</si>
  <si>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</si>
  <si>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</si>
  <si>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</si>
  <si>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</si>
  <si>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</si>
  <si>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</si>
  <si>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</si>
  <si>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</si>
  <si>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</si>
  <si>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</si>
  <si>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</si>
  <si>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</si>
  <si>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</si>
  <si>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</si>
  <si>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</si>
  <si>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</si>
  <si>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</si>
  <si>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</si>
  <si>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</si>
  <si>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</si>
  <si>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</si>
  <si>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</si>
  <si>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</si>
  <si>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</si>
  <si>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</si>
  <si>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</si>
  <si>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</si>
  <si>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</si>
  <si>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</si>
  <si>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</si>
  <si>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</si>
  <si>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</si>
  <si>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</si>
  <si>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</si>
  <si>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</si>
  <si>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</si>
  <si>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</si>
  <si>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</si>
  <si>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</si>
  <si>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</si>
  <si>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</si>
  <si>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</si>
  <si>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</si>
  <si>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</si>
  <si>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</si>
  <si>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</si>
  <si>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</si>
  <si>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</si>
  <si>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</si>
  <si>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</si>
  <si>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</si>
  <si>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</si>
  <si>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</si>
  <si>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</si>
  <si>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</si>
  <si>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</si>
  <si>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</si>
  <si>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</si>
  <si>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</si>
  <si>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</si>
  <si>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</si>
  <si>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</si>
  <si>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</si>
  <si>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</si>
  <si>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</si>
  <si>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</si>
  <si>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</si>
  <si>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</si>
  <si>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</si>
  <si>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</si>
  <si>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</si>
  <si>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</si>
  <si>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</si>
  <si>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</si>
  <si>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</si>
  <si>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</si>
  <si>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</si>
  <si>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</si>
  <si>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</si>
  <si>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</si>
  <si>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</si>
  <si>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</si>
  <si>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</si>
  <si>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</si>
  <si>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</si>
  <si>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</si>
  <si>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</si>
  <si>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</si>
  <si>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</si>
  <si>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</si>
  <si>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</si>
  <si>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</si>
  <si>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</si>
  <si>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</si>
  <si>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</si>
  <si>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</si>
  <si>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</si>
  <si>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</si>
  <si>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</si>
  <si>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</si>
  <si>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</si>
  <si>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</si>
  <si>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</si>
  <si>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</si>
  <si>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</si>
  <si>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</si>
  <si>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</si>
  <si>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</si>
  <si>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</si>
  <si>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</si>
  <si>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</si>
  <si>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</si>
  <si>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</si>
  <si>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</si>
  <si>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</si>
  <si>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</si>
  <si>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</si>
  <si>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</si>
  <si>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</si>
  <si>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</si>
  <si>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</si>
  <si>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</si>
  <si>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</si>
  <si>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</si>
  <si>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</si>
  <si>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</si>
  <si>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</si>
  <si>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</si>
  <si>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</si>
  <si>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</si>
  <si>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</si>
  <si>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</si>
  <si>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</si>
  <si>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</si>
  <si>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</si>
  <si>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</si>
  <si>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</si>
  <si>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</si>
  <si>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</si>
  <si>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</si>
  <si>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</si>
  <si>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</si>
  <si>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</si>
  <si>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</si>
  <si>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</si>
  <si>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</si>
  <si>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</si>
  <si>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</si>
  <si>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</si>
  <si>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</si>
  <si>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</si>
  <si>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</si>
  <si>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</si>
  <si>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</si>
  <si>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</si>
  <si>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</si>
  <si>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</si>
  <si>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</si>
  <si>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</si>
  <si>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</si>
  <si>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</si>
  <si>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</si>
  <si>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</si>
  <si>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</si>
  <si>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</si>
  <si>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</si>
  <si>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</si>
  <si>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</si>
  <si>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</si>
  <si>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</si>
  <si>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</si>
  <si>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</si>
  <si>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</si>
  <si>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창북중학교 교사 신축공사</t>
    <phoneticPr fontId="2" type="noConversion"/>
  </si>
  <si>
    <t>교육연구</t>
  </si>
  <si>
    <t>경상도</t>
  </si>
  <si>
    <t>조경시설물</t>
    <phoneticPr fontId="2" type="noConversion"/>
  </si>
  <si>
    <t>기타공사</t>
    <phoneticPr fontId="2" type="noConversion"/>
  </si>
  <si>
    <t>우수공사,오수공사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</si>
  <si>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</si>
  <si>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</si>
  <si>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 xml:space="preserve">기타공사 </t>
    <phoneticPr fontId="2" type="noConversion"/>
  </si>
  <si>
    <t>기초공사,골재비및운반비,품질시험비,기타공사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</si>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</sst>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10726.7</v>
      </c>
      <c r="D7" s="36">
        <f>+C7/3.3058</f>
        <v>3244.8121483453324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973780</v>
      </c>
      <c r="E25" s="59">
        <f t="shared" si="0"/>
        <v>3219120</v>
      </c>
    </row>
    <row r="26" spans="1:5" x14ac:dyDescent="0.3">
      <c r="B26" s="2">
        <v>3</v>
      </c>
      <c r="C26" s="35" t="s">
        <v>95</v>
      </c>
      <c r="D26" s="45">
        <f>+D66</f>
        <v>16380</v>
      </c>
      <c r="E26" s="59">
        <f t="shared" si="0"/>
        <v>54140</v>
      </c>
    </row>
    <row r="27" spans="1:5" x14ac:dyDescent="0.3">
      <c r="B27" s="2">
        <v>4</v>
      </c>
      <c r="C27" s="35" t="s">
        <v>96</v>
      </c>
      <c r="D27" s="45">
        <f>+D95</f>
        <v>125710</v>
      </c>
      <c r="E27" s="59">
        <f t="shared" si="0"/>
        <v>415570</v>
      </c>
    </row>
    <row r="28" spans="1:5" x14ac:dyDescent="0.3">
      <c r="B28" s="2">
        <v>5</v>
      </c>
      <c r="C28" s="35" t="s">
        <v>97</v>
      </c>
      <c r="D28" s="45">
        <f>+D119</f>
        <v>208660</v>
      </c>
      <c r="E28" s="59">
        <f t="shared" si="0"/>
        <v>689780</v>
      </c>
    </row>
    <row r="29" spans="1:5" x14ac:dyDescent="0.3">
      <c r="B29" s="2">
        <v>6</v>
      </c>
      <c r="C29" s="35" t="s">
        <v>98</v>
      </c>
      <c r="D29" s="45">
        <f>+D133</f>
        <v>87480</v>
      </c>
      <c r="E29" s="59">
        <f t="shared" si="0"/>
        <v>289190</v>
      </c>
    </row>
    <row r="30" spans="1:5" x14ac:dyDescent="0.3">
      <c r="B30" s="2">
        <v>7</v>
      </c>
      <c r="C30" s="35" t="s">
        <v>99</v>
      </c>
      <c r="D30" s="45">
        <f>+D146</f>
        <v>38110</v>
      </c>
      <c r="E30" s="59">
        <f t="shared" si="0"/>
        <v>125980</v>
      </c>
    </row>
    <row r="31" spans="1:5" x14ac:dyDescent="0.3">
      <c r="B31" s="2">
        <v>8</v>
      </c>
      <c r="C31" s="35" t="s">
        <v>100</v>
      </c>
      <c r="D31" s="45">
        <f>+D154</f>
        <v>74180</v>
      </c>
      <c r="E31" s="59">
        <f t="shared" si="0"/>
        <v>245220</v>
      </c>
    </row>
    <row r="32" spans="1:5" x14ac:dyDescent="0.3">
      <c r="B32" s="2">
        <v>9</v>
      </c>
      <c r="C32" s="35" t="s">
        <v>101</v>
      </c>
      <c r="D32" s="45">
        <f>+D161</f>
        <v>33580</v>
      </c>
      <c r="E32" s="59">
        <f t="shared" si="0"/>
        <v>111000</v>
      </c>
    </row>
    <row r="33" spans="1:7" x14ac:dyDescent="0.3">
      <c r="B33" s="2">
        <v>10</v>
      </c>
      <c r="C33" s="35" t="s">
        <v>154</v>
      </c>
      <c r="D33" s="53">
        <f>TRUNC(SUM(D24:D32)*0.275,-1)</f>
        <v>428410</v>
      </c>
      <c r="E33" s="60">
        <f t="shared" si="0"/>
        <v>1416230</v>
      </c>
    </row>
    <row r="34" spans="1:7" x14ac:dyDescent="0.3">
      <c r="C34" s="35" t="s">
        <v>112</v>
      </c>
      <c r="D34" s="44">
        <f>SUM(D24:D33)</f>
        <v>1986290</v>
      </c>
      <c r="E34" s="44">
        <f>SUM(E24:E33)</f>
        <v>6566230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TRUNC(45504,-1)</f>
        <v>45500</v>
      </c>
      <c r="E40" s="62">
        <f t="shared" ref="E40:E59" si="1">TRUNC(+D40*3.3058,-1)</f>
        <v>150410</v>
      </c>
    </row>
    <row r="41" spans="1:7" x14ac:dyDescent="0.3">
      <c r="A41" s="2">
        <v>2</v>
      </c>
      <c r="C41" s="38" t="s">
        <v>13</v>
      </c>
      <c r="D41" s="42">
        <f>TRUNC(156266,-1)</f>
        <v>156260</v>
      </c>
      <c r="E41" s="63">
        <f t="shared" si="1"/>
        <v>516560</v>
      </c>
    </row>
    <row r="42" spans="1:7" x14ac:dyDescent="0.3">
      <c r="A42" s="2">
        <v>3</v>
      </c>
      <c r="C42" s="38" t="s">
        <v>14</v>
      </c>
      <c r="D42" s="42">
        <f>TRUNC(14499,-1)</f>
        <v>14490</v>
      </c>
      <c r="E42" s="63">
        <f t="shared" si="1"/>
        <v>47900</v>
      </c>
    </row>
    <row r="43" spans="1:7" x14ac:dyDescent="0.3">
      <c r="A43" s="2">
        <v>4</v>
      </c>
      <c r="C43" s="38" t="s">
        <v>16</v>
      </c>
      <c r="D43" s="42">
        <f>TRUNC(24779,-1)</f>
        <v>24770</v>
      </c>
      <c r="E43" s="63">
        <f t="shared" si="1"/>
        <v>81880</v>
      </c>
    </row>
    <row r="44" spans="1:7" x14ac:dyDescent="0.3">
      <c r="A44" s="2">
        <v>5</v>
      </c>
      <c r="C44" s="38" t="s">
        <v>17</v>
      </c>
      <c r="D44" s="42">
        <f>TRUNC(22228,-1)</f>
        <v>22220</v>
      </c>
      <c r="E44" s="63">
        <f t="shared" si="1"/>
        <v>73450</v>
      </c>
    </row>
    <row r="45" spans="1:7" x14ac:dyDescent="0.3">
      <c r="A45" s="2">
        <v>6</v>
      </c>
      <c r="C45" s="38" t="s">
        <v>18</v>
      </c>
      <c r="D45" s="42">
        <f>TRUNC(8324,-1)</f>
        <v>8320</v>
      </c>
      <c r="E45" s="63">
        <f t="shared" si="1"/>
        <v>27500</v>
      </c>
    </row>
    <row r="46" spans="1:7" x14ac:dyDescent="0.3">
      <c r="A46" s="2">
        <v>7</v>
      </c>
      <c r="C46" s="38" t="s">
        <v>19</v>
      </c>
      <c r="D46" s="42">
        <f>TRUNC(26808,-1)</f>
        <v>26800</v>
      </c>
      <c r="E46" s="63">
        <f t="shared" si="1"/>
        <v>88590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TRUNC(67595,-1)</f>
        <v>67590</v>
      </c>
      <c r="E48" s="63">
        <f t="shared" si="1"/>
        <v>223430</v>
      </c>
      <c r="F48" s="2" t="s">
        <v>258</v>
      </c>
    </row>
    <row r="49" spans="1:7" x14ac:dyDescent="0.3">
      <c r="A49" s="2">
        <v>10</v>
      </c>
      <c r="C49" s="38" t="s">
        <v>22</v>
      </c>
      <c r="D49" s="42">
        <f>TRUNC(20907,-1)</f>
        <v>20900</v>
      </c>
      <c r="E49" s="63">
        <f t="shared" si="1"/>
        <v>69090</v>
      </c>
    </row>
    <row r="50" spans="1:7" x14ac:dyDescent="0.3">
      <c r="A50" s="2">
        <v>11</v>
      </c>
      <c r="C50" s="38" t="s">
        <v>155</v>
      </c>
      <c r="D50" s="42">
        <f>TRUNC(44337,-1)</f>
        <v>44330</v>
      </c>
      <c r="E50" s="63">
        <f t="shared" si="1"/>
        <v>146540</v>
      </c>
      <c r="F50" s="2" t="s">
        <v>259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TRUNC(14616,-1)</f>
        <v>14610</v>
      </c>
      <c r="E52" s="63">
        <f t="shared" si="1"/>
        <v>48290</v>
      </c>
    </row>
    <row r="53" spans="1:7" x14ac:dyDescent="0.3">
      <c r="A53" s="2">
        <v>14</v>
      </c>
      <c r="C53" s="38" t="s">
        <v>25</v>
      </c>
      <c r="D53" s="42">
        <f>TRUNC(103993,-1)</f>
        <v>103990</v>
      </c>
      <c r="E53" s="63">
        <f t="shared" si="1"/>
        <v>343770</v>
      </c>
      <c r="F53" s="2" t="s">
        <v>260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TRUNC(38424+28205+300+23068,-1)</f>
        <v>89990</v>
      </c>
      <c r="E58" s="63">
        <f t="shared" si="1"/>
        <v>297480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TRUNC(334013,-1)</f>
        <v>334010</v>
      </c>
      <c r="E59" s="64">
        <f t="shared" si="1"/>
        <v>1104170</v>
      </c>
    </row>
    <row r="60" spans="1:7" x14ac:dyDescent="0.3">
      <c r="A60" s="2">
        <v>21</v>
      </c>
      <c r="C60" s="27" t="s">
        <v>112</v>
      </c>
      <c r="D60" s="39">
        <f>SUM(D40:D59)</f>
        <v>973780</v>
      </c>
      <c r="E60" s="39">
        <f>SUM(E40:E59)</f>
        <v>3219060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TRUNC(16388,-1)</f>
        <v>16380</v>
      </c>
      <c r="E63" s="62">
        <f>TRUNC(+D63*3.3058,-1)</f>
        <v>54140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16380</v>
      </c>
      <c r="E66" s="65">
        <f>SUM(E63:E65)</f>
        <v>54140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TRUNC(3672,-1)</f>
        <v>3670</v>
      </c>
      <c r="E69" s="62">
        <f t="shared" ref="E69:E94" si="2">TRUNC(+D69*3.3058,-1)</f>
        <v>12130</v>
      </c>
    </row>
    <row r="70" spans="1:7" ht="16.5" customHeight="1" x14ac:dyDescent="0.3">
      <c r="A70" s="2">
        <v>2</v>
      </c>
      <c r="C70" s="38" t="s">
        <v>31</v>
      </c>
      <c r="D70" s="42">
        <f>TRUNC(2770,-1)</f>
        <v>2770</v>
      </c>
      <c r="E70" s="63">
        <f t="shared" si="2"/>
        <v>9150</v>
      </c>
    </row>
    <row r="71" spans="1:7" x14ac:dyDescent="0.3">
      <c r="A71" s="2">
        <v>3</v>
      </c>
      <c r="C71" s="38" t="s">
        <v>32</v>
      </c>
      <c r="D71" s="42">
        <f>TRUNC(4784,-1)</f>
        <v>4780</v>
      </c>
      <c r="E71" s="63">
        <f t="shared" si="2"/>
        <v>15800</v>
      </c>
    </row>
    <row r="72" spans="1:7" x14ac:dyDescent="0.3">
      <c r="A72" s="2">
        <v>4</v>
      </c>
      <c r="C72" s="38" t="s">
        <v>33</v>
      </c>
      <c r="D72" s="42">
        <f>TRUNC(4413,-1)</f>
        <v>4410</v>
      </c>
      <c r="E72" s="63">
        <f t="shared" si="2"/>
        <v>14570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TRUNC(28961,-1)</f>
        <v>28960</v>
      </c>
      <c r="E92" s="63">
        <f t="shared" si="2"/>
        <v>95730</v>
      </c>
    </row>
    <row r="93" spans="1:7" x14ac:dyDescent="0.3">
      <c r="A93" s="2">
        <v>25</v>
      </c>
      <c r="C93" s="38" t="s">
        <v>148</v>
      </c>
      <c r="D93" s="42">
        <f>TRUNC(76409,-1)</f>
        <v>76400</v>
      </c>
      <c r="E93" s="63">
        <f t="shared" si="2"/>
        <v>252560</v>
      </c>
    </row>
    <row r="94" spans="1:7" ht="17.25" thickBot="1" x14ac:dyDescent="0.35">
      <c r="A94" s="2">
        <v>26</v>
      </c>
      <c r="C94" s="38" t="s">
        <v>47</v>
      </c>
      <c r="D94" s="43">
        <f>TRUNC(2861+625+844+394,-1)</f>
        <v>4720</v>
      </c>
      <c r="E94" s="64">
        <f t="shared" si="2"/>
        <v>15600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125710</v>
      </c>
      <c r="E95" s="39">
        <f>SUM(E69:E94)</f>
        <v>415540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TRUNC(14017,-1)</f>
        <v>14010</v>
      </c>
      <c r="E98" s="62">
        <f t="shared" ref="E98:E118" si="3">TRUNC(+D98*3.3058,-1)</f>
        <v>46310</v>
      </c>
    </row>
    <row r="99" spans="1:7" x14ac:dyDescent="0.3">
      <c r="A99" s="2">
        <v>2</v>
      </c>
      <c r="C99" s="38" t="s">
        <v>40</v>
      </c>
      <c r="D99" s="42">
        <f>TRUNC(3936,-1)</f>
        <v>3930</v>
      </c>
      <c r="E99" s="63">
        <f t="shared" si="3"/>
        <v>12990</v>
      </c>
    </row>
    <row r="100" spans="1:7" x14ac:dyDescent="0.3">
      <c r="A100" s="2">
        <v>3</v>
      </c>
      <c r="C100" s="38" t="s">
        <v>41</v>
      </c>
      <c r="D100" s="42">
        <f>TRUNC(25329,-1)</f>
        <v>25320</v>
      </c>
      <c r="E100" s="63">
        <f t="shared" si="3"/>
        <v>83700</v>
      </c>
    </row>
    <row r="101" spans="1:7" x14ac:dyDescent="0.3">
      <c r="A101" s="2">
        <v>4</v>
      </c>
      <c r="C101" s="38" t="s">
        <v>42</v>
      </c>
      <c r="D101" s="42">
        <f>TRUNC(1589,-1)</f>
        <v>1580</v>
      </c>
      <c r="E101" s="63">
        <f t="shared" si="3"/>
        <v>5220</v>
      </c>
    </row>
    <row r="102" spans="1:7" x14ac:dyDescent="0.3">
      <c r="A102" s="2">
        <v>5</v>
      </c>
      <c r="C102" s="38" t="s">
        <v>43</v>
      </c>
      <c r="D102" s="42">
        <f>TRUNC(14431,-1)</f>
        <v>14430</v>
      </c>
      <c r="E102" s="63">
        <f t="shared" si="3"/>
        <v>47700</v>
      </c>
    </row>
    <row r="103" spans="1:7" x14ac:dyDescent="0.3">
      <c r="A103" s="2">
        <v>6</v>
      </c>
      <c r="C103" s="38" t="s">
        <v>44</v>
      </c>
      <c r="D103" s="42">
        <f>TRUNC(3570,-1)</f>
        <v>3570</v>
      </c>
      <c r="E103" s="63">
        <f t="shared" si="3"/>
        <v>11800</v>
      </c>
    </row>
    <row r="104" spans="1:7" x14ac:dyDescent="0.3">
      <c r="A104" s="2">
        <v>7</v>
      </c>
      <c r="C104" s="38" t="s">
        <v>45</v>
      </c>
      <c r="D104" s="42">
        <f>TRUNC(4043,-1)</f>
        <v>4040</v>
      </c>
      <c r="E104" s="63">
        <f t="shared" si="3"/>
        <v>13350</v>
      </c>
    </row>
    <row r="105" spans="1:7" x14ac:dyDescent="0.3">
      <c r="A105" s="2">
        <v>8</v>
      </c>
      <c r="C105" s="38" t="s">
        <v>46</v>
      </c>
      <c r="D105" s="42">
        <f>TRUNC(6779,-1)</f>
        <v>6770</v>
      </c>
      <c r="E105" s="63">
        <f t="shared" si="3"/>
        <v>22380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TRUNC(133838,-1)</f>
        <v>133830</v>
      </c>
      <c r="E117" s="63">
        <f t="shared" si="3"/>
        <v>442410</v>
      </c>
    </row>
    <row r="118" spans="1:7" ht="17.25" thickBot="1" x14ac:dyDescent="0.35">
      <c r="A118" s="2">
        <v>21</v>
      </c>
      <c r="C118" s="38" t="s">
        <v>47</v>
      </c>
      <c r="D118" s="43">
        <f>TRUNC(1189,-1)</f>
        <v>1180</v>
      </c>
      <c r="E118" s="64">
        <f t="shared" si="3"/>
        <v>3900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208660</v>
      </c>
      <c r="E119" s="39">
        <f>SUM(E98:E118)</f>
        <v>689760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TRUNC(5241,-1)</f>
        <v>5240</v>
      </c>
      <c r="E122" s="62">
        <f t="shared" ref="E122:E132" si="4">TRUNC(+D122*3.3058,-1)</f>
        <v>17320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TRUNC(1987,-1)</f>
        <v>1980</v>
      </c>
      <c r="E124" s="63">
        <f t="shared" si="4"/>
        <v>6540</v>
      </c>
    </row>
    <row r="125" spans="1:7" x14ac:dyDescent="0.3">
      <c r="A125" s="2">
        <v>4</v>
      </c>
      <c r="C125" s="38" t="s">
        <v>138</v>
      </c>
      <c r="D125" s="42">
        <f>TRUNC(9245,-1)</f>
        <v>9240</v>
      </c>
      <c r="E125" s="63">
        <f t="shared" si="4"/>
        <v>30540</v>
      </c>
    </row>
    <row r="126" spans="1:7" x14ac:dyDescent="0.3">
      <c r="A126" s="2">
        <v>5</v>
      </c>
      <c r="C126" s="38" t="s">
        <v>53</v>
      </c>
      <c r="D126" s="42">
        <f>TRUNC(1473,-1)</f>
        <v>1470</v>
      </c>
      <c r="E126" s="63">
        <f t="shared" si="4"/>
        <v>4850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TRUNC(7862,-1)</f>
        <v>7860</v>
      </c>
      <c r="E128" s="63">
        <f t="shared" si="4"/>
        <v>25980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TRUNC(11740,-1)</f>
        <v>11740</v>
      </c>
      <c r="E130" s="63">
        <f t="shared" si="4"/>
        <v>38810</v>
      </c>
    </row>
    <row r="131" spans="1:7" x14ac:dyDescent="0.3">
      <c r="A131" s="2">
        <v>10</v>
      </c>
      <c r="C131" s="38" t="s">
        <v>148</v>
      </c>
      <c r="D131" s="42">
        <f>TRUNC(44788,-1)</f>
        <v>44780</v>
      </c>
      <c r="E131" s="63">
        <f t="shared" si="4"/>
        <v>148030</v>
      </c>
    </row>
    <row r="132" spans="1:7" ht="18" thickBot="1" x14ac:dyDescent="0.35">
      <c r="A132" s="2">
        <v>11</v>
      </c>
      <c r="C132" s="38" t="s">
        <v>47</v>
      </c>
      <c r="D132" s="43">
        <f>TRUNC(2660+2060+453,-1)</f>
        <v>5170</v>
      </c>
      <c r="E132" s="64">
        <f t="shared" si="4"/>
        <v>17090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87480</v>
      </c>
      <c r="E133" s="39">
        <f>SUM(E122:E132)</f>
        <v>289160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TRUNC(2701,-1)</f>
        <v>2700</v>
      </c>
      <c r="E137" s="63">
        <f t="shared" si="5"/>
        <v>8920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TRUNC(1937,-1)</f>
        <v>1930</v>
      </c>
      <c r="E139" s="63">
        <f t="shared" si="5"/>
        <v>6380</v>
      </c>
    </row>
    <row r="140" spans="1:7" x14ac:dyDescent="0.3">
      <c r="A140" s="2">
        <v>5</v>
      </c>
      <c r="C140" s="38" t="s">
        <v>57</v>
      </c>
      <c r="D140" s="42">
        <f>TRUNC(3011,-1)</f>
        <v>3010</v>
      </c>
      <c r="E140" s="63">
        <f t="shared" si="5"/>
        <v>9950</v>
      </c>
    </row>
    <row r="141" spans="1:7" x14ac:dyDescent="0.3">
      <c r="A141" s="2">
        <v>6</v>
      </c>
      <c r="C141" s="38" t="s">
        <v>59</v>
      </c>
      <c r="D141" s="42">
        <f>TRUNC(7167,-1)</f>
        <v>7160</v>
      </c>
      <c r="E141" s="63">
        <f t="shared" si="5"/>
        <v>23660</v>
      </c>
    </row>
    <row r="142" spans="1:7" x14ac:dyDescent="0.3">
      <c r="A142" s="2">
        <v>7</v>
      </c>
      <c r="C142" s="38" t="s">
        <v>58</v>
      </c>
      <c r="D142" s="42">
        <f>TRUNC(9003,-1)</f>
        <v>9000</v>
      </c>
      <c r="E142" s="63">
        <f t="shared" si="5"/>
        <v>29750</v>
      </c>
    </row>
    <row r="143" spans="1:7" x14ac:dyDescent="0.3">
      <c r="A143" s="2">
        <v>8</v>
      </c>
      <c r="C143" s="38" t="s">
        <v>62</v>
      </c>
      <c r="D143" s="42">
        <f>TRUNC(1994,-1)</f>
        <v>1990</v>
      </c>
      <c r="E143" s="63">
        <f t="shared" si="5"/>
        <v>6570</v>
      </c>
    </row>
    <row r="144" spans="1:7" x14ac:dyDescent="0.3">
      <c r="A144" s="2">
        <v>9</v>
      </c>
      <c r="C144" s="38" t="s">
        <v>63</v>
      </c>
      <c r="D144" s="42">
        <f>TRUNC(12325,-1)</f>
        <v>12320</v>
      </c>
      <c r="E144" s="63">
        <f t="shared" si="5"/>
        <v>40720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38110</v>
      </c>
      <c r="E146" s="39">
        <f>SUM(E136:E145)</f>
        <v>125950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TRUNC(7776+3000,-1)</f>
        <v>10770</v>
      </c>
      <c r="E149" s="62">
        <f>TRUNC(+D149*3.3058,-1)</f>
        <v>35600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TRUNC(12672,-1)</f>
        <v>12670</v>
      </c>
      <c r="E150" s="63">
        <f>TRUNC(+D150*3.3058,-1)</f>
        <v>41880</v>
      </c>
    </row>
    <row r="151" spans="1:7" x14ac:dyDescent="0.3">
      <c r="A151" s="2">
        <v>3</v>
      </c>
      <c r="C151" s="38" t="s">
        <v>50</v>
      </c>
      <c r="D151" s="42">
        <f>TRUNC(15989,-1)</f>
        <v>15980</v>
      </c>
      <c r="E151" s="63">
        <f>TRUNC(+D151*3.3058,-1)</f>
        <v>52820</v>
      </c>
    </row>
    <row r="152" spans="1:7" x14ac:dyDescent="0.3">
      <c r="A152" s="2">
        <v>4</v>
      </c>
      <c r="C152" s="38" t="s">
        <v>47</v>
      </c>
      <c r="D152" s="42">
        <f>TRUNC(7091,-1)</f>
        <v>7090</v>
      </c>
      <c r="E152" s="63">
        <f>TRUNC(+D152*3.3058,-1)</f>
        <v>23430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TRUNC(27679,-1)</f>
        <v>27670</v>
      </c>
      <c r="E153" s="64">
        <f>TRUNC(+D153*3.3058,-1)</f>
        <v>91470</v>
      </c>
    </row>
    <row r="154" spans="1:7" x14ac:dyDescent="0.3">
      <c r="A154" s="2">
        <v>6</v>
      </c>
      <c r="C154" s="27" t="s">
        <v>112</v>
      </c>
      <c r="D154" s="39">
        <f>SUM(D149:D153)</f>
        <v>74180</v>
      </c>
      <c r="E154" s="39">
        <f>SUM(E149:E153)</f>
        <v>245200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TRUNC(28600,-1)</f>
        <v>28600</v>
      </c>
      <c r="E157" s="62">
        <f>TRUNC(+D157*3.3058,-1)</f>
        <v>94540</v>
      </c>
    </row>
    <row r="158" spans="1:7" x14ac:dyDescent="0.3">
      <c r="A158" s="2">
        <v>2</v>
      </c>
      <c r="C158" s="38" t="s">
        <v>52</v>
      </c>
      <c r="D158" s="42">
        <f>TRUNC(2389,-1)</f>
        <v>2380</v>
      </c>
      <c r="E158" s="63">
        <f>TRUNC(+D158*3.3058,-1)</f>
        <v>7860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f>TRUNC(31,-1)</f>
        <v>30</v>
      </c>
      <c r="E159" s="63">
        <f>TRUNC(+D159*3.3058,-1)</f>
        <v>90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f>TRUNC(2578,-1)</f>
        <v>2570</v>
      </c>
      <c r="E160" s="64">
        <f>TRUNC(+D160*3.3058,-1)</f>
        <v>8490</v>
      </c>
    </row>
    <row r="161" spans="1:5" x14ac:dyDescent="0.3">
      <c r="A161" s="2">
        <v>5</v>
      </c>
      <c r="C161" s="27" t="s">
        <v>112</v>
      </c>
      <c r="D161" s="39">
        <f>SUM(D157:D160)</f>
        <v>33580</v>
      </c>
      <c r="E161" s="39">
        <f>SUM(E157:E160)</f>
        <v>110980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2020-12-08T03:58:01Z</dcterms:modified>
</cp:coreProperties>
</file>