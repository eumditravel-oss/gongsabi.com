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4" i="4" l="1"/>
  <c r="D58" i="4"/>
  <c r="D59" i="4" l="1"/>
  <c r="D55" i="4"/>
  <c r="D45" i="4"/>
  <c r="D41" i="4"/>
  <c r="D42" i="4"/>
  <c r="D50" i="4"/>
  <c r="D43" i="4"/>
  <c r="D51" i="4"/>
  <c r="D53" i="4"/>
  <c r="D46" i="4"/>
  <c r="D44" i="4"/>
  <c r="D49" i="4"/>
  <c r="D47" i="4"/>
  <c r="D52" i="4"/>
  <c r="D48" i="4"/>
  <c r="D37" i="4"/>
  <c r="D40" i="4"/>
  <c r="D152" i="4"/>
  <c r="D149" i="4"/>
  <c r="D63" i="4"/>
  <c r="D94" i="4"/>
  <c r="D72" i="4"/>
  <c r="D83" i="4"/>
  <c r="D90" i="4"/>
  <c r="D79" i="4"/>
  <c r="D89" i="4"/>
  <c r="D73" i="4"/>
  <c r="D92" i="4"/>
  <c r="D71" i="4"/>
  <c r="D70" i="4"/>
  <c r="D69" i="4"/>
  <c r="D136" i="4"/>
  <c r="D137" i="4"/>
  <c r="D143" i="4"/>
  <c r="D144" i="4"/>
  <c r="D118" i="4"/>
  <c r="D102" i="4"/>
  <c r="D101" i="4"/>
  <c r="D98" i="4"/>
  <c r="D100" i="4"/>
  <c r="D114" i="4"/>
  <c r="D99" i="4"/>
  <c r="D117" i="4"/>
  <c r="D108" i="4"/>
  <c r="D132" i="4"/>
  <c r="D123" i="4"/>
  <c r="D125" i="4"/>
  <c r="D122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60" i="4"/>
  <c r="E154" i="4"/>
  <c r="E95" i="4"/>
  <c r="E146" i="4"/>
  <c r="E119" i="4"/>
  <c r="E133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8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<sst xmlns="http://schemas.openxmlformats.org/spreadsheetml/2006/main" count="398" uniqueCount="275">
  <si>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</si>
  <si>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</si>
  <si>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</si>
  <si>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</si>
  <si>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</si>
  <si>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</si>
  <si>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</si>
  <si>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</si>
  <si>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</si>
  <si>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</si>
  <si>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</si>
  <si>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</si>
  <si>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</si>
  <si>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</si>
  <si>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</si>
  <si>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</si>
  <si>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</si>
  <si>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</si>
  <si>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</si>
  <si>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</si>
  <si>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</si>
  <si>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</si>
  <si>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</si>
  <si>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</si>
  <si>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</si>
  <si>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</si>
  <si>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</si>
  <si>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</si>
  <si>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</si>
  <si>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</si>
  <si>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</si>
  <si>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</si>
  <si>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</si>
  <si>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</si>
  <si>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</si>
  <si>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</si>
  <si>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</si>
  <si>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</si>
  <si>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</si>
  <si>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</si>
  <si>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</si>
  <si>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</si>
  <si>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</si>
  <si>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</si>
  <si>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</si>
  <si>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</si>
  <si>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</si>
  <si>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</si>
  <si>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</si>
  <si>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</si>
  <si>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</si>
  <si>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</si>
  <si>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</si>
  <si>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</si>
  <si>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</si>
  <si>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</si>
  <si>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</si>
  <si>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</si>
  <si>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</si>
  <si>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</si>
  <si>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</si>
  <si>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</si>
  <si>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</si>
  <si>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</si>
  <si>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</si>
  <si>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</si>
  <si>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</si>
  <si>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</si>
  <si>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</si>
  <si>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</si>
  <si>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</si>
  <si>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</si>
  <si>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</si>
  <si>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</si>
  <si>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</si>
  <si>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</si>
  <si>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</si>
  <si>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</si>
  <si>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</si>
  <si>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</si>
  <si>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</si>
  <si>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</si>
  <si>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</si>
  <si>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</si>
  <si>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</si>
  <si>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</si>
  <si>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</si>
  <si>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</si>
  <si>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</si>
  <si>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</si>
  <si>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</si>
  <si>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</si>
  <si>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</si>
  <si>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</si>
  <si>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</si>
  <si>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</si>
  <si>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</si>
  <si>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</si>
  <si>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</si>
  <si>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</si>
  <si>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</si>
  <si>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</si>
  <si>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</si>
  <si>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</si>
  <si>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</si>
  <si>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</si>
  <si>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</si>
  <si>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</si>
  <si>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</si>
  <si>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</si>
  <si>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</si>
  <si>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</si>
  <si>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</si>
  <si>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</si>
  <si>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</si>
  <si>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</si>
  <si>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</si>
  <si>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</si>
  <si>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</si>
  <si>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</si>
  <si>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</si>
  <si>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</si>
  <si>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</si>
  <si>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</si>
  <si>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</si>
  <si>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</si>
  <si>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</si>
  <si>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</si>
  <si>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</si>
  <si>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</si>
  <si>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</si>
  <si>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</si>
  <si>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</si>
  <si>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</si>
  <si>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</si>
  <si>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</si>
  <si>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</si>
  <si>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</si>
  <si>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</si>
  <si>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</si>
  <si>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</si>
  <si>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</si>
  <si>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</si>
  <si>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</si>
  <si>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</si>
  <si>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</si>
  <si>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</si>
  <si>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</si>
  <si>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</si>
  <si>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</si>
  <si>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</si>
  <si>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</si>
  <si>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</si>
  <si>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</si>
  <si>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</si>
  <si>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</si>
  <si>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</si>
  <si>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</si>
  <si>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</si>
  <si>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</si>
  <si>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</si>
  <si>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</si>
  <si>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</si>
  <si>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</si>
  <si>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</si>
  <si>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</si>
  <si>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</si>
  <si>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</si>
  <si>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</si>
  <si>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</si>
  <si>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</si>
  <si>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</si>
  <si>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</si>
  <si>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</si>
  <si>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</si>
  <si>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</si>
  <si>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</si>
  <si>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</si>
  <si>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</si>
  <si>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</si>
  <si>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</si>
  <si>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</si>
  <si>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</si>
  <si>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</si>
  <si>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</si>
  <si>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</si>
  <si>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</si>
  <si>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</si>
  <si>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</si>
  <si>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</si>
  <si>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</si>
  <si>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</si>
  <si>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</si>
  <si>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</si>
  <si>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</si>
  <si>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</si>
  <si>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</si>
  <si>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</si>
  <si>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</si>
  <si>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</si>
  <si>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</si>
  <si>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</si>
  <si>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</si>
  <si>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</si>
  <si>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</si>
  <si>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</si>
  <si>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</si>
  <si>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</si>
  <si>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</si>
  <si>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</si>
  <si>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</si>
  <si>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</si>
  <si>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</si>
  <si>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</si>
  <si>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</si>
  <si>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</si>
  <si>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</si>
  <si>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</si>
  <si>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</si>
  <si>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</si>
  <si>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</si>
  <si>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</si>
  <si>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</si>
  <si>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</si>
  <si>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</si>
  <si>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</si>
  <si>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</si>
  <si>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</si>
  <si>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</si>
  <si>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</si>
  <si>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</si>
  <si>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</si>
  <si>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</si>
  <si>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</si>
  <si>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</si>
  <si>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</si>
  <si>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</si>
  <si>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</si>
  <si>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</si>
  <si>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</si>
  <si>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</si>
  <si>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</si>
  <si>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</si>
  <si>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</si>
  <si>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</si>
  <si>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</si>
  <si>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</si>
  <si>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</si>
  <si>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00초등학교 신축공사</t>
  </si>
  <si>
    <t>교육연구</t>
  </si>
  <si>
    <t>광주시</t>
  </si>
  <si>
    <t>LAN공사,전화공사</t>
    <phoneticPr fontId="2" type="noConversion"/>
  </si>
  <si>
    <t>옥외방송공사,옥외정보통신공사</t>
    <phoneticPr fontId="2" type="noConversion"/>
  </si>
  <si>
    <t>전력설비</t>
  </si>
  <si>
    <t>선풍기전원설비,환기덕트전열설비</t>
    <phoneticPr fontId="2" type="noConversion"/>
  </si>
  <si>
    <t>전기 자동화재탐지설비공사(고학년,저학년,급식실,강당동)</t>
    <phoneticPr fontId="2" type="noConversion"/>
  </si>
  <si>
    <t>전기 유도등설비공사(고학년,저학년,급식실,강당동)</t>
    <phoneticPr fontId="2" type="noConversion"/>
  </si>
  <si>
    <t>전기 방화샷다설비공사(고학년,저학년)</t>
    <phoneticPr fontId="2" type="noConversion"/>
  </si>
  <si>
    <t>기계 소방설비공사</t>
    <phoneticPr fontId="2" type="noConversion"/>
  </si>
  <si>
    <t>화장실환기공사</t>
  </si>
  <si>
    <t>오배수통기공사</t>
  </si>
  <si>
    <t>조리실배기덕트</t>
  </si>
  <si>
    <t>조리실LPG가스배관공사</t>
  </si>
  <si>
    <t>에어콘드레인공사,필림난방공사,주방기구설치공사</t>
    <phoneticPr fontId="2" type="noConversion"/>
  </si>
  <si>
    <t>우수공사,오수공사</t>
  </si>
  <si>
    <t>운동장시설공사,단지내포장시설공사,스탠드및계단시설공사,자연석시설공사,담장시설공사,구령대시설공사,음수대시설공사,국기게양대시설공사,출입문시설공사,기타부대시설공사,신발흙털이시설공사,운반공사,철근고재</t>
    <phoneticPr fontId="2" type="noConversion"/>
  </si>
  <si>
    <t>지붕및홈통공사,홈통공사</t>
    <phoneticPr fontId="2" type="noConversion"/>
  </si>
  <si>
    <t>골재및운반공사,기타공사,암막커텐시설공사,작업부산물(△),골재 및 운반비,토공및지정공사,주요자재비,폐기물위탁처리,품질시험비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</si>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</sst>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272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7953</v>
      </c>
      <c r="D7" s="36">
        <f>+C7/3.3058</f>
        <v>2405.7716740274668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273</v>
      </c>
    </row>
    <row r="19" spans="1:5" x14ac:dyDescent="0.3">
      <c r="A19" s="2">
        <v>9</v>
      </c>
      <c r="B19" s="2" t="s">
        <v>274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2230</v>
      </c>
      <c r="E24" s="58">
        <f t="shared" ref="E24:E33" si="0">TRUNC(+D24*3.3058,-1)</f>
        <v>7370</v>
      </c>
    </row>
    <row r="25" spans="1:5" x14ac:dyDescent="0.3">
      <c r="B25" s="2">
        <v>2</v>
      </c>
      <c r="C25" s="35" t="s">
        <v>111</v>
      </c>
      <c r="D25" s="45">
        <f>+D60</f>
        <v>530340</v>
      </c>
      <c r="E25" s="59">
        <f t="shared" si="0"/>
        <v>1753190</v>
      </c>
    </row>
    <row r="26" spans="1:5" x14ac:dyDescent="0.3">
      <c r="B26" s="2">
        <v>3</v>
      </c>
      <c r="C26" s="35" t="s">
        <v>95</v>
      </c>
      <c r="D26" s="45">
        <f>+D66</f>
        <v>26220</v>
      </c>
      <c r="E26" s="59">
        <f t="shared" si="0"/>
        <v>86670</v>
      </c>
    </row>
    <row r="27" spans="1:5" x14ac:dyDescent="0.3">
      <c r="B27" s="2">
        <v>4</v>
      </c>
      <c r="C27" s="35" t="s">
        <v>96</v>
      </c>
      <c r="D27" s="45">
        <f>+D95</f>
        <v>49120</v>
      </c>
      <c r="E27" s="59">
        <f t="shared" si="0"/>
        <v>162380</v>
      </c>
    </row>
    <row r="28" spans="1:5" x14ac:dyDescent="0.3">
      <c r="B28" s="2">
        <v>5</v>
      </c>
      <c r="C28" s="35" t="s">
        <v>97</v>
      </c>
      <c r="D28" s="45">
        <f>+D119</f>
        <v>44910</v>
      </c>
      <c r="E28" s="59">
        <f t="shared" si="0"/>
        <v>148460</v>
      </c>
    </row>
    <row r="29" spans="1:5" x14ac:dyDescent="0.3">
      <c r="B29" s="2">
        <v>6</v>
      </c>
      <c r="C29" s="35" t="s">
        <v>98</v>
      </c>
      <c r="D29" s="45">
        <f>+D133</f>
        <v>15880</v>
      </c>
      <c r="E29" s="59">
        <f t="shared" si="0"/>
        <v>52490</v>
      </c>
    </row>
    <row r="30" spans="1:5" x14ac:dyDescent="0.3">
      <c r="B30" s="2">
        <v>7</v>
      </c>
      <c r="C30" s="35" t="s">
        <v>99</v>
      </c>
      <c r="D30" s="45">
        <f>+D146</f>
        <v>11400</v>
      </c>
      <c r="E30" s="59">
        <f t="shared" si="0"/>
        <v>37680</v>
      </c>
    </row>
    <row r="31" spans="1:5" x14ac:dyDescent="0.3">
      <c r="B31" s="2">
        <v>8</v>
      </c>
      <c r="C31" s="35" t="s">
        <v>100</v>
      </c>
      <c r="D31" s="45">
        <f>+D154</f>
        <v>51730</v>
      </c>
      <c r="E31" s="59">
        <f t="shared" si="0"/>
        <v>171000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201250</v>
      </c>
      <c r="E33" s="60">
        <f t="shared" si="0"/>
        <v>665290</v>
      </c>
    </row>
    <row r="34" spans="1:7" x14ac:dyDescent="0.3">
      <c r="C34" s="35" t="s">
        <v>112</v>
      </c>
      <c r="D34" s="44">
        <f>SUM(D24:D33)</f>
        <v>933080</v>
      </c>
      <c r="E34" s="44">
        <f>SUM(E24:E33)</f>
        <v>3084530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TRUNC(2232.78209480699,-1)</f>
        <v>2230</v>
      </c>
      <c r="E37" s="61">
        <f>TRUNC(+D37*3.3058,-1)</f>
        <v>7370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268</v>
      </c>
      <c r="C39" s="56" t="s">
        <v>269</v>
      </c>
      <c r="D39" s="57" t="s">
        <v>270</v>
      </c>
      <c r="E39" s="57" t="s">
        <v>271</v>
      </c>
      <c r="G39" s="55"/>
    </row>
    <row r="40" spans="1:7" x14ac:dyDescent="0.3">
      <c r="A40" s="2">
        <v>1</v>
      </c>
      <c r="C40" s="38" t="s">
        <v>15</v>
      </c>
      <c r="D40" s="40">
        <f>TRUNC(27807.7109266943,-1)</f>
        <v>27800</v>
      </c>
      <c r="E40" s="62">
        <f t="shared" ref="E40:E59" si="1">TRUNC(+D40*3.3058,-1)</f>
        <v>91900</v>
      </c>
    </row>
    <row r="41" spans="1:7" x14ac:dyDescent="0.3">
      <c r="A41" s="2">
        <v>2</v>
      </c>
      <c r="C41" s="38" t="s">
        <v>13</v>
      </c>
      <c r="D41" s="42">
        <f>TRUNC(101385.739469383,-1)</f>
        <v>101380</v>
      </c>
      <c r="E41" s="63">
        <f t="shared" si="1"/>
        <v>335140</v>
      </c>
    </row>
    <row r="42" spans="1:7" x14ac:dyDescent="0.3">
      <c r="A42" s="2">
        <v>3</v>
      </c>
      <c r="C42" s="38" t="s">
        <v>14</v>
      </c>
      <c r="D42" s="42">
        <f>TRUNC(20.6679240538162+4842.16647805859,-1)</f>
        <v>4860</v>
      </c>
      <c r="E42" s="63">
        <f t="shared" si="1"/>
        <v>16060</v>
      </c>
    </row>
    <row r="43" spans="1:7" x14ac:dyDescent="0.3">
      <c r="A43" s="2">
        <v>4</v>
      </c>
      <c r="C43" s="38" t="s">
        <v>16</v>
      </c>
      <c r="D43" s="42">
        <f>TRUNC(21678.5643153527,-1)</f>
        <v>21670</v>
      </c>
      <c r="E43" s="63">
        <f t="shared" si="1"/>
        <v>71630</v>
      </c>
    </row>
    <row r="44" spans="1:7" x14ac:dyDescent="0.3">
      <c r="A44" s="2">
        <v>5</v>
      </c>
      <c r="C44" s="38" t="s">
        <v>17</v>
      </c>
      <c r="D44" s="42">
        <f>TRUNC(16384.3545831762,-1)</f>
        <v>16380</v>
      </c>
      <c r="E44" s="63">
        <f t="shared" si="1"/>
        <v>54140</v>
      </c>
    </row>
    <row r="45" spans="1:7" x14ac:dyDescent="0.3">
      <c r="A45" s="2">
        <v>6</v>
      </c>
      <c r="C45" s="38" t="s">
        <v>18</v>
      </c>
      <c r="D45" s="42">
        <f>TRUNC(6754.19439205331,-1)</f>
        <v>6750</v>
      </c>
      <c r="E45" s="63">
        <f t="shared" si="1"/>
        <v>22310</v>
      </c>
    </row>
    <row r="46" spans="1:7" x14ac:dyDescent="0.3">
      <c r="A46" s="2">
        <v>7</v>
      </c>
      <c r="C46" s="38" t="s">
        <v>19</v>
      </c>
      <c r="D46" s="42">
        <f>TRUNC(5419.82610335722,-1)</f>
        <v>5410</v>
      </c>
      <c r="E46" s="63">
        <f t="shared" si="1"/>
        <v>17880</v>
      </c>
    </row>
    <row r="47" spans="1:7" x14ac:dyDescent="0.3">
      <c r="A47" s="2">
        <v>8</v>
      </c>
      <c r="C47" s="38" t="s">
        <v>20</v>
      </c>
      <c r="D47" s="42">
        <f>TRUNC(14790.5888344021,-1)</f>
        <v>14790</v>
      </c>
      <c r="E47" s="63">
        <f t="shared" si="1"/>
        <v>48890</v>
      </c>
    </row>
    <row r="48" spans="1:7" x14ac:dyDescent="0.3">
      <c r="A48" s="2">
        <v>9</v>
      </c>
      <c r="C48" s="38" t="s">
        <v>21</v>
      </c>
      <c r="D48" s="42">
        <f>TRUNC(26868.398340249,-1)</f>
        <v>26860</v>
      </c>
      <c r="E48" s="63">
        <f t="shared" si="1"/>
        <v>88790</v>
      </c>
    </row>
    <row r="49" spans="1:7" x14ac:dyDescent="0.3">
      <c r="A49" s="2">
        <v>10</v>
      </c>
      <c r="C49" s="38" t="s">
        <v>22</v>
      </c>
      <c r="D49" s="42">
        <f>TRUNC(19594.4441091412,-1)</f>
        <v>19590</v>
      </c>
      <c r="E49" s="63">
        <f t="shared" si="1"/>
        <v>64760</v>
      </c>
    </row>
    <row r="50" spans="1:7" x14ac:dyDescent="0.3">
      <c r="A50" s="2">
        <v>11</v>
      </c>
      <c r="C50" s="38" t="s">
        <v>155</v>
      </c>
      <c r="D50" s="42">
        <f>TRUNC(47055.858418207,-1)</f>
        <v>47050</v>
      </c>
      <c r="E50" s="63">
        <f t="shared" si="1"/>
        <v>155530</v>
      </c>
    </row>
    <row r="51" spans="1:7" x14ac:dyDescent="0.3">
      <c r="A51" s="2">
        <v>12</v>
      </c>
      <c r="C51" s="38" t="s">
        <v>23</v>
      </c>
      <c r="D51" s="42">
        <f>TRUNC(5089.57902678235,-1)</f>
        <v>5080</v>
      </c>
      <c r="E51" s="63">
        <f t="shared" si="1"/>
        <v>16790</v>
      </c>
    </row>
    <row r="52" spans="1:7" x14ac:dyDescent="0.3">
      <c r="A52" s="2">
        <v>13</v>
      </c>
      <c r="C52" s="38" t="s">
        <v>24</v>
      </c>
      <c r="D52" s="42">
        <f>TRUNC(7750.5980133283,-1)</f>
        <v>7750</v>
      </c>
      <c r="E52" s="63">
        <f t="shared" si="1"/>
        <v>25610</v>
      </c>
    </row>
    <row r="53" spans="1:7" x14ac:dyDescent="0.3">
      <c r="A53" s="2">
        <v>14</v>
      </c>
      <c r="C53" s="38" t="s">
        <v>25</v>
      </c>
      <c r="D53" s="42">
        <f>TRUNC(34974.6887966805,-1)</f>
        <v>34970</v>
      </c>
      <c r="E53" s="63">
        <f t="shared" si="1"/>
        <v>115600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TRUNC(6880.17691437193+5846.5314975481,-1)</f>
        <v>12720</v>
      </c>
      <c r="E55" s="63">
        <f t="shared" si="1"/>
        <v>42040</v>
      </c>
      <c r="F55" s="2" t="s">
        <v>266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TRUNC(4494.65170375959+2946.92191625802+6720.35709795046+2540.37306676726+7533.37030051553+9090.08776562304+1957.44373192506+546.30328178046,-1)</f>
        <v>35820</v>
      </c>
      <c r="E58" s="63">
        <f t="shared" si="1"/>
        <v>118410</v>
      </c>
      <c r="F58" s="2" t="s">
        <v>267</v>
      </c>
    </row>
    <row r="59" spans="1:7" ht="17.25" thickBot="1" x14ac:dyDescent="0.35">
      <c r="A59" s="2">
        <v>20</v>
      </c>
      <c r="C59" s="38" t="s">
        <v>148</v>
      </c>
      <c r="D59" s="43">
        <f>TRUNC(135889.727146989+5574.37444989312,-1)</f>
        <v>141460</v>
      </c>
      <c r="E59" s="64">
        <f t="shared" si="1"/>
        <v>467630</v>
      </c>
    </row>
    <row r="60" spans="1:7" x14ac:dyDescent="0.3">
      <c r="A60" s="2">
        <v>21</v>
      </c>
      <c r="C60" s="27" t="s">
        <v>112</v>
      </c>
      <c r="D60" s="39">
        <f>SUM(D40:D59)</f>
        <v>530340</v>
      </c>
      <c r="E60" s="39">
        <f>SUM(E40:E59)</f>
        <v>1753110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TRUNC(2616.52923425123,-1)</f>
        <v>2610</v>
      </c>
      <c r="E63" s="62">
        <f>TRUNC(+D63*3.3058,-1)</f>
        <v>8620</v>
      </c>
    </row>
    <row r="64" spans="1:7" x14ac:dyDescent="0.3">
      <c r="A64" s="2">
        <v>2</v>
      </c>
      <c r="C64" s="38" t="s">
        <v>29</v>
      </c>
      <c r="D64" s="42">
        <f>TRUNC(23617.0985791525,-1)</f>
        <v>23610</v>
      </c>
      <c r="E64" s="63">
        <f>TRUNC(+D64*3.3058,-1)</f>
        <v>78040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26220</v>
      </c>
      <c r="E66" s="65">
        <f>SUM(E63:E65)</f>
        <v>86660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TRUNC(9833.78687287816,-1)</f>
        <v>9830</v>
      </c>
      <c r="E69" s="62">
        <f t="shared" ref="E69:E94" si="2">TRUNC(+D69*3.3058,-1)</f>
        <v>32490</v>
      </c>
    </row>
    <row r="70" spans="1:7" ht="16.5" customHeight="1" x14ac:dyDescent="0.3">
      <c r="A70" s="2">
        <v>2</v>
      </c>
      <c r="C70" s="38" t="s">
        <v>31</v>
      </c>
      <c r="D70" s="42">
        <f>TRUNC(1376.44297749277,-1)</f>
        <v>1370</v>
      </c>
      <c r="E70" s="63">
        <f t="shared" si="2"/>
        <v>4520</v>
      </c>
    </row>
    <row r="71" spans="1:7" x14ac:dyDescent="0.3">
      <c r="A71" s="2">
        <v>3</v>
      </c>
      <c r="C71" s="38" t="s">
        <v>32</v>
      </c>
      <c r="D71" s="42">
        <f>TRUNC(5141.45517414812,-1)</f>
        <v>5140</v>
      </c>
      <c r="E71" s="63">
        <f t="shared" si="2"/>
        <v>16990</v>
      </c>
    </row>
    <row r="72" spans="1:7" x14ac:dyDescent="0.3">
      <c r="A72" s="2">
        <v>4</v>
      </c>
      <c r="C72" s="38" t="s">
        <v>33</v>
      </c>
      <c r="D72" s="42">
        <f>TRUNC(1482.57211115302,-1)</f>
        <v>1480</v>
      </c>
      <c r="E72" s="63">
        <f t="shared" si="2"/>
        <v>4890</v>
      </c>
      <c r="F72" s="2" t="s">
        <v>262</v>
      </c>
    </row>
    <row r="73" spans="1:7" x14ac:dyDescent="0.3">
      <c r="A73" s="2">
        <v>5</v>
      </c>
      <c r="C73" s="38" t="s">
        <v>34</v>
      </c>
      <c r="D73" s="42">
        <f>TRUNC(13072.1464856029,-1)</f>
        <v>13070</v>
      </c>
      <c r="E73" s="63">
        <f t="shared" si="2"/>
        <v>43200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TRUNC(1113.03218911103,-1)</f>
        <v>1110</v>
      </c>
      <c r="E79" s="63">
        <f t="shared" si="2"/>
        <v>3660</v>
      </c>
      <c r="F79" s="2" t="s">
        <v>259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f>TRUNC(1288.57839808877,-1)</f>
        <v>1280</v>
      </c>
      <c r="E83" s="63">
        <f t="shared" si="2"/>
        <v>4230</v>
      </c>
      <c r="F83" s="2" t="s">
        <v>261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TRUNC(4682.00364642273,-1)</f>
        <v>4680</v>
      </c>
      <c r="E89" s="63">
        <f t="shared" si="2"/>
        <v>15470</v>
      </c>
      <c r="F89" s="2" t="s">
        <v>260</v>
      </c>
    </row>
    <row r="90" spans="1:7" x14ac:dyDescent="0.3">
      <c r="A90" s="2">
        <v>22</v>
      </c>
      <c r="C90" s="38" t="s">
        <v>36</v>
      </c>
      <c r="D90" s="42">
        <f>TRUNC(456.920658870866,-1)</f>
        <v>450</v>
      </c>
      <c r="E90" s="63">
        <f t="shared" si="2"/>
        <v>1480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TRUNC(6535.94379479442,-1)</f>
        <v>6530</v>
      </c>
      <c r="E92" s="63">
        <f t="shared" si="2"/>
        <v>21580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TRUNC(2168.37998239658+10.0980761976613+2003.5458317616,-1)</f>
        <v>4180</v>
      </c>
      <c r="E94" s="64">
        <f t="shared" si="2"/>
        <v>13810</v>
      </c>
      <c r="F94" s="2" t="s">
        <v>263</v>
      </c>
    </row>
    <row r="95" spans="1:7" x14ac:dyDescent="0.3">
      <c r="A95" s="2">
        <v>27</v>
      </c>
      <c r="C95" s="27" t="s">
        <v>112</v>
      </c>
      <c r="D95" s="39">
        <f>SUM(D69:D94)</f>
        <v>49120</v>
      </c>
      <c r="E95" s="39">
        <f>SUM(E69:E94)</f>
        <v>162320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TRUNC(8952.57852382749,-1)</f>
        <v>8950</v>
      </c>
      <c r="E98" s="62">
        <f t="shared" ref="E98:E118" si="3">TRUNC(+D98*3.3058,-1)</f>
        <v>29580</v>
      </c>
    </row>
    <row r="99" spans="1:7" x14ac:dyDescent="0.3">
      <c r="A99" s="2">
        <v>2</v>
      </c>
      <c r="C99" s="38" t="s">
        <v>40</v>
      </c>
      <c r="D99" s="42">
        <f>TRUNC(2033.33107003646,-1)</f>
        <v>2030</v>
      </c>
      <c r="E99" s="63">
        <f t="shared" si="3"/>
        <v>6710</v>
      </c>
    </row>
    <row r="100" spans="1:7" x14ac:dyDescent="0.3">
      <c r="A100" s="2">
        <v>3</v>
      </c>
      <c r="C100" s="38" t="s">
        <v>41</v>
      </c>
      <c r="D100" s="42">
        <f>TRUNC(12575.8190619892,-1)</f>
        <v>12570</v>
      </c>
      <c r="E100" s="63">
        <f t="shared" si="3"/>
        <v>41550</v>
      </c>
    </row>
    <row r="101" spans="1:7" x14ac:dyDescent="0.3">
      <c r="A101" s="2">
        <v>4</v>
      </c>
      <c r="C101" s="38" t="s">
        <v>42</v>
      </c>
      <c r="D101" s="42">
        <f>TRUNC(3469.89412800201,-1)</f>
        <v>3460</v>
      </c>
      <c r="E101" s="63">
        <f t="shared" si="3"/>
        <v>11430</v>
      </c>
      <c r="F101" s="2" t="s">
        <v>253</v>
      </c>
    </row>
    <row r="102" spans="1:7" x14ac:dyDescent="0.3">
      <c r="A102" s="2">
        <v>5</v>
      </c>
      <c r="C102" s="38" t="s">
        <v>43</v>
      </c>
      <c r="D102" s="42">
        <f>TRUNC(4193.64893750786,-1)</f>
        <v>4190</v>
      </c>
      <c r="E102" s="63">
        <f t="shared" si="3"/>
        <v>13850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TRUNC(2076.66088268578,-1)</f>
        <v>2070</v>
      </c>
      <c r="E108" s="63">
        <f t="shared" si="3"/>
        <v>6840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TRUNC(1034.02451904942,-1)</f>
        <v>1030</v>
      </c>
      <c r="E114" s="63">
        <f t="shared" si="3"/>
        <v>3400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TRUNC(7528.3540802213,-1)</f>
        <v>7520</v>
      </c>
      <c r="E117" s="63">
        <f t="shared" si="3"/>
        <v>24850</v>
      </c>
    </row>
    <row r="118" spans="1:7" ht="17.25" thickBot="1" x14ac:dyDescent="0.35">
      <c r="A118" s="2">
        <v>21</v>
      </c>
      <c r="C118" s="38" t="s">
        <v>47</v>
      </c>
      <c r="D118" s="43">
        <f>TRUNC(1876.36640261537+1216.00188608072,-1)</f>
        <v>3090</v>
      </c>
      <c r="E118" s="64">
        <f t="shared" si="3"/>
        <v>10210</v>
      </c>
      <c r="F118" s="2" t="s">
        <v>254</v>
      </c>
    </row>
    <row r="119" spans="1:7" x14ac:dyDescent="0.3">
      <c r="A119" s="2">
        <v>22</v>
      </c>
      <c r="C119" s="27" t="s">
        <v>112</v>
      </c>
      <c r="D119" s="39">
        <f>SUM(D98:D118)</f>
        <v>44910</v>
      </c>
      <c r="E119" s="39">
        <f>SUM(E98:E118)</f>
        <v>148420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TRUNC(1632.90645039608,-1)</f>
        <v>1630</v>
      </c>
      <c r="E122" s="62">
        <f t="shared" ref="E122:E132" si="4">TRUNC(+D122*3.3058,-1)</f>
        <v>5380</v>
      </c>
    </row>
    <row r="123" spans="1:7" x14ac:dyDescent="0.3">
      <c r="A123" s="2">
        <v>2</v>
      </c>
      <c r="C123" s="38" t="s">
        <v>124</v>
      </c>
      <c r="D123" s="42">
        <f>TRUNC(3523.19627813404+5686.96190116937,-1)</f>
        <v>9210</v>
      </c>
      <c r="E123" s="63">
        <f t="shared" si="4"/>
        <v>30440</v>
      </c>
      <c r="F123" s="2" t="s">
        <v>251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TRUNC(4279.14560543191,-1)</f>
        <v>4270</v>
      </c>
      <c r="E125" s="63">
        <f t="shared" si="4"/>
        <v>14110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TRUNC(148.963032817805+622.293851376839,-1)</f>
        <v>770</v>
      </c>
      <c r="E132" s="64">
        <f t="shared" si="4"/>
        <v>2540</v>
      </c>
      <c r="F132" s="54" t="s">
        <v>252</v>
      </c>
    </row>
    <row r="133" spans="1:7" x14ac:dyDescent="0.3">
      <c r="A133" s="2">
        <v>12</v>
      </c>
      <c r="C133" s="27" t="s">
        <v>112</v>
      </c>
      <c r="D133" s="39">
        <f>SUM(D122:D132)</f>
        <v>15880</v>
      </c>
      <c r="E133" s="39">
        <f>SUM(E122:E132)</f>
        <v>52470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TRUNC(5789.19275745002,-1)</f>
        <v>5780</v>
      </c>
      <c r="E136" s="62">
        <f t="shared" ref="E136:E145" si="5">TRUNC(+D136*3.3058,-1)</f>
        <v>19100</v>
      </c>
      <c r="F136" s="2" t="s">
        <v>258</v>
      </c>
    </row>
    <row r="137" spans="1:7" x14ac:dyDescent="0.3">
      <c r="A137" s="2">
        <v>2</v>
      </c>
      <c r="C137" s="38" t="s">
        <v>47</v>
      </c>
      <c r="D137" s="42">
        <f>TRUNC(95.7687665032063+49.815289827738,-1)</f>
        <v>140</v>
      </c>
      <c r="E137" s="63">
        <f t="shared" si="5"/>
        <v>460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TRUNC(826.718596755941+931.108889727147+172.091286307054+83.8692317364517,-1)</f>
        <v>2010</v>
      </c>
      <c r="E143" s="63">
        <f t="shared" si="5"/>
        <v>6640</v>
      </c>
      <c r="F143" s="2" t="s">
        <v>256</v>
      </c>
    </row>
    <row r="144" spans="1:7" x14ac:dyDescent="0.3">
      <c r="A144" s="2">
        <v>9</v>
      </c>
      <c r="C144" s="38" t="s">
        <v>63</v>
      </c>
      <c r="D144" s="42">
        <f>TRUNC(1238.09807619766+1417.39368791651+523.867219917012+294.452533635106,-1)</f>
        <v>3470</v>
      </c>
      <c r="E144" s="63">
        <f t="shared" si="5"/>
        <v>11470</v>
      </c>
      <c r="F144" s="2" t="s">
        <v>255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11400</v>
      </c>
      <c r="E146" s="39">
        <f>SUM(E136:E145)</f>
        <v>37670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TRUNC(9082.33534515277+1485.21488746385,-1)</f>
        <v>10560</v>
      </c>
      <c r="E149" s="62">
        <f>TRUNC(+D149*3.3058,-1)</f>
        <v>34900</v>
      </c>
      <c r="F149" s="2" t="s">
        <v>264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TRUNC(2654.55413051679+14480.2897019992+615.089023010185+3928.26970954357+8336.0353325789+756.742487111782+678.693323274236+184.2270841192+2074.05746259273+5639.57965547592+1725.70966930718+116.766000251477-12.6820067898906,-1)</f>
        <v>41170</v>
      </c>
      <c r="E152" s="63">
        <f>TRUNC(+D152*3.3058,-1)</f>
        <v>136090</v>
      </c>
      <c r="F152" s="2" t="s">
        <v>265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51730</v>
      </c>
      <c r="E154" s="39">
        <f>SUM(E149:E153)</f>
        <v>170990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2020-12-07T09:17:35Z</dcterms:modified>
</cp:coreProperties>
</file>