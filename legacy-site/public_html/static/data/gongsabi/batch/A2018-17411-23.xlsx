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117" i="4"/>
  <c r="D131" i="4"/>
  <c r="D145" i="4"/>
  <c r="D159" i="4"/>
  <c r="D158" i="4"/>
  <c r="D157" i="4"/>
  <c r="D152" i="4"/>
  <c r="D150" i="4"/>
  <c r="D149" i="4"/>
  <c r="D144" i="4"/>
  <c r="D143" i="4"/>
  <c r="D139" i="4"/>
  <c r="D141" i="4"/>
  <c r="D142" i="4"/>
  <c r="D137" i="4"/>
  <c r="D140" i="4"/>
  <c r="D128" i="4"/>
  <c r="D127" i="4"/>
  <c r="D132" i="4"/>
  <c r="D125" i="4"/>
  <c r="D122" i="4"/>
  <c r="D130" i="4"/>
  <c r="D126" i="4"/>
  <c r="D118" i="4"/>
  <c r="D105" i="4"/>
  <c r="D104" i="4"/>
  <c r="D102" i="4"/>
  <c r="D101" i="4"/>
  <c r="D100" i="4"/>
  <c r="D99" i="4"/>
  <c r="D114" i="4"/>
  <c r="D98" i="4"/>
  <c r="D116" i="4"/>
  <c r="D75" i="4"/>
  <c r="D76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<sst xmlns="http://schemas.openxmlformats.org/spreadsheetml/2006/main" count="395" uniqueCount="270">
  <si>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</si>
  <si>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</si>
  <si>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</si>
  <si>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</si>
  <si>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</si>
  <si>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</si>
  <si>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</si>
  <si>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</si>
  <si>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</si>
  <si>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</si>
  <si>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</si>
  <si>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</si>
  <si>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</si>
  <si>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</si>
  <si>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</si>
  <si>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</si>
  <si>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</si>
  <si>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</si>
  <si>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</si>
  <si>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</si>
  <si>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</si>
  <si>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</si>
  <si>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</si>
  <si>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</si>
  <si>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</si>
  <si>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</si>
  <si>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</si>
  <si>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</si>
  <si>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</si>
  <si>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</si>
  <si>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</si>
  <si>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</si>
  <si>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</si>
  <si>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</si>
  <si>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</si>
  <si>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</si>
  <si>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</si>
  <si>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</si>
  <si>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</si>
  <si>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</si>
  <si>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</si>
  <si>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</si>
  <si>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</si>
  <si>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</si>
  <si>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</si>
  <si>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</si>
  <si>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</si>
  <si>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</si>
  <si>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</si>
  <si>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</si>
  <si>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</si>
  <si>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</si>
  <si>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</si>
  <si>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</si>
  <si>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</si>
  <si>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</si>
  <si>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</si>
  <si>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</si>
  <si>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</si>
  <si>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</si>
  <si>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</si>
  <si>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</si>
  <si>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</si>
  <si>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</si>
  <si>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</si>
  <si>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</si>
  <si>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</si>
  <si>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</si>
  <si>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</si>
  <si>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</si>
  <si>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</si>
  <si>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</si>
  <si>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</si>
  <si>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</si>
  <si>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</si>
  <si>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</si>
  <si>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</si>
  <si>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</si>
  <si>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</si>
  <si>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</si>
  <si>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</si>
  <si>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</si>
  <si>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</si>
  <si>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</si>
  <si>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</si>
  <si>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</si>
  <si>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</si>
  <si>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</si>
  <si>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</si>
  <si>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</si>
  <si>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</si>
  <si>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</si>
  <si>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</si>
  <si>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</si>
  <si>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</si>
  <si>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</si>
  <si>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</si>
  <si>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</si>
  <si>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</si>
  <si>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</si>
  <si>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</si>
  <si>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</si>
  <si>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</si>
  <si>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</si>
  <si>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</si>
  <si>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</si>
  <si>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</si>
  <si>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</si>
  <si>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</si>
  <si>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</si>
  <si>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</si>
  <si>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</si>
  <si>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</si>
  <si>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</si>
  <si>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</si>
  <si>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</si>
  <si>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</si>
  <si>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</si>
  <si>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</si>
  <si>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</si>
  <si>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</si>
  <si>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</si>
  <si>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</si>
  <si>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</si>
  <si>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</si>
  <si>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</si>
  <si>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</si>
  <si>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</si>
  <si>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</si>
  <si>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</si>
  <si>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</si>
  <si>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</si>
  <si>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</si>
  <si>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</si>
  <si>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</si>
  <si>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</si>
  <si>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</si>
  <si>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</si>
  <si>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</si>
  <si>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</si>
  <si>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</si>
  <si>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</si>
  <si>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</si>
  <si>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</si>
  <si>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</si>
  <si>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</si>
  <si>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</si>
  <si>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</si>
  <si>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</si>
  <si>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</si>
  <si>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</si>
  <si>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</si>
  <si>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</si>
  <si>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</si>
  <si>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</si>
  <si>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</si>
  <si>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</si>
  <si>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</si>
  <si>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</si>
  <si>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</si>
  <si>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</si>
  <si>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</si>
  <si>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</si>
  <si>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</si>
  <si>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</si>
  <si>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</si>
  <si>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</si>
  <si>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</si>
  <si>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</si>
  <si>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</si>
  <si>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</si>
  <si>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</si>
  <si>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</si>
  <si>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</si>
  <si>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</si>
  <si>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</si>
  <si>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</si>
  <si>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</si>
  <si>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</si>
  <si>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</si>
  <si>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</si>
  <si>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</si>
  <si>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</si>
  <si>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</si>
  <si>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</si>
  <si>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</si>
  <si>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</si>
  <si>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</si>
  <si>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</si>
  <si>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</si>
  <si>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</si>
  <si>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</si>
  <si>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</si>
  <si>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</si>
  <si>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</si>
  <si>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</si>
  <si>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</si>
  <si>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</si>
  <si>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</si>
  <si>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</si>
  <si>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</si>
  <si>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</si>
  <si>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</si>
  <si>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</si>
  <si>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</si>
  <si>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</si>
  <si>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</si>
  <si>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</si>
  <si>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</si>
  <si>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</si>
  <si>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</si>
  <si>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</si>
  <si>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</si>
  <si>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</si>
  <si>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</si>
  <si>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</si>
  <si>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</si>
  <si>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</si>
  <si>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</si>
  <si>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</si>
  <si>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</si>
  <si>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</si>
  <si>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</si>
  <si>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</si>
  <si>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</si>
  <si>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</si>
  <si>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</si>
  <si>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</si>
  <si>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</si>
  <si>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</si>
  <si>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</si>
  <si>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</si>
  <si>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</si>
  <si>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</si>
  <si>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</si>
  <si>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</si>
  <si>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</si>
  <si>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</si>
  <si>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</si>
  <si>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</si>
  <si>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</si>
  <si>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</si>
  <si>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</si>
  <si>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</si>
  <si>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</si>
  <si>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</si>
  <si>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</si>
  <si>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</si>
  <si>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한국과학기술기획평가원 신사옥 건립사업</t>
    <phoneticPr fontId="2" type="noConversion"/>
  </si>
  <si>
    <t>기타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</si>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</sst>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14706</v>
      </c>
      <c r="D7" s="36">
        <f>+C7/3.3058</f>
        <v>4448.5449815475831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873350</v>
      </c>
      <c r="E25" s="59">
        <f t="shared" si="0"/>
        <v>2887120</v>
      </c>
    </row>
    <row r="26" spans="1:5" x14ac:dyDescent="0.3">
      <c r="B26" s="2">
        <v>3</v>
      </c>
      <c r="C26" s="35" t="s">
        <v>95</v>
      </c>
      <c r="D26" s="45">
        <f>+D66</f>
        <v>30780</v>
      </c>
      <c r="E26" s="59">
        <f t="shared" si="0"/>
        <v>101750</v>
      </c>
    </row>
    <row r="27" spans="1:5" x14ac:dyDescent="0.3">
      <c r="B27" s="2">
        <v>4</v>
      </c>
      <c r="C27" s="35" t="s">
        <v>96</v>
      </c>
      <c r="D27" s="45">
        <f>+D95</f>
        <v>190590</v>
      </c>
      <c r="E27" s="59">
        <f t="shared" si="0"/>
        <v>630050</v>
      </c>
    </row>
    <row r="28" spans="1:5" x14ac:dyDescent="0.3">
      <c r="B28" s="2">
        <v>5</v>
      </c>
      <c r="C28" s="35" t="s">
        <v>97</v>
      </c>
      <c r="D28" s="45">
        <f>+D119</f>
        <v>164010</v>
      </c>
      <c r="E28" s="59">
        <f t="shared" si="0"/>
        <v>542180</v>
      </c>
    </row>
    <row r="29" spans="1:5" x14ac:dyDescent="0.3">
      <c r="B29" s="2">
        <v>6</v>
      </c>
      <c r="C29" s="35" t="s">
        <v>98</v>
      </c>
      <c r="D29" s="45">
        <f>+D133</f>
        <v>126030</v>
      </c>
      <c r="E29" s="59">
        <f t="shared" si="0"/>
        <v>416620</v>
      </c>
    </row>
    <row r="30" spans="1:5" x14ac:dyDescent="0.3">
      <c r="B30" s="2">
        <v>7</v>
      </c>
      <c r="C30" s="35" t="s">
        <v>99</v>
      </c>
      <c r="D30" s="45">
        <f>+D146</f>
        <v>57700</v>
      </c>
      <c r="E30" s="59">
        <f t="shared" si="0"/>
        <v>190740</v>
      </c>
    </row>
    <row r="31" spans="1:5" x14ac:dyDescent="0.3">
      <c r="B31" s="2">
        <v>8</v>
      </c>
      <c r="C31" s="35" t="s">
        <v>100</v>
      </c>
      <c r="D31" s="45">
        <f>+D154</f>
        <v>14050</v>
      </c>
      <c r="E31" s="59">
        <f t="shared" si="0"/>
        <v>46440</v>
      </c>
    </row>
    <row r="32" spans="1:5" x14ac:dyDescent="0.3">
      <c r="B32" s="2">
        <v>9</v>
      </c>
      <c r="C32" s="35" t="s">
        <v>101</v>
      </c>
      <c r="D32" s="45">
        <f>+D161</f>
        <v>30060</v>
      </c>
      <c r="E32" s="59">
        <f t="shared" si="0"/>
        <v>99370</v>
      </c>
    </row>
    <row r="33" spans="1:7" x14ac:dyDescent="0.3">
      <c r="B33" s="2">
        <v>10</v>
      </c>
      <c r="C33" s="35" t="s">
        <v>154</v>
      </c>
      <c r="D33" s="53">
        <f>TRUNC(SUM(D24:D32)*0.275,-1)</f>
        <v>408800</v>
      </c>
      <c r="E33" s="60">
        <f t="shared" si="0"/>
        <v>1351410</v>
      </c>
    </row>
    <row r="34" spans="1:7" x14ac:dyDescent="0.3">
      <c r="C34" s="35" t="s">
        <v>112</v>
      </c>
      <c r="D34" s="44">
        <f>SUM(D24:D33)</f>
        <v>1895370</v>
      </c>
      <c r="E34" s="44">
        <f>SUM(E24:E33)</f>
        <v>6265680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TRUNC(47913,-1)</f>
        <v>47910</v>
      </c>
      <c r="E40" s="62">
        <f t="shared" ref="E40:E59" si="1">TRUNC(+D40*3.3058,-1)</f>
        <v>158380</v>
      </c>
    </row>
    <row r="41" spans="1:7" x14ac:dyDescent="0.3">
      <c r="A41" s="2">
        <v>2</v>
      </c>
      <c r="C41" s="38" t="s">
        <v>13</v>
      </c>
      <c r="D41" s="42">
        <f>TRUNC(94736,-1)</f>
        <v>94730</v>
      </c>
      <c r="E41" s="63">
        <f t="shared" si="1"/>
        <v>313150</v>
      </c>
    </row>
    <row r="42" spans="1:7" x14ac:dyDescent="0.3">
      <c r="A42" s="2">
        <v>3</v>
      </c>
      <c r="C42" s="38" t="s">
        <v>14</v>
      </c>
      <c r="D42" s="42">
        <f>TRUNC(9947,-1)</f>
        <v>9940</v>
      </c>
      <c r="E42" s="63">
        <f t="shared" si="1"/>
        <v>32850</v>
      </c>
    </row>
    <row r="43" spans="1:7" x14ac:dyDescent="0.3">
      <c r="A43" s="2">
        <v>4</v>
      </c>
      <c r="C43" s="38" t="s">
        <v>16</v>
      </c>
      <c r="D43" s="42">
        <f>TRUNC(11260,-1)</f>
        <v>11260</v>
      </c>
      <c r="E43" s="63">
        <f t="shared" si="1"/>
        <v>37220</v>
      </c>
    </row>
    <row r="44" spans="1:7" x14ac:dyDescent="0.3">
      <c r="A44" s="2">
        <v>5</v>
      </c>
      <c r="C44" s="38" t="s">
        <v>17</v>
      </c>
      <c r="D44" s="42">
        <f>TRUNC(20327,-1)</f>
        <v>20320</v>
      </c>
      <c r="E44" s="63">
        <f t="shared" si="1"/>
        <v>67170</v>
      </c>
    </row>
    <row r="45" spans="1:7" x14ac:dyDescent="0.3">
      <c r="A45" s="2">
        <v>6</v>
      </c>
      <c r="C45" s="38" t="s">
        <v>18</v>
      </c>
      <c r="D45" s="42">
        <f>TRUNC(6654,-1)</f>
        <v>6650</v>
      </c>
      <c r="E45" s="63">
        <f t="shared" si="1"/>
        <v>21980</v>
      </c>
    </row>
    <row r="46" spans="1:7" x14ac:dyDescent="0.3">
      <c r="A46" s="2">
        <v>7</v>
      </c>
      <c r="C46" s="38" t="s">
        <v>19</v>
      </c>
      <c r="D46" s="42">
        <f>TRUNC(1849,-1)</f>
        <v>1840</v>
      </c>
      <c r="E46" s="63">
        <f t="shared" si="1"/>
        <v>6080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TRUNC(38574,-1)</f>
        <v>38570</v>
      </c>
      <c r="E48" s="63">
        <f t="shared" si="1"/>
        <v>127500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TRUNC(9238,-1)</f>
        <v>9230</v>
      </c>
      <c r="E49" s="63">
        <f t="shared" si="1"/>
        <v>30510</v>
      </c>
    </row>
    <row r="50" spans="1:7" x14ac:dyDescent="0.3">
      <c r="A50" s="2">
        <v>11</v>
      </c>
      <c r="C50" s="38" t="s">
        <v>155</v>
      </c>
      <c r="D50" s="42">
        <f>TRUNC(27504,-1)</f>
        <v>27500</v>
      </c>
      <c r="E50" s="63">
        <f t="shared" si="1"/>
        <v>90900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TRUNC(10494,-1)</f>
        <v>10490</v>
      </c>
      <c r="E52" s="63">
        <f t="shared" si="1"/>
        <v>34670</v>
      </c>
    </row>
    <row r="53" spans="1:7" x14ac:dyDescent="0.3">
      <c r="A53" s="2">
        <v>14</v>
      </c>
      <c r="C53" s="38" t="s">
        <v>25</v>
      </c>
      <c r="D53" s="42">
        <f>TRUNC(123141,-1)</f>
        <v>123140</v>
      </c>
      <c r="E53" s="63">
        <f t="shared" si="1"/>
        <v>407070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TRUNC(18243+2764-490+5362,-1)</f>
        <v>25870</v>
      </c>
      <c r="E58" s="63">
        <f t="shared" si="1"/>
        <v>85520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TRUNC(445906,-1)</f>
        <v>445900</v>
      </c>
      <c r="E59" s="64">
        <f t="shared" si="1"/>
        <v>1474050</v>
      </c>
    </row>
    <row r="60" spans="1:7" x14ac:dyDescent="0.3">
      <c r="A60" s="2">
        <v>21</v>
      </c>
      <c r="C60" s="27" t="s">
        <v>112</v>
      </c>
      <c r="D60" s="39">
        <f>SUM(D40:D59)</f>
        <v>873350</v>
      </c>
      <c r="E60" s="39">
        <f>SUM(E40:E59)</f>
        <v>2887050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TRUNC(27872,-1)</f>
        <v>27870</v>
      </c>
      <c r="E63" s="62">
        <f>TRUNC(+D63*3.3058,-1)</f>
        <v>92130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TRUNC(2914,-1)</f>
        <v>2910</v>
      </c>
      <c r="E65" s="64">
        <f>TRUNC(+D65*3.3058,-1)</f>
        <v>9610</v>
      </c>
    </row>
    <row r="66" spans="1:7" x14ac:dyDescent="0.3">
      <c r="A66" s="2">
        <v>4</v>
      </c>
      <c r="C66" s="27" t="s">
        <v>112</v>
      </c>
      <c r="D66" s="39">
        <f>SUM(D63:D65)</f>
        <v>30780</v>
      </c>
      <c r="E66" s="65">
        <f>SUM(E63:E65)</f>
        <v>101740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TRUNC(10574,-1)</f>
        <v>10570</v>
      </c>
      <c r="E69" s="62">
        <f t="shared" ref="E69:E94" si="2">TRUNC(+D69*3.3058,-1)</f>
        <v>34940</v>
      </c>
    </row>
    <row r="70" spans="1:7" ht="16.5" customHeight="1" x14ac:dyDescent="0.3">
      <c r="A70" s="2">
        <v>2</v>
      </c>
      <c r="C70" s="38" t="s">
        <v>31</v>
      </c>
      <c r="D70" s="42">
        <f>TRUNC(75,-1)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TRUNC(15322,-1)</f>
        <v>15320</v>
      </c>
      <c r="E71" s="63">
        <f t="shared" si="2"/>
        <v>50640</v>
      </c>
    </row>
    <row r="72" spans="1:7" x14ac:dyDescent="0.3">
      <c r="A72" s="2">
        <v>4</v>
      </c>
      <c r="C72" s="38" t="s">
        <v>33</v>
      </c>
      <c r="D72" s="42">
        <f>TRUNC(2153,-1)</f>
        <v>2150</v>
      </c>
      <c r="E72" s="63">
        <f t="shared" si="2"/>
        <v>7100</v>
      </c>
    </row>
    <row r="73" spans="1:7" x14ac:dyDescent="0.3">
      <c r="A73" s="2">
        <v>5</v>
      </c>
      <c r="C73" s="38" t="s">
        <v>34</v>
      </c>
      <c r="D73" s="42">
        <f>TRUNC(9864,-1)</f>
        <v>9860</v>
      </c>
      <c r="E73" s="63">
        <f t="shared" si="2"/>
        <v>32590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TRUNC(5835,-1)</f>
        <v>5830</v>
      </c>
      <c r="E75" s="63">
        <f t="shared" si="2"/>
        <v>19270</v>
      </c>
    </row>
    <row r="76" spans="1:7" x14ac:dyDescent="0.3">
      <c r="A76" s="2">
        <v>8</v>
      </c>
      <c r="C76" s="38" t="s">
        <v>119</v>
      </c>
      <c r="D76" s="42">
        <f>TRUNC(17352,-1)</f>
        <v>17350</v>
      </c>
      <c r="E76" s="63">
        <f t="shared" si="2"/>
        <v>57350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TRUNC(6436,-1)</f>
        <v>6430</v>
      </c>
      <c r="E89" s="63">
        <f t="shared" si="2"/>
        <v>21250</v>
      </c>
    </row>
    <row r="90" spans="1:7" x14ac:dyDescent="0.3">
      <c r="A90" s="2">
        <v>22</v>
      </c>
      <c r="C90" s="38" t="s">
        <v>36</v>
      </c>
      <c r="D90" s="42">
        <f>TRUNC(3325,-1)</f>
        <v>3320</v>
      </c>
      <c r="E90" s="63">
        <f t="shared" si="2"/>
        <v>10970</v>
      </c>
    </row>
    <row r="91" spans="1:7" x14ac:dyDescent="0.3">
      <c r="A91" s="2">
        <v>23</v>
      </c>
      <c r="C91" s="38" t="s">
        <v>37</v>
      </c>
      <c r="D91" s="42">
        <f>TRUNC(72235,-1)</f>
        <v>72230</v>
      </c>
      <c r="E91" s="63">
        <f t="shared" si="2"/>
        <v>238770</v>
      </c>
    </row>
    <row r="92" spans="1:7" x14ac:dyDescent="0.3">
      <c r="A92" s="2">
        <v>24</v>
      </c>
      <c r="C92" s="38" t="s">
        <v>38</v>
      </c>
      <c r="D92" s="42">
        <f>TRUNC(4068,-1)</f>
        <v>4060</v>
      </c>
      <c r="E92" s="63">
        <f t="shared" si="2"/>
        <v>13420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TRUNC(23078+14150+5682+493,-1)</f>
        <v>43400</v>
      </c>
      <c r="E94" s="64">
        <f t="shared" si="2"/>
        <v>143470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190590</v>
      </c>
      <c r="E95" s="39">
        <f>SUM(E69:E94)</f>
        <v>630000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TRUNC(15602,-1)</f>
        <v>15600</v>
      </c>
      <c r="E98" s="62">
        <f t="shared" ref="E98:E118" si="3">TRUNC(+D98*3.3058,-1)</f>
        <v>51570</v>
      </c>
    </row>
    <row r="99" spans="1:7" x14ac:dyDescent="0.3">
      <c r="A99" s="2">
        <v>2</v>
      </c>
      <c r="C99" s="38" t="s">
        <v>40</v>
      </c>
      <c r="D99" s="42">
        <f>TRUNC(7935,-1)</f>
        <v>7930</v>
      </c>
      <c r="E99" s="63">
        <f t="shared" si="3"/>
        <v>26210</v>
      </c>
    </row>
    <row r="100" spans="1:7" x14ac:dyDescent="0.3">
      <c r="A100" s="2">
        <v>3</v>
      </c>
      <c r="C100" s="38" t="s">
        <v>41</v>
      </c>
      <c r="D100" s="42">
        <f>TRUNC(32144,-1)</f>
        <v>32140</v>
      </c>
      <c r="E100" s="63">
        <f t="shared" si="3"/>
        <v>106240</v>
      </c>
    </row>
    <row r="101" spans="1:7" x14ac:dyDescent="0.3">
      <c r="A101" s="2">
        <v>4</v>
      </c>
      <c r="C101" s="38" t="s">
        <v>42</v>
      </c>
      <c r="D101" s="42">
        <f>TRUNC(520,-1)</f>
        <v>520</v>
      </c>
      <c r="E101" s="63">
        <f t="shared" si="3"/>
        <v>1710</v>
      </c>
    </row>
    <row r="102" spans="1:7" x14ac:dyDescent="0.3">
      <c r="A102" s="2">
        <v>5</v>
      </c>
      <c r="C102" s="38" t="s">
        <v>43</v>
      </c>
      <c r="D102" s="42">
        <f>TRUNC(12537,-1)</f>
        <v>12530</v>
      </c>
      <c r="E102" s="63">
        <f t="shared" si="3"/>
        <v>41420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TRUNC(1968,-1)</f>
        <v>1960</v>
      </c>
      <c r="E104" s="63">
        <f t="shared" si="3"/>
        <v>6470</v>
      </c>
    </row>
    <row r="105" spans="1:7" x14ac:dyDescent="0.3">
      <c r="A105" s="2">
        <v>8</v>
      </c>
      <c r="C105" s="38" t="s">
        <v>46</v>
      </c>
      <c r="D105" s="42">
        <f>TRUNC(5922,-1)</f>
        <v>5920</v>
      </c>
      <c r="E105" s="63">
        <f t="shared" si="3"/>
        <v>19570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TRUNC(2560,-1)</f>
        <v>2560</v>
      </c>
      <c r="E114" s="63">
        <f t="shared" si="3"/>
        <v>8460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TRUNC(2858,-1)</f>
        <v>2850</v>
      </c>
      <c r="E116" s="63">
        <f t="shared" si="3"/>
        <v>9420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TRUNC(81300,-1)</f>
        <v>81300</v>
      </c>
      <c r="E117" s="63">
        <f t="shared" si="3"/>
        <v>268760</v>
      </c>
    </row>
    <row r="118" spans="1:7" ht="17.25" thickBot="1" x14ac:dyDescent="0.35">
      <c r="A118" s="2">
        <v>21</v>
      </c>
      <c r="C118" s="38" t="s">
        <v>47</v>
      </c>
      <c r="D118" s="43">
        <f>TRUNC(704,-1)</f>
        <v>700</v>
      </c>
      <c r="E118" s="64">
        <f t="shared" si="3"/>
        <v>2310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164010</v>
      </c>
      <c r="E119" s="39">
        <f>SUM(E98:E118)</f>
        <v>542140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TRUNC(13299,-1)</f>
        <v>13290</v>
      </c>
      <c r="E122" s="62">
        <f t="shared" ref="E122:E132" si="4">TRUNC(+D122*3.3058,-1)</f>
        <v>43930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TRUNC(10220,-1)</f>
        <v>10220</v>
      </c>
      <c r="E125" s="63">
        <f t="shared" si="4"/>
        <v>33780</v>
      </c>
    </row>
    <row r="126" spans="1:7" x14ac:dyDescent="0.3">
      <c r="A126" s="2">
        <v>5</v>
      </c>
      <c r="C126" s="38" t="s">
        <v>53</v>
      </c>
      <c r="D126" s="42">
        <f>TRUNC(541,-1)</f>
        <v>540</v>
      </c>
      <c r="E126" s="63">
        <f t="shared" si="4"/>
        <v>1780</v>
      </c>
    </row>
    <row r="127" spans="1:7" x14ac:dyDescent="0.3">
      <c r="A127" s="2">
        <v>6</v>
      </c>
      <c r="C127" s="38" t="s">
        <v>56</v>
      </c>
      <c r="D127" s="42">
        <f>TRUNC(6978,-1)</f>
        <v>6970</v>
      </c>
      <c r="E127" s="63">
        <f t="shared" si="4"/>
        <v>23040</v>
      </c>
    </row>
    <row r="128" spans="1:7" x14ac:dyDescent="0.3">
      <c r="A128" s="2">
        <v>7</v>
      </c>
      <c r="C128" s="38" t="s">
        <v>46</v>
      </c>
      <c r="D128" s="42">
        <f>TRUNC(6207,-1)</f>
        <v>6200</v>
      </c>
      <c r="E128" s="63">
        <f t="shared" si="4"/>
        <v>20490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TRUNC(24739,-1)</f>
        <v>24730</v>
      </c>
      <c r="E130" s="63">
        <f t="shared" si="4"/>
        <v>81750</v>
      </c>
    </row>
    <row r="131" spans="1:7" x14ac:dyDescent="0.3">
      <c r="A131" s="2">
        <v>10</v>
      </c>
      <c r="C131" s="38" t="s">
        <v>148</v>
      </c>
      <c r="D131" s="42">
        <f>TRUNC(61524,-1)</f>
        <v>61520</v>
      </c>
      <c r="E131" s="63">
        <f t="shared" si="4"/>
        <v>203370</v>
      </c>
    </row>
    <row r="132" spans="1:7" ht="18" thickBot="1" x14ac:dyDescent="0.35">
      <c r="A132" s="2">
        <v>11</v>
      </c>
      <c r="C132" s="38" t="s">
        <v>47</v>
      </c>
      <c r="D132" s="43">
        <f>TRUNC(2436+124,-1)</f>
        <v>2560</v>
      </c>
      <c r="E132" s="64">
        <f t="shared" si="4"/>
        <v>8460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126030</v>
      </c>
      <c r="E133" s="39">
        <f>SUM(E122:E132)</f>
        <v>416600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TRUNC(119+1720+304,-1)</f>
        <v>2140</v>
      </c>
      <c r="E137" s="63">
        <f t="shared" si="5"/>
        <v>7070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TRUNC(1921,-1)</f>
        <v>1920</v>
      </c>
      <c r="E139" s="63">
        <f t="shared" si="5"/>
        <v>6340</v>
      </c>
    </row>
    <row r="140" spans="1:7" x14ac:dyDescent="0.3">
      <c r="A140" s="2">
        <v>5</v>
      </c>
      <c r="C140" s="38" t="s">
        <v>57</v>
      </c>
      <c r="D140" s="42">
        <f>TRUNC(854,-1)</f>
        <v>850</v>
      </c>
      <c r="E140" s="63">
        <f t="shared" si="5"/>
        <v>2800</v>
      </c>
    </row>
    <row r="141" spans="1:7" x14ac:dyDescent="0.3">
      <c r="A141" s="2">
        <v>6</v>
      </c>
      <c r="C141" s="38" t="s">
        <v>59</v>
      </c>
      <c r="D141" s="42">
        <f>TRUNC(28274,-1)</f>
        <v>28270</v>
      </c>
      <c r="E141" s="63">
        <f t="shared" si="5"/>
        <v>93450</v>
      </c>
    </row>
    <row r="142" spans="1:7" x14ac:dyDescent="0.3">
      <c r="A142" s="2">
        <v>7</v>
      </c>
      <c r="C142" s="38" t="s">
        <v>58</v>
      </c>
      <c r="D142" s="42">
        <f>TRUNC(4780,-1)</f>
        <v>4780</v>
      </c>
      <c r="E142" s="63">
        <f t="shared" si="5"/>
        <v>15800</v>
      </c>
    </row>
    <row r="143" spans="1:7" x14ac:dyDescent="0.3">
      <c r="A143" s="2">
        <v>8</v>
      </c>
      <c r="C143" s="38" t="s">
        <v>62</v>
      </c>
      <c r="D143" s="42">
        <f>TRUNC(4813,-1)</f>
        <v>4810</v>
      </c>
      <c r="E143" s="63">
        <f t="shared" si="5"/>
        <v>15900</v>
      </c>
    </row>
    <row r="144" spans="1:7" x14ac:dyDescent="0.3">
      <c r="A144" s="2">
        <v>9</v>
      </c>
      <c r="C144" s="38" t="s">
        <v>63</v>
      </c>
      <c r="D144" s="42">
        <f>TRUNC(12967,-1)</f>
        <v>12960</v>
      </c>
      <c r="E144" s="63">
        <f t="shared" si="5"/>
        <v>42840</v>
      </c>
    </row>
    <row r="145" spans="1:7" ht="17.25" thickBot="1" x14ac:dyDescent="0.35">
      <c r="A145" s="2">
        <v>10</v>
      </c>
      <c r="C145" s="38" t="s">
        <v>148</v>
      </c>
      <c r="D145" s="43">
        <f>TRUNC(1975,-1)</f>
        <v>1970</v>
      </c>
      <c r="E145" s="64">
        <f t="shared" si="5"/>
        <v>6510</v>
      </c>
    </row>
    <row r="146" spans="1:7" x14ac:dyDescent="0.3">
      <c r="A146" s="2">
        <v>11</v>
      </c>
      <c r="C146" s="27" t="s">
        <v>112</v>
      </c>
      <c r="D146" s="39">
        <f>SUM(D136:D145)</f>
        <v>57700</v>
      </c>
      <c r="E146" s="39">
        <f>SUM(E136:E145)</f>
        <v>190710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TRUNC(6505+1097,-1)</f>
        <v>7600</v>
      </c>
      <c r="E149" s="62">
        <f>TRUNC(+D149*3.3058,-1)</f>
        <v>25120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TRUNC(1630,-1)</f>
        <v>1630</v>
      </c>
      <c r="E150" s="63">
        <f>TRUNC(+D150*3.3058,-1)</f>
        <v>5380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TRUNC(705+2239+496+1381,-1)</f>
        <v>4820</v>
      </c>
      <c r="E152" s="63">
        <f>TRUNC(+D152*3.3058,-1)</f>
        <v>15930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14050</v>
      </c>
      <c r="E154" s="39">
        <f>SUM(E149:E153)</f>
        <v>46430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TRUNC(20287,-1)</f>
        <v>20280</v>
      </c>
      <c r="E157" s="62">
        <f>TRUNC(+D157*3.3058,-1)</f>
        <v>67040</v>
      </c>
    </row>
    <row r="158" spans="1:7" x14ac:dyDescent="0.3">
      <c r="A158" s="2">
        <v>2</v>
      </c>
      <c r="C158" s="38" t="s">
        <v>52</v>
      </c>
      <c r="D158" s="42">
        <f>TRUNC(4482,-1)</f>
        <v>4480</v>
      </c>
      <c r="E158" s="63">
        <f>TRUNC(+D158*3.3058,-1)</f>
        <v>14800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TRUNC(4720+588,-1)</f>
        <v>5300</v>
      </c>
      <c r="E159" s="63">
        <f>TRUNC(+D159*3.3058,-1)</f>
        <v>17520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30060</v>
      </c>
      <c r="E161" s="39">
        <f>SUM(E157:E160)</f>
        <v>99360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2020-12-08T04:04:42Z</dcterms:modified>
</cp:coreProperties>
</file>