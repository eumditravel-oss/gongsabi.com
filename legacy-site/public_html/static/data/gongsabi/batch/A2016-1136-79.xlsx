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45" i="4"/>
  <c r="E141" i="4"/>
  <c r="E140" i="4"/>
  <c r="E138" i="4"/>
  <c r="E136" i="4"/>
  <c r="E129" i="4"/>
  <c r="E127" i="4"/>
  <c r="E124" i="4"/>
  <c r="E123" i="4"/>
  <c r="E116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5" i="4"/>
  <c r="E54" i="4"/>
  <c r="E51" i="4"/>
  <c r="E47" i="4"/>
  <c r="E37" i="4"/>
  <c r="D153" i="4" l="1"/>
  <c r="E153" i="4" s="1"/>
  <c r="D151" i="4"/>
  <c r="E151" i="4" s="1"/>
  <c r="D150" i="4"/>
  <c r="E150" i="4" s="1"/>
  <c r="D144" i="4"/>
  <c r="E144" i="4" s="1"/>
  <c r="D143" i="4"/>
  <c r="E143" i="4" s="1"/>
  <c r="D142" i="4"/>
  <c r="E142" i="4" s="1"/>
  <c r="D139" i="4"/>
  <c r="E139" i="4" s="1"/>
  <c r="D131" i="4"/>
  <c r="E131" i="4" s="1"/>
  <c r="D130" i="4"/>
  <c r="E130" i="4" s="1"/>
  <c r="D128" i="4"/>
  <c r="E128" i="4" s="1"/>
  <c r="D126" i="4"/>
  <c r="E126" i="4" s="1"/>
  <c r="D125" i="4"/>
  <c r="E125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93" i="4"/>
  <c r="E93" i="4" s="1"/>
  <c r="D92" i="4"/>
  <c r="E92" i="4" s="1"/>
  <c r="D91" i="4"/>
  <c r="E91" i="4" s="1"/>
  <c r="D89" i="4"/>
  <c r="E89" i="4" s="1"/>
  <c r="D84" i="4"/>
  <c r="E84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152" i="4"/>
  <c r="E152" i="4" s="1"/>
  <c r="D149" i="4"/>
  <c r="E149" i="4" s="1"/>
  <c r="E154" i="4" s="1"/>
  <c r="D137" i="4"/>
  <c r="E137" i="4" s="1"/>
  <c r="E146" i="4" s="1"/>
  <c r="D132" i="4"/>
  <c r="E132" i="4" s="1"/>
  <c r="D94" i="4"/>
  <c r="E94" i="4" s="1"/>
  <c r="D58" i="4"/>
  <c r="E58" i="4" s="1"/>
  <c r="E95" i="4" l="1"/>
  <c r="E133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<sst xmlns="http://schemas.openxmlformats.org/spreadsheetml/2006/main" count="387" uniqueCount="262">
  <si>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</si>
  <si>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</si>
  <si>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</si>
  <si>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</si>
  <si>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</si>
  <si>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</si>
  <si>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</si>
  <si>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</si>
  <si>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</si>
  <si>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</si>
  <si>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</si>
  <si>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</si>
  <si>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</si>
  <si>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</si>
  <si>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</si>
  <si>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</si>
  <si>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</si>
  <si>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</si>
  <si>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</si>
  <si>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</si>
  <si>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</si>
  <si>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</si>
  <si>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</si>
  <si>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</si>
  <si>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</si>
  <si>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</si>
  <si>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</si>
  <si>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</si>
  <si>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</si>
  <si>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</si>
  <si>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</si>
  <si>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</si>
  <si>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</si>
  <si>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</si>
  <si>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</si>
  <si>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</si>
  <si>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</si>
  <si>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</si>
  <si>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</si>
  <si>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</si>
  <si>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</si>
  <si>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</si>
  <si>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</si>
  <si>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</si>
  <si>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</si>
  <si>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</si>
  <si>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</si>
  <si>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</si>
  <si>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</si>
  <si>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</si>
  <si>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</si>
  <si>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</si>
  <si>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</si>
  <si>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</si>
  <si>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</si>
  <si>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</si>
  <si>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</si>
  <si>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</si>
  <si>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</si>
  <si>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</si>
  <si>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</si>
  <si>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</si>
  <si>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</si>
  <si>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</si>
  <si>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</si>
  <si>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</si>
  <si>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</si>
  <si>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</si>
  <si>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</si>
  <si>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</si>
  <si>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</si>
  <si>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</si>
  <si>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</si>
  <si>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</si>
  <si>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</si>
  <si>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</si>
  <si>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</si>
  <si>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</si>
  <si>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</si>
  <si>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</si>
  <si>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</si>
  <si>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</si>
  <si>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</si>
  <si>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</si>
  <si>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</si>
  <si>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</si>
  <si>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</si>
  <si>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</si>
  <si>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</si>
  <si>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</si>
  <si>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</si>
  <si>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</si>
  <si>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</si>
  <si>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</si>
  <si>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</si>
  <si>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</si>
  <si>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</si>
  <si>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</si>
  <si>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</si>
  <si>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</si>
  <si>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</si>
  <si>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</si>
  <si>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</si>
  <si>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</si>
  <si>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</si>
  <si>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</si>
  <si>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</si>
  <si>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</si>
  <si>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</si>
  <si>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</si>
  <si>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</si>
  <si>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</si>
  <si>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</si>
  <si>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</si>
  <si>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</si>
  <si>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</si>
  <si>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</si>
  <si>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</si>
  <si>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</si>
  <si>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</si>
  <si>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</si>
  <si>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</si>
  <si>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</si>
  <si>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</si>
  <si>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</si>
  <si>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</si>
  <si>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</si>
  <si>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</si>
  <si>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</si>
  <si>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</si>
  <si>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</si>
  <si>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</si>
  <si>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</si>
  <si>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</si>
  <si>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</si>
  <si>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</si>
  <si>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</si>
  <si>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</si>
  <si>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</si>
  <si>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</si>
  <si>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</si>
  <si>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</si>
  <si>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</si>
  <si>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</si>
  <si>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</si>
  <si>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</si>
  <si>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</si>
  <si>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</si>
  <si>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</si>
  <si>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</si>
  <si>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</si>
  <si>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</si>
  <si>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</si>
  <si>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</si>
  <si>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</si>
  <si>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</si>
  <si>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</si>
  <si>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</si>
  <si>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</si>
  <si>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</si>
  <si>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</si>
  <si>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</si>
  <si>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</si>
  <si>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</si>
  <si>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</si>
  <si>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</si>
  <si>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</si>
  <si>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</si>
  <si>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</si>
  <si>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</si>
  <si>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</si>
  <si>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</si>
  <si>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</si>
  <si>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</si>
  <si>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</si>
  <si>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</si>
  <si>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</si>
  <si>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</si>
  <si>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</si>
  <si>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</si>
  <si>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</si>
  <si>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</si>
  <si>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</si>
  <si>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</si>
  <si>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</si>
  <si>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</si>
  <si>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</si>
  <si>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</si>
  <si>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</si>
  <si>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</si>
  <si>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</si>
  <si>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</si>
  <si>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</si>
  <si>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</si>
  <si>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</si>
  <si>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</si>
  <si>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</si>
  <si>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</si>
  <si>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</si>
  <si>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</si>
  <si>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</si>
  <si>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</si>
  <si>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</si>
  <si>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</si>
  <si>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</si>
  <si>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</si>
  <si>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</si>
  <si>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</si>
  <si>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</si>
  <si>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</si>
  <si>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</si>
  <si>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</si>
  <si>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</si>
  <si>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</si>
  <si>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</si>
  <si>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</si>
  <si>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</si>
  <si>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</si>
  <si>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</si>
  <si>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</si>
  <si>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</si>
  <si>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</si>
  <si>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</si>
  <si>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</si>
  <si>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</si>
  <si>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</si>
  <si>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</si>
  <si>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</si>
  <si>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</si>
  <si>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</si>
  <si>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</si>
  <si>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</si>
  <si>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</si>
  <si>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</si>
  <si>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</si>
  <si>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</si>
  <si>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</si>
  <si>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</si>
  <si>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</si>
  <si>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</si>
  <si>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</si>
  <si>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</si>
  <si>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</si>
  <si>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</si>
  <si>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</si>
  <si>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</si>
  <si>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</si>
  <si>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</si>
  <si>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</si>
  <si>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(가칭)구지중학교 신축(이전) 공사(장기계속)</t>
    <phoneticPr fontId="2" type="noConversion"/>
  </si>
  <si>
    <t>교육연구</t>
  </si>
  <si>
    <t>대구시</t>
  </si>
  <si>
    <t>창호및유리공사</t>
    <phoneticPr fontId="2" type="noConversion"/>
  </si>
  <si>
    <t>기초공사, 해체및철거공사,골재비및운반비,작업부산물,기타공사</t>
    <phoneticPr fontId="2" type="noConversion"/>
  </si>
  <si>
    <t>전기인입 및 수변전 설비공사</t>
    <phoneticPr fontId="2" type="noConversion"/>
  </si>
  <si>
    <t>운반비,기타공사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</si>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</sst>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9137.81</v>
      </c>
      <c r="D7" s="36">
        <f>+C7/3.3058</f>
        <v>2764.1750862121116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766930</v>
      </c>
      <c r="E25" s="59">
        <f t="shared" si="0"/>
        <v>2535310</v>
      </c>
    </row>
    <row r="26" spans="1:5" x14ac:dyDescent="0.3">
      <c r="B26" s="2">
        <v>3</v>
      </c>
      <c r="C26" s="35" t="s">
        <v>95</v>
      </c>
      <c r="D26" s="45">
        <f>+D66</f>
        <v>6580</v>
      </c>
      <c r="E26" s="59">
        <f t="shared" si="0"/>
        <v>21750</v>
      </c>
    </row>
    <row r="27" spans="1:5" x14ac:dyDescent="0.3">
      <c r="B27" s="2">
        <v>4</v>
      </c>
      <c r="C27" s="35" t="s">
        <v>96</v>
      </c>
      <c r="D27" s="45">
        <f>+D95</f>
        <v>144160</v>
      </c>
      <c r="E27" s="59">
        <f t="shared" si="0"/>
        <v>476560</v>
      </c>
    </row>
    <row r="28" spans="1:5" x14ac:dyDescent="0.3">
      <c r="B28" s="2">
        <v>5</v>
      </c>
      <c r="C28" s="35" t="s">
        <v>97</v>
      </c>
      <c r="D28" s="45">
        <f>+D119</f>
        <v>181650</v>
      </c>
      <c r="E28" s="59">
        <f t="shared" si="0"/>
        <v>600490</v>
      </c>
    </row>
    <row r="29" spans="1:5" x14ac:dyDescent="0.3">
      <c r="B29" s="2">
        <v>6</v>
      </c>
      <c r="C29" s="35" t="s">
        <v>98</v>
      </c>
      <c r="D29" s="45">
        <f>+D133</f>
        <v>53300</v>
      </c>
      <c r="E29" s="59">
        <f t="shared" si="0"/>
        <v>176190</v>
      </c>
    </row>
    <row r="30" spans="1:5" x14ac:dyDescent="0.3">
      <c r="B30" s="2">
        <v>7</v>
      </c>
      <c r="C30" s="35" t="s">
        <v>99</v>
      </c>
      <c r="D30" s="45">
        <f>+D146</f>
        <v>23080</v>
      </c>
      <c r="E30" s="59">
        <f t="shared" si="0"/>
        <v>76290</v>
      </c>
    </row>
    <row r="31" spans="1:5" x14ac:dyDescent="0.3">
      <c r="B31" s="2">
        <v>8</v>
      </c>
      <c r="C31" s="35" t="s">
        <v>100</v>
      </c>
      <c r="D31" s="45">
        <f>+D154</f>
        <v>71840</v>
      </c>
      <c r="E31" s="59">
        <f t="shared" si="0"/>
        <v>237480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343070</v>
      </c>
      <c r="E33" s="60">
        <f t="shared" si="0"/>
        <v>1134120</v>
      </c>
    </row>
    <row r="34" spans="1:7" x14ac:dyDescent="0.3">
      <c r="C34" s="35" t="s">
        <v>112</v>
      </c>
      <c r="D34" s="44">
        <f>SUM(D24:D33)</f>
        <v>1590610</v>
      </c>
      <c r="E34" s="44">
        <f>SUM(E24:E33)</f>
        <v>5258190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256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257</v>
      </c>
      <c r="E39" s="67" t="s">
        <v>258</v>
      </c>
      <c r="G39" s="68"/>
    </row>
    <row r="40" spans="1:7" x14ac:dyDescent="0.3">
      <c r="A40" s="2">
        <v>1</v>
      </c>
      <c r="C40" s="38" t="s">
        <v>15</v>
      </c>
      <c r="D40" s="40">
        <f>TRUNC(48438,-1)</f>
        <v>48430</v>
      </c>
      <c r="E40" s="62">
        <f t="shared" ref="E40:E59" si="1">TRUNC(+D40*3.3058,-1)</f>
        <v>160090</v>
      </c>
    </row>
    <row r="41" spans="1:7" x14ac:dyDescent="0.3">
      <c r="A41" s="2">
        <v>2</v>
      </c>
      <c r="C41" s="38" t="s">
        <v>13</v>
      </c>
      <c r="D41" s="42">
        <f>TRUNC(175113,-1)</f>
        <v>175110</v>
      </c>
      <c r="E41" s="63">
        <f t="shared" si="1"/>
        <v>578870</v>
      </c>
    </row>
    <row r="42" spans="1:7" x14ac:dyDescent="0.3">
      <c r="A42" s="2">
        <v>3</v>
      </c>
      <c r="C42" s="38" t="s">
        <v>14</v>
      </c>
      <c r="D42" s="42">
        <f>TRUNC(1235,-1)</f>
        <v>1230</v>
      </c>
      <c r="E42" s="63">
        <f t="shared" si="1"/>
        <v>4060</v>
      </c>
    </row>
    <row r="43" spans="1:7" x14ac:dyDescent="0.3">
      <c r="A43" s="2">
        <v>4</v>
      </c>
      <c r="C43" s="38" t="s">
        <v>16</v>
      </c>
      <c r="D43" s="42">
        <f>TRUNC(30042,-1)</f>
        <v>30040</v>
      </c>
      <c r="E43" s="63">
        <f t="shared" si="1"/>
        <v>99300</v>
      </c>
    </row>
    <row r="44" spans="1:7" x14ac:dyDescent="0.3">
      <c r="A44" s="2">
        <v>5</v>
      </c>
      <c r="C44" s="38" t="s">
        <v>17</v>
      </c>
      <c r="D44" s="42">
        <f>TRUNC(21051,-1)</f>
        <v>21050</v>
      </c>
      <c r="E44" s="63">
        <f t="shared" si="1"/>
        <v>69580</v>
      </c>
    </row>
    <row r="45" spans="1:7" x14ac:dyDescent="0.3">
      <c r="A45" s="2">
        <v>6</v>
      </c>
      <c r="C45" s="38" t="s">
        <v>18</v>
      </c>
      <c r="D45" s="42">
        <f>TRUNC(10798,-1)</f>
        <v>10790</v>
      </c>
      <c r="E45" s="63">
        <f t="shared" si="1"/>
        <v>35660</v>
      </c>
    </row>
    <row r="46" spans="1:7" x14ac:dyDescent="0.3">
      <c r="A46" s="2">
        <v>7</v>
      </c>
      <c r="C46" s="38" t="s">
        <v>19</v>
      </c>
      <c r="D46" s="42">
        <f>TRUNC(57328,-1)</f>
        <v>57320</v>
      </c>
      <c r="E46" s="63">
        <f t="shared" si="1"/>
        <v>189480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TRUNC(32332,-1)</f>
        <v>32330</v>
      </c>
      <c r="E48" s="63">
        <f t="shared" si="1"/>
        <v>106870</v>
      </c>
      <c r="F48" s="2" t="s">
        <v>247</v>
      </c>
    </row>
    <row r="49" spans="1:7" x14ac:dyDescent="0.3">
      <c r="A49" s="2">
        <v>10</v>
      </c>
      <c r="C49" s="38" t="s">
        <v>22</v>
      </c>
      <c r="D49" s="42">
        <f>TRUNC(16556,-1)</f>
        <v>16550</v>
      </c>
      <c r="E49" s="63">
        <f t="shared" si="1"/>
        <v>54710</v>
      </c>
    </row>
    <row r="50" spans="1:7" x14ac:dyDescent="0.3">
      <c r="A50" s="2">
        <v>11</v>
      </c>
      <c r="C50" s="38" t="s">
        <v>154</v>
      </c>
      <c r="D50" s="42">
        <f>TRUNC(39585,-1)</f>
        <v>39580</v>
      </c>
      <c r="E50" s="63">
        <f t="shared" si="1"/>
        <v>130840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TRUNC(11129,-1)</f>
        <v>11120</v>
      </c>
      <c r="E52" s="63">
        <f t="shared" si="1"/>
        <v>36760</v>
      </c>
    </row>
    <row r="53" spans="1:7" x14ac:dyDescent="0.3">
      <c r="A53" s="2">
        <v>14</v>
      </c>
      <c r="C53" s="38" t="s">
        <v>25</v>
      </c>
      <c r="D53" s="42">
        <f>TRUNC(60588,-1)</f>
        <v>60580</v>
      </c>
      <c r="E53" s="63">
        <f t="shared" si="1"/>
        <v>200260</v>
      </c>
      <c r="F53" s="2" t="s">
        <v>248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TRUNC(17163+44+4501-21+18967,-1)</f>
        <v>40650</v>
      </c>
      <c r="E58" s="63">
        <f t="shared" si="1"/>
        <v>134380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TRUNC(222150,-1)</f>
        <v>222150</v>
      </c>
      <c r="E59" s="64">
        <f t="shared" si="1"/>
        <v>734380</v>
      </c>
    </row>
    <row r="60" spans="1:7" x14ac:dyDescent="0.3">
      <c r="A60" s="2">
        <v>21</v>
      </c>
      <c r="C60" s="27" t="s">
        <v>112</v>
      </c>
      <c r="D60" s="39">
        <f>SUM(D40:D59)</f>
        <v>766930</v>
      </c>
      <c r="E60" s="39">
        <f>SUM(E40:E59)</f>
        <v>2535240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256</v>
      </c>
      <c r="G62" s="55"/>
    </row>
    <row r="63" spans="1:7" x14ac:dyDescent="0.3">
      <c r="A63" s="2">
        <v>1</v>
      </c>
      <c r="C63" s="38" t="s">
        <v>27</v>
      </c>
      <c r="D63" s="40">
        <f>TRUNC(6589,-1)</f>
        <v>6580</v>
      </c>
      <c r="E63" s="62">
        <f>TRUNC(+D63*3.3058,-1)</f>
        <v>21750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6580</v>
      </c>
      <c r="E66" s="65">
        <f>SUM(E63:E65)</f>
        <v>21750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256</v>
      </c>
      <c r="G68" s="55"/>
    </row>
    <row r="69" spans="1:7" x14ac:dyDescent="0.3">
      <c r="A69" s="2">
        <v>1</v>
      </c>
      <c r="C69" s="38" t="s">
        <v>30</v>
      </c>
      <c r="D69" s="40">
        <f>TRUNC(9140,-1)</f>
        <v>9140</v>
      </c>
      <c r="E69" s="62">
        <f t="shared" ref="E69:E94" si="2">TRUNC(+D69*3.3058,-1)</f>
        <v>30210</v>
      </c>
    </row>
    <row r="70" spans="1:7" ht="16.5" customHeight="1" x14ac:dyDescent="0.3">
      <c r="A70" s="2">
        <v>2</v>
      </c>
      <c r="C70" s="38" t="s">
        <v>31</v>
      </c>
      <c r="D70" s="42">
        <f>TRUNC(1625,-1)</f>
        <v>1620</v>
      </c>
      <c r="E70" s="63">
        <f t="shared" si="2"/>
        <v>5350</v>
      </c>
    </row>
    <row r="71" spans="1:7" x14ac:dyDescent="0.3">
      <c r="A71" s="2">
        <v>3</v>
      </c>
      <c r="C71" s="38" t="s">
        <v>32</v>
      </c>
      <c r="D71" s="42">
        <f>TRUNC(5581,-1)</f>
        <v>5580</v>
      </c>
      <c r="E71" s="63">
        <f t="shared" si="2"/>
        <v>18440</v>
      </c>
    </row>
    <row r="72" spans="1:7" x14ac:dyDescent="0.3">
      <c r="A72" s="2">
        <v>4</v>
      </c>
      <c r="C72" s="38" t="s">
        <v>33</v>
      </c>
      <c r="D72" s="42">
        <f>TRUNC(4530,-1)</f>
        <v>4530</v>
      </c>
      <c r="E72" s="63">
        <f t="shared" si="2"/>
        <v>14970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TRUNC(382,-1)</f>
        <v>380</v>
      </c>
      <c r="E84" s="63">
        <f t="shared" si="2"/>
        <v>1250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TRUNC(29901,-1)</f>
        <v>29900</v>
      </c>
      <c r="E89" s="63">
        <f t="shared" si="2"/>
        <v>98840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TRUNC(3042,-1)</f>
        <v>3040</v>
      </c>
      <c r="E91" s="63">
        <f t="shared" si="2"/>
        <v>10040</v>
      </c>
    </row>
    <row r="92" spans="1:7" x14ac:dyDescent="0.3">
      <c r="A92" s="2">
        <v>24</v>
      </c>
      <c r="C92" s="38" t="s">
        <v>38</v>
      </c>
      <c r="D92" s="42">
        <f>TRUNC(14553,-1)</f>
        <v>14550</v>
      </c>
      <c r="E92" s="63">
        <f t="shared" si="2"/>
        <v>48090</v>
      </c>
    </row>
    <row r="93" spans="1:7" x14ac:dyDescent="0.3">
      <c r="A93" s="2">
        <v>25</v>
      </c>
      <c r="C93" s="38" t="s">
        <v>148</v>
      </c>
      <c r="D93" s="42">
        <f>TRUNC(71361,-1)</f>
        <v>71360</v>
      </c>
      <c r="E93" s="63">
        <f t="shared" si="2"/>
        <v>235900</v>
      </c>
    </row>
    <row r="94" spans="1:7" ht="17.25" thickBot="1" x14ac:dyDescent="0.35">
      <c r="A94" s="2">
        <v>26</v>
      </c>
      <c r="C94" s="38" t="s">
        <v>47</v>
      </c>
      <c r="D94" s="43">
        <f>TRUNC(944+3125,-1)</f>
        <v>4060</v>
      </c>
      <c r="E94" s="64">
        <f t="shared" si="2"/>
        <v>13420</v>
      </c>
    </row>
    <row r="95" spans="1:7" x14ac:dyDescent="0.3">
      <c r="A95" s="2">
        <v>27</v>
      </c>
      <c r="C95" s="27" t="s">
        <v>112</v>
      </c>
      <c r="D95" s="39">
        <f>SUM(D69:D94)</f>
        <v>144160</v>
      </c>
      <c r="E95" s="39">
        <f>SUM(E69:E94)</f>
        <v>476510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256</v>
      </c>
      <c r="G97" s="55"/>
    </row>
    <row r="98" spans="1:7" x14ac:dyDescent="0.3">
      <c r="A98" s="2">
        <v>1</v>
      </c>
      <c r="C98" s="38" t="s">
        <v>39</v>
      </c>
      <c r="D98" s="40">
        <f>TRUNC(11725,-1)</f>
        <v>11720</v>
      </c>
      <c r="E98" s="62">
        <f t="shared" ref="E98:E118" si="3">TRUNC(+D98*3.3058,-1)</f>
        <v>38740</v>
      </c>
    </row>
    <row r="99" spans="1:7" x14ac:dyDescent="0.3">
      <c r="A99" s="2">
        <v>2</v>
      </c>
      <c r="C99" s="38" t="s">
        <v>40</v>
      </c>
      <c r="D99" s="42">
        <f>TRUNC(1916,-1)</f>
        <v>1910</v>
      </c>
      <c r="E99" s="63">
        <f t="shared" si="3"/>
        <v>6310</v>
      </c>
    </row>
    <row r="100" spans="1:7" x14ac:dyDescent="0.3">
      <c r="A100" s="2">
        <v>3</v>
      </c>
      <c r="C100" s="38" t="s">
        <v>41</v>
      </c>
      <c r="D100" s="42">
        <f>TRUNC(24029,-1)</f>
        <v>24020</v>
      </c>
      <c r="E100" s="63">
        <f t="shared" si="3"/>
        <v>79400</v>
      </c>
    </row>
    <row r="101" spans="1:7" x14ac:dyDescent="0.3">
      <c r="A101" s="2">
        <v>4</v>
      </c>
      <c r="C101" s="38" t="s">
        <v>42</v>
      </c>
      <c r="D101" s="42">
        <f>TRUNC(1541,-1)</f>
        <v>1540</v>
      </c>
      <c r="E101" s="63">
        <f t="shared" si="3"/>
        <v>5090</v>
      </c>
    </row>
    <row r="102" spans="1:7" x14ac:dyDescent="0.3">
      <c r="A102" s="2">
        <v>5</v>
      </c>
      <c r="C102" s="38" t="s">
        <v>43</v>
      </c>
      <c r="D102" s="42">
        <f>TRUNC(10544,-1)</f>
        <v>10540</v>
      </c>
      <c r="E102" s="63">
        <f t="shared" si="3"/>
        <v>34840</v>
      </c>
    </row>
    <row r="103" spans="1:7" x14ac:dyDescent="0.3">
      <c r="A103" s="2">
        <v>6</v>
      </c>
      <c r="C103" s="38" t="s">
        <v>44</v>
      </c>
      <c r="D103" s="42">
        <f>TRUNC(6851,-1)</f>
        <v>6850</v>
      </c>
      <c r="E103" s="63">
        <f t="shared" si="3"/>
        <v>22640</v>
      </c>
    </row>
    <row r="104" spans="1:7" x14ac:dyDescent="0.3">
      <c r="A104" s="2">
        <v>7</v>
      </c>
      <c r="C104" s="38" t="s">
        <v>45</v>
      </c>
      <c r="D104" s="42">
        <f>TRUNC(4479,-1)</f>
        <v>4470</v>
      </c>
      <c r="E104" s="63">
        <f t="shared" si="3"/>
        <v>14770</v>
      </c>
    </row>
    <row r="105" spans="1:7" x14ac:dyDescent="0.3">
      <c r="A105" s="2">
        <v>8</v>
      </c>
      <c r="C105" s="38" t="s">
        <v>46</v>
      </c>
      <c r="D105" s="42">
        <f>TRUNC(5095,-1)</f>
        <v>5090</v>
      </c>
      <c r="E105" s="63">
        <f t="shared" si="3"/>
        <v>16820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TRUNC(5017,-1)</f>
        <v>5010</v>
      </c>
      <c r="E114" s="63">
        <f t="shared" si="3"/>
        <v>16560</v>
      </c>
    </row>
    <row r="115" spans="1:7" x14ac:dyDescent="0.3">
      <c r="A115" s="2">
        <v>18</v>
      </c>
      <c r="C115" s="38" t="s">
        <v>116</v>
      </c>
      <c r="D115" s="42">
        <f>TRUNC(3436,-1)</f>
        <v>3430</v>
      </c>
      <c r="E115" s="63">
        <f t="shared" si="3"/>
        <v>11330</v>
      </c>
      <c r="F115" s="2" t="s">
        <v>254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TRUNC(99502,-1)</f>
        <v>99500</v>
      </c>
      <c r="E117" s="63">
        <f t="shared" si="3"/>
        <v>328920</v>
      </c>
    </row>
    <row r="118" spans="1:7" ht="17.25" thickBot="1" x14ac:dyDescent="0.35">
      <c r="A118" s="2">
        <v>21</v>
      </c>
      <c r="C118" s="38" t="s">
        <v>47</v>
      </c>
      <c r="D118" s="43">
        <f>TRUNC(7576,-1)</f>
        <v>7570</v>
      </c>
      <c r="E118" s="64">
        <f t="shared" si="3"/>
        <v>25020</v>
      </c>
    </row>
    <row r="119" spans="1:7" x14ac:dyDescent="0.3">
      <c r="A119" s="2">
        <v>22</v>
      </c>
      <c r="C119" s="27" t="s">
        <v>112</v>
      </c>
      <c r="D119" s="39">
        <f>SUM(D98:D118)</f>
        <v>181650</v>
      </c>
      <c r="E119" s="39">
        <f>SUM(E98:E118)</f>
        <v>600440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256</v>
      </c>
      <c r="G121" s="55"/>
    </row>
    <row r="122" spans="1:7" x14ac:dyDescent="0.3">
      <c r="A122" s="2">
        <v>1</v>
      </c>
      <c r="C122" s="38" t="s">
        <v>55</v>
      </c>
      <c r="D122" s="40">
        <f>TRUNC(3151,-1)</f>
        <v>3150</v>
      </c>
      <c r="E122" s="62">
        <f t="shared" ref="E122:E132" si="4">TRUNC(+D122*3.3058,-1)</f>
        <v>10410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TRUNC(8100,-1)</f>
        <v>8100</v>
      </c>
      <c r="E125" s="63">
        <f t="shared" si="4"/>
        <v>26770</v>
      </c>
    </row>
    <row r="126" spans="1:7" x14ac:dyDescent="0.3">
      <c r="A126" s="2">
        <v>5</v>
      </c>
      <c r="C126" s="38" t="s">
        <v>53</v>
      </c>
      <c r="D126" s="42">
        <f>TRUNC(471,-1)</f>
        <v>470</v>
      </c>
      <c r="E126" s="63">
        <f t="shared" si="4"/>
        <v>1550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TRUNC(5057,-1)</f>
        <v>5050</v>
      </c>
      <c r="E128" s="63">
        <f t="shared" si="4"/>
        <v>16690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TRUNC(11842,-1)</f>
        <v>11840</v>
      </c>
      <c r="E130" s="63">
        <f t="shared" si="4"/>
        <v>39140</v>
      </c>
    </row>
    <row r="131" spans="1:7" x14ac:dyDescent="0.3">
      <c r="A131" s="2">
        <v>10</v>
      </c>
      <c r="C131" s="38" t="s">
        <v>148</v>
      </c>
      <c r="D131" s="42">
        <f>TRUNC(21844,-1)</f>
        <v>21840</v>
      </c>
      <c r="E131" s="63">
        <f t="shared" si="4"/>
        <v>72190</v>
      </c>
    </row>
    <row r="132" spans="1:7" ht="18" thickBot="1" x14ac:dyDescent="0.35">
      <c r="A132" s="2">
        <v>11</v>
      </c>
      <c r="C132" s="38" t="s">
        <v>47</v>
      </c>
      <c r="D132" s="43">
        <f>TRUNC(833+2023,-1)</f>
        <v>2850</v>
      </c>
      <c r="E132" s="64">
        <f t="shared" si="4"/>
        <v>9420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53300</v>
      </c>
      <c r="E133" s="39">
        <f>SUM(E122:E132)</f>
        <v>176170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256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TRUNC(2833+6852,-1)</f>
        <v>9680</v>
      </c>
      <c r="E137" s="63">
        <f t="shared" si="5"/>
        <v>32000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TRUNC(1004,-1)</f>
        <v>1000</v>
      </c>
      <c r="E139" s="63">
        <f t="shared" si="5"/>
        <v>3300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TRUNC(5059,-1)</f>
        <v>5050</v>
      </c>
      <c r="E142" s="63">
        <f t="shared" si="5"/>
        <v>16690</v>
      </c>
    </row>
    <row r="143" spans="1:7" x14ac:dyDescent="0.3">
      <c r="A143" s="2">
        <v>8</v>
      </c>
      <c r="C143" s="38" t="s">
        <v>62</v>
      </c>
      <c r="D143" s="42">
        <f>TRUNC(2558,-1)</f>
        <v>2550</v>
      </c>
      <c r="E143" s="63">
        <f t="shared" si="5"/>
        <v>8420</v>
      </c>
    </row>
    <row r="144" spans="1:7" x14ac:dyDescent="0.3">
      <c r="A144" s="2">
        <v>9</v>
      </c>
      <c r="C144" s="38" t="s">
        <v>63</v>
      </c>
      <c r="D144" s="42">
        <f>TRUNC(4806,-1)</f>
        <v>4800</v>
      </c>
      <c r="E144" s="63">
        <f t="shared" si="5"/>
        <v>15860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23080</v>
      </c>
      <c r="E146" s="39">
        <f>SUM(E136:E145)</f>
        <v>76270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256</v>
      </c>
      <c r="G148" s="55"/>
    </row>
    <row r="149" spans="1:7" x14ac:dyDescent="0.3">
      <c r="A149" s="2">
        <v>1</v>
      </c>
      <c r="C149" s="38" t="s">
        <v>48</v>
      </c>
      <c r="D149" s="40">
        <f>TRUNC(3031+10507,-1)</f>
        <v>13530</v>
      </c>
      <c r="E149" s="62">
        <f>TRUNC(+D149*3.3058,-1)</f>
        <v>44720</v>
      </c>
    </row>
    <row r="150" spans="1:7" x14ac:dyDescent="0.3">
      <c r="A150" s="2">
        <v>2</v>
      </c>
      <c r="C150" s="38" t="s">
        <v>49</v>
      </c>
      <c r="D150" s="42">
        <f>TRUNC(9116,-1)</f>
        <v>9110</v>
      </c>
      <c r="E150" s="63">
        <f>TRUNC(+D150*3.3058,-1)</f>
        <v>30110</v>
      </c>
    </row>
    <row r="151" spans="1:7" x14ac:dyDescent="0.3">
      <c r="A151" s="2">
        <v>3</v>
      </c>
      <c r="C151" s="38" t="s">
        <v>50</v>
      </c>
      <c r="D151" s="42">
        <f>TRUNC(24868,-1)</f>
        <v>24860</v>
      </c>
      <c r="E151" s="63">
        <f>TRUNC(+D151*3.3058,-1)</f>
        <v>82180</v>
      </c>
    </row>
    <row r="152" spans="1:7" x14ac:dyDescent="0.3">
      <c r="A152" s="2">
        <v>4</v>
      </c>
      <c r="C152" s="38" t="s">
        <v>47</v>
      </c>
      <c r="D152" s="42">
        <f>TRUNC(302+454,-1)</f>
        <v>750</v>
      </c>
      <c r="E152" s="63">
        <f>TRUNC(+D152*3.3058,-1)</f>
        <v>2470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TRUNC(23594,-1)</f>
        <v>23590</v>
      </c>
      <c r="E153" s="64">
        <f>TRUNC(+D153*3.3058,-1)</f>
        <v>77980</v>
      </c>
    </row>
    <row r="154" spans="1:7" x14ac:dyDescent="0.3">
      <c r="A154" s="2">
        <v>6</v>
      </c>
      <c r="C154" s="27" t="s">
        <v>112</v>
      </c>
      <c r="D154" s="39">
        <f>SUM(D149:D153)</f>
        <v>71840</v>
      </c>
      <c r="E154" s="39">
        <f>SUM(E149:E153)</f>
        <v>237460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256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2020-12-08T01:12:23Z</dcterms:modified>
</cp:coreProperties>
</file>