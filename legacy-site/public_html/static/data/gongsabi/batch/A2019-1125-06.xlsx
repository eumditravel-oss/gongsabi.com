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1" i="4"/>
  <c r="D150" i="4"/>
  <c r="D149" i="4"/>
  <c r="D144" i="4"/>
  <c r="D143" i="4"/>
  <c r="D142" i="4"/>
  <c r="D140" i="4"/>
  <c r="D139" i="4"/>
  <c r="D137" i="4"/>
  <c r="D132" i="4"/>
  <c r="D130" i="4"/>
  <c r="D128" i="4"/>
  <c r="D127" i="4"/>
  <c r="D126" i="4"/>
  <c r="D125" i="4"/>
  <c r="D124" i="4"/>
  <c r="D122" i="4"/>
  <c r="D117" i="4"/>
  <c r="D116" i="4"/>
  <c r="D114" i="4"/>
  <c r="D104" i="4"/>
  <c r="D102" i="4"/>
  <c r="D100" i="4"/>
  <c r="D99" i="4"/>
  <c r="D98" i="4"/>
  <c r="D94" i="4"/>
  <c r="D93" i="4"/>
  <c r="D90" i="4"/>
  <c r="D89" i="4"/>
  <c r="D73" i="4"/>
  <c r="D72" i="4"/>
  <c r="D71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<sst xmlns="http://schemas.openxmlformats.org/spreadsheetml/2006/main" count="394" uniqueCount="269">
  <si>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</si>
  <si>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</si>
  <si>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</si>
  <si>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</si>
  <si>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</si>
  <si>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</si>
  <si>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</si>
  <si>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</si>
  <si>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</si>
  <si>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</si>
  <si>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</si>
  <si>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</si>
  <si>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</si>
  <si>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</si>
  <si>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</si>
  <si>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</si>
  <si>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</si>
  <si>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</si>
  <si>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</si>
  <si>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</si>
  <si>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</si>
  <si>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</si>
  <si>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</si>
  <si>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</si>
  <si>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</si>
  <si>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</si>
  <si>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</si>
  <si>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</si>
  <si>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</si>
  <si>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</si>
  <si>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</si>
  <si>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</si>
  <si>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</si>
  <si>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</si>
  <si>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</si>
  <si>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</si>
  <si>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</si>
  <si>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</si>
  <si>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</si>
  <si>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</si>
  <si>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</si>
  <si>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</si>
  <si>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</si>
  <si>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</si>
  <si>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</si>
  <si>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</si>
  <si>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</si>
  <si>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</si>
  <si>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</si>
  <si>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</si>
  <si>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</si>
  <si>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</si>
  <si>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</si>
  <si>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</si>
  <si>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</si>
  <si>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</si>
  <si>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</si>
  <si>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</si>
  <si>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</si>
  <si>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</si>
  <si>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</si>
  <si>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</si>
  <si>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</si>
  <si>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</si>
  <si>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</si>
  <si>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</si>
  <si>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</si>
  <si>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</si>
  <si>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</si>
  <si>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</si>
  <si>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</si>
  <si>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</si>
  <si>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</si>
  <si>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</si>
  <si>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</si>
  <si>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</si>
  <si>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</si>
  <si>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</si>
  <si>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</si>
  <si>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</si>
  <si>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</si>
  <si>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</si>
  <si>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</si>
  <si>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</si>
  <si>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</si>
  <si>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</si>
  <si>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</si>
  <si>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</si>
  <si>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</si>
  <si>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</si>
  <si>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</si>
  <si>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</si>
  <si>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</si>
  <si>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</si>
  <si>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</si>
  <si>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</si>
  <si>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</si>
  <si>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</si>
  <si>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</si>
  <si>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</si>
  <si>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</si>
  <si>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</si>
  <si>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</si>
  <si>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</si>
  <si>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</si>
  <si>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</si>
  <si>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</si>
  <si>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</si>
  <si>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</si>
  <si>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</si>
  <si>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</si>
  <si>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</si>
  <si>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</si>
  <si>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</si>
  <si>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</si>
  <si>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</si>
  <si>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</si>
  <si>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</si>
  <si>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</si>
  <si>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</si>
  <si>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</si>
  <si>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</si>
  <si>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</si>
  <si>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</si>
  <si>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</si>
  <si>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</si>
  <si>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</si>
  <si>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</si>
  <si>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</si>
  <si>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</si>
  <si>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</si>
  <si>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</si>
  <si>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</si>
  <si>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</si>
  <si>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</si>
  <si>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</si>
  <si>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</si>
  <si>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</si>
  <si>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</si>
  <si>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</si>
  <si>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</si>
  <si>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</si>
  <si>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</si>
  <si>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</si>
  <si>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</si>
  <si>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</si>
  <si>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</si>
  <si>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</si>
  <si>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</si>
  <si>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</si>
  <si>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</si>
  <si>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</si>
  <si>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</si>
  <si>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</si>
  <si>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</si>
  <si>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</si>
  <si>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</si>
  <si>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</si>
  <si>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</si>
  <si>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</si>
  <si>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</si>
  <si>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</si>
  <si>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</si>
  <si>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</si>
  <si>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</si>
  <si>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</si>
  <si>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</si>
  <si>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</si>
  <si>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</si>
  <si>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</si>
  <si>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</si>
  <si>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</si>
  <si>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</si>
  <si>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</si>
  <si>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</si>
  <si>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</si>
  <si>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</si>
  <si>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</si>
  <si>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</si>
  <si>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</si>
  <si>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</si>
  <si>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</si>
  <si>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</si>
  <si>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</si>
  <si>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</si>
  <si>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</si>
  <si>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</si>
  <si>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</si>
  <si>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</si>
  <si>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</si>
  <si>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</si>
  <si>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</si>
  <si>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</si>
  <si>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</si>
  <si>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</si>
  <si>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</si>
  <si>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</si>
  <si>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</si>
  <si>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</si>
  <si>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</si>
  <si>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</si>
  <si>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</si>
  <si>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</si>
  <si>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</si>
  <si>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</si>
  <si>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</si>
  <si>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</si>
  <si>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</si>
  <si>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</si>
  <si>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</si>
  <si>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</si>
  <si>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</si>
  <si>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</si>
  <si>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</si>
  <si>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</si>
  <si>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</si>
  <si>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</si>
  <si>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</si>
  <si>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</si>
  <si>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</si>
  <si>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</si>
  <si>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</si>
  <si>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</si>
  <si>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</si>
  <si>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</si>
  <si>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</si>
  <si>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</si>
  <si>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</si>
  <si>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</si>
  <si>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</si>
  <si>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</si>
  <si>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</si>
  <si>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</si>
  <si>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</si>
  <si>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</si>
  <si>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</si>
  <si>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</si>
  <si>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</si>
  <si>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</si>
  <si>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</si>
  <si>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</si>
  <si>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</si>
  <si>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</si>
  <si>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</si>
  <si>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</si>
  <si>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</si>
  <si>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</si>
  <si>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</si>
  <si>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대전TIPS타운 조성 공사</t>
    <phoneticPr fontId="2" type="noConversion"/>
  </si>
  <si>
    <t>교육연구</t>
  </si>
  <si>
    <t>대전시</t>
  </si>
  <si>
    <t>(지붕및홈통공사 포함)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</si>
  <si>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</si>
  <si>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</si>
  <si>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기초공사,골재비및운반비,작업부산물,품질시험비,기타공사</t>
    <phoneticPr fontId="2" type="noConversion"/>
  </si>
  <si>
    <t>공조배관공사,난방배관공사,우수처리시설공사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</si>
  <si>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</si>
  <si>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</si>
  <si>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</si>
  <si>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기타공사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</si>
  <si>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</si>
  <si>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</si>
  <si>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</si>
  <si>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</si>
  <si>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건축</t>
    <phoneticPr fontId="2" type="noConversion"/>
  </si>
  <si>
    <t>원/ m2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</si>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</sst>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4155.46</v>
      </c>
      <c r="D7" s="36">
        <f>+C7/3.3058</f>
        <v>1257.0209934055297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774630</v>
      </c>
      <c r="E25" s="59">
        <f t="shared" si="0"/>
        <v>2560770</v>
      </c>
    </row>
    <row r="26" spans="1:5" x14ac:dyDescent="0.3">
      <c r="B26" s="2">
        <v>3</v>
      </c>
      <c r="C26" s="35" t="s">
        <v>95</v>
      </c>
      <c r="D26" s="45">
        <f>+D66</f>
        <v>12060</v>
      </c>
      <c r="E26" s="59">
        <f t="shared" si="0"/>
        <v>39860</v>
      </c>
    </row>
    <row r="27" spans="1:5" x14ac:dyDescent="0.3">
      <c r="B27" s="2">
        <v>4</v>
      </c>
      <c r="C27" s="35" t="s">
        <v>96</v>
      </c>
      <c r="D27" s="45">
        <f>+D95</f>
        <v>256270</v>
      </c>
      <c r="E27" s="59">
        <f t="shared" si="0"/>
        <v>847170</v>
      </c>
    </row>
    <row r="28" spans="1:5" x14ac:dyDescent="0.3">
      <c r="B28" s="2">
        <v>5</v>
      </c>
      <c r="C28" s="35" t="s">
        <v>97</v>
      </c>
      <c r="D28" s="45">
        <f>+D119</f>
        <v>238860</v>
      </c>
      <c r="E28" s="59">
        <f t="shared" si="0"/>
        <v>789620</v>
      </c>
    </row>
    <row r="29" spans="1:5" x14ac:dyDescent="0.3">
      <c r="B29" s="2">
        <v>6</v>
      </c>
      <c r="C29" s="35" t="s">
        <v>98</v>
      </c>
      <c r="D29" s="45">
        <f>+D133</f>
        <v>132630</v>
      </c>
      <c r="E29" s="59">
        <f t="shared" si="0"/>
        <v>438440</v>
      </c>
    </row>
    <row r="30" spans="1:5" x14ac:dyDescent="0.3">
      <c r="B30" s="2">
        <v>7</v>
      </c>
      <c r="C30" s="35" t="s">
        <v>99</v>
      </c>
      <c r="D30" s="45">
        <f>+D146</f>
        <v>92600</v>
      </c>
      <c r="E30" s="59">
        <f t="shared" si="0"/>
        <v>306110</v>
      </c>
    </row>
    <row r="31" spans="1:5" x14ac:dyDescent="0.3">
      <c r="B31" s="2">
        <v>8</v>
      </c>
      <c r="C31" s="35" t="s">
        <v>100</v>
      </c>
      <c r="D31" s="45">
        <f>+D154</f>
        <v>55200</v>
      </c>
      <c r="E31" s="59">
        <f t="shared" si="0"/>
        <v>182480</v>
      </c>
    </row>
    <row r="32" spans="1:5" x14ac:dyDescent="0.3">
      <c r="B32" s="2">
        <v>9</v>
      </c>
      <c r="C32" s="35" t="s">
        <v>101</v>
      </c>
      <c r="D32" s="45">
        <f>+D161</f>
        <v>35720</v>
      </c>
      <c r="E32" s="59">
        <f t="shared" si="0"/>
        <v>118080</v>
      </c>
    </row>
    <row r="33" spans="1:7" x14ac:dyDescent="0.3">
      <c r="B33" s="2">
        <v>10</v>
      </c>
      <c r="C33" s="35" t="s">
        <v>154</v>
      </c>
      <c r="D33" s="53">
        <f>TRUNC(SUM(D24:D32)*0.275,-1)</f>
        <v>439440</v>
      </c>
      <c r="E33" s="60">
        <f t="shared" si="0"/>
        <v>1452700</v>
      </c>
    </row>
    <row r="34" spans="1:7" x14ac:dyDescent="0.3">
      <c r="C34" s="35" t="s">
        <v>112</v>
      </c>
      <c r="D34" s="44">
        <f>SUM(D24:D33)</f>
        <v>2037410</v>
      </c>
      <c r="E34" s="44">
        <f>SUM(E24:E33)</f>
        <v>6735230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264</v>
      </c>
      <c r="C39" s="56" t="s">
        <v>238</v>
      </c>
      <c r="D39" s="57" t="s">
        <v>265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TRUNC(59459,-1)</f>
        <v>59450</v>
      </c>
      <c r="E40" s="62">
        <f t="shared" ref="E40:E59" si="1">TRUNC(+D40*3.3058,-1)</f>
        <v>196520</v>
      </c>
    </row>
    <row r="41" spans="1:7" x14ac:dyDescent="0.3">
      <c r="A41" s="2">
        <v>2</v>
      </c>
      <c r="C41" s="38" t="s">
        <v>13</v>
      </c>
      <c r="D41" s="42">
        <f>TRUNC(185356,-1)</f>
        <v>185350</v>
      </c>
      <c r="E41" s="63">
        <f t="shared" si="1"/>
        <v>612730</v>
      </c>
    </row>
    <row r="42" spans="1:7" x14ac:dyDescent="0.3">
      <c r="A42" s="2">
        <v>3</v>
      </c>
      <c r="C42" s="38" t="s">
        <v>14</v>
      </c>
      <c r="D42" s="42">
        <f>TRUNC(16274,-1)</f>
        <v>16270</v>
      </c>
      <c r="E42" s="63">
        <f t="shared" si="1"/>
        <v>53780</v>
      </c>
    </row>
    <row r="43" spans="1:7" x14ac:dyDescent="0.3">
      <c r="A43" s="2">
        <v>4</v>
      </c>
      <c r="C43" s="38" t="s">
        <v>16</v>
      </c>
      <c r="D43" s="42">
        <f>TRUNC(16933,-1)</f>
        <v>16930</v>
      </c>
      <c r="E43" s="63">
        <f t="shared" si="1"/>
        <v>55960</v>
      </c>
    </row>
    <row r="44" spans="1:7" x14ac:dyDescent="0.3">
      <c r="A44" s="2">
        <v>5</v>
      </c>
      <c r="C44" s="38" t="s">
        <v>17</v>
      </c>
      <c r="D44" s="42">
        <f>TRUNC(19944,-1)</f>
        <v>19940</v>
      </c>
      <c r="E44" s="63">
        <f t="shared" si="1"/>
        <v>65910</v>
      </c>
    </row>
    <row r="45" spans="1:7" x14ac:dyDescent="0.3">
      <c r="A45" s="2">
        <v>6</v>
      </c>
      <c r="C45" s="38" t="s">
        <v>18</v>
      </c>
      <c r="D45" s="42">
        <f>TRUNC(18591,-1)</f>
        <v>18590</v>
      </c>
      <c r="E45" s="63">
        <f t="shared" si="1"/>
        <v>61450</v>
      </c>
    </row>
    <row r="46" spans="1:7" x14ac:dyDescent="0.3">
      <c r="A46" s="2">
        <v>7</v>
      </c>
      <c r="C46" s="38" t="s">
        <v>19</v>
      </c>
      <c r="D46" s="42">
        <f>TRUNC(27145,-1)</f>
        <v>27140</v>
      </c>
      <c r="E46" s="63">
        <f t="shared" si="1"/>
        <v>89710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TRUNC(34545,-1)</f>
        <v>34540</v>
      </c>
      <c r="E48" s="63">
        <f t="shared" si="1"/>
        <v>114180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TRUNC(12549,-1)</f>
        <v>12540</v>
      </c>
      <c r="E49" s="63">
        <f t="shared" si="1"/>
        <v>41450</v>
      </c>
    </row>
    <row r="50" spans="1:7" x14ac:dyDescent="0.3">
      <c r="A50" s="2">
        <v>11</v>
      </c>
      <c r="C50" s="38" t="s">
        <v>155</v>
      </c>
      <c r="D50" s="42">
        <f>TRUNC(41686,-1)</f>
        <v>41680</v>
      </c>
      <c r="E50" s="63">
        <f t="shared" si="1"/>
        <v>137780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TRUNC(13448,-1)</f>
        <v>13440</v>
      </c>
      <c r="E52" s="63">
        <f t="shared" si="1"/>
        <v>44420</v>
      </c>
    </row>
    <row r="53" spans="1:7" x14ac:dyDescent="0.3">
      <c r="A53" s="2">
        <v>14</v>
      </c>
      <c r="C53" s="38" t="s">
        <v>25</v>
      </c>
      <c r="D53" s="42">
        <f>TRUNC(85517,-1)</f>
        <v>85510</v>
      </c>
      <c r="E53" s="63">
        <f t="shared" si="1"/>
        <v>282670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TRUNC(10095+9471-1240+2317+4962,-1)</f>
        <v>25600</v>
      </c>
      <c r="E58" s="63">
        <f t="shared" si="1"/>
        <v>84620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TRUNC(217657,-1)</f>
        <v>217650</v>
      </c>
      <c r="E59" s="64">
        <f t="shared" si="1"/>
        <v>719500</v>
      </c>
    </row>
    <row r="60" spans="1:7" x14ac:dyDescent="0.3">
      <c r="A60" s="2">
        <v>21</v>
      </c>
      <c r="C60" s="27" t="s">
        <v>112</v>
      </c>
      <c r="D60" s="39">
        <f>SUM(D40:D59)</f>
        <v>774630</v>
      </c>
      <c r="E60" s="39">
        <f>SUM(E40:E59)</f>
        <v>2560680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TRUNC(12068,-1)</f>
        <v>12060</v>
      </c>
      <c r="E63" s="62">
        <f>TRUNC(+D63*3.3058,-1)</f>
        <v>39860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12060</v>
      </c>
      <c r="E66" s="65">
        <f>SUM(E63:E65)</f>
        <v>39860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TRUNC(4573,-1)</f>
        <v>4570</v>
      </c>
      <c r="E69" s="62">
        <f t="shared" ref="E69:E94" si="2">TRUNC(+D69*3.3058,-1)</f>
        <v>15100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TRUNC(5551,-1)</f>
        <v>5550</v>
      </c>
      <c r="E71" s="63">
        <f t="shared" si="2"/>
        <v>18340</v>
      </c>
    </row>
    <row r="72" spans="1:7" x14ac:dyDescent="0.3">
      <c r="A72" s="2">
        <v>4</v>
      </c>
      <c r="C72" s="38" t="s">
        <v>33</v>
      </c>
      <c r="D72" s="42">
        <f>TRUNC(5328,-1)</f>
        <v>5320</v>
      </c>
      <c r="E72" s="63">
        <f t="shared" si="2"/>
        <v>17580</v>
      </c>
    </row>
    <row r="73" spans="1:7" x14ac:dyDescent="0.3">
      <c r="A73" s="2">
        <v>5</v>
      </c>
      <c r="C73" s="38" t="s">
        <v>34</v>
      </c>
      <c r="D73" s="42">
        <f>TRUNC(10669,-1)</f>
        <v>10660</v>
      </c>
      <c r="E73" s="63">
        <f t="shared" si="2"/>
        <v>35230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TRUNC(3115,-1)</f>
        <v>3110</v>
      </c>
      <c r="E89" s="63">
        <f t="shared" si="2"/>
        <v>10280</v>
      </c>
    </row>
    <row r="90" spans="1:7" x14ac:dyDescent="0.3">
      <c r="A90" s="2">
        <v>22</v>
      </c>
      <c r="C90" s="38" t="s">
        <v>36</v>
      </c>
      <c r="D90" s="42">
        <f>TRUNC(164,-1)</f>
        <v>160</v>
      </c>
      <c r="E90" s="63">
        <f t="shared" si="2"/>
        <v>520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8020</v>
      </c>
      <c r="E92" s="63">
        <f t="shared" si="2"/>
        <v>26510</v>
      </c>
    </row>
    <row r="93" spans="1:7" x14ac:dyDescent="0.3">
      <c r="A93" s="2">
        <v>25</v>
      </c>
      <c r="C93" s="38" t="s">
        <v>148</v>
      </c>
      <c r="D93" s="42">
        <f>TRUNC(187905,-1)</f>
        <v>187900</v>
      </c>
      <c r="E93" s="63">
        <f t="shared" si="2"/>
        <v>621150</v>
      </c>
    </row>
    <row r="94" spans="1:7" ht="17.25" thickBot="1" x14ac:dyDescent="0.35">
      <c r="A94" s="2">
        <v>26</v>
      </c>
      <c r="C94" s="38" t="s">
        <v>47</v>
      </c>
      <c r="D94" s="43">
        <f>TRUNC(12675+1804+16507,-1)</f>
        <v>30980</v>
      </c>
      <c r="E94" s="64">
        <f t="shared" si="2"/>
        <v>102410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256270</v>
      </c>
      <c r="E95" s="39">
        <f>SUM(E69:E94)</f>
        <v>847120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TRUNC(11164,-1)</f>
        <v>11160</v>
      </c>
      <c r="E98" s="62">
        <f t="shared" ref="E98:E118" si="3">TRUNC(+D98*3.3058,-1)</f>
        <v>36890</v>
      </c>
    </row>
    <row r="99" spans="1:7" x14ac:dyDescent="0.3">
      <c r="A99" s="2">
        <v>2</v>
      </c>
      <c r="C99" s="38" t="s">
        <v>40</v>
      </c>
      <c r="D99" s="42">
        <f>TRUNC(16405,-1)</f>
        <v>16400</v>
      </c>
      <c r="E99" s="63">
        <f t="shared" si="3"/>
        <v>54210</v>
      </c>
    </row>
    <row r="100" spans="1:7" x14ac:dyDescent="0.3">
      <c r="A100" s="2">
        <v>3</v>
      </c>
      <c r="C100" s="38" t="s">
        <v>41</v>
      </c>
      <c r="D100" s="42">
        <f>TRUNC(42867,-1)</f>
        <v>42860</v>
      </c>
      <c r="E100" s="63">
        <f t="shared" si="3"/>
        <v>141680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TRUNC(27334,-1)</f>
        <v>27330</v>
      </c>
      <c r="E102" s="63">
        <f t="shared" si="3"/>
        <v>90340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TRUNC(17501,-1)</f>
        <v>17500</v>
      </c>
      <c r="E104" s="63">
        <f t="shared" si="3"/>
        <v>57850</v>
      </c>
    </row>
    <row r="105" spans="1:7" x14ac:dyDescent="0.3">
      <c r="A105" s="2">
        <v>8</v>
      </c>
      <c r="C105" s="38" t="s">
        <v>46</v>
      </c>
      <c r="D105" s="42">
        <v>7630</v>
      </c>
      <c r="E105" s="63">
        <f t="shared" si="3"/>
        <v>25220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TRUNC(3965,-1)</f>
        <v>3960</v>
      </c>
      <c r="E114" s="63">
        <f t="shared" si="3"/>
        <v>13090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TRUNC(11588,-1)</f>
        <v>11580</v>
      </c>
      <c r="E116" s="63">
        <f t="shared" si="3"/>
        <v>38280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TRUNC(100441,-1)</f>
        <v>100440</v>
      </c>
      <c r="E117" s="63">
        <f t="shared" si="3"/>
        <v>332030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238860</v>
      </c>
      <c r="E119" s="39">
        <f>SUM(E98:E118)</f>
        <v>789590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TRUNC(4586,-1)</f>
        <v>4580</v>
      </c>
      <c r="E122" s="62">
        <f t="shared" ref="E122:E132" si="4">TRUNC(+D122*3.3058,-1)</f>
        <v>15140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TRUNC(3247,-1)</f>
        <v>3240</v>
      </c>
      <c r="E124" s="63">
        <f t="shared" si="4"/>
        <v>10710</v>
      </c>
    </row>
    <row r="125" spans="1:7" x14ac:dyDescent="0.3">
      <c r="A125" s="2">
        <v>4</v>
      </c>
      <c r="C125" s="38" t="s">
        <v>138</v>
      </c>
      <c r="D125" s="42">
        <f>TRUNC(6852,-1)</f>
        <v>6850</v>
      </c>
      <c r="E125" s="63">
        <f t="shared" si="4"/>
        <v>22640</v>
      </c>
    </row>
    <row r="126" spans="1:7" x14ac:dyDescent="0.3">
      <c r="A126" s="2">
        <v>5</v>
      </c>
      <c r="C126" s="38" t="s">
        <v>53</v>
      </c>
      <c r="D126" s="42">
        <f>TRUNC(3146,-1)</f>
        <v>3140</v>
      </c>
      <c r="E126" s="63">
        <f t="shared" si="4"/>
        <v>10380</v>
      </c>
    </row>
    <row r="127" spans="1:7" x14ac:dyDescent="0.3">
      <c r="A127" s="2">
        <v>6</v>
      </c>
      <c r="C127" s="38" t="s">
        <v>56</v>
      </c>
      <c r="D127" s="42">
        <f>TRUNC(2094,-1)</f>
        <v>2090</v>
      </c>
      <c r="E127" s="63">
        <f t="shared" si="4"/>
        <v>6900</v>
      </c>
    </row>
    <row r="128" spans="1:7" x14ac:dyDescent="0.3">
      <c r="A128" s="2">
        <v>7</v>
      </c>
      <c r="C128" s="38" t="s">
        <v>46</v>
      </c>
      <c r="D128" s="42">
        <f>TRUNC(6734,-1)</f>
        <v>6730</v>
      </c>
      <c r="E128" s="63">
        <f t="shared" si="4"/>
        <v>22240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TRUNC(33607,-1)</f>
        <v>33600</v>
      </c>
      <c r="E130" s="63">
        <f t="shared" si="4"/>
        <v>111070</v>
      </c>
    </row>
    <row r="131" spans="1:7" x14ac:dyDescent="0.3">
      <c r="A131" s="2">
        <v>10</v>
      </c>
      <c r="C131" s="38" t="s">
        <v>148</v>
      </c>
      <c r="D131" s="42">
        <v>70170</v>
      </c>
      <c r="E131" s="63">
        <f t="shared" si="4"/>
        <v>231960</v>
      </c>
    </row>
    <row r="132" spans="1:7" ht="18" thickBot="1" x14ac:dyDescent="0.35">
      <c r="A132" s="2">
        <v>11</v>
      </c>
      <c r="C132" s="38" t="s">
        <v>47</v>
      </c>
      <c r="D132" s="43">
        <f>TRUNC(2232,-1)</f>
        <v>2230</v>
      </c>
      <c r="E132" s="64">
        <f t="shared" si="4"/>
        <v>7370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132630</v>
      </c>
      <c r="E133" s="39">
        <f>SUM(E122:E132)</f>
        <v>438410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TRUNC(236,-1)</f>
        <v>230</v>
      </c>
      <c r="E137" s="63">
        <f t="shared" si="5"/>
        <v>760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TRUNC(2916,-1)</f>
        <v>2910</v>
      </c>
      <c r="E139" s="63">
        <f t="shared" si="5"/>
        <v>9610</v>
      </c>
    </row>
    <row r="140" spans="1:7" x14ac:dyDescent="0.3">
      <c r="A140" s="2">
        <v>5</v>
      </c>
      <c r="C140" s="38" t="s">
        <v>57</v>
      </c>
      <c r="D140" s="42">
        <f>TRUNC(4986,-1)</f>
        <v>4980</v>
      </c>
      <c r="E140" s="63">
        <f t="shared" si="5"/>
        <v>16460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TRUNC(38034,-1)</f>
        <v>38030</v>
      </c>
      <c r="E142" s="63">
        <f t="shared" si="5"/>
        <v>125710</v>
      </c>
    </row>
    <row r="143" spans="1:7" x14ac:dyDescent="0.3">
      <c r="A143" s="2">
        <v>8</v>
      </c>
      <c r="C143" s="38" t="s">
        <v>62</v>
      </c>
      <c r="D143" s="42">
        <f>TRUNC(20471,-1)</f>
        <v>20470</v>
      </c>
      <c r="E143" s="63">
        <f t="shared" si="5"/>
        <v>67660</v>
      </c>
    </row>
    <row r="144" spans="1:7" x14ac:dyDescent="0.3">
      <c r="A144" s="2">
        <v>9</v>
      </c>
      <c r="C144" s="38" t="s">
        <v>63</v>
      </c>
      <c r="D144" s="42">
        <f>TRUNC(25989,-1)</f>
        <v>25980</v>
      </c>
      <c r="E144" s="63">
        <f t="shared" si="5"/>
        <v>85880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92600</v>
      </c>
      <c r="E146" s="39">
        <f>SUM(E136:E145)</f>
        <v>306080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TRUNC(1001+75,-1)</f>
        <v>1070</v>
      </c>
      <c r="E149" s="62">
        <f>TRUNC(+D149*3.3058,-1)</f>
        <v>3530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TRUNC(8931,-1)</f>
        <v>8930</v>
      </c>
      <c r="E150" s="63">
        <f>TRUNC(+D150*3.3058,-1)</f>
        <v>29520</v>
      </c>
    </row>
    <row r="151" spans="1:7" x14ac:dyDescent="0.3">
      <c r="A151" s="2">
        <v>3</v>
      </c>
      <c r="C151" s="38" t="s">
        <v>50</v>
      </c>
      <c r="D151" s="42">
        <f>TRUNC(8361,-1)</f>
        <v>8360</v>
      </c>
      <c r="E151" s="63">
        <f>TRUNC(+D151*3.3058,-1)</f>
        <v>27630</v>
      </c>
    </row>
    <row r="152" spans="1:7" x14ac:dyDescent="0.3">
      <c r="A152" s="2">
        <v>4</v>
      </c>
      <c r="C152" s="38" t="s">
        <v>47</v>
      </c>
      <c r="D152" s="42">
        <f>TRUNC(4511+6286,-1)</f>
        <v>10790</v>
      </c>
      <c r="E152" s="63">
        <f>TRUNC(+D152*3.3058,-1)</f>
        <v>35660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TRUNC(26051,-1)</f>
        <v>26050</v>
      </c>
      <c r="E153" s="64">
        <f>TRUNC(+D153*3.3058,-1)</f>
        <v>86110</v>
      </c>
    </row>
    <row r="154" spans="1:7" x14ac:dyDescent="0.3">
      <c r="A154" s="2">
        <v>6</v>
      </c>
      <c r="C154" s="27" t="s">
        <v>112</v>
      </c>
      <c r="D154" s="39">
        <f>SUM(D149:D153)</f>
        <v>55200</v>
      </c>
      <c r="E154" s="39">
        <f>SUM(E149:E153)</f>
        <v>182450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TRUNC(19645,-1)</f>
        <v>19640</v>
      </c>
      <c r="E157" s="62">
        <f>TRUNC(+D157*3.3058,-1)</f>
        <v>64920</v>
      </c>
    </row>
    <row r="158" spans="1:7" x14ac:dyDescent="0.3">
      <c r="A158" s="2">
        <v>2</v>
      </c>
      <c r="C158" s="38" t="s">
        <v>52</v>
      </c>
      <c r="D158" s="42">
        <f>TRUNC(3526,-1)</f>
        <v>3520</v>
      </c>
      <c r="E158" s="63">
        <f>TRUNC(+D158*3.3058,-1)</f>
        <v>11630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TRUNC(938+5576,-1)</f>
        <v>6510</v>
      </c>
      <c r="E159" s="63">
        <f>TRUNC(+D159*3.3058,-1)</f>
        <v>21520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TRUNC(6059,-1)</f>
        <v>6050</v>
      </c>
      <c r="E160" s="64">
        <f>TRUNC(+D160*3.3058,-1)</f>
        <v>20000</v>
      </c>
    </row>
    <row r="161" spans="1:5" x14ac:dyDescent="0.3">
      <c r="A161" s="2">
        <v>5</v>
      </c>
      <c r="C161" s="27" t="s">
        <v>112</v>
      </c>
      <c r="D161" s="39">
        <f>SUM(D157:D160)</f>
        <v>35720</v>
      </c>
      <c r="E161" s="39">
        <f>SUM(E157:E160)</f>
        <v>118070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2020-12-08T04:22:38Z</dcterms:modified>
</cp:coreProperties>
</file>