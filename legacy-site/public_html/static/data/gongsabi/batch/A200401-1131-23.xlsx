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46" i="4"/>
  <c r="E119" i="4"/>
  <c r="E154" i="4"/>
  <c r="D118" i="4"/>
  <c r="E118" i="4" s="1"/>
  <c r="D161" i="4" l="1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74" i="4"/>
  <c r="D66" i="4"/>
  <c r="D26" i="4" s="1"/>
  <c r="E26" i="4" s="1"/>
  <c r="D60" i="4"/>
  <c r="D25" i="4" s="1"/>
  <c r="E25" i="4" s="1"/>
  <c r="D31" i="4"/>
  <c r="E31" i="4" s="1"/>
  <c r="D24" i="4"/>
  <c r="E24" i="4" s="1"/>
  <c r="D7" i="4"/>
  <c r="D95" i="4" l="1"/>
  <c r="D27" i="4" s="1"/>
  <c r="E27" i="4" s="1"/>
  <c r="E34" i="4" s="1"/>
  <c r="E74" i="4"/>
  <c r="E95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<sst xmlns="http://schemas.openxmlformats.org/spreadsheetml/2006/main" count="385" uniqueCount="263">
  <si>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</si>
  <si>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</si>
  <si>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</si>
  <si>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</si>
  <si>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</si>
  <si>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</si>
  <si>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</si>
  <si>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</si>
  <si>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</si>
  <si>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</si>
  <si>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</si>
  <si>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</si>
  <si>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</si>
  <si>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</si>
  <si>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</si>
  <si>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</si>
  <si>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</si>
  <si>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</si>
  <si>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</si>
  <si>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</si>
  <si>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</si>
  <si>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</si>
  <si>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</si>
  <si>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</si>
  <si>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</si>
  <si>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</si>
  <si>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</si>
  <si>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</si>
  <si>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</si>
  <si>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</si>
  <si>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</si>
  <si>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</si>
  <si>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</si>
  <si>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</si>
  <si>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</si>
  <si>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</si>
  <si>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</si>
  <si>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</si>
  <si>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</si>
  <si>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</si>
  <si>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</si>
  <si>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</si>
  <si>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</si>
  <si>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</si>
  <si>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</si>
  <si>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</si>
  <si>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</si>
  <si>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</si>
  <si>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</si>
  <si>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</si>
  <si>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</si>
  <si>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</si>
  <si>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</si>
  <si>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</si>
  <si>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</si>
  <si>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</si>
  <si>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</si>
  <si>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</si>
  <si>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</si>
  <si>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</si>
  <si>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</si>
  <si>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</si>
  <si>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</si>
  <si>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</si>
  <si>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</si>
  <si>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</si>
  <si>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</si>
  <si>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</si>
  <si>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</si>
  <si>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</si>
  <si>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</si>
  <si>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</si>
  <si>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</si>
  <si>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</si>
  <si>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</si>
  <si>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</si>
  <si>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</si>
  <si>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</si>
  <si>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</si>
  <si>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</si>
  <si>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</si>
  <si>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</si>
  <si>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</si>
  <si>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</si>
  <si>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</si>
  <si>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</si>
  <si>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</si>
  <si>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</si>
  <si>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</si>
  <si>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</si>
  <si>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</si>
  <si>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</si>
  <si>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</si>
  <si>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</si>
  <si>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</si>
  <si>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</si>
  <si>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</si>
  <si>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</si>
  <si>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</si>
  <si>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</si>
  <si>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</si>
  <si>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</si>
  <si>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</si>
  <si>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</si>
  <si>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</si>
  <si>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</si>
  <si>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</si>
  <si>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</si>
  <si>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</si>
  <si>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</si>
  <si>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</si>
  <si>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</si>
  <si>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</si>
  <si>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</si>
  <si>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</si>
  <si>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</si>
  <si>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</si>
  <si>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</si>
  <si>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</si>
  <si>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</si>
  <si>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</si>
  <si>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</si>
  <si>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</si>
  <si>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</si>
  <si>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</si>
  <si>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</si>
  <si>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</si>
  <si>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</si>
  <si>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</si>
  <si>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</si>
  <si>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</si>
  <si>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</si>
  <si>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</si>
  <si>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</si>
  <si>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</si>
  <si>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</si>
  <si>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</si>
  <si>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</si>
  <si>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</si>
  <si>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</si>
  <si>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</si>
  <si>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</si>
  <si>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</si>
  <si>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</si>
  <si>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</si>
  <si>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</si>
  <si>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</si>
  <si>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</si>
  <si>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</si>
  <si>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</si>
  <si>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</si>
  <si>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</si>
  <si>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</si>
  <si>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</si>
  <si>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</si>
  <si>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</si>
  <si>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</si>
  <si>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</si>
  <si>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</si>
  <si>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</si>
  <si>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</si>
  <si>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</si>
  <si>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</si>
  <si>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</si>
  <si>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</si>
  <si>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</si>
  <si>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</si>
  <si>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</si>
  <si>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</si>
  <si>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</si>
  <si>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</si>
  <si>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</si>
  <si>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</si>
  <si>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</si>
  <si>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</si>
  <si>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</si>
  <si>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</si>
  <si>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</si>
  <si>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</si>
  <si>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</si>
  <si>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</si>
  <si>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</si>
  <si>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</si>
  <si>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</si>
  <si>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</si>
  <si>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</si>
  <si>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</si>
  <si>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</si>
  <si>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</si>
  <si>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</si>
  <si>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</si>
  <si>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</si>
  <si>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</si>
  <si>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</si>
  <si>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</si>
  <si>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</si>
  <si>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</si>
  <si>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</si>
  <si>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</si>
  <si>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</si>
  <si>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</si>
  <si>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</si>
  <si>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</si>
  <si>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</si>
  <si>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</si>
  <si>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</si>
  <si>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</si>
  <si>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</si>
  <si>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</si>
  <si>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</si>
  <si>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</si>
  <si>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</si>
  <si>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</si>
  <si>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</si>
  <si>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</si>
  <si>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</si>
  <si>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</si>
  <si>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</si>
  <si>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</si>
  <si>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</si>
  <si>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</si>
  <si>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</si>
  <si>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</si>
  <si>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</si>
  <si>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</si>
  <si>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</si>
  <si>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</si>
  <si>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</si>
  <si>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</si>
  <si>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</si>
  <si>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</si>
  <si>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</si>
  <si>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</si>
  <si>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</si>
  <si>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</si>
  <si>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</si>
  <si>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</si>
  <si>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</si>
  <si>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</si>
  <si>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</si>
  <si>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</si>
  <si>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</si>
  <si>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</si>
  <si>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</si>
  <si>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</si>
  <si>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</si>
  <si>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</si>
  <si>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</si>
  <si>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서울</t>
  </si>
  <si>
    <t>평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</si>
  <si>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</si>
  <si>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</si>
  <si>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</si>
  <si>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옥외인입공사</t>
    <phoneticPr fontId="2" type="noConversion"/>
  </si>
  <si>
    <t>서울 소재 00초등학교</t>
    <phoneticPr fontId="2" type="noConversion"/>
  </si>
  <si>
    <t>원/ m2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</si>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</sst>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H6" sqref="H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155</v>
      </c>
      <c r="B2" s="73" t="s">
        <v>0</v>
      </c>
      <c r="C2" s="74"/>
      <c r="D2" s="73" t="s">
        <v>1</v>
      </c>
      <c r="E2" s="74"/>
      <c r="F2" s="73" t="s">
        <v>156</v>
      </c>
      <c r="G2" s="74"/>
      <c r="H2" s="73" t="s">
        <v>2</v>
      </c>
      <c r="I2" s="74"/>
      <c r="J2" s="73" t="s">
        <v>3</v>
      </c>
      <c r="K2" s="74"/>
      <c r="L2" s="73" t="s">
        <v>157</v>
      </c>
      <c r="M2" s="74"/>
      <c r="N2" s="73" t="s">
        <v>158</v>
      </c>
      <c r="O2" s="74"/>
      <c r="P2" s="73" t="s">
        <v>5</v>
      </c>
      <c r="Q2" s="74"/>
      <c r="R2" s="67" t="s">
        <v>94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17" sqref="A17:C1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7691</v>
      </c>
      <c r="D7" s="36">
        <f>+C7/3.3058</f>
        <v>2326.5170306733621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536090</v>
      </c>
      <c r="E25" s="59">
        <f t="shared" si="0"/>
        <v>1772200</v>
      </c>
    </row>
    <row r="26" spans="1:5" x14ac:dyDescent="0.3">
      <c r="B26" s="2">
        <v>3</v>
      </c>
      <c r="C26" s="35" t="s">
        <v>95</v>
      </c>
      <c r="D26" s="45">
        <f>+D66</f>
        <v>31170</v>
      </c>
      <c r="E26" s="59">
        <f t="shared" si="0"/>
        <v>103040</v>
      </c>
    </row>
    <row r="27" spans="1:5" x14ac:dyDescent="0.3">
      <c r="B27" s="2">
        <v>4</v>
      </c>
      <c r="C27" s="35" t="s">
        <v>96</v>
      </c>
      <c r="D27" s="45">
        <f>+D95</f>
        <v>179030</v>
      </c>
      <c r="E27" s="59">
        <f t="shared" si="0"/>
        <v>591830</v>
      </c>
    </row>
    <row r="28" spans="1:5" x14ac:dyDescent="0.3">
      <c r="B28" s="2">
        <v>5</v>
      </c>
      <c r="C28" s="35" t="s">
        <v>97</v>
      </c>
      <c r="D28" s="45">
        <f>+D119</f>
        <v>51620</v>
      </c>
      <c r="E28" s="59">
        <f t="shared" si="0"/>
        <v>170640</v>
      </c>
    </row>
    <row r="29" spans="1:5" x14ac:dyDescent="0.3">
      <c r="B29" s="2">
        <v>6</v>
      </c>
      <c r="C29" s="35" t="s">
        <v>98</v>
      </c>
      <c r="D29" s="45">
        <f>+D133</f>
        <v>45290</v>
      </c>
      <c r="E29" s="59">
        <f t="shared" si="0"/>
        <v>149710</v>
      </c>
    </row>
    <row r="30" spans="1:5" x14ac:dyDescent="0.3">
      <c r="B30" s="2">
        <v>7</v>
      </c>
      <c r="C30" s="35" t="s">
        <v>99</v>
      </c>
      <c r="D30" s="45">
        <f>+D146</f>
        <v>10310</v>
      </c>
      <c r="E30" s="59">
        <f t="shared" si="0"/>
        <v>34080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6" x14ac:dyDescent="0.3">
      <c r="B33" s="2">
        <v>10</v>
      </c>
      <c r="C33" s="35" t="s">
        <v>153</v>
      </c>
      <c r="D33" s="53">
        <v>246130</v>
      </c>
      <c r="E33" s="60">
        <f t="shared" si="0"/>
        <v>813650</v>
      </c>
    </row>
    <row r="34" spans="1:6" x14ac:dyDescent="0.3">
      <c r="C34" s="35" t="s">
        <v>112</v>
      </c>
      <c r="D34" s="44">
        <f>SUM(D24:D33)</f>
        <v>1099640</v>
      </c>
      <c r="E34" s="44">
        <f>SUM(E24:E33)</f>
        <v>3635150</v>
      </c>
    </row>
    <row r="35" spans="1:6" s="55" customFormat="1" x14ac:dyDescent="0.3">
      <c r="C35" s="56"/>
      <c r="D35" s="56"/>
      <c r="E35" s="56"/>
      <c r="F35" s="54"/>
    </row>
    <row r="36" spans="1:6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256</v>
      </c>
      <c r="F36" s="54"/>
    </row>
    <row r="37" spans="1:6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6" s="65" customFormat="1" x14ac:dyDescent="0.3">
      <c r="C38" s="66"/>
      <c r="D38" s="66"/>
      <c r="E38" s="66"/>
    </row>
    <row r="39" spans="1:6" s="65" customFormat="1" ht="17.25" thickBot="1" x14ac:dyDescent="0.35">
      <c r="B39" s="65" t="s">
        <v>111</v>
      </c>
      <c r="C39" s="65" t="s">
        <v>241</v>
      </c>
      <c r="D39" s="66" t="s">
        <v>258</v>
      </c>
      <c r="E39" s="66" t="s">
        <v>259</v>
      </c>
    </row>
    <row r="40" spans="1:6" x14ac:dyDescent="0.3">
      <c r="A40" s="2">
        <v>1</v>
      </c>
      <c r="C40" s="38" t="s">
        <v>15</v>
      </c>
      <c r="D40" s="40">
        <v>41810</v>
      </c>
      <c r="E40" s="62">
        <f t="shared" ref="E40:E59" si="1">TRUNC(+D40*3.3058,-1)</f>
        <v>138210</v>
      </c>
    </row>
    <row r="41" spans="1:6" x14ac:dyDescent="0.3">
      <c r="A41" s="2">
        <v>2</v>
      </c>
      <c r="C41" s="38" t="s">
        <v>13</v>
      </c>
      <c r="D41" s="42">
        <v>233190</v>
      </c>
      <c r="E41" s="63">
        <f t="shared" si="1"/>
        <v>770870</v>
      </c>
    </row>
    <row r="42" spans="1:6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6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6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6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6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6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6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6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6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6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6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6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6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6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6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6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6" x14ac:dyDescent="0.3">
      <c r="A58" s="2">
        <v>19</v>
      </c>
      <c r="C58" s="38" t="s">
        <v>26</v>
      </c>
      <c r="D58" s="42">
        <v>261090</v>
      </c>
      <c r="E58" s="63">
        <f t="shared" si="1"/>
        <v>863110</v>
      </c>
      <c r="F58" s="2" t="s">
        <v>250</v>
      </c>
    </row>
    <row r="59" spans="1:6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6" x14ac:dyDescent="0.3">
      <c r="A60" s="2">
        <v>21</v>
      </c>
      <c r="C60" s="27" t="s">
        <v>112</v>
      </c>
      <c r="D60" s="39">
        <f>SUM(D40:D59)</f>
        <v>536090</v>
      </c>
      <c r="E60" s="39">
        <f>SUM(E40:E59)</f>
        <v>1772190</v>
      </c>
    </row>
    <row r="61" spans="1:6" s="55" customFormat="1" x14ac:dyDescent="0.3">
      <c r="C61" s="56"/>
      <c r="D61" s="56"/>
      <c r="E61" s="56"/>
      <c r="F61" s="54"/>
    </row>
    <row r="62" spans="1:6" s="55" customFormat="1" ht="17.25" thickBot="1" x14ac:dyDescent="0.35">
      <c r="B62" s="55" t="s">
        <v>238</v>
      </c>
      <c r="C62" s="55" t="s">
        <v>239</v>
      </c>
      <c r="D62" s="56" t="s">
        <v>235</v>
      </c>
      <c r="E62" s="56" t="s">
        <v>257</v>
      </c>
      <c r="F62" s="54"/>
    </row>
    <row r="63" spans="1:6" x14ac:dyDescent="0.3">
      <c r="A63" s="2">
        <v>1</v>
      </c>
      <c r="C63" s="38" t="s">
        <v>27</v>
      </c>
      <c r="D63" s="40">
        <v>31170</v>
      </c>
      <c r="E63" s="62">
        <f>TRUNC(+D63*3.3058,-1)</f>
        <v>103040</v>
      </c>
    </row>
    <row r="64" spans="1:6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6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6" x14ac:dyDescent="0.3">
      <c r="A66" s="2">
        <v>4</v>
      </c>
      <c r="C66" s="27" t="s">
        <v>112</v>
      </c>
      <c r="D66" s="57">
        <f>SUM(D63:D65)</f>
        <v>31170</v>
      </c>
      <c r="E66" s="57">
        <f>SUM(E63:E65)</f>
        <v>103040</v>
      </c>
    </row>
    <row r="67" spans="1:6" s="55" customFormat="1" x14ac:dyDescent="0.3">
      <c r="C67" s="56"/>
      <c r="D67" s="56"/>
      <c r="E67" s="56"/>
      <c r="F67" s="54"/>
    </row>
    <row r="68" spans="1:6" s="55" customFormat="1" ht="17.25" thickBot="1" x14ac:dyDescent="0.35">
      <c r="B68" s="55" t="s">
        <v>240</v>
      </c>
      <c r="C68" s="55" t="s">
        <v>241</v>
      </c>
      <c r="D68" s="56" t="s">
        <v>235</v>
      </c>
      <c r="E68" s="56" t="s">
        <v>257</v>
      </c>
      <c r="F68" s="54"/>
    </row>
    <row r="69" spans="1:6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6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6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6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6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6" x14ac:dyDescent="0.3">
      <c r="A74" s="2">
        <v>6</v>
      </c>
      <c r="C74" s="38" t="s">
        <v>175</v>
      </c>
      <c r="D74" s="42">
        <f>4950</f>
        <v>4950</v>
      </c>
      <c r="E74" s="63">
        <f>TRUNC(+D74*3.3058,-1)</f>
        <v>16360</v>
      </c>
    </row>
    <row r="75" spans="1:6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6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6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6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6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6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6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6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6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6" x14ac:dyDescent="0.3">
      <c r="A84" s="2">
        <v>16</v>
      </c>
      <c r="C84" s="38" t="s">
        <v>122</v>
      </c>
      <c r="D84" s="42">
        <v>22010</v>
      </c>
      <c r="E84" s="63">
        <f>TRUNC(+D84*3.3058,-1)</f>
        <v>72760</v>
      </c>
    </row>
    <row r="85" spans="1:6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6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6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6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6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6" x14ac:dyDescent="0.3">
      <c r="A90" s="2">
        <v>22</v>
      </c>
      <c r="C90" s="38" t="s">
        <v>36</v>
      </c>
      <c r="D90" s="42">
        <v>1780</v>
      </c>
      <c r="E90" s="63">
        <f>TRUNC(+D90*3.3058,-1)</f>
        <v>5880</v>
      </c>
    </row>
    <row r="91" spans="1:6" x14ac:dyDescent="0.3">
      <c r="A91" s="2">
        <v>23</v>
      </c>
      <c r="C91" s="38" t="s">
        <v>37</v>
      </c>
      <c r="D91" s="42">
        <v>11540</v>
      </c>
      <c r="E91" s="63">
        <f>TRUNC(+D91*3.3058,-1)</f>
        <v>38140</v>
      </c>
    </row>
    <row r="92" spans="1:6" x14ac:dyDescent="0.3">
      <c r="A92" s="2">
        <v>24</v>
      </c>
      <c r="C92" s="38" t="s">
        <v>38</v>
      </c>
      <c r="D92" s="42">
        <v>7070</v>
      </c>
      <c r="E92" s="63">
        <f>TRUNC(+D92*3.3058,-1)</f>
        <v>23370</v>
      </c>
    </row>
    <row r="93" spans="1:6" x14ac:dyDescent="0.3">
      <c r="A93" s="2">
        <v>25</v>
      </c>
      <c r="C93" s="38" t="s">
        <v>148</v>
      </c>
      <c r="D93" s="42">
        <v>104060</v>
      </c>
      <c r="E93" s="63">
        <f>TRUNC(+D93*3.3058,-1)</f>
        <v>344000</v>
      </c>
    </row>
    <row r="94" spans="1:6" ht="17.25" thickBot="1" x14ac:dyDescent="0.35">
      <c r="A94" s="2">
        <v>26</v>
      </c>
      <c r="C94" s="38" t="s">
        <v>47</v>
      </c>
      <c r="D94" s="43">
        <v>27620</v>
      </c>
      <c r="E94" s="64">
        <f>TRUNC(+D94*3.3058,-1)</f>
        <v>91300</v>
      </c>
      <c r="F94" s="2" t="s">
        <v>251</v>
      </c>
    </row>
    <row r="95" spans="1:6" x14ac:dyDescent="0.3">
      <c r="A95" s="2">
        <v>27</v>
      </c>
      <c r="C95" s="27" t="s">
        <v>112</v>
      </c>
      <c r="D95" s="39">
        <f>SUM(D69:D94)</f>
        <v>179030</v>
      </c>
      <c r="E95" s="39">
        <f>SUM(E69:E94)</f>
        <v>591810</v>
      </c>
    </row>
    <row r="96" spans="1:6" s="55" customFormat="1" x14ac:dyDescent="0.3">
      <c r="C96" s="56"/>
      <c r="D96" s="56"/>
      <c r="E96" s="56"/>
      <c r="F96" s="54"/>
    </row>
    <row r="97" spans="1:6" s="55" customFormat="1" ht="17.25" thickBot="1" x14ac:dyDescent="0.35">
      <c r="B97" s="55" t="s">
        <v>242</v>
      </c>
      <c r="C97" s="55" t="s">
        <v>241</v>
      </c>
      <c r="D97" s="56" t="s">
        <v>235</v>
      </c>
      <c r="E97" s="56" t="s">
        <v>257</v>
      </c>
      <c r="F97" s="54"/>
    </row>
    <row r="98" spans="1:6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6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6" x14ac:dyDescent="0.3">
      <c r="A100" s="2">
        <v>3</v>
      </c>
      <c r="C100" s="38" t="s">
        <v>41</v>
      </c>
      <c r="D100" s="42">
        <v>29660</v>
      </c>
      <c r="E100" s="63">
        <f t="shared" si="4"/>
        <v>98050</v>
      </c>
      <c r="F100" s="2" t="s">
        <v>252</v>
      </c>
    </row>
    <row r="101" spans="1:6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6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6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6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6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6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6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6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6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6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6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6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6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6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6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6" x14ac:dyDescent="0.3">
      <c r="A116" s="2">
        <v>19</v>
      </c>
      <c r="C116" s="38" t="s">
        <v>115</v>
      </c>
      <c r="D116" s="42">
        <v>1710</v>
      </c>
      <c r="E116" s="63">
        <f t="shared" si="4"/>
        <v>5650</v>
      </c>
      <c r="F116" s="2" t="s">
        <v>253</v>
      </c>
    </row>
    <row r="117" spans="1:6" x14ac:dyDescent="0.3">
      <c r="A117" s="2">
        <v>20</v>
      </c>
      <c r="C117" s="38" t="s">
        <v>148</v>
      </c>
      <c r="D117" s="42">
        <v>18370</v>
      </c>
      <c r="E117" s="63">
        <f t="shared" si="4"/>
        <v>60720</v>
      </c>
    </row>
    <row r="118" spans="1:6" ht="17.25" thickBot="1" x14ac:dyDescent="0.35">
      <c r="A118" s="2">
        <v>21</v>
      </c>
      <c r="C118" s="38" t="s">
        <v>47</v>
      </c>
      <c r="D118" s="43">
        <f>TRUNC(1886.18216096736,-1)</f>
        <v>1880</v>
      </c>
      <c r="E118" s="64">
        <f t="shared" si="4"/>
        <v>6210</v>
      </c>
    </row>
    <row r="119" spans="1:6" x14ac:dyDescent="0.3">
      <c r="A119" s="2">
        <v>22</v>
      </c>
      <c r="C119" s="27" t="s">
        <v>112</v>
      </c>
      <c r="D119" s="39">
        <f>SUM(D98:D118)</f>
        <v>51620</v>
      </c>
      <c r="E119" s="39">
        <f>SUM(E98:E118)</f>
        <v>170630</v>
      </c>
    </row>
    <row r="120" spans="1:6" s="55" customFormat="1" x14ac:dyDescent="0.3">
      <c r="C120" s="56"/>
      <c r="D120" s="56"/>
      <c r="E120" s="56"/>
      <c r="F120" s="54"/>
    </row>
    <row r="121" spans="1:6" s="55" customFormat="1" ht="17.25" thickBot="1" x14ac:dyDescent="0.35">
      <c r="B121" s="55" t="s">
        <v>243</v>
      </c>
      <c r="C121" s="55" t="s">
        <v>241</v>
      </c>
      <c r="D121" s="56" t="s">
        <v>235</v>
      </c>
      <c r="E121" s="56" t="s">
        <v>257</v>
      </c>
      <c r="F121" s="54"/>
    </row>
    <row r="122" spans="1:6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6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6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6" x14ac:dyDescent="0.3">
      <c r="A125" s="2">
        <v>4</v>
      </c>
      <c r="C125" s="38" t="s">
        <v>138</v>
      </c>
      <c r="D125" s="42">
        <v>6140</v>
      </c>
      <c r="E125" s="63">
        <f t="shared" si="5"/>
        <v>20290</v>
      </c>
    </row>
    <row r="126" spans="1:6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6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6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6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6" ht="17.25" customHeight="1" x14ac:dyDescent="0.3">
      <c r="A130" s="2">
        <v>9</v>
      </c>
      <c r="C130" s="38" t="s">
        <v>54</v>
      </c>
      <c r="D130" s="42">
        <v>2140</v>
      </c>
      <c r="E130" s="63">
        <f t="shared" si="5"/>
        <v>7070</v>
      </c>
    </row>
    <row r="131" spans="1:6" x14ac:dyDescent="0.3">
      <c r="A131" s="2">
        <v>10</v>
      </c>
      <c r="C131" s="38" t="s">
        <v>148</v>
      </c>
      <c r="D131" s="42">
        <v>36590</v>
      </c>
      <c r="E131" s="63">
        <f t="shared" si="5"/>
        <v>120950</v>
      </c>
    </row>
    <row r="132" spans="1:6" ht="17.25" thickBot="1" x14ac:dyDescent="0.35">
      <c r="A132" s="2">
        <v>11</v>
      </c>
      <c r="C132" s="38" t="s">
        <v>47</v>
      </c>
      <c r="D132" s="43">
        <v>420</v>
      </c>
      <c r="E132" s="64">
        <f t="shared" si="5"/>
        <v>1380</v>
      </c>
    </row>
    <row r="133" spans="1:6" x14ac:dyDescent="0.3">
      <c r="A133" s="2">
        <v>12</v>
      </c>
      <c r="C133" s="27" t="s">
        <v>112</v>
      </c>
      <c r="D133" s="39">
        <f>SUM(D122:D132)</f>
        <v>45290</v>
      </c>
      <c r="E133" s="39">
        <f>SUM(E122:E132)</f>
        <v>149690</v>
      </c>
    </row>
    <row r="134" spans="1:6" s="55" customFormat="1" x14ac:dyDescent="0.3">
      <c r="C134" s="56"/>
      <c r="D134" s="56"/>
      <c r="E134" s="56"/>
      <c r="F134" s="54"/>
    </row>
    <row r="135" spans="1:6" s="55" customFormat="1" ht="17.25" thickBot="1" x14ac:dyDescent="0.35">
      <c r="B135" s="55" t="s">
        <v>244</v>
      </c>
      <c r="C135" s="55" t="s">
        <v>241</v>
      </c>
      <c r="D135" s="56" t="s">
        <v>255</v>
      </c>
      <c r="E135" s="56" t="s">
        <v>257</v>
      </c>
      <c r="F135" s="54"/>
    </row>
    <row r="136" spans="1:6" x14ac:dyDescent="0.3">
      <c r="A136" s="2">
        <v>1</v>
      </c>
      <c r="C136" s="38" t="s">
        <v>131</v>
      </c>
      <c r="D136" s="40">
        <v>10310</v>
      </c>
      <c r="E136" s="62">
        <f t="shared" ref="E136:E145" si="6">TRUNC(+D136*3.3058,-1)</f>
        <v>34080</v>
      </c>
    </row>
    <row r="137" spans="1:6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6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6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6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6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6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6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6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6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6" x14ac:dyDescent="0.3">
      <c r="A146" s="2">
        <v>11</v>
      </c>
      <c r="C146" s="27" t="s">
        <v>112</v>
      </c>
      <c r="D146" s="39">
        <f>SUM(D136:D145)</f>
        <v>10310</v>
      </c>
      <c r="E146" s="39">
        <f>SUM(E136:E145)</f>
        <v>34080</v>
      </c>
    </row>
    <row r="147" spans="1:6" s="55" customFormat="1" x14ac:dyDescent="0.3">
      <c r="C147" s="56"/>
      <c r="D147" s="56"/>
      <c r="E147" s="56"/>
      <c r="F147" s="54"/>
    </row>
    <row r="148" spans="1:6" s="55" customFormat="1" ht="17.25" thickBot="1" x14ac:dyDescent="0.35">
      <c r="B148" s="55" t="s">
        <v>245</v>
      </c>
      <c r="C148" s="55" t="s">
        <v>241</v>
      </c>
      <c r="D148" s="56" t="s">
        <v>255</v>
      </c>
      <c r="E148" s="56" t="s">
        <v>257</v>
      </c>
      <c r="F148" s="54"/>
    </row>
    <row r="149" spans="1:6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6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6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6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6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6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6" s="55" customFormat="1" x14ac:dyDescent="0.3">
      <c r="C155" s="56"/>
      <c r="D155" s="56"/>
      <c r="E155" s="56"/>
      <c r="F155" s="54"/>
    </row>
    <row r="156" spans="1:6" s="55" customFormat="1" ht="17.25" thickBot="1" x14ac:dyDescent="0.35">
      <c r="B156" s="55" t="s">
        <v>246</v>
      </c>
      <c r="C156" s="55" t="s">
        <v>241</v>
      </c>
      <c r="D156" s="56" t="s">
        <v>255</v>
      </c>
      <c r="E156" s="56" t="s">
        <v>257</v>
      </c>
      <c r="F156" s="54"/>
    </row>
    <row r="157" spans="1:6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6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6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6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2020-12-07T10:21:54Z</dcterms:modified>
</cp:coreProperties>
</file>