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0" i="4"/>
  <c r="D149" i="4"/>
  <c r="D65" i="4"/>
  <c r="D63" i="4"/>
  <c r="D137" i="4"/>
  <c r="D144" i="4"/>
  <c r="D143" i="4"/>
  <c r="D139" i="4"/>
  <c r="D142" i="4"/>
  <c r="D140" i="4"/>
  <c r="D132" i="4"/>
  <c r="D128" i="4"/>
  <c r="D127" i="4"/>
  <c r="D124" i="4"/>
  <c r="D125" i="4"/>
  <c r="D126" i="4"/>
  <c r="D118" i="4"/>
  <c r="D105" i="4"/>
  <c r="D104" i="4"/>
  <c r="D103" i="4"/>
  <c r="D102" i="4"/>
  <c r="D101" i="4"/>
  <c r="D100" i="4"/>
  <c r="D114" i="4"/>
  <c r="D98" i="4"/>
  <c r="D116" i="4"/>
  <c r="D94" i="4"/>
  <c r="D75" i="4"/>
  <c r="D92" i="4"/>
  <c r="D91" i="4"/>
  <c r="D89" i="4"/>
  <c r="D73" i="4"/>
  <c r="D72" i="4"/>
  <c r="D71" i="4"/>
  <c r="D70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66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<sst xmlns="http://schemas.openxmlformats.org/spreadsheetml/2006/main" count="394" uniqueCount="268">
  <si>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</si>
  <si>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</si>
  <si>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</si>
  <si>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</si>
  <si>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</si>
  <si>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</si>
  <si>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</si>
  <si>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</si>
  <si>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</si>
  <si>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</si>
  <si>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</si>
  <si>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</si>
  <si>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</si>
  <si>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</si>
  <si>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</si>
  <si>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</si>
  <si>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</si>
  <si>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</si>
  <si>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</si>
  <si>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</si>
  <si>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</si>
  <si>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</si>
  <si>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</si>
  <si>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</si>
  <si>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</si>
  <si>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</si>
  <si>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</si>
  <si>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</si>
  <si>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</si>
  <si>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</si>
  <si>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</si>
  <si>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</si>
  <si>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</si>
  <si>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</si>
  <si>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</si>
  <si>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</si>
  <si>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</si>
  <si>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</si>
  <si>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</si>
  <si>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</si>
  <si>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</si>
  <si>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</si>
  <si>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</si>
  <si>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</si>
  <si>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</si>
  <si>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</si>
  <si>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</si>
  <si>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</si>
  <si>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</si>
  <si>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</si>
  <si>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</si>
  <si>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</si>
  <si>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</si>
  <si>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</si>
  <si>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</si>
  <si>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</si>
  <si>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</si>
  <si>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</si>
  <si>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</si>
  <si>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</si>
  <si>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</si>
  <si>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</si>
  <si>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</si>
  <si>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</si>
  <si>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</si>
  <si>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</si>
  <si>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</si>
  <si>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</si>
  <si>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</si>
  <si>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</si>
  <si>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</si>
  <si>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</si>
  <si>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</si>
  <si>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</si>
  <si>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</si>
  <si>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</si>
  <si>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</si>
  <si>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</si>
  <si>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</si>
  <si>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</si>
  <si>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</si>
  <si>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</si>
  <si>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</si>
  <si>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</si>
  <si>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</si>
  <si>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</si>
  <si>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</si>
  <si>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</si>
  <si>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</si>
  <si>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</si>
  <si>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</si>
  <si>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</si>
  <si>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</si>
  <si>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</si>
  <si>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</si>
  <si>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</si>
  <si>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</si>
  <si>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</si>
  <si>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</si>
  <si>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</si>
  <si>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</si>
  <si>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</si>
  <si>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</si>
  <si>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</si>
  <si>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</si>
  <si>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</si>
  <si>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</si>
  <si>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</si>
  <si>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</si>
  <si>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</si>
  <si>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</si>
  <si>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</si>
  <si>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</si>
  <si>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</si>
  <si>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</si>
  <si>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</si>
  <si>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</si>
  <si>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</si>
  <si>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</si>
  <si>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</si>
  <si>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</si>
  <si>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</si>
  <si>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</si>
  <si>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</si>
  <si>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</si>
  <si>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</si>
  <si>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</si>
  <si>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</si>
  <si>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</si>
  <si>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</si>
  <si>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</si>
  <si>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</si>
  <si>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</si>
  <si>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</si>
  <si>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</si>
  <si>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</si>
  <si>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</si>
  <si>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</si>
  <si>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</si>
  <si>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</si>
  <si>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</si>
  <si>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</si>
  <si>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</si>
  <si>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</si>
  <si>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</si>
  <si>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</si>
  <si>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</si>
  <si>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</si>
  <si>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</si>
  <si>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</si>
  <si>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</si>
  <si>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</si>
  <si>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</si>
  <si>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</si>
  <si>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</si>
  <si>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</si>
  <si>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</si>
  <si>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</si>
  <si>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</si>
  <si>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</si>
  <si>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</si>
  <si>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</si>
  <si>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</si>
  <si>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</si>
  <si>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</si>
  <si>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</si>
  <si>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</si>
  <si>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</si>
  <si>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</si>
  <si>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</si>
  <si>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</si>
  <si>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</si>
  <si>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</si>
  <si>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</si>
  <si>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</si>
  <si>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</si>
  <si>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</si>
  <si>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</si>
  <si>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</si>
  <si>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</si>
  <si>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</si>
  <si>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</si>
  <si>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</si>
  <si>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</si>
  <si>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</si>
  <si>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</si>
  <si>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</si>
  <si>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</si>
  <si>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</si>
  <si>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</si>
  <si>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</si>
  <si>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</si>
  <si>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</si>
  <si>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</si>
  <si>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</si>
  <si>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</si>
  <si>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</si>
  <si>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</si>
  <si>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</si>
  <si>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</si>
  <si>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</si>
  <si>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</si>
  <si>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</si>
  <si>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</si>
  <si>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</si>
  <si>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</si>
  <si>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</si>
  <si>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</si>
  <si>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</si>
  <si>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</si>
  <si>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</si>
  <si>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</si>
  <si>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</si>
  <si>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</si>
  <si>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</si>
  <si>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</si>
  <si>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</si>
  <si>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</si>
  <si>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</si>
  <si>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</si>
  <si>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</si>
  <si>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</si>
  <si>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</si>
  <si>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</si>
  <si>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</si>
  <si>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</si>
  <si>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</si>
  <si>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</si>
  <si>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</si>
  <si>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</si>
  <si>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</si>
  <si>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</si>
  <si>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</si>
  <si>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</si>
  <si>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</si>
  <si>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</si>
  <si>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</si>
  <si>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</si>
  <si>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</si>
  <si>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</si>
  <si>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</si>
  <si>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</si>
  <si>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</si>
  <si>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</si>
  <si>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</si>
  <si>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</si>
  <si>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</si>
  <si>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</si>
  <si>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</si>
  <si>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중구 국민체육센터 건립공사(건축, 토목, 조경, 기계)</t>
    <phoneticPr fontId="2" type="noConversion"/>
  </si>
  <si>
    <t>운동</t>
  </si>
  <si>
    <t>대구시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</si>
  <si>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</si>
  <si>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</si>
  <si>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</si>
  <si>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</si>
  <si>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난방배관공사,우수처리시설공사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</si>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</sst>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5273.8</v>
      </c>
      <c r="D7" s="36">
        <f>+C7/3.3058</f>
        <v>1595.3173210720552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1339880</v>
      </c>
      <c r="E25" s="59">
        <f t="shared" si="0"/>
        <v>4429370</v>
      </c>
    </row>
    <row r="26" spans="1:5" x14ac:dyDescent="0.3">
      <c r="B26" s="2">
        <v>3</v>
      </c>
      <c r="C26" s="35" t="s">
        <v>95</v>
      </c>
      <c r="D26" s="45">
        <f>+D66</f>
        <v>45450</v>
      </c>
      <c r="E26" s="59">
        <f t="shared" si="0"/>
        <v>150240</v>
      </c>
    </row>
    <row r="27" spans="1:5" x14ac:dyDescent="0.3">
      <c r="B27" s="2">
        <v>4</v>
      </c>
      <c r="C27" s="35" t="s">
        <v>96</v>
      </c>
      <c r="D27" s="45">
        <f>+D95</f>
        <v>254810</v>
      </c>
      <c r="E27" s="59">
        <f t="shared" si="0"/>
        <v>842350</v>
      </c>
    </row>
    <row r="28" spans="1:5" x14ac:dyDescent="0.3">
      <c r="B28" s="2">
        <v>5</v>
      </c>
      <c r="C28" s="35" t="s">
        <v>97</v>
      </c>
      <c r="D28" s="45">
        <f>+D119</f>
        <v>274010</v>
      </c>
      <c r="E28" s="59">
        <f t="shared" si="0"/>
        <v>905820</v>
      </c>
    </row>
    <row r="29" spans="1:5" x14ac:dyDescent="0.3">
      <c r="B29" s="2">
        <v>6</v>
      </c>
      <c r="C29" s="35" t="s">
        <v>98</v>
      </c>
      <c r="D29" s="45">
        <f>+D133</f>
        <v>96710</v>
      </c>
      <c r="E29" s="59">
        <f t="shared" si="0"/>
        <v>319700</v>
      </c>
    </row>
    <row r="30" spans="1:5" x14ac:dyDescent="0.3">
      <c r="B30" s="2">
        <v>7</v>
      </c>
      <c r="C30" s="35" t="s">
        <v>99</v>
      </c>
      <c r="D30" s="45">
        <f>+D146</f>
        <v>98130</v>
      </c>
      <c r="E30" s="59">
        <f t="shared" si="0"/>
        <v>324390</v>
      </c>
    </row>
    <row r="31" spans="1:5" x14ac:dyDescent="0.3">
      <c r="B31" s="2">
        <v>8</v>
      </c>
      <c r="C31" s="35" t="s">
        <v>100</v>
      </c>
      <c r="D31" s="45">
        <f>+D154</f>
        <v>24760</v>
      </c>
      <c r="E31" s="59">
        <f t="shared" si="0"/>
        <v>81850</v>
      </c>
    </row>
    <row r="32" spans="1:5" x14ac:dyDescent="0.3">
      <c r="B32" s="2">
        <v>9</v>
      </c>
      <c r="C32" s="35" t="s">
        <v>101</v>
      </c>
      <c r="D32" s="45">
        <f>+D161</f>
        <v>30770</v>
      </c>
      <c r="E32" s="59">
        <f t="shared" si="0"/>
        <v>101710</v>
      </c>
    </row>
    <row r="33" spans="1:7" x14ac:dyDescent="0.3">
      <c r="B33" s="2">
        <v>10</v>
      </c>
      <c r="C33" s="35" t="s">
        <v>154</v>
      </c>
      <c r="D33" s="53">
        <f>TRUNC(SUM(D24:D32)*0.275,-1)</f>
        <v>595240</v>
      </c>
      <c r="E33" s="60">
        <f t="shared" si="0"/>
        <v>1967740</v>
      </c>
    </row>
    <row r="34" spans="1:7" x14ac:dyDescent="0.3">
      <c r="C34" s="35" t="s">
        <v>112</v>
      </c>
      <c r="D34" s="44">
        <f>SUM(D24:D33)</f>
        <v>2759760</v>
      </c>
      <c r="E34" s="44">
        <f>SUM(E24:E33)</f>
        <v>9123170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TRUNC(67302,-1)</f>
        <v>67300</v>
      </c>
      <c r="E40" s="62">
        <f t="shared" ref="E40:E59" si="1">TRUNC(+D40*3.3058,-1)</f>
        <v>222480</v>
      </c>
    </row>
    <row r="41" spans="1:7" x14ac:dyDescent="0.3">
      <c r="A41" s="2">
        <v>2</v>
      </c>
      <c r="C41" s="38" t="s">
        <v>13</v>
      </c>
      <c r="D41" s="42">
        <f>TRUNC(214795,-1)</f>
        <v>214790</v>
      </c>
      <c r="E41" s="63">
        <f t="shared" si="1"/>
        <v>710050</v>
      </c>
    </row>
    <row r="42" spans="1:7" x14ac:dyDescent="0.3">
      <c r="A42" s="2">
        <v>3</v>
      </c>
      <c r="C42" s="38" t="s">
        <v>14</v>
      </c>
      <c r="D42" s="42">
        <f>TRUNC(72335,-1)</f>
        <v>72330</v>
      </c>
      <c r="E42" s="63">
        <f t="shared" si="1"/>
        <v>239100</v>
      </c>
    </row>
    <row r="43" spans="1:7" x14ac:dyDescent="0.3">
      <c r="A43" s="2">
        <v>4</v>
      </c>
      <c r="C43" s="38" t="s">
        <v>16</v>
      </c>
      <c r="D43" s="42">
        <f>TRUNC(20030,-1)</f>
        <v>20030</v>
      </c>
      <c r="E43" s="63">
        <f t="shared" si="1"/>
        <v>66210</v>
      </c>
    </row>
    <row r="44" spans="1:7" x14ac:dyDescent="0.3">
      <c r="A44" s="2">
        <v>5</v>
      </c>
      <c r="C44" s="38" t="s">
        <v>17</v>
      </c>
      <c r="D44" s="42">
        <f>TRUNC(34335,-1)</f>
        <v>34330</v>
      </c>
      <c r="E44" s="63">
        <f t="shared" si="1"/>
        <v>113480</v>
      </c>
    </row>
    <row r="45" spans="1:7" x14ac:dyDescent="0.3">
      <c r="A45" s="2">
        <v>6</v>
      </c>
      <c r="C45" s="38" t="s">
        <v>18</v>
      </c>
      <c r="D45" s="42">
        <f>TRUNC(4870,-1)</f>
        <v>4870</v>
      </c>
      <c r="E45" s="63">
        <f t="shared" si="1"/>
        <v>16090</v>
      </c>
    </row>
    <row r="46" spans="1:7" x14ac:dyDescent="0.3">
      <c r="A46" s="2">
        <v>7</v>
      </c>
      <c r="C46" s="38" t="s">
        <v>19</v>
      </c>
      <c r="D46" s="42">
        <f>TRUNC(23697,-1)</f>
        <v>23690</v>
      </c>
      <c r="E46" s="63">
        <f t="shared" si="1"/>
        <v>78310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TRUNC(188033,-1)</f>
        <v>188030</v>
      </c>
      <c r="E48" s="63">
        <f t="shared" si="1"/>
        <v>621580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TRUNC(20297,-1)</f>
        <v>20290</v>
      </c>
      <c r="E49" s="63">
        <f t="shared" si="1"/>
        <v>67070</v>
      </c>
    </row>
    <row r="50" spans="1:7" x14ac:dyDescent="0.3">
      <c r="A50" s="2">
        <v>11</v>
      </c>
      <c r="C50" s="38" t="s">
        <v>155</v>
      </c>
      <c r="D50" s="42">
        <f>TRUNC(64156,-1)</f>
        <v>64150</v>
      </c>
      <c r="E50" s="63">
        <f t="shared" si="1"/>
        <v>212060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TRUNC(72295,-1)</f>
        <v>72290</v>
      </c>
      <c r="E52" s="63">
        <f t="shared" si="1"/>
        <v>238970</v>
      </c>
    </row>
    <row r="53" spans="1:7" x14ac:dyDescent="0.3">
      <c r="A53" s="2">
        <v>14</v>
      </c>
      <c r="C53" s="38" t="s">
        <v>25</v>
      </c>
      <c r="D53" s="42">
        <f>TRUNC(150020,-1)</f>
        <v>150020</v>
      </c>
      <c r="E53" s="63">
        <f t="shared" si="1"/>
        <v>495930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TRUNC(26105+35504+9077-3797+1009+8097,-1)</f>
        <v>75990</v>
      </c>
      <c r="E58" s="63">
        <f t="shared" si="1"/>
        <v>251200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TRUNC(331773,-1)</f>
        <v>331770</v>
      </c>
      <c r="E59" s="64">
        <f t="shared" si="1"/>
        <v>1096760</v>
      </c>
    </row>
    <row r="60" spans="1:7" x14ac:dyDescent="0.3">
      <c r="A60" s="2">
        <v>21</v>
      </c>
      <c r="C60" s="27" t="s">
        <v>112</v>
      </c>
      <c r="D60" s="39">
        <f>SUM(D40:D59)</f>
        <v>1339880</v>
      </c>
      <c r="E60" s="39">
        <f>SUM(E40:E59)</f>
        <v>4429290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TRUNC(5265,-1)</f>
        <v>5260</v>
      </c>
      <c r="E63" s="62">
        <f>TRUNC(+D63*3.3058,-1)</f>
        <v>17380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TRUNC(40193,-1)</f>
        <v>40190</v>
      </c>
      <c r="E65" s="64">
        <f>TRUNC(+D65*3.3058,-1)</f>
        <v>132860</v>
      </c>
    </row>
    <row r="66" spans="1:7" x14ac:dyDescent="0.3">
      <c r="A66" s="2">
        <v>4</v>
      </c>
      <c r="C66" s="27" t="s">
        <v>112</v>
      </c>
      <c r="D66" s="39">
        <f>SUM(D63:D65)</f>
        <v>45450</v>
      </c>
      <c r="E66" s="65">
        <f>SUM(E63:E65)</f>
        <v>150240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TRUNC(20947,-1)</f>
        <v>20940</v>
      </c>
      <c r="E69" s="62">
        <f t="shared" ref="E69:E94" si="2">TRUNC(+D69*3.3058,-1)</f>
        <v>69220</v>
      </c>
    </row>
    <row r="70" spans="1:7" ht="16.5" customHeight="1" x14ac:dyDescent="0.3">
      <c r="A70" s="2">
        <v>2</v>
      </c>
      <c r="C70" s="38" t="s">
        <v>31</v>
      </c>
      <c r="D70" s="42">
        <f>TRUNC(3294,-1)</f>
        <v>3290</v>
      </c>
      <c r="E70" s="63">
        <f t="shared" si="2"/>
        <v>10870</v>
      </c>
    </row>
    <row r="71" spans="1:7" x14ac:dyDescent="0.3">
      <c r="A71" s="2">
        <v>3</v>
      </c>
      <c r="C71" s="38" t="s">
        <v>32</v>
      </c>
      <c r="D71" s="42">
        <f>TRUNC(10487,-1)</f>
        <v>10480</v>
      </c>
      <c r="E71" s="63">
        <f t="shared" si="2"/>
        <v>34640</v>
      </c>
    </row>
    <row r="72" spans="1:7" x14ac:dyDescent="0.3">
      <c r="A72" s="2">
        <v>4</v>
      </c>
      <c r="C72" s="38" t="s">
        <v>33</v>
      </c>
      <c r="D72" s="42">
        <f>TRUNC(2068,-1)</f>
        <v>2060</v>
      </c>
      <c r="E72" s="63">
        <f t="shared" si="2"/>
        <v>6800</v>
      </c>
    </row>
    <row r="73" spans="1:7" x14ac:dyDescent="0.3">
      <c r="A73" s="2">
        <v>5</v>
      </c>
      <c r="C73" s="38" t="s">
        <v>34</v>
      </c>
      <c r="D73" s="42">
        <f>TRUNC(17973,-1)</f>
        <v>17970</v>
      </c>
      <c r="E73" s="63">
        <f t="shared" si="2"/>
        <v>59400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TRUNC(539,-1)</f>
        <v>530</v>
      </c>
      <c r="E75" s="63">
        <f t="shared" si="2"/>
        <v>1750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TRUNC(4944,-1)</f>
        <v>4940</v>
      </c>
      <c r="E89" s="63">
        <f t="shared" si="2"/>
        <v>16330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TRUNC(6876,-1)</f>
        <v>6870</v>
      </c>
      <c r="E91" s="63">
        <f t="shared" si="2"/>
        <v>22710</v>
      </c>
    </row>
    <row r="92" spans="1:7" x14ac:dyDescent="0.3">
      <c r="A92" s="2">
        <v>24</v>
      </c>
      <c r="C92" s="38" t="s">
        <v>38</v>
      </c>
      <c r="D92" s="42">
        <f>TRUNC(7325,-1)</f>
        <v>7320</v>
      </c>
      <c r="E92" s="63">
        <f t="shared" si="2"/>
        <v>24190</v>
      </c>
    </row>
    <row r="93" spans="1:7" x14ac:dyDescent="0.3">
      <c r="A93" s="2">
        <v>25</v>
      </c>
      <c r="C93" s="38" t="s">
        <v>148</v>
      </c>
      <c r="D93" s="42">
        <f>TRUNC(165474,-1)</f>
        <v>165470</v>
      </c>
      <c r="E93" s="63">
        <f t="shared" si="2"/>
        <v>547010</v>
      </c>
    </row>
    <row r="94" spans="1:7" ht="17.25" thickBot="1" x14ac:dyDescent="0.35">
      <c r="A94" s="2">
        <v>26</v>
      </c>
      <c r="C94" s="38" t="s">
        <v>47</v>
      </c>
      <c r="D94" s="43">
        <f>TRUNC(3092+11857,-1)</f>
        <v>14940</v>
      </c>
      <c r="E94" s="64">
        <f t="shared" si="2"/>
        <v>49380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254810</v>
      </c>
      <c r="E95" s="39">
        <f>SUM(E69:E94)</f>
        <v>842300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TRUNC(25554,-1)</f>
        <v>25550</v>
      </c>
      <c r="E98" s="62">
        <f t="shared" ref="E98:E118" si="3">TRUNC(+D98*3.3058,-1)</f>
        <v>84460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TRUNC(35614,-1)</f>
        <v>35610</v>
      </c>
      <c r="E100" s="63">
        <f t="shared" si="3"/>
        <v>117710</v>
      </c>
    </row>
    <row r="101" spans="1:7" x14ac:dyDescent="0.3">
      <c r="A101" s="2">
        <v>4</v>
      </c>
      <c r="C101" s="38" t="s">
        <v>42</v>
      </c>
      <c r="D101" s="42">
        <f>TRUNC(2319,-1)</f>
        <v>2310</v>
      </c>
      <c r="E101" s="63">
        <f t="shared" si="3"/>
        <v>7630</v>
      </c>
    </row>
    <row r="102" spans="1:7" x14ac:dyDescent="0.3">
      <c r="A102" s="2">
        <v>5</v>
      </c>
      <c r="C102" s="38" t="s">
        <v>43</v>
      </c>
      <c r="D102" s="42">
        <f>TRUNC(11770,-1)</f>
        <v>11770</v>
      </c>
      <c r="E102" s="63">
        <f t="shared" si="3"/>
        <v>38900</v>
      </c>
    </row>
    <row r="103" spans="1:7" x14ac:dyDescent="0.3">
      <c r="A103" s="2">
        <v>6</v>
      </c>
      <c r="C103" s="38" t="s">
        <v>44</v>
      </c>
      <c r="D103" s="42">
        <f>TRUNC(6956,-1)</f>
        <v>6950</v>
      </c>
      <c r="E103" s="63">
        <f t="shared" si="3"/>
        <v>22970</v>
      </c>
    </row>
    <row r="104" spans="1:7" x14ac:dyDescent="0.3">
      <c r="A104" s="2">
        <v>7</v>
      </c>
      <c r="C104" s="38" t="s">
        <v>45</v>
      </c>
      <c r="D104" s="42">
        <f>TRUNC(3965,-1)</f>
        <v>3960</v>
      </c>
      <c r="E104" s="63">
        <f t="shared" si="3"/>
        <v>13090</v>
      </c>
    </row>
    <row r="105" spans="1:7" x14ac:dyDescent="0.3">
      <c r="A105" s="2">
        <v>8</v>
      </c>
      <c r="C105" s="38" t="s">
        <v>46</v>
      </c>
      <c r="D105" s="42">
        <f>TRUNC(7910,-1)</f>
        <v>7910</v>
      </c>
      <c r="E105" s="63">
        <f t="shared" si="3"/>
        <v>26140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TRUNC(4864,-1)</f>
        <v>4860</v>
      </c>
      <c r="E114" s="63">
        <f t="shared" si="3"/>
        <v>16060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TRUNC(14217,-1)</f>
        <v>14210</v>
      </c>
      <c r="E116" s="63">
        <f t="shared" si="3"/>
        <v>46970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TRUNC(158842,-1)</f>
        <v>158840</v>
      </c>
      <c r="E117" s="63">
        <f t="shared" si="3"/>
        <v>525090</v>
      </c>
    </row>
    <row r="118" spans="1:7" ht="17.25" thickBot="1" x14ac:dyDescent="0.35">
      <c r="A118" s="2">
        <v>21</v>
      </c>
      <c r="C118" s="38" t="s">
        <v>47</v>
      </c>
      <c r="D118" s="43">
        <f>TRUNC(2041,-1)</f>
        <v>2040</v>
      </c>
      <c r="E118" s="64">
        <f t="shared" si="3"/>
        <v>6740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274010</v>
      </c>
      <c r="E119" s="39">
        <f>SUM(E98:E118)</f>
        <v>905760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TRUNC(3171,-1)</f>
        <v>3170</v>
      </c>
      <c r="E124" s="63">
        <f t="shared" si="4"/>
        <v>10470</v>
      </c>
    </row>
    <row r="125" spans="1:7" x14ac:dyDescent="0.3">
      <c r="A125" s="2">
        <v>4</v>
      </c>
      <c r="C125" s="38" t="s">
        <v>138</v>
      </c>
      <c r="D125" s="42">
        <f>TRUNC(6546,-1)</f>
        <v>6540</v>
      </c>
      <c r="E125" s="63">
        <f t="shared" si="4"/>
        <v>21610</v>
      </c>
    </row>
    <row r="126" spans="1:7" x14ac:dyDescent="0.3">
      <c r="A126" s="2">
        <v>5</v>
      </c>
      <c r="C126" s="38" t="s">
        <v>53</v>
      </c>
      <c r="D126" s="42">
        <f>TRUNC(11767,-1)</f>
        <v>11760</v>
      </c>
      <c r="E126" s="63">
        <f t="shared" si="4"/>
        <v>38870</v>
      </c>
    </row>
    <row r="127" spans="1:7" x14ac:dyDescent="0.3">
      <c r="A127" s="2">
        <v>6</v>
      </c>
      <c r="C127" s="38" t="s">
        <v>56</v>
      </c>
      <c r="D127" s="42">
        <f>TRUNC(1702,-1)</f>
        <v>1700</v>
      </c>
      <c r="E127" s="63">
        <f t="shared" si="4"/>
        <v>5610</v>
      </c>
    </row>
    <row r="128" spans="1:7" x14ac:dyDescent="0.3">
      <c r="A128" s="2">
        <v>7</v>
      </c>
      <c r="C128" s="38" t="s">
        <v>46</v>
      </c>
      <c r="D128" s="42">
        <f>TRUNC(2379,-1)</f>
        <v>2370</v>
      </c>
      <c r="E128" s="63">
        <f t="shared" si="4"/>
        <v>7830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TRUNC(56890,-1)</f>
        <v>56890</v>
      </c>
      <c r="E131" s="63">
        <f t="shared" si="4"/>
        <v>188060</v>
      </c>
    </row>
    <row r="132" spans="1:7" ht="18" thickBot="1" x14ac:dyDescent="0.35">
      <c r="A132" s="2">
        <v>11</v>
      </c>
      <c r="C132" s="38" t="s">
        <v>47</v>
      </c>
      <c r="D132" s="43">
        <f>TRUNC(4936+9352,-1)</f>
        <v>14280</v>
      </c>
      <c r="E132" s="64">
        <f t="shared" si="4"/>
        <v>47200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96710</v>
      </c>
      <c r="E133" s="39">
        <f>SUM(E122:E132)</f>
        <v>319650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TRUNC(334+4315+1294,-1)</f>
        <v>5940</v>
      </c>
      <c r="E137" s="63">
        <f t="shared" si="5"/>
        <v>19630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TRUNC(4861,-1)</f>
        <v>4860</v>
      </c>
      <c r="E139" s="63">
        <f t="shared" si="5"/>
        <v>16060</v>
      </c>
    </row>
    <row r="140" spans="1:7" x14ac:dyDescent="0.3">
      <c r="A140" s="2">
        <v>5</v>
      </c>
      <c r="C140" s="38" t="s">
        <v>57</v>
      </c>
      <c r="D140" s="42">
        <f>TRUNC(4433,-1)</f>
        <v>4430</v>
      </c>
      <c r="E140" s="63">
        <f t="shared" si="5"/>
        <v>14640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TRUNC(61954,-1)</f>
        <v>61950</v>
      </c>
      <c r="E142" s="63">
        <f t="shared" si="5"/>
        <v>204790</v>
      </c>
    </row>
    <row r="143" spans="1:7" x14ac:dyDescent="0.3">
      <c r="A143" s="2">
        <v>8</v>
      </c>
      <c r="C143" s="38" t="s">
        <v>62</v>
      </c>
      <c r="D143" s="42">
        <f>TRUNC(10412,-1)</f>
        <v>10410</v>
      </c>
      <c r="E143" s="63">
        <f t="shared" si="5"/>
        <v>34410</v>
      </c>
    </row>
    <row r="144" spans="1:7" x14ac:dyDescent="0.3">
      <c r="A144" s="2">
        <v>9</v>
      </c>
      <c r="C144" s="38" t="s">
        <v>63</v>
      </c>
      <c r="D144" s="42">
        <f>TRUNC(10545,-1)</f>
        <v>10540</v>
      </c>
      <c r="E144" s="63">
        <f t="shared" si="5"/>
        <v>34840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98130</v>
      </c>
      <c r="E146" s="39">
        <f>SUM(E136:E145)</f>
        <v>324370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TRUNC(4133+1061,-1)</f>
        <v>5190</v>
      </c>
      <c r="E149" s="62">
        <f>TRUNC(+D149*3.3058,-1)</f>
        <v>17150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TRUNC(4967,-1)</f>
        <v>4960</v>
      </c>
      <c r="E150" s="63">
        <f>TRUNC(+D150*3.3058,-1)</f>
        <v>16390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TRUNC(8211+269+633,-1)</f>
        <v>9110</v>
      </c>
      <c r="E152" s="63">
        <f>TRUNC(+D152*3.3058,-1)</f>
        <v>30110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TRUNC(5501,-1)</f>
        <v>5500</v>
      </c>
      <c r="E153" s="64">
        <f>TRUNC(+D153*3.3058,-1)</f>
        <v>18180</v>
      </c>
    </row>
    <row r="154" spans="1:7" x14ac:dyDescent="0.3">
      <c r="A154" s="2">
        <v>6</v>
      </c>
      <c r="C154" s="27" t="s">
        <v>112</v>
      </c>
      <c r="D154" s="39">
        <f>SUM(D149:D153)</f>
        <v>24760</v>
      </c>
      <c r="E154" s="39">
        <f>SUM(E149:E153)</f>
        <v>81830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TRUNC(11369,-1)</f>
        <v>11360</v>
      </c>
      <c r="E157" s="62">
        <f>TRUNC(+D157*3.3058,-1)</f>
        <v>37550</v>
      </c>
    </row>
    <row r="158" spans="1:7" x14ac:dyDescent="0.3">
      <c r="A158" s="2">
        <v>2</v>
      </c>
      <c r="C158" s="38" t="s">
        <v>52</v>
      </c>
      <c r="D158" s="42">
        <f>TRUNC(3242,-1)</f>
        <v>3240</v>
      </c>
      <c r="E158" s="63">
        <f>TRUNC(+D158*3.3058,-1)</f>
        <v>10710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TRUNC(4867+1121,-1)</f>
        <v>5980</v>
      </c>
      <c r="E159" s="63">
        <f>TRUNC(+D159*3.3058,-1)</f>
        <v>19760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TRUNC(10198,-1)</f>
        <v>10190</v>
      </c>
      <c r="E160" s="64">
        <f>TRUNC(+D160*3.3058,-1)</f>
        <v>33680</v>
      </c>
    </row>
    <row r="161" spans="1:5" x14ac:dyDescent="0.3">
      <c r="A161" s="2">
        <v>5</v>
      </c>
      <c r="C161" s="27" t="s">
        <v>112</v>
      </c>
      <c r="D161" s="39">
        <f>SUM(D157:D160)</f>
        <v>30770</v>
      </c>
      <c r="E161" s="39">
        <f>SUM(E157:E160)</f>
        <v>101700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2020-12-08T04:35:11Z</dcterms:modified>
</cp:coreProperties>
</file>