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E160" i="4" l="1"/>
  <c r="E159" i="4"/>
  <c r="E158" i="4"/>
  <c r="E157" i="4"/>
  <c r="E153" i="4"/>
  <c r="E151" i="4"/>
  <c r="E150" i="4"/>
  <c r="E149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19" i="4" l="1"/>
  <c r="E161" i="4"/>
  <c r="D145" i="4"/>
  <c r="E145" i="4" s="1"/>
  <c r="E146" i="4" s="1"/>
  <c r="D161" i="4" l="1"/>
  <c r="D154" i="4"/>
  <c r="D31" i="4" s="1"/>
  <c r="E31" i="4" s="1"/>
  <c r="D152" i="4"/>
  <c r="E152" i="4" s="1"/>
  <c r="E154" i="4" s="1"/>
  <c r="D146" i="4"/>
  <c r="D30" i="4" s="1"/>
  <c r="E30" i="4" s="1"/>
  <c r="D123" i="4"/>
  <c r="E123" i="4" s="1"/>
  <c r="E133" i="4" s="1"/>
  <c r="D119" i="4"/>
  <c r="D28" i="4" s="1"/>
  <c r="E28" i="4" s="1"/>
  <c r="D95" i="4"/>
  <c r="D27" i="4" s="1"/>
  <c r="E27" i="4" s="1"/>
  <c r="D94" i="4"/>
  <c r="E94" i="4" s="1"/>
  <c r="E95" i="4" s="1"/>
  <c r="D66" i="4"/>
  <c r="D59" i="4"/>
  <c r="D58" i="4"/>
  <c r="E58" i="4" s="1"/>
  <c r="D32" i="4"/>
  <c r="E32" i="4" s="1"/>
  <c r="D26" i="4"/>
  <c r="E26" i="4" s="1"/>
  <c r="D24" i="4"/>
  <c r="E24" i="4" s="1"/>
  <c r="D7" i="4"/>
  <c r="D60" i="4" l="1"/>
  <c r="D25" i="4" s="1"/>
  <c r="E25" i="4" s="1"/>
  <c r="E59" i="4"/>
  <c r="E60" i="4" s="1"/>
  <c r="D133" i="4"/>
  <c r="D29" i="4" s="1"/>
  <c r="E29" i="4" s="1"/>
  <c r="D33" i="4" l="1"/>
  <c r="E33" i="4" s="1"/>
  <c r="E34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<sst xmlns="http://schemas.openxmlformats.org/spreadsheetml/2006/main" count="397" uniqueCount="270">
  <si>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</si>
  <si>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</si>
  <si>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</si>
  <si>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</si>
  <si>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</si>
  <si>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</si>
  <si>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</si>
  <si>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</si>
  <si>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</si>
  <si>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</si>
  <si>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</si>
  <si>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</si>
  <si>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</si>
  <si>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</si>
  <si>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</si>
  <si>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</si>
  <si>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</si>
  <si>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</si>
  <si>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</si>
  <si>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</si>
  <si>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</si>
  <si>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</si>
  <si>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</si>
  <si>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</si>
  <si>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</si>
  <si>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</si>
  <si>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</si>
  <si>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</si>
  <si>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</si>
  <si>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</si>
  <si>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</si>
  <si>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</si>
  <si>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</si>
  <si>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</si>
  <si>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</si>
  <si>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</si>
  <si>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</si>
  <si>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</si>
  <si>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</si>
  <si>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</si>
  <si>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</si>
  <si>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</si>
  <si>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</si>
  <si>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</si>
  <si>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</si>
  <si>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</si>
  <si>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</si>
  <si>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</si>
  <si>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</si>
  <si>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</si>
  <si>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</si>
  <si>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</si>
  <si>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</si>
  <si>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</si>
  <si>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</si>
  <si>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</si>
  <si>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</si>
  <si>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</si>
  <si>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</si>
  <si>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</si>
  <si>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</si>
  <si>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</si>
  <si>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</si>
  <si>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</si>
  <si>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</si>
  <si>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</si>
  <si>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</si>
  <si>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</si>
  <si>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</si>
  <si>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</si>
  <si>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</si>
  <si>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</si>
  <si>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</si>
  <si>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</si>
  <si>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</si>
  <si>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</si>
  <si>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</si>
  <si>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</si>
  <si>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</si>
  <si>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</si>
  <si>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</si>
  <si>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</si>
  <si>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</si>
  <si>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</si>
  <si>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</si>
  <si>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</si>
  <si>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</si>
  <si>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</si>
  <si>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</si>
  <si>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</si>
  <si>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</si>
  <si>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</si>
  <si>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</si>
  <si>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</si>
  <si>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</si>
  <si>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</si>
  <si>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</si>
  <si>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</si>
  <si>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</si>
  <si>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</si>
  <si>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</si>
  <si>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</si>
  <si>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</si>
  <si>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</si>
  <si>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</si>
  <si>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</si>
  <si>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</si>
  <si>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</si>
  <si>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</si>
  <si>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</si>
  <si>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</si>
  <si>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</si>
  <si>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</si>
  <si>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</si>
  <si>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</si>
  <si>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</si>
  <si>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</si>
  <si>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</si>
  <si>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</si>
  <si>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</si>
  <si>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</si>
  <si>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</si>
  <si>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</si>
  <si>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</si>
  <si>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</si>
  <si>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</si>
  <si>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</si>
  <si>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</si>
  <si>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</si>
  <si>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</si>
  <si>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</si>
  <si>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</si>
  <si>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</si>
  <si>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</si>
  <si>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</si>
  <si>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</si>
  <si>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</si>
  <si>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</si>
  <si>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</si>
  <si>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</si>
  <si>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</si>
  <si>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</si>
  <si>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</si>
  <si>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</si>
  <si>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</si>
  <si>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</si>
  <si>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</si>
  <si>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</si>
  <si>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</si>
  <si>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</si>
  <si>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</si>
  <si>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</si>
  <si>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</si>
  <si>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</si>
  <si>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</si>
  <si>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</si>
  <si>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</si>
  <si>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</si>
  <si>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</si>
  <si>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</si>
  <si>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</si>
  <si>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</si>
  <si>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</si>
  <si>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</si>
  <si>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</si>
  <si>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</si>
  <si>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</si>
  <si>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</si>
  <si>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</si>
  <si>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</si>
  <si>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</si>
  <si>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</si>
  <si>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</si>
  <si>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</si>
  <si>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</si>
  <si>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</si>
  <si>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</si>
  <si>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</si>
  <si>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</si>
  <si>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</si>
  <si>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</si>
  <si>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</si>
  <si>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</si>
  <si>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</si>
  <si>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</si>
  <si>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</si>
  <si>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</si>
  <si>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</si>
  <si>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</si>
  <si>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</si>
  <si>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</si>
  <si>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</si>
  <si>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</si>
  <si>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</si>
  <si>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</si>
  <si>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</si>
  <si>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</si>
  <si>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</si>
  <si>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</si>
  <si>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</si>
  <si>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</si>
  <si>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</si>
  <si>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</si>
  <si>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</si>
  <si>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</si>
  <si>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</si>
  <si>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</si>
  <si>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</si>
  <si>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</si>
  <si>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</si>
  <si>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</si>
  <si>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</si>
  <si>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</si>
  <si>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</si>
  <si>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</si>
  <si>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</si>
  <si>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</si>
  <si>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</si>
  <si>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</si>
  <si>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</si>
  <si>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</si>
  <si>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</si>
  <si>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</si>
  <si>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</si>
  <si>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</si>
  <si>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</si>
  <si>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</si>
  <si>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</si>
  <si>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</si>
  <si>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</si>
  <si>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</si>
  <si>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</si>
  <si>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</si>
  <si>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</si>
  <si>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</si>
  <si>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</si>
  <si>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</si>
  <si>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</si>
  <si>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</si>
  <si>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</si>
  <si>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</si>
  <si>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</si>
  <si>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</si>
  <si>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</si>
  <si>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</si>
  <si>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</si>
  <si>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</si>
  <si>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</si>
  <si>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공주대학교 사범대학 부설중고 기숙사 신축공사</t>
  </si>
  <si>
    <t>충청도</t>
  </si>
  <si>
    <t>원/ m2</t>
    <phoneticPr fontId="2" type="noConversion"/>
  </si>
  <si>
    <t>목 및 수장공사</t>
  </si>
  <si>
    <t>토및지정공사,골재대,정화조공사,철거공사,운반비,작업부산물</t>
    <phoneticPr fontId="2" type="noConversion"/>
  </si>
  <si>
    <t>옥외위생배관공사</t>
    <phoneticPr fontId="2" type="noConversion"/>
  </si>
  <si>
    <t>난방배관공사</t>
    <phoneticPr fontId="2" type="noConversion"/>
  </si>
  <si>
    <t>작업부산물</t>
    <phoneticPr fontId="2" type="noConversion"/>
  </si>
  <si>
    <t>냉난방전원설치공사</t>
    <phoneticPr fontId="2" type="noConversion"/>
  </si>
  <si>
    <t>전등자동제어공사</t>
    <phoneticPr fontId="2" type="noConversion"/>
  </si>
  <si>
    <t>전화설비공사,LAN설비공사</t>
    <phoneticPr fontId="2" type="noConversion"/>
  </si>
  <si>
    <t>오수공사</t>
    <phoneticPr fontId="2" type="noConversion"/>
  </si>
  <si>
    <t>배수공사,부대공,사급자재</t>
    <phoneticPr fontId="2" type="noConversion"/>
  </si>
  <si>
    <t>도급자설치, 관급자 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</si>
  <si>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</si>
  <si>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</si>
  <si>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기계소화배관공사,전기 자탐설비공사,전기 비상조명설비공사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</si>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</sst>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4542</v>
      </c>
      <c r="D7" s="36">
        <f>+C7/3.3058</f>
        <v>1373.9488172303224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522930</v>
      </c>
      <c r="E25" s="60">
        <f t="shared" si="0"/>
        <v>1728700</v>
      </c>
    </row>
    <row r="26" spans="1:5" x14ac:dyDescent="0.3">
      <c r="B26" s="2">
        <v>3</v>
      </c>
      <c r="C26" s="35" t="s">
        <v>95</v>
      </c>
      <c r="D26" s="45">
        <f>+D66</f>
        <v>9450</v>
      </c>
      <c r="E26" s="60">
        <f t="shared" si="0"/>
        <v>31230</v>
      </c>
    </row>
    <row r="27" spans="1:5" x14ac:dyDescent="0.3">
      <c r="B27" s="2">
        <v>4</v>
      </c>
      <c r="C27" s="35" t="s">
        <v>96</v>
      </c>
      <c r="D27" s="45">
        <f>+D95</f>
        <v>102270</v>
      </c>
      <c r="E27" s="60">
        <f t="shared" si="0"/>
        <v>338080</v>
      </c>
    </row>
    <row r="28" spans="1:5" x14ac:dyDescent="0.3">
      <c r="B28" s="2">
        <v>5</v>
      </c>
      <c r="C28" s="35" t="s">
        <v>97</v>
      </c>
      <c r="D28" s="45">
        <f>+D119</f>
        <v>47730</v>
      </c>
      <c r="E28" s="60">
        <f t="shared" si="0"/>
        <v>157780</v>
      </c>
    </row>
    <row r="29" spans="1:5" x14ac:dyDescent="0.3">
      <c r="B29" s="2">
        <v>6</v>
      </c>
      <c r="C29" s="35" t="s">
        <v>98</v>
      </c>
      <c r="D29" s="45">
        <f>+D133</f>
        <v>35950</v>
      </c>
      <c r="E29" s="60">
        <f t="shared" si="0"/>
        <v>118840</v>
      </c>
    </row>
    <row r="30" spans="1:5" x14ac:dyDescent="0.3">
      <c r="B30" s="2">
        <v>7</v>
      </c>
      <c r="C30" s="35" t="s">
        <v>99</v>
      </c>
      <c r="D30" s="45">
        <f>+D146</f>
        <v>28260</v>
      </c>
      <c r="E30" s="60">
        <f t="shared" si="0"/>
        <v>93420</v>
      </c>
    </row>
    <row r="31" spans="1:5" x14ac:dyDescent="0.3">
      <c r="B31" s="2">
        <v>8</v>
      </c>
      <c r="C31" s="35" t="s">
        <v>100</v>
      </c>
      <c r="D31" s="45">
        <f>+D154</f>
        <v>51220</v>
      </c>
      <c r="E31" s="60">
        <f t="shared" si="0"/>
        <v>169320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219390</v>
      </c>
      <c r="E33" s="61">
        <f t="shared" si="0"/>
        <v>725250</v>
      </c>
    </row>
    <row r="34" spans="1:7" x14ac:dyDescent="0.3">
      <c r="C34" s="35" t="s">
        <v>112</v>
      </c>
      <c r="D34" s="44">
        <f>SUM(D24:D33)</f>
        <v>1017200</v>
      </c>
      <c r="E34" s="44">
        <f>SUM(E24:E33)</f>
        <v>3362620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v>26330</v>
      </c>
      <c r="E40" s="63">
        <f t="shared" ref="E40:E59" si="1">TRUNC(+D40*3.3058,-1)</f>
        <v>87040</v>
      </c>
    </row>
    <row r="41" spans="1:7" x14ac:dyDescent="0.3">
      <c r="A41" s="2">
        <v>2</v>
      </c>
      <c r="C41" s="38" t="s">
        <v>13</v>
      </c>
      <c r="D41" s="42">
        <v>130610</v>
      </c>
      <c r="E41" s="64">
        <f t="shared" si="1"/>
        <v>431770</v>
      </c>
    </row>
    <row r="42" spans="1:7" x14ac:dyDescent="0.3">
      <c r="A42" s="2">
        <v>3</v>
      </c>
      <c r="C42" s="38" t="s">
        <v>14</v>
      </c>
      <c r="D42" s="42">
        <v>1010</v>
      </c>
      <c r="E42" s="64">
        <f t="shared" si="1"/>
        <v>3330</v>
      </c>
    </row>
    <row r="43" spans="1:7" x14ac:dyDescent="0.3">
      <c r="A43" s="2">
        <v>4</v>
      </c>
      <c r="C43" s="38" t="s">
        <v>16</v>
      </c>
      <c r="D43" s="42">
        <v>18490</v>
      </c>
      <c r="E43" s="64">
        <f t="shared" si="1"/>
        <v>61120</v>
      </c>
    </row>
    <row r="44" spans="1:7" x14ac:dyDescent="0.3">
      <c r="A44" s="2">
        <v>5</v>
      </c>
      <c r="C44" s="38" t="s">
        <v>17</v>
      </c>
      <c r="D44" s="42">
        <v>18630</v>
      </c>
      <c r="E44" s="64">
        <f t="shared" si="1"/>
        <v>61580</v>
      </c>
    </row>
    <row r="45" spans="1:7" x14ac:dyDescent="0.3">
      <c r="A45" s="2">
        <v>6</v>
      </c>
      <c r="C45" s="38" t="s">
        <v>18</v>
      </c>
      <c r="D45" s="42">
        <v>12010</v>
      </c>
      <c r="E45" s="64">
        <f t="shared" si="1"/>
        <v>39700</v>
      </c>
    </row>
    <row r="46" spans="1:7" x14ac:dyDescent="0.3">
      <c r="A46" s="2">
        <v>7</v>
      </c>
      <c r="C46" s="38" t="s">
        <v>19</v>
      </c>
      <c r="D46" s="42">
        <v>36550</v>
      </c>
      <c r="E46" s="64">
        <f t="shared" si="1"/>
        <v>120820</v>
      </c>
    </row>
    <row r="47" spans="1:7" x14ac:dyDescent="0.3">
      <c r="A47" s="2">
        <v>8</v>
      </c>
      <c r="C47" s="38" t="s">
        <v>20</v>
      </c>
      <c r="D47" s="42">
        <v>23010</v>
      </c>
      <c r="E47" s="64">
        <f t="shared" si="1"/>
        <v>76060</v>
      </c>
      <c r="F47" s="2" t="s">
        <v>251</v>
      </c>
    </row>
    <row r="48" spans="1:7" x14ac:dyDescent="0.3">
      <c r="A48" s="2">
        <v>9</v>
      </c>
      <c r="C48" s="38" t="s">
        <v>21</v>
      </c>
      <c r="D48" s="42">
        <v>43050</v>
      </c>
      <c r="E48" s="64">
        <f t="shared" si="1"/>
        <v>142310</v>
      </c>
    </row>
    <row r="49" spans="1:7" x14ac:dyDescent="0.3">
      <c r="A49" s="2">
        <v>10</v>
      </c>
      <c r="C49" s="38" t="s">
        <v>22</v>
      </c>
      <c r="D49" s="42">
        <v>13910</v>
      </c>
      <c r="E49" s="64">
        <f t="shared" si="1"/>
        <v>45980</v>
      </c>
    </row>
    <row r="50" spans="1:7" x14ac:dyDescent="0.3">
      <c r="A50" s="2">
        <v>11</v>
      </c>
      <c r="C50" s="38" t="s">
        <v>154</v>
      </c>
      <c r="D50" s="42">
        <v>14650</v>
      </c>
      <c r="E50" s="64">
        <f t="shared" si="1"/>
        <v>48420</v>
      </c>
    </row>
    <row r="51" spans="1:7" x14ac:dyDescent="0.3">
      <c r="A51" s="2">
        <v>12</v>
      </c>
      <c r="C51" s="38" t="s">
        <v>23</v>
      </c>
      <c r="D51" s="42">
        <v>5680</v>
      </c>
      <c r="E51" s="64">
        <f t="shared" si="1"/>
        <v>18770</v>
      </c>
    </row>
    <row r="52" spans="1:7" x14ac:dyDescent="0.3">
      <c r="A52" s="2">
        <v>13</v>
      </c>
      <c r="C52" s="38" t="s">
        <v>24</v>
      </c>
      <c r="D52" s="42">
        <v>12910</v>
      </c>
      <c r="E52" s="64">
        <f t="shared" si="1"/>
        <v>42670</v>
      </c>
    </row>
    <row r="53" spans="1:7" x14ac:dyDescent="0.3">
      <c r="A53" s="2">
        <v>14</v>
      </c>
      <c r="C53" s="38" t="s">
        <v>25</v>
      </c>
      <c r="D53" s="42">
        <v>0</v>
      </c>
      <c r="E53" s="64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6570+4730+16910+2280-6880</f>
        <v>23610</v>
      </c>
      <c r="E58" s="64">
        <f t="shared" si="1"/>
        <v>78040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108630+33850</f>
        <v>142480</v>
      </c>
      <c r="E59" s="65">
        <f t="shared" si="1"/>
        <v>471010</v>
      </c>
      <c r="F59" s="2" t="s">
        <v>261</v>
      </c>
    </row>
    <row r="60" spans="1:7" x14ac:dyDescent="0.3">
      <c r="A60" s="2">
        <v>21</v>
      </c>
      <c r="C60" s="27" t="s">
        <v>112</v>
      </c>
      <c r="D60" s="39">
        <f>SUM(D40:D59)</f>
        <v>522930</v>
      </c>
      <c r="E60" s="39">
        <f>SUM(E40:E59)</f>
        <v>1728620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250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v>9450</v>
      </c>
      <c r="E63" s="63">
        <f>TRUNC(+D63*3.3058,-1)</f>
        <v>31230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9450</v>
      </c>
      <c r="E66" s="57">
        <f>SUM(E63:E65)</f>
        <v>31230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250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v>17760</v>
      </c>
      <c r="E69" s="63">
        <f>TRUNC(+D69*3.3058,-1)</f>
        <v>58710</v>
      </c>
    </row>
    <row r="70" spans="1:7" ht="16.5" customHeight="1" x14ac:dyDescent="0.3">
      <c r="A70" s="2">
        <v>2</v>
      </c>
      <c r="C70" s="38" t="s">
        <v>31</v>
      </c>
      <c r="D70" s="42">
        <v>740</v>
      </c>
      <c r="E70" s="64">
        <f>TRUNC(+D70*3.3058,-1)</f>
        <v>2440</v>
      </c>
      <c r="F70" s="2" t="s">
        <v>253</v>
      </c>
    </row>
    <row r="71" spans="1:7" x14ac:dyDescent="0.3">
      <c r="A71" s="2">
        <v>3</v>
      </c>
      <c r="C71" s="38" t="s">
        <v>32</v>
      </c>
      <c r="D71" s="42">
        <v>7920</v>
      </c>
      <c r="E71" s="64">
        <f t="shared" ref="E71:E73" si="2">TRUNC(+D71*3.3058,-1)</f>
        <v>26180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12750</v>
      </c>
      <c r="E73" s="64">
        <f t="shared" si="2"/>
        <v>42140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2070</v>
      </c>
      <c r="E81" s="64">
        <f t="shared" si="3"/>
        <v>6840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25190</v>
      </c>
      <c r="E84" s="64">
        <f>TRUNC(+D84*3.3058,-1)</f>
        <v>83270</v>
      </c>
      <c r="F84" s="2" t="s">
        <v>254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12970</v>
      </c>
      <c r="E89" s="64">
        <f t="shared" si="3"/>
        <v>42870</v>
      </c>
    </row>
    <row r="90" spans="1:7" x14ac:dyDescent="0.3">
      <c r="A90" s="2">
        <v>22</v>
      </c>
      <c r="C90" s="38" t="s">
        <v>36</v>
      </c>
      <c r="D90" s="42">
        <v>1170</v>
      </c>
      <c r="E90" s="64">
        <f>TRUNC(+D90*3.3058,-1)</f>
        <v>3860</v>
      </c>
    </row>
    <row r="91" spans="1:7" x14ac:dyDescent="0.3">
      <c r="A91" s="2">
        <v>23</v>
      </c>
      <c r="C91" s="38" t="s">
        <v>37</v>
      </c>
      <c r="D91" s="42">
        <v>670</v>
      </c>
      <c r="E91" s="64">
        <f>TRUNC(+D91*3.3058,-1)</f>
        <v>2210</v>
      </c>
      <c r="F91" s="2" t="s">
        <v>134</v>
      </c>
    </row>
    <row r="92" spans="1:7" x14ac:dyDescent="0.3">
      <c r="A92" s="2">
        <v>24</v>
      </c>
      <c r="C92" s="38" t="s">
        <v>38</v>
      </c>
      <c r="D92" s="42">
        <v>13330</v>
      </c>
      <c r="E92" s="64">
        <f>TRUNC(+D92*3.3058,-1)</f>
        <v>44060</v>
      </c>
    </row>
    <row r="93" spans="1:7" x14ac:dyDescent="0.3">
      <c r="A93" s="2">
        <v>25</v>
      </c>
      <c r="C93" s="38" t="s">
        <v>148</v>
      </c>
      <c r="D93" s="42">
        <v>8430</v>
      </c>
      <c r="E93" s="64">
        <f>TRUNC(+D93*3.3058,-1)</f>
        <v>27860</v>
      </c>
      <c r="F93" s="2" t="s">
        <v>262</v>
      </c>
    </row>
    <row r="94" spans="1:7" ht="17.25" thickBot="1" x14ac:dyDescent="0.35">
      <c r="A94" s="2">
        <v>26</v>
      </c>
      <c r="C94" s="38" t="s">
        <v>47</v>
      </c>
      <c r="D94" s="43">
        <f>-730</f>
        <v>-730</v>
      </c>
      <c r="E94" s="65">
        <f>TRUNC(+D94*3.3058,-1)</f>
        <v>-2410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102270</v>
      </c>
      <c r="E95" s="39">
        <f>SUM(E69:E94)</f>
        <v>338030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250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v>14960</v>
      </c>
      <c r="E98" s="63">
        <f t="shared" ref="E98:E118" si="4">TRUNC(+D98*3.3058,-1)</f>
        <v>49450</v>
      </c>
    </row>
    <row r="99" spans="1:7" x14ac:dyDescent="0.3">
      <c r="A99" s="2">
        <v>2</v>
      </c>
      <c r="C99" s="38" t="s">
        <v>40</v>
      </c>
      <c r="D99" s="42">
        <v>1370</v>
      </c>
      <c r="E99" s="64">
        <f t="shared" si="4"/>
        <v>4520</v>
      </c>
    </row>
    <row r="100" spans="1:7" x14ac:dyDescent="0.3">
      <c r="A100" s="2">
        <v>3</v>
      </c>
      <c r="C100" s="38" t="s">
        <v>41</v>
      </c>
      <c r="D100" s="42">
        <v>18080</v>
      </c>
      <c r="E100" s="64">
        <f t="shared" si="4"/>
        <v>59760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9590</v>
      </c>
      <c r="E102" s="64">
        <f t="shared" si="4"/>
        <v>31700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1020</v>
      </c>
      <c r="E104" s="64">
        <f t="shared" si="4"/>
        <v>3370</v>
      </c>
    </row>
    <row r="105" spans="1:7" x14ac:dyDescent="0.3">
      <c r="A105" s="2">
        <v>8</v>
      </c>
      <c r="C105" s="38" t="s">
        <v>46</v>
      </c>
      <c r="D105" s="42">
        <v>350</v>
      </c>
      <c r="E105" s="64">
        <f t="shared" si="4"/>
        <v>1150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  <c r="F108" s="2" t="s">
        <v>256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880</v>
      </c>
      <c r="E114" s="64">
        <f t="shared" si="4"/>
        <v>2900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1480</v>
      </c>
      <c r="E118" s="65">
        <f t="shared" si="4"/>
        <v>4890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47730</v>
      </c>
      <c r="E119" s="39">
        <f>SUM(E98:E118)</f>
        <v>157740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250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390</v>
      </c>
      <c r="E122" s="63">
        <f t="shared" ref="E122:E132" si="5">TRUNC(+D122*3.3058,-1)</f>
        <v>1280</v>
      </c>
    </row>
    <row r="123" spans="1:7" x14ac:dyDescent="0.3">
      <c r="A123" s="2">
        <v>2</v>
      </c>
      <c r="C123" s="38" t="s">
        <v>124</v>
      </c>
      <c r="D123" s="42">
        <f>1680+12830</f>
        <v>14510</v>
      </c>
      <c r="E123" s="64">
        <f t="shared" si="5"/>
        <v>47960</v>
      </c>
      <c r="F123" s="2" t="s">
        <v>258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4830</v>
      </c>
      <c r="E125" s="64">
        <f t="shared" si="5"/>
        <v>15960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16220</v>
      </c>
      <c r="E131" s="64">
        <f t="shared" si="5"/>
        <v>53620</v>
      </c>
      <c r="F131" s="2" t="s">
        <v>262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35950</v>
      </c>
      <c r="E133" s="39">
        <f>SUM(E122:E132)</f>
        <v>118820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250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5820+4850+1140</f>
        <v>11810</v>
      </c>
      <c r="E137" s="64">
        <f t="shared" si="6"/>
        <v>39040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2110</v>
      </c>
      <c r="E143" s="64">
        <f t="shared" si="6"/>
        <v>6970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TRUNC(11119.1105239982+3226.55217965654,-1)</f>
        <v>14340</v>
      </c>
      <c r="E145" s="65">
        <f t="shared" si="6"/>
        <v>47400</v>
      </c>
      <c r="F145" s="2" t="s">
        <v>263</v>
      </c>
    </row>
    <row r="146" spans="1:7" x14ac:dyDescent="0.3">
      <c r="A146" s="2">
        <v>11</v>
      </c>
      <c r="C146" s="27" t="s">
        <v>112</v>
      </c>
      <c r="D146" s="39">
        <f>SUM(D136:D145)</f>
        <v>28260</v>
      </c>
      <c r="E146" s="39">
        <f>SUM(E136:E145)</f>
        <v>93410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250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260</v>
      </c>
      <c r="E149" s="63">
        <f>TRUNC(+D149*3.3058,-1)</f>
        <v>850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v>6240</v>
      </c>
      <c r="E150" s="64">
        <f>TRUNC(+D150*3.3058,-1)</f>
        <v>20620</v>
      </c>
    </row>
    <row r="151" spans="1:7" x14ac:dyDescent="0.3">
      <c r="A151" s="2">
        <v>3</v>
      </c>
      <c r="C151" s="38" t="s">
        <v>50</v>
      </c>
      <c r="D151" s="42">
        <v>24810</v>
      </c>
      <c r="E151" s="64">
        <f>TRUNC(+D151*3.3058,-1)</f>
        <v>82010</v>
      </c>
    </row>
    <row r="152" spans="1:7" x14ac:dyDescent="0.3">
      <c r="A152" s="2">
        <v>4</v>
      </c>
      <c r="C152" s="38" t="s">
        <v>47</v>
      </c>
      <c r="D152" s="42">
        <f>8640+4240+7030</f>
        <v>19910</v>
      </c>
      <c r="E152" s="64">
        <f>TRUNC(+D152*3.3058,-1)</f>
        <v>65810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51220</v>
      </c>
      <c r="E154" s="39">
        <f>SUM(E149:E153)</f>
        <v>169290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250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2020-12-07T09:04:04Z</dcterms:modified>
</cp:coreProperties>
</file>