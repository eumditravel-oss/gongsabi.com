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2" i="4"/>
  <c r="D151" i="4"/>
  <c r="D150" i="4"/>
  <c r="D149" i="4"/>
  <c r="D144" i="4"/>
  <c r="D143" i="4"/>
  <c r="D142" i="4"/>
  <c r="D141" i="4"/>
  <c r="D140" i="4"/>
  <c r="D132" i="4"/>
  <c r="D130" i="4"/>
  <c r="D128" i="4"/>
  <c r="D125" i="4"/>
  <c r="D124" i="4"/>
  <c r="D122" i="4"/>
  <c r="D118" i="4"/>
  <c r="D117" i="4"/>
  <c r="D116" i="4"/>
  <c r="D114" i="4"/>
  <c r="D104" i="4"/>
  <c r="D103" i="4"/>
  <c r="D102" i="4"/>
  <c r="D100" i="4"/>
  <c r="D99" i="4"/>
  <c r="D98" i="4"/>
  <c r="D94" i="4"/>
  <c r="D91" i="4"/>
  <c r="D89" i="4"/>
  <c r="D73" i="4"/>
  <c r="D72" i="4"/>
  <c r="D71" i="4"/>
  <c r="D70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<sst xmlns="http://schemas.openxmlformats.org/spreadsheetml/2006/main" count="393" uniqueCount="269">
  <si>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</si>
  <si>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</si>
  <si>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</si>
  <si>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</si>
  <si>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</si>
  <si>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</si>
  <si>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</si>
  <si>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</si>
  <si>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</si>
  <si>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</si>
  <si>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</si>
  <si>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</si>
  <si>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</si>
  <si>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</si>
  <si>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</si>
  <si>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</si>
  <si>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</si>
  <si>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</si>
  <si>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</si>
  <si>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</si>
  <si>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</si>
  <si>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</si>
  <si>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</si>
  <si>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</si>
  <si>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</si>
  <si>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</si>
  <si>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</si>
  <si>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</si>
  <si>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</si>
  <si>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</si>
  <si>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</si>
  <si>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</si>
  <si>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</si>
  <si>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</si>
  <si>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</si>
  <si>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</si>
  <si>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</si>
  <si>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</si>
  <si>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</si>
  <si>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</si>
  <si>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</si>
  <si>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</si>
  <si>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</si>
  <si>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</si>
  <si>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</si>
  <si>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</si>
  <si>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</si>
  <si>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</si>
  <si>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</si>
  <si>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</si>
  <si>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</si>
  <si>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</si>
  <si>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</si>
  <si>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</si>
  <si>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</si>
  <si>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</si>
  <si>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</si>
  <si>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</si>
  <si>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</si>
  <si>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</si>
  <si>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</si>
  <si>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</si>
  <si>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</si>
  <si>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</si>
  <si>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</si>
  <si>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</si>
  <si>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</si>
  <si>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</si>
  <si>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</si>
  <si>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</si>
  <si>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</si>
  <si>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</si>
  <si>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</si>
  <si>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</si>
  <si>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</si>
  <si>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</si>
  <si>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</si>
  <si>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</si>
  <si>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</si>
  <si>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</si>
  <si>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</si>
  <si>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</si>
  <si>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</si>
  <si>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</si>
  <si>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</si>
  <si>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</si>
  <si>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</si>
  <si>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</si>
  <si>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</si>
  <si>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</si>
  <si>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</si>
  <si>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</si>
  <si>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</si>
  <si>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</si>
  <si>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</si>
  <si>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</si>
  <si>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</si>
  <si>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</si>
  <si>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</si>
  <si>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</si>
  <si>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</si>
  <si>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</si>
  <si>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</si>
  <si>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</si>
  <si>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</si>
  <si>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</si>
  <si>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</si>
  <si>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</si>
  <si>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</si>
  <si>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</si>
  <si>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</si>
  <si>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</si>
  <si>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</si>
  <si>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</si>
  <si>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</si>
  <si>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</si>
  <si>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</si>
  <si>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</si>
  <si>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</si>
  <si>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</si>
  <si>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</si>
  <si>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</si>
  <si>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</si>
  <si>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</si>
  <si>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</si>
  <si>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</si>
  <si>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</si>
  <si>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</si>
  <si>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</si>
  <si>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</si>
  <si>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</si>
  <si>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</si>
  <si>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</si>
  <si>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</si>
  <si>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</si>
  <si>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</si>
  <si>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</si>
  <si>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</si>
  <si>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</si>
  <si>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</si>
  <si>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</si>
  <si>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</si>
  <si>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</si>
  <si>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</si>
  <si>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</si>
  <si>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</si>
  <si>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</si>
  <si>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</si>
  <si>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</si>
  <si>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</si>
  <si>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</si>
  <si>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</si>
  <si>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</si>
  <si>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</si>
  <si>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</si>
  <si>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</si>
  <si>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</si>
  <si>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</si>
  <si>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</si>
  <si>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</si>
  <si>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</si>
  <si>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</si>
  <si>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</si>
  <si>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</si>
  <si>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</si>
  <si>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</si>
  <si>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</si>
  <si>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</si>
  <si>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</si>
  <si>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</si>
  <si>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</si>
  <si>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</si>
  <si>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</si>
  <si>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</si>
  <si>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</si>
  <si>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</si>
  <si>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</si>
  <si>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</si>
  <si>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</si>
  <si>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</si>
  <si>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</si>
  <si>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</si>
  <si>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</si>
  <si>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</si>
  <si>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</si>
  <si>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</si>
  <si>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</si>
  <si>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</si>
  <si>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</si>
  <si>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</si>
  <si>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</si>
  <si>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</si>
  <si>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</si>
  <si>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</si>
  <si>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</si>
  <si>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</si>
  <si>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</si>
  <si>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</si>
  <si>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</si>
  <si>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</si>
  <si>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</si>
  <si>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</si>
  <si>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</si>
  <si>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</si>
  <si>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</si>
  <si>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</si>
  <si>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</si>
  <si>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</si>
  <si>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</si>
  <si>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</si>
  <si>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</si>
  <si>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</si>
  <si>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</si>
  <si>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</si>
  <si>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</si>
  <si>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</si>
  <si>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</si>
  <si>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</si>
  <si>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</si>
  <si>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</si>
  <si>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</si>
  <si>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</si>
  <si>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</si>
  <si>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</si>
  <si>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</si>
  <si>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</si>
  <si>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</si>
  <si>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</si>
  <si>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</si>
  <si>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</si>
  <si>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</si>
  <si>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</si>
  <si>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</si>
  <si>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</si>
  <si>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</si>
  <si>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</si>
  <si>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</si>
  <si>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</si>
  <si>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</si>
  <si>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</si>
  <si>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</si>
  <si>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</si>
  <si>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</si>
  <si>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</si>
  <si>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</si>
  <si>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</si>
  <si>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</si>
  <si>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</si>
  <si>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</si>
  <si>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</si>
  <si>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</si>
  <si>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</si>
  <si>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</si>
  <si>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</si>
  <si>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</si>
  <si>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</si>
  <si>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</si>
  <si>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</si>
  <si>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</si>
  <si>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</si>
  <si>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가칭) 혁신중학교 신축공사</t>
    <phoneticPr fontId="2" type="noConversion"/>
  </si>
  <si>
    <t>강원도</t>
  </si>
  <si>
    <t>옥외보안등설비공사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</si>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</sst>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11957.7</v>
      </c>
      <c r="D7" s="36">
        <f>+C7/3.3058</f>
        <v>3617.1879726541233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954700</v>
      </c>
      <c r="E25" s="59">
        <f t="shared" si="0"/>
        <v>3156040</v>
      </c>
    </row>
    <row r="26" spans="1:5" x14ac:dyDescent="0.3">
      <c r="B26" s="2">
        <v>3</v>
      </c>
      <c r="C26" s="35" t="s">
        <v>95</v>
      </c>
      <c r="D26" s="45">
        <f>+D66</f>
        <v>5080</v>
      </c>
      <c r="E26" s="59">
        <f t="shared" si="0"/>
        <v>16790</v>
      </c>
    </row>
    <row r="27" spans="1:5" x14ac:dyDescent="0.3">
      <c r="B27" s="2">
        <v>4</v>
      </c>
      <c r="C27" s="35" t="s">
        <v>96</v>
      </c>
      <c r="D27" s="45">
        <f>+D95</f>
        <v>51730</v>
      </c>
      <c r="E27" s="59">
        <f t="shared" si="0"/>
        <v>171000</v>
      </c>
    </row>
    <row r="28" spans="1:5" x14ac:dyDescent="0.3">
      <c r="B28" s="2">
        <v>5</v>
      </c>
      <c r="C28" s="35" t="s">
        <v>97</v>
      </c>
      <c r="D28" s="45">
        <f>+D119</f>
        <v>201830</v>
      </c>
      <c r="E28" s="59">
        <f t="shared" si="0"/>
        <v>667200</v>
      </c>
    </row>
    <row r="29" spans="1:5" x14ac:dyDescent="0.3">
      <c r="B29" s="2">
        <v>6</v>
      </c>
      <c r="C29" s="35" t="s">
        <v>98</v>
      </c>
      <c r="D29" s="45">
        <f>+D133</f>
        <v>113190</v>
      </c>
      <c r="E29" s="59">
        <f t="shared" si="0"/>
        <v>374180</v>
      </c>
    </row>
    <row r="30" spans="1:5" x14ac:dyDescent="0.3">
      <c r="B30" s="2">
        <v>7</v>
      </c>
      <c r="C30" s="35" t="s">
        <v>99</v>
      </c>
      <c r="D30" s="45">
        <f>+D146</f>
        <v>32610</v>
      </c>
      <c r="E30" s="59">
        <f t="shared" si="0"/>
        <v>107800</v>
      </c>
    </row>
    <row r="31" spans="1:5" x14ac:dyDescent="0.3">
      <c r="B31" s="2">
        <v>8</v>
      </c>
      <c r="C31" s="35" t="s">
        <v>100</v>
      </c>
      <c r="D31" s="45">
        <f>+D154</f>
        <v>35310</v>
      </c>
      <c r="E31" s="59">
        <f t="shared" si="0"/>
        <v>116720</v>
      </c>
    </row>
    <row r="32" spans="1:5" x14ac:dyDescent="0.3">
      <c r="B32" s="2">
        <v>9</v>
      </c>
      <c r="C32" s="35" t="s">
        <v>101</v>
      </c>
      <c r="D32" s="45">
        <f>+D161</f>
        <v>61320</v>
      </c>
      <c r="E32" s="59">
        <f t="shared" si="0"/>
        <v>202710</v>
      </c>
    </row>
    <row r="33" spans="1:7" x14ac:dyDescent="0.3">
      <c r="B33" s="2">
        <v>10</v>
      </c>
      <c r="C33" s="35" t="s">
        <v>154</v>
      </c>
      <c r="D33" s="53">
        <f>TRUNC(SUM(D24:D32)*0.275,-1)</f>
        <v>400330</v>
      </c>
      <c r="E33" s="60">
        <f t="shared" si="0"/>
        <v>1323410</v>
      </c>
    </row>
    <row r="34" spans="1:7" x14ac:dyDescent="0.3">
      <c r="C34" s="35" t="s">
        <v>112</v>
      </c>
      <c r="D34" s="44">
        <f>SUM(D24:D33)</f>
        <v>1856100</v>
      </c>
      <c r="E34" s="44">
        <f>SUM(E24:E33)</f>
        <v>6135850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TRUNC(52483,-1)</f>
        <v>52480</v>
      </c>
      <c r="E40" s="62">
        <f t="shared" ref="E40:E59" si="1">TRUNC(+D40*3.3058,-1)</f>
        <v>173480</v>
      </c>
    </row>
    <row r="41" spans="1:7" x14ac:dyDescent="0.3">
      <c r="A41" s="2">
        <v>2</v>
      </c>
      <c r="C41" s="38" t="s">
        <v>13</v>
      </c>
      <c r="D41" s="42">
        <f>TRUNC(133685,-1)</f>
        <v>133680</v>
      </c>
      <c r="E41" s="63">
        <f t="shared" si="1"/>
        <v>441910</v>
      </c>
    </row>
    <row r="42" spans="1:7" x14ac:dyDescent="0.3">
      <c r="A42" s="2">
        <v>3</v>
      </c>
      <c r="C42" s="38" t="s">
        <v>14</v>
      </c>
      <c r="D42" s="42">
        <f>TRUNC(7457,-1)</f>
        <v>7450</v>
      </c>
      <c r="E42" s="63">
        <f t="shared" si="1"/>
        <v>24620</v>
      </c>
    </row>
    <row r="43" spans="1:7" x14ac:dyDescent="0.3">
      <c r="A43" s="2">
        <v>4</v>
      </c>
      <c r="C43" s="38" t="s">
        <v>16</v>
      </c>
      <c r="D43" s="42">
        <f>TRUNC(33827,-10)</f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f>TRUNC(25958,-1)</f>
        <v>25950</v>
      </c>
      <c r="E44" s="63">
        <f t="shared" si="1"/>
        <v>85780</v>
      </c>
    </row>
    <row r="45" spans="1:7" x14ac:dyDescent="0.3">
      <c r="A45" s="2">
        <v>6</v>
      </c>
      <c r="C45" s="38" t="s">
        <v>18</v>
      </c>
      <c r="D45" s="42">
        <f>TRUNC(10393,-1)</f>
        <v>10390</v>
      </c>
      <c r="E45" s="63">
        <f t="shared" si="1"/>
        <v>34340</v>
      </c>
    </row>
    <row r="46" spans="1:7" x14ac:dyDescent="0.3">
      <c r="A46" s="2">
        <v>7</v>
      </c>
      <c r="C46" s="38" t="s">
        <v>19</v>
      </c>
      <c r="D46" s="42">
        <f>TRUNC(50002,-1)</f>
        <v>50000</v>
      </c>
      <c r="E46" s="63">
        <f t="shared" si="1"/>
        <v>165290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TRUNC(56762,-1)</f>
        <v>56760</v>
      </c>
      <c r="E48" s="63">
        <f t="shared" si="1"/>
        <v>187630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TRUNC(15259,-1)</f>
        <v>15250</v>
      </c>
      <c r="E49" s="63">
        <f t="shared" si="1"/>
        <v>50410</v>
      </c>
    </row>
    <row r="50" spans="1:7" x14ac:dyDescent="0.3">
      <c r="A50" s="2">
        <v>11</v>
      </c>
      <c r="C50" s="38" t="s">
        <v>155</v>
      </c>
      <c r="D50" s="42">
        <f>TRUNC(46079,-1)</f>
        <v>46070</v>
      </c>
      <c r="E50" s="63">
        <f t="shared" si="1"/>
        <v>152290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TRUNC(7513,-1)</f>
        <v>7510</v>
      </c>
      <c r="E52" s="63">
        <f t="shared" si="1"/>
        <v>24820</v>
      </c>
    </row>
    <row r="53" spans="1:7" x14ac:dyDescent="0.3">
      <c r="A53" s="2">
        <v>14</v>
      </c>
      <c r="C53" s="38" t="s">
        <v>25</v>
      </c>
      <c r="D53" s="42">
        <f>TRUNC(93875,-1)</f>
        <v>93870</v>
      </c>
      <c r="E53" s="63">
        <f t="shared" si="1"/>
        <v>310310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TRUNC(14475+7099+25073,-1)</f>
        <v>46640</v>
      </c>
      <c r="E58" s="63">
        <f t="shared" si="1"/>
        <v>154180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408650</v>
      </c>
      <c r="E59" s="64">
        <f t="shared" si="1"/>
        <v>1350910</v>
      </c>
    </row>
    <row r="60" spans="1:7" x14ac:dyDescent="0.3">
      <c r="A60" s="2">
        <v>21</v>
      </c>
      <c r="C60" s="27" t="s">
        <v>112</v>
      </c>
      <c r="D60" s="39">
        <f>SUM(D40:D59)</f>
        <v>954700</v>
      </c>
      <c r="E60" s="39">
        <f>SUM(E40:E59)</f>
        <v>3155970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TRUNC(5082,-1)</f>
        <v>5080</v>
      </c>
      <c r="E63" s="62">
        <f>TRUNC(+D63*3.3058,-1)</f>
        <v>16790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5080</v>
      </c>
      <c r="E66" s="65">
        <f>SUM(E63:E65)</f>
        <v>16790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4570</v>
      </c>
      <c r="E69" s="62">
        <f t="shared" ref="E69:E94" si="2">TRUNC(+D69*3.3058,-1)</f>
        <v>15100</v>
      </c>
    </row>
    <row r="70" spans="1:7" ht="16.5" customHeight="1" x14ac:dyDescent="0.3">
      <c r="A70" s="2">
        <v>2</v>
      </c>
      <c r="C70" s="38" t="s">
        <v>31</v>
      </c>
      <c r="D70" s="42">
        <f>TRUNC(3213,-1)</f>
        <v>3210</v>
      </c>
      <c r="E70" s="63">
        <f t="shared" si="2"/>
        <v>10610</v>
      </c>
    </row>
    <row r="71" spans="1:7" x14ac:dyDescent="0.3">
      <c r="A71" s="2">
        <v>3</v>
      </c>
      <c r="C71" s="38" t="s">
        <v>32</v>
      </c>
      <c r="D71" s="42">
        <f>TRUNC(4416,-1)</f>
        <v>4410</v>
      </c>
      <c r="E71" s="63">
        <f t="shared" si="2"/>
        <v>14570</v>
      </c>
    </row>
    <row r="72" spans="1:7" x14ac:dyDescent="0.3">
      <c r="A72" s="2">
        <v>4</v>
      </c>
      <c r="C72" s="38" t="s">
        <v>33</v>
      </c>
      <c r="D72" s="42">
        <f>TRUNC(4807,-1)</f>
        <v>4800</v>
      </c>
      <c r="E72" s="63">
        <f t="shared" si="2"/>
        <v>15860</v>
      </c>
    </row>
    <row r="73" spans="1:7" x14ac:dyDescent="0.3">
      <c r="A73" s="2">
        <v>5</v>
      </c>
      <c r="C73" s="38" t="s">
        <v>34</v>
      </c>
      <c r="D73" s="42">
        <f>TRUNC(12596,-1)</f>
        <v>12590</v>
      </c>
      <c r="E73" s="63">
        <f t="shared" si="2"/>
        <v>41620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TRUNC(5323,-1)</f>
        <v>5320</v>
      </c>
      <c r="E89" s="63">
        <f t="shared" si="2"/>
        <v>17580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TRUNC(5889,-1)</f>
        <v>5880</v>
      </c>
      <c r="E91" s="63">
        <f t="shared" si="2"/>
        <v>19430</v>
      </c>
    </row>
    <row r="92" spans="1:7" x14ac:dyDescent="0.3">
      <c r="A92" s="2">
        <v>24</v>
      </c>
      <c r="C92" s="38" t="s">
        <v>38</v>
      </c>
      <c r="D92" s="42">
        <v>7850</v>
      </c>
      <c r="E92" s="63">
        <f t="shared" si="2"/>
        <v>25950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TRUNC(3104,-1)</f>
        <v>3100</v>
      </c>
      <c r="E94" s="64">
        <f t="shared" si="2"/>
        <v>10240</v>
      </c>
    </row>
    <row r="95" spans="1:7" x14ac:dyDescent="0.3">
      <c r="A95" s="2">
        <v>27</v>
      </c>
      <c r="C95" s="27" t="s">
        <v>112</v>
      </c>
      <c r="D95" s="39">
        <f>SUM(D69:D94)</f>
        <v>51730</v>
      </c>
      <c r="E95" s="39">
        <f>SUM(E69:E94)</f>
        <v>170960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TRUNC(14436,-1)</f>
        <v>14430</v>
      </c>
      <c r="E98" s="62">
        <f t="shared" ref="E98:E118" si="3">TRUNC(+D98*3.3058,-1)</f>
        <v>47700</v>
      </c>
    </row>
    <row r="99" spans="1:7" x14ac:dyDescent="0.3">
      <c r="A99" s="2">
        <v>2</v>
      </c>
      <c r="C99" s="38" t="s">
        <v>40</v>
      </c>
      <c r="D99" s="42">
        <f>TRUNC(3258,-1)</f>
        <v>3250</v>
      </c>
      <c r="E99" s="63">
        <f t="shared" si="3"/>
        <v>10740</v>
      </c>
    </row>
    <row r="100" spans="1:7" x14ac:dyDescent="0.3">
      <c r="A100" s="2">
        <v>3</v>
      </c>
      <c r="C100" s="38" t="s">
        <v>41</v>
      </c>
      <c r="D100" s="42">
        <f>TRUNC(27628,-1)</f>
        <v>27620</v>
      </c>
      <c r="E100" s="63">
        <f t="shared" si="3"/>
        <v>91300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TRUNC(17533,-1)</f>
        <v>17530</v>
      </c>
      <c r="E102" s="63">
        <f t="shared" si="3"/>
        <v>57950</v>
      </c>
    </row>
    <row r="103" spans="1:7" x14ac:dyDescent="0.3">
      <c r="A103" s="2">
        <v>6</v>
      </c>
      <c r="C103" s="38" t="s">
        <v>44</v>
      </c>
      <c r="D103" s="42">
        <f>TRUNC(3832,-1)</f>
        <v>3830</v>
      </c>
      <c r="E103" s="63">
        <f t="shared" si="3"/>
        <v>12660</v>
      </c>
    </row>
    <row r="104" spans="1:7" x14ac:dyDescent="0.3">
      <c r="A104" s="2">
        <v>7</v>
      </c>
      <c r="C104" s="38" t="s">
        <v>45</v>
      </c>
      <c r="D104" s="42">
        <f>TRUNC(2242,-1)</f>
        <v>2240</v>
      </c>
      <c r="E104" s="63">
        <f t="shared" si="3"/>
        <v>7400</v>
      </c>
    </row>
    <row r="105" spans="1:7" x14ac:dyDescent="0.3">
      <c r="A105" s="2">
        <v>8</v>
      </c>
      <c r="C105" s="38" t="s">
        <v>46</v>
      </c>
      <c r="D105" s="42">
        <v>7240</v>
      </c>
      <c r="E105" s="63">
        <f t="shared" si="3"/>
        <v>23930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TRUNC(2795,-1)</f>
        <v>2790</v>
      </c>
      <c r="E114" s="63">
        <f t="shared" si="3"/>
        <v>9220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TRUNC(3887,-1)</f>
        <v>3880</v>
      </c>
      <c r="E116" s="63">
        <f t="shared" si="3"/>
        <v>12820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TRUNC(117221,-1)</f>
        <v>117220</v>
      </c>
      <c r="E117" s="63">
        <f t="shared" si="3"/>
        <v>387500</v>
      </c>
    </row>
    <row r="118" spans="1:7" ht="17.25" thickBot="1" x14ac:dyDescent="0.35">
      <c r="A118" s="2">
        <v>21</v>
      </c>
      <c r="C118" s="38" t="s">
        <v>47</v>
      </c>
      <c r="D118" s="43">
        <f>TRUNC(1803,-1)</f>
        <v>1800</v>
      </c>
      <c r="E118" s="64">
        <f t="shared" si="3"/>
        <v>5950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201830</v>
      </c>
      <c r="E119" s="39">
        <f>SUM(E98:E118)</f>
        <v>667170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TRUNC(5005,-1)</f>
        <v>5000</v>
      </c>
      <c r="E122" s="62">
        <f t="shared" ref="E122:E132" si="4">TRUNC(+D122*3.3058,-1)</f>
        <v>16520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TRUNC(1777,-1)</f>
        <v>1770</v>
      </c>
      <c r="E124" s="63">
        <f t="shared" si="4"/>
        <v>5850</v>
      </c>
    </row>
    <row r="125" spans="1:7" x14ac:dyDescent="0.3">
      <c r="A125" s="2">
        <v>4</v>
      </c>
      <c r="C125" s="38" t="s">
        <v>138</v>
      </c>
      <c r="D125" s="42">
        <f>TRUNC(6268,-1)</f>
        <v>6260</v>
      </c>
      <c r="E125" s="63">
        <f t="shared" si="4"/>
        <v>20690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TRUNC(4679,-1)</f>
        <v>4670</v>
      </c>
      <c r="E128" s="63">
        <f t="shared" si="4"/>
        <v>15430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TRUNC(17739,-1)</f>
        <v>17730</v>
      </c>
      <c r="E130" s="63">
        <f t="shared" si="4"/>
        <v>58610</v>
      </c>
    </row>
    <row r="131" spans="1:7" x14ac:dyDescent="0.3">
      <c r="A131" s="2">
        <v>10</v>
      </c>
      <c r="C131" s="38" t="s">
        <v>148</v>
      </c>
      <c r="D131" s="42">
        <v>71920</v>
      </c>
      <c r="E131" s="63">
        <f t="shared" si="4"/>
        <v>237750</v>
      </c>
    </row>
    <row r="132" spans="1:7" ht="18" thickBot="1" x14ac:dyDescent="0.35">
      <c r="A132" s="2">
        <v>11</v>
      </c>
      <c r="C132" s="38" t="s">
        <v>47</v>
      </c>
      <c r="D132" s="43">
        <f>TRUNC(3628+2216,-1)</f>
        <v>5840</v>
      </c>
      <c r="E132" s="64">
        <f t="shared" si="4"/>
        <v>19300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113190</v>
      </c>
      <c r="E133" s="39">
        <f>SUM(E122:E132)</f>
        <v>374150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149+1594+11587</f>
        <v>13330</v>
      </c>
      <c r="E137" s="63">
        <f t="shared" si="5"/>
        <v>44060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TRUNC(839,-1)</f>
        <v>830</v>
      </c>
      <c r="E140" s="63">
        <f t="shared" si="5"/>
        <v>2740</v>
      </c>
    </row>
    <row r="141" spans="1:7" x14ac:dyDescent="0.3">
      <c r="A141" s="2">
        <v>6</v>
      </c>
      <c r="C141" s="38" t="s">
        <v>59</v>
      </c>
      <c r="D141" s="42">
        <f>TRUNC(5613,-1)</f>
        <v>5610</v>
      </c>
      <c r="E141" s="63">
        <f t="shared" si="5"/>
        <v>18540</v>
      </c>
    </row>
    <row r="142" spans="1:7" x14ac:dyDescent="0.3">
      <c r="A142" s="2">
        <v>7</v>
      </c>
      <c r="C142" s="38" t="s">
        <v>58</v>
      </c>
      <c r="D142" s="42">
        <f>TRUNC(4607,-1)</f>
        <v>4600</v>
      </c>
      <c r="E142" s="63">
        <f t="shared" si="5"/>
        <v>15200</v>
      </c>
    </row>
    <row r="143" spans="1:7" x14ac:dyDescent="0.3">
      <c r="A143" s="2">
        <v>8</v>
      </c>
      <c r="C143" s="38" t="s">
        <v>62</v>
      </c>
      <c r="D143" s="42">
        <f>TRUNC(3602,-1)</f>
        <v>3600</v>
      </c>
      <c r="E143" s="63">
        <f t="shared" si="5"/>
        <v>11900</v>
      </c>
    </row>
    <row r="144" spans="1:7" x14ac:dyDescent="0.3">
      <c r="A144" s="2">
        <v>9</v>
      </c>
      <c r="C144" s="38" t="s">
        <v>63</v>
      </c>
      <c r="D144" s="42">
        <f>TRUNC(4648,-1)</f>
        <v>4640</v>
      </c>
      <c r="E144" s="63">
        <f t="shared" si="5"/>
        <v>15330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32610</v>
      </c>
      <c r="E146" s="39">
        <f>SUM(E136:E145)</f>
        <v>107770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TRUNC(12988+1471,-1)</f>
        <v>14450</v>
      </c>
      <c r="E149" s="62">
        <f>TRUNC(+D149*3.3058,-1)</f>
        <v>47760</v>
      </c>
    </row>
    <row r="150" spans="1:7" x14ac:dyDescent="0.3">
      <c r="A150" s="2">
        <v>2</v>
      </c>
      <c r="C150" s="38" t="s">
        <v>49</v>
      </c>
      <c r="D150" s="42">
        <f>TRUNC(6155,-1)</f>
        <v>6150</v>
      </c>
      <c r="E150" s="63">
        <f>TRUNC(+D150*3.3058,-1)</f>
        <v>20330</v>
      </c>
    </row>
    <row r="151" spans="1:7" x14ac:dyDescent="0.3">
      <c r="A151" s="2">
        <v>3</v>
      </c>
      <c r="C151" s="38" t="s">
        <v>50</v>
      </c>
      <c r="D151" s="42">
        <f>TRUNC(7207,-1)</f>
        <v>7200</v>
      </c>
      <c r="E151" s="63">
        <f>TRUNC(+D151*3.3058,-1)</f>
        <v>23800</v>
      </c>
    </row>
    <row r="152" spans="1:7" x14ac:dyDescent="0.3">
      <c r="A152" s="2">
        <v>4</v>
      </c>
      <c r="C152" s="38" t="s">
        <v>47</v>
      </c>
      <c r="D152" s="42">
        <f>TRUNC(6978+539,-1)</f>
        <v>7510</v>
      </c>
      <c r="E152" s="63">
        <f>TRUNC(+D152*3.3058,-1)</f>
        <v>24820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35310</v>
      </c>
      <c r="E154" s="39">
        <f>SUM(E149:E153)</f>
        <v>116710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24130</v>
      </c>
      <c r="E157" s="62">
        <f>TRUNC(+D157*3.3058,-1)</f>
        <v>79760</v>
      </c>
    </row>
    <row r="158" spans="1:7" x14ac:dyDescent="0.3">
      <c r="A158" s="2">
        <v>2</v>
      </c>
      <c r="C158" s="38" t="s">
        <v>52</v>
      </c>
      <c r="D158" s="42">
        <f>TRUNC(3903,-1)</f>
        <v>3900</v>
      </c>
      <c r="E158" s="63">
        <f>TRUNC(+D158*3.3058,-1)</f>
        <v>12890</v>
      </c>
    </row>
    <row r="159" spans="1:7" x14ac:dyDescent="0.3">
      <c r="A159" s="2">
        <v>3</v>
      </c>
      <c r="C159" s="38" t="s">
        <v>47</v>
      </c>
      <c r="D159" s="42">
        <f>TRUNC(4756+28539,-1)</f>
        <v>33290</v>
      </c>
      <c r="E159" s="63">
        <f>TRUNC(+D159*3.3058,-1)</f>
        <v>110050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61320</v>
      </c>
      <c r="E161" s="39">
        <f>SUM(E157:E160)</f>
        <v>202700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2020-12-07T10:14:25Z</dcterms:modified>
</cp:coreProperties>
</file>