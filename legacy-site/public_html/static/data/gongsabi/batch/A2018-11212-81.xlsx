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8" i="4" l="1"/>
  <c r="D157" i="4"/>
  <c r="D152" i="4"/>
  <c r="D150" i="4"/>
  <c r="D149" i="4"/>
  <c r="D137" i="4"/>
  <c r="D144" i="4"/>
  <c r="D143" i="4"/>
  <c r="D139" i="4"/>
  <c r="D138" i="4"/>
  <c r="D141" i="4"/>
  <c r="D142" i="4"/>
  <c r="D140" i="4"/>
  <c r="D127" i="4"/>
  <c r="D132" i="4"/>
  <c r="D124" i="4"/>
  <c r="D125" i="4"/>
  <c r="D122" i="4"/>
  <c r="D130" i="4"/>
  <c r="D126" i="4"/>
  <c r="D118" i="4"/>
  <c r="D104" i="4"/>
  <c r="D103" i="4"/>
  <c r="D102" i="4"/>
  <c r="D100" i="4"/>
  <c r="D99" i="4"/>
  <c r="D116" i="4"/>
  <c r="D114" i="4"/>
  <c r="D98" i="4"/>
  <c r="D92" i="4"/>
  <c r="D91" i="4"/>
  <c r="D89" i="4"/>
  <c r="D73" i="4"/>
  <c r="D72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17" i="4"/>
  <c r="D131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95" i="4"/>
  <c r="E66" i="4"/>
  <c r="E60" i="4"/>
  <c r="E133" i="4"/>
  <c r="E119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<sst xmlns="http://schemas.openxmlformats.org/spreadsheetml/2006/main" count="394" uniqueCount="269">
  <si>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</si>
  <si>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</si>
  <si>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</si>
  <si>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</si>
  <si>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</si>
  <si>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</si>
  <si>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</si>
  <si>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</si>
  <si>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</si>
  <si>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</si>
  <si>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</si>
  <si>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</si>
  <si>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</si>
  <si>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</si>
  <si>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</si>
  <si>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</si>
  <si>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</si>
  <si>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</si>
  <si>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</si>
  <si>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</si>
  <si>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</si>
  <si>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</si>
  <si>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</si>
  <si>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</si>
  <si>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</si>
  <si>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</si>
  <si>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</si>
  <si>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</si>
  <si>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</si>
  <si>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</si>
  <si>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</si>
  <si>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</si>
  <si>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</si>
  <si>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</si>
  <si>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</si>
  <si>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</si>
  <si>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</si>
  <si>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</si>
  <si>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</si>
  <si>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</si>
  <si>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</si>
  <si>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</si>
  <si>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</si>
  <si>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</si>
  <si>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</si>
  <si>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</si>
  <si>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</si>
  <si>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</si>
  <si>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</si>
  <si>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</si>
  <si>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</si>
  <si>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</si>
  <si>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</si>
  <si>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</si>
  <si>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</si>
  <si>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</si>
  <si>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</si>
  <si>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</si>
  <si>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</si>
  <si>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</si>
  <si>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</si>
  <si>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</si>
  <si>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</si>
  <si>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</si>
  <si>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</si>
  <si>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</si>
  <si>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</si>
  <si>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</si>
  <si>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</si>
  <si>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</si>
  <si>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</si>
  <si>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</si>
  <si>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</si>
  <si>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</si>
  <si>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</si>
  <si>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</si>
  <si>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</si>
  <si>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</si>
  <si>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</si>
  <si>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</si>
  <si>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</si>
  <si>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</si>
  <si>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</si>
  <si>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</si>
  <si>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</si>
  <si>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</si>
  <si>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</si>
  <si>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</si>
  <si>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</si>
  <si>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</si>
  <si>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</si>
  <si>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</si>
  <si>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</si>
  <si>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</si>
  <si>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</si>
  <si>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</si>
  <si>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</si>
  <si>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</si>
  <si>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</si>
  <si>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</si>
  <si>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</si>
  <si>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</si>
  <si>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</si>
  <si>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</si>
  <si>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</si>
  <si>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</si>
  <si>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</si>
  <si>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</si>
  <si>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</si>
  <si>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</si>
  <si>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</si>
  <si>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</si>
  <si>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</si>
  <si>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</si>
  <si>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</si>
  <si>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</si>
  <si>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</si>
  <si>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</si>
  <si>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</si>
  <si>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</si>
  <si>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</si>
  <si>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</si>
  <si>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</si>
  <si>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</si>
  <si>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</si>
  <si>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</si>
  <si>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</si>
  <si>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</si>
  <si>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</si>
  <si>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</si>
  <si>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</si>
  <si>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</si>
  <si>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</si>
  <si>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</si>
  <si>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</si>
  <si>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</si>
  <si>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</si>
  <si>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</si>
  <si>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</si>
  <si>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</si>
  <si>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</si>
  <si>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</si>
  <si>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</si>
  <si>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</si>
  <si>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</si>
  <si>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</si>
  <si>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</si>
  <si>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</si>
  <si>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</si>
  <si>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</si>
  <si>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</si>
  <si>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</si>
  <si>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</si>
  <si>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</si>
  <si>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</si>
  <si>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</si>
  <si>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</si>
  <si>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</si>
  <si>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</si>
  <si>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</si>
  <si>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</si>
  <si>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</si>
  <si>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</si>
  <si>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</si>
  <si>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</si>
  <si>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</si>
  <si>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</si>
  <si>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</si>
  <si>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</si>
  <si>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</si>
  <si>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</si>
  <si>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</si>
  <si>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</si>
  <si>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</si>
  <si>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</si>
  <si>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</si>
  <si>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</si>
  <si>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</si>
  <si>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</si>
  <si>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</si>
  <si>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</si>
  <si>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</si>
  <si>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</si>
  <si>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</si>
  <si>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</si>
  <si>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</si>
  <si>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</si>
  <si>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</si>
  <si>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</si>
  <si>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</si>
  <si>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</si>
  <si>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</si>
  <si>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</si>
  <si>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</si>
  <si>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</si>
  <si>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</si>
  <si>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</si>
  <si>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</si>
  <si>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</si>
  <si>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</si>
  <si>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</si>
  <si>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</si>
  <si>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</si>
  <si>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</si>
  <si>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</si>
  <si>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</si>
  <si>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</si>
  <si>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</si>
  <si>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</si>
  <si>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</si>
  <si>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</si>
  <si>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</si>
  <si>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</si>
  <si>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</si>
  <si>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</si>
  <si>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</si>
  <si>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</si>
  <si>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</si>
  <si>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</si>
  <si>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</si>
  <si>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</si>
  <si>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</si>
  <si>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</si>
  <si>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</si>
  <si>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</si>
  <si>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</si>
  <si>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</si>
  <si>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</si>
  <si>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</si>
  <si>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</si>
  <si>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</si>
  <si>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</si>
  <si>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</si>
  <si>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</si>
  <si>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</si>
  <si>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</si>
  <si>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</si>
  <si>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</si>
  <si>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</si>
  <si>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</si>
  <si>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</si>
  <si>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</si>
  <si>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</si>
  <si>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</si>
  <si>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</si>
  <si>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</si>
  <si>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</si>
  <si>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</si>
  <si>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KTL 진주 우주항공시험센터 신축공사</t>
    <phoneticPr fontId="2" type="noConversion"/>
  </si>
  <si>
    <t>교육연구</t>
  </si>
  <si>
    <t>경상도</t>
  </si>
  <si>
    <t>조경시설물</t>
    <phoneticPr fontId="2" type="noConversion"/>
  </si>
  <si>
    <t>우수공사</t>
    <phoneticPr fontId="2" type="noConversion"/>
  </si>
  <si>
    <t>기타공사</t>
    <phoneticPr fontId="2" type="noConversion"/>
  </si>
  <si>
    <t>펌프실배관공사,기타공사</t>
    <phoneticPr fontId="2" type="noConversion"/>
  </si>
  <si>
    <t>CATV 및 TV 설비공사</t>
    <phoneticPr fontId="2" type="noConversion"/>
  </si>
  <si>
    <t>CCTV설비공사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</si>
  <si>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</si>
  <si>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</si>
  <si>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</si>
  <si>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</si>
  <si>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</si>
  <si>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</si>
  <si>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공조배관공사,난방배관공사,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</si>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</sst>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4149.37</v>
      </c>
      <c r="D7" s="36">
        <f>+C7/3.3058</f>
        <v>1255.1787766955049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2013980</v>
      </c>
      <c r="E25" s="59">
        <f t="shared" si="0"/>
        <v>6657810</v>
      </c>
    </row>
    <row r="26" spans="1:5" x14ac:dyDescent="0.3">
      <c r="B26" s="2">
        <v>3</v>
      </c>
      <c r="C26" s="35" t="s">
        <v>95</v>
      </c>
      <c r="D26" s="45">
        <f>+D66</f>
        <v>100850</v>
      </c>
      <c r="E26" s="59">
        <f t="shared" si="0"/>
        <v>333380</v>
      </c>
    </row>
    <row r="27" spans="1:5" x14ac:dyDescent="0.3">
      <c r="B27" s="2">
        <v>4</v>
      </c>
      <c r="C27" s="35" t="s">
        <v>96</v>
      </c>
      <c r="D27" s="45">
        <f>+D95</f>
        <v>72480</v>
      </c>
      <c r="E27" s="59">
        <f t="shared" si="0"/>
        <v>239600</v>
      </c>
    </row>
    <row r="28" spans="1:5" x14ac:dyDescent="0.3">
      <c r="B28" s="2">
        <v>5</v>
      </c>
      <c r="C28" s="35" t="s">
        <v>97</v>
      </c>
      <c r="D28" s="45">
        <f>+D119</f>
        <v>613230</v>
      </c>
      <c r="E28" s="59">
        <f t="shared" si="0"/>
        <v>2027210</v>
      </c>
    </row>
    <row r="29" spans="1:5" x14ac:dyDescent="0.3">
      <c r="B29" s="2">
        <v>6</v>
      </c>
      <c r="C29" s="35" t="s">
        <v>98</v>
      </c>
      <c r="D29" s="45">
        <f>+D133</f>
        <v>111280</v>
      </c>
      <c r="E29" s="59">
        <f t="shared" si="0"/>
        <v>367860</v>
      </c>
    </row>
    <row r="30" spans="1:5" x14ac:dyDescent="0.3">
      <c r="B30" s="2">
        <v>7</v>
      </c>
      <c r="C30" s="35" t="s">
        <v>99</v>
      </c>
      <c r="D30" s="45">
        <f>+D146</f>
        <v>214780</v>
      </c>
      <c r="E30" s="59">
        <f t="shared" si="0"/>
        <v>710010</v>
      </c>
    </row>
    <row r="31" spans="1:5" x14ac:dyDescent="0.3">
      <c r="B31" s="2">
        <v>8</v>
      </c>
      <c r="C31" s="35" t="s">
        <v>100</v>
      </c>
      <c r="D31" s="45">
        <f>+D154</f>
        <v>44270</v>
      </c>
      <c r="E31" s="59">
        <f t="shared" si="0"/>
        <v>146340</v>
      </c>
    </row>
    <row r="32" spans="1:5" x14ac:dyDescent="0.3">
      <c r="B32" s="2">
        <v>9</v>
      </c>
      <c r="C32" s="35" t="s">
        <v>101</v>
      </c>
      <c r="D32" s="45">
        <f>+D161</f>
        <v>41590</v>
      </c>
      <c r="E32" s="59">
        <f t="shared" si="0"/>
        <v>137480</v>
      </c>
    </row>
    <row r="33" spans="1:7" x14ac:dyDescent="0.3">
      <c r="B33" s="2">
        <v>10</v>
      </c>
      <c r="C33" s="35" t="s">
        <v>154</v>
      </c>
      <c r="D33" s="53">
        <f>TRUNC(SUM(D24:D32)*0.275,-1)</f>
        <v>883420</v>
      </c>
      <c r="E33" s="60">
        <f t="shared" si="0"/>
        <v>2920400</v>
      </c>
    </row>
    <row r="34" spans="1:7" x14ac:dyDescent="0.3">
      <c r="C34" s="35" t="s">
        <v>112</v>
      </c>
      <c r="D34" s="44">
        <f>SUM(D24:D33)</f>
        <v>4095880</v>
      </c>
      <c r="E34" s="44">
        <f>SUM(E24:E33)</f>
        <v>13540090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TRUNC(46027,-1)</f>
        <v>46020</v>
      </c>
      <c r="E40" s="62">
        <f t="shared" ref="E40:E59" si="1">TRUNC(+D40*3.3058,-1)</f>
        <v>152130</v>
      </c>
    </row>
    <row r="41" spans="1:7" x14ac:dyDescent="0.3">
      <c r="A41" s="2">
        <v>2</v>
      </c>
      <c r="C41" s="38" t="s">
        <v>13</v>
      </c>
      <c r="D41" s="42">
        <f>TRUNC(212240,-1)</f>
        <v>212240</v>
      </c>
      <c r="E41" s="63">
        <f t="shared" si="1"/>
        <v>701620</v>
      </c>
    </row>
    <row r="42" spans="1:7" x14ac:dyDescent="0.3">
      <c r="A42" s="2">
        <v>3</v>
      </c>
      <c r="C42" s="38" t="s">
        <v>14</v>
      </c>
      <c r="D42" s="42">
        <f>TRUNC(465765,-1)</f>
        <v>465760</v>
      </c>
      <c r="E42" s="63">
        <f t="shared" si="1"/>
        <v>1539700</v>
      </c>
    </row>
    <row r="43" spans="1:7" x14ac:dyDescent="0.3">
      <c r="A43" s="2">
        <v>4</v>
      </c>
      <c r="C43" s="38" t="s">
        <v>16</v>
      </c>
      <c r="D43" s="42">
        <f>TRUNC(31571,-1)</f>
        <v>31570</v>
      </c>
      <c r="E43" s="63">
        <f t="shared" si="1"/>
        <v>104360</v>
      </c>
    </row>
    <row r="44" spans="1:7" x14ac:dyDescent="0.3">
      <c r="A44" s="2">
        <v>5</v>
      </c>
      <c r="C44" s="38" t="s">
        <v>17</v>
      </c>
      <c r="D44" s="42">
        <f>TRUNC(69977,-1)</f>
        <v>69970</v>
      </c>
      <c r="E44" s="63">
        <f t="shared" si="1"/>
        <v>231300</v>
      </c>
    </row>
    <row r="45" spans="1:7" x14ac:dyDescent="0.3">
      <c r="A45" s="2">
        <v>6</v>
      </c>
      <c r="C45" s="38" t="s">
        <v>18</v>
      </c>
      <c r="D45" s="42">
        <f>TRUNC(6215,-1)</f>
        <v>6210</v>
      </c>
      <c r="E45" s="63">
        <f t="shared" si="1"/>
        <v>20520</v>
      </c>
    </row>
    <row r="46" spans="1:7" x14ac:dyDescent="0.3">
      <c r="A46" s="2">
        <v>7</v>
      </c>
      <c r="C46" s="38" t="s">
        <v>19</v>
      </c>
      <c r="D46" s="42">
        <f>TRUNC(21439,-1)</f>
        <v>21430</v>
      </c>
      <c r="E46" s="63">
        <f t="shared" si="1"/>
        <v>70840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TRUNC(140284,-1)</f>
        <v>140280</v>
      </c>
      <c r="E48" s="63">
        <f t="shared" si="1"/>
        <v>463730</v>
      </c>
      <c r="F48" s="2" t="s">
        <v>259</v>
      </c>
    </row>
    <row r="49" spans="1:7" x14ac:dyDescent="0.3">
      <c r="A49" s="2">
        <v>10</v>
      </c>
      <c r="C49" s="38" t="s">
        <v>22</v>
      </c>
      <c r="D49" s="42">
        <f>TRUNC(24415,-1)</f>
        <v>24410</v>
      </c>
      <c r="E49" s="63">
        <f t="shared" si="1"/>
        <v>80690</v>
      </c>
    </row>
    <row r="50" spans="1:7" x14ac:dyDescent="0.3">
      <c r="A50" s="2">
        <v>11</v>
      </c>
      <c r="C50" s="38" t="s">
        <v>155</v>
      </c>
      <c r="D50" s="42">
        <f>TRUNC(33165,-1)</f>
        <v>33160</v>
      </c>
      <c r="E50" s="63">
        <f t="shared" si="1"/>
        <v>109620</v>
      </c>
      <c r="F50" s="2" t="s">
        <v>260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TRUNC(45977,-1)</f>
        <v>45970</v>
      </c>
      <c r="E52" s="63">
        <f t="shared" si="1"/>
        <v>151960</v>
      </c>
    </row>
    <row r="53" spans="1:7" x14ac:dyDescent="0.3">
      <c r="A53" s="2">
        <v>14</v>
      </c>
      <c r="C53" s="38" t="s">
        <v>25</v>
      </c>
      <c r="D53" s="42">
        <f>TRUNC(110307,-1)</f>
        <v>110300</v>
      </c>
      <c r="E53" s="63">
        <f t="shared" si="1"/>
        <v>364620</v>
      </c>
      <c r="F53" s="2" t="s">
        <v>261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TRUNC(23728+1302+8505-1046+801+8194,-1)</f>
        <v>41480</v>
      </c>
      <c r="E58" s="63">
        <f t="shared" si="1"/>
        <v>137120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TRUNC(765186,-1)</f>
        <v>765180</v>
      </c>
      <c r="E59" s="64">
        <f t="shared" si="1"/>
        <v>2529530</v>
      </c>
    </row>
    <row r="60" spans="1:7" x14ac:dyDescent="0.3">
      <c r="A60" s="2">
        <v>21</v>
      </c>
      <c r="C60" s="27" t="s">
        <v>112</v>
      </c>
      <c r="D60" s="39">
        <f>SUM(D40:D59)</f>
        <v>2013980</v>
      </c>
      <c r="E60" s="39">
        <f>SUM(E40:E59)</f>
        <v>6657740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TRUNC(27633,-1)</f>
        <v>27630</v>
      </c>
      <c r="E63" s="62">
        <f>TRUNC(+D63*3.3058,-1)</f>
        <v>91330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TRUNC(73225,-1)</f>
        <v>73220</v>
      </c>
      <c r="E65" s="64">
        <f>TRUNC(+D65*3.3058,-1)</f>
        <v>242050</v>
      </c>
    </row>
    <row r="66" spans="1:7" x14ac:dyDescent="0.3">
      <c r="A66" s="2">
        <v>4</v>
      </c>
      <c r="C66" s="27" t="s">
        <v>112</v>
      </c>
      <c r="D66" s="39">
        <f>SUM(D63:D65)</f>
        <v>100850</v>
      </c>
      <c r="E66" s="65">
        <f>SUM(E63:E65)</f>
        <v>333380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TRUNC(9961,-1)</f>
        <v>9960</v>
      </c>
      <c r="E69" s="62">
        <f t="shared" ref="E69:E94" si="2">TRUNC(+D69*3.3058,-1)</f>
        <v>32920</v>
      </c>
    </row>
    <row r="70" spans="1:7" ht="16.5" customHeight="1" x14ac:dyDescent="0.3">
      <c r="A70" s="2">
        <v>2</v>
      </c>
      <c r="C70" s="38" t="s">
        <v>31</v>
      </c>
      <c r="D70" s="42">
        <f>TRUNC(616,-1)</f>
        <v>610</v>
      </c>
      <c r="E70" s="63">
        <f t="shared" si="2"/>
        <v>2010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TRUNC(5783,-1)</f>
        <v>5780</v>
      </c>
      <c r="E72" s="63">
        <f t="shared" si="2"/>
        <v>19100</v>
      </c>
    </row>
    <row r="73" spans="1:7" x14ac:dyDescent="0.3">
      <c r="A73" s="2">
        <v>5</v>
      </c>
      <c r="C73" s="38" t="s">
        <v>34</v>
      </c>
      <c r="D73" s="42">
        <f>TRUNC(6345,-1)</f>
        <v>6340</v>
      </c>
      <c r="E73" s="63">
        <f t="shared" si="2"/>
        <v>20950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TRUNC(17994,-1)</f>
        <v>17990</v>
      </c>
      <c r="E89" s="63">
        <f t="shared" si="2"/>
        <v>59470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TRUNC(24502,-1)</f>
        <v>24500</v>
      </c>
      <c r="E91" s="63">
        <f t="shared" si="2"/>
        <v>80990</v>
      </c>
    </row>
    <row r="92" spans="1:7" x14ac:dyDescent="0.3">
      <c r="A92" s="2">
        <v>24</v>
      </c>
      <c r="C92" s="38" t="s">
        <v>38</v>
      </c>
      <c r="D92" s="42">
        <f>TRUNC(3540,-1)</f>
        <v>3540</v>
      </c>
      <c r="E92" s="63">
        <f t="shared" si="2"/>
        <v>11700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TRUNC(1701+1959+109,-1)</f>
        <v>3760</v>
      </c>
      <c r="E94" s="64">
        <f t="shared" si="2"/>
        <v>12420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72480</v>
      </c>
      <c r="E95" s="39">
        <f>SUM(E69:E94)</f>
        <v>239560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TRUNC(89321,-1)</f>
        <v>89320</v>
      </c>
      <c r="E98" s="62">
        <f t="shared" ref="E98:E118" si="3">TRUNC(+D98*3.3058,-1)</f>
        <v>295270</v>
      </c>
    </row>
    <row r="99" spans="1:7" x14ac:dyDescent="0.3">
      <c r="A99" s="2">
        <v>2</v>
      </c>
      <c r="C99" s="38" t="s">
        <v>40</v>
      </c>
      <c r="D99" s="42">
        <f>TRUNC(25767,-1)</f>
        <v>25760</v>
      </c>
      <c r="E99" s="63">
        <f t="shared" si="3"/>
        <v>85150</v>
      </c>
    </row>
    <row r="100" spans="1:7" x14ac:dyDescent="0.3">
      <c r="A100" s="2">
        <v>3</v>
      </c>
      <c r="C100" s="38" t="s">
        <v>41</v>
      </c>
      <c r="D100" s="42">
        <f>TRUNC(50858,-1)</f>
        <v>50850</v>
      </c>
      <c r="E100" s="63">
        <f t="shared" si="3"/>
        <v>168090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TRUNC(15612,-1)</f>
        <v>15610</v>
      </c>
      <c r="E102" s="63">
        <f t="shared" si="3"/>
        <v>51600</v>
      </c>
    </row>
    <row r="103" spans="1:7" x14ac:dyDescent="0.3">
      <c r="A103" s="2">
        <v>6</v>
      </c>
      <c r="C103" s="38" t="s">
        <v>44</v>
      </c>
      <c r="D103" s="42">
        <f>TRUNC(11891,-1)</f>
        <v>11890</v>
      </c>
      <c r="E103" s="63">
        <f t="shared" si="3"/>
        <v>39300</v>
      </c>
    </row>
    <row r="104" spans="1:7" x14ac:dyDescent="0.3">
      <c r="A104" s="2">
        <v>7</v>
      </c>
      <c r="C104" s="38" t="s">
        <v>45</v>
      </c>
      <c r="D104" s="42">
        <f>TRUNC(30725,-1)</f>
        <v>30720</v>
      </c>
      <c r="E104" s="63">
        <f t="shared" si="3"/>
        <v>101550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TRUNC(12676,-1)</f>
        <v>12670</v>
      </c>
      <c r="E114" s="63">
        <f t="shared" si="3"/>
        <v>41880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TRUNC(20246,-1)</f>
        <v>20240</v>
      </c>
      <c r="E116" s="63">
        <f t="shared" si="3"/>
        <v>66900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TRUNC(348575,-1)</f>
        <v>348570</v>
      </c>
      <c r="E117" s="63">
        <f t="shared" si="3"/>
        <v>1152300</v>
      </c>
    </row>
    <row r="118" spans="1:7" ht="17.25" thickBot="1" x14ac:dyDescent="0.35">
      <c r="A118" s="2">
        <v>21</v>
      </c>
      <c r="C118" s="38" t="s">
        <v>47</v>
      </c>
      <c r="D118" s="43">
        <f>TRUNC(7602,-1)</f>
        <v>7600</v>
      </c>
      <c r="E118" s="64">
        <f t="shared" si="3"/>
        <v>25120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613230</v>
      </c>
      <c r="E119" s="39">
        <f>SUM(E98:E118)</f>
        <v>2027160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TRUNC(3159,-1)</f>
        <v>3150</v>
      </c>
      <c r="E122" s="62">
        <f t="shared" ref="E122:E132" si="4">TRUNC(+D122*3.3058,-1)</f>
        <v>10410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TRUNC(1500,-1)</f>
        <v>1500</v>
      </c>
      <c r="E124" s="63">
        <f t="shared" si="4"/>
        <v>4950</v>
      </c>
    </row>
    <row r="125" spans="1:7" x14ac:dyDescent="0.3">
      <c r="A125" s="2">
        <v>4</v>
      </c>
      <c r="C125" s="38" t="s">
        <v>138</v>
      </c>
      <c r="D125" s="42">
        <f>TRUNC(8613,-1)</f>
        <v>8610</v>
      </c>
      <c r="E125" s="63">
        <f t="shared" si="4"/>
        <v>28460</v>
      </c>
    </row>
    <row r="126" spans="1:7" x14ac:dyDescent="0.3">
      <c r="A126" s="2">
        <v>5</v>
      </c>
      <c r="C126" s="38" t="s">
        <v>53</v>
      </c>
      <c r="D126" s="42">
        <f>TRUNC(6887,-1)</f>
        <v>6880</v>
      </c>
      <c r="E126" s="63">
        <f t="shared" si="4"/>
        <v>22740</v>
      </c>
    </row>
    <row r="127" spans="1:7" x14ac:dyDescent="0.3">
      <c r="A127" s="2">
        <v>6</v>
      </c>
      <c r="C127" s="38" t="s">
        <v>56</v>
      </c>
      <c r="D127" s="42">
        <f>TRUNC(32597,-1)</f>
        <v>32590</v>
      </c>
      <c r="E127" s="63">
        <f t="shared" si="4"/>
        <v>107730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TRUNC(15991,-1)</f>
        <v>15990</v>
      </c>
      <c r="E130" s="63">
        <f t="shared" si="4"/>
        <v>52850</v>
      </c>
    </row>
    <row r="131" spans="1:7" x14ac:dyDescent="0.3">
      <c r="A131" s="2">
        <v>10</v>
      </c>
      <c r="C131" s="38" t="s">
        <v>148</v>
      </c>
      <c r="D131" s="42">
        <f>TRUNC(37648,-1)</f>
        <v>37640</v>
      </c>
      <c r="E131" s="63">
        <f t="shared" si="4"/>
        <v>124430</v>
      </c>
    </row>
    <row r="132" spans="1:7" ht="18" thickBot="1" x14ac:dyDescent="0.35">
      <c r="A132" s="2">
        <v>11</v>
      </c>
      <c r="C132" s="38" t="s">
        <v>47</v>
      </c>
      <c r="D132" s="43">
        <f>TRUNC(4929,-1)</f>
        <v>4920</v>
      </c>
      <c r="E132" s="64">
        <f t="shared" si="4"/>
        <v>16260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111280</v>
      </c>
      <c r="E133" s="39">
        <f>SUM(E122:E132)</f>
        <v>367830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TRUNC(8687+309,-1)</f>
        <v>8990</v>
      </c>
      <c r="E137" s="63">
        <f t="shared" si="5"/>
        <v>29710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f>TRUNC(65477,-1)</f>
        <v>65470</v>
      </c>
      <c r="E138" s="63">
        <f t="shared" si="5"/>
        <v>216430</v>
      </c>
    </row>
    <row r="139" spans="1:7" x14ac:dyDescent="0.3">
      <c r="A139" s="2">
        <v>4</v>
      </c>
      <c r="C139" s="38" t="s">
        <v>61</v>
      </c>
      <c r="D139" s="42">
        <f>TRUNC(5943,-1)</f>
        <v>5940</v>
      </c>
      <c r="E139" s="63">
        <f t="shared" si="5"/>
        <v>19630</v>
      </c>
    </row>
    <row r="140" spans="1:7" x14ac:dyDescent="0.3">
      <c r="A140" s="2">
        <v>5</v>
      </c>
      <c r="C140" s="38" t="s">
        <v>57</v>
      </c>
      <c r="D140" s="42">
        <f>TRUNC(16065,-1)</f>
        <v>16060</v>
      </c>
      <c r="E140" s="63">
        <f t="shared" si="5"/>
        <v>53090</v>
      </c>
    </row>
    <row r="141" spans="1:7" x14ac:dyDescent="0.3">
      <c r="A141" s="2">
        <v>6</v>
      </c>
      <c r="C141" s="38" t="s">
        <v>59</v>
      </c>
      <c r="D141" s="42">
        <f>TRUNC(32502,-1)</f>
        <v>32500</v>
      </c>
      <c r="E141" s="63">
        <f t="shared" si="5"/>
        <v>107430</v>
      </c>
    </row>
    <row r="142" spans="1:7" x14ac:dyDescent="0.3">
      <c r="A142" s="2">
        <v>7</v>
      </c>
      <c r="C142" s="38" t="s">
        <v>58</v>
      </c>
      <c r="D142" s="42">
        <f>TRUNC(8193,-1)</f>
        <v>8190</v>
      </c>
      <c r="E142" s="63">
        <f t="shared" si="5"/>
        <v>27070</v>
      </c>
    </row>
    <row r="143" spans="1:7" x14ac:dyDescent="0.3">
      <c r="A143" s="2">
        <v>8</v>
      </c>
      <c r="C143" s="38" t="s">
        <v>62</v>
      </c>
      <c r="D143" s="42">
        <f>TRUNC(20057,-1)</f>
        <v>20050</v>
      </c>
      <c r="E143" s="63">
        <f t="shared" si="5"/>
        <v>66280</v>
      </c>
    </row>
    <row r="144" spans="1:7" x14ac:dyDescent="0.3">
      <c r="A144" s="2">
        <v>9</v>
      </c>
      <c r="C144" s="38" t="s">
        <v>63</v>
      </c>
      <c r="D144" s="42">
        <f>TRUNC(57583,-1)</f>
        <v>57580</v>
      </c>
      <c r="E144" s="63">
        <f t="shared" si="5"/>
        <v>190340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214780</v>
      </c>
      <c r="E146" s="39">
        <f>SUM(E136:E145)</f>
        <v>709980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TRUNC(31506,-1)</f>
        <v>31500</v>
      </c>
      <c r="E149" s="62">
        <f>TRUNC(+D149*3.3058,-1)</f>
        <v>104130</v>
      </c>
      <c r="F149" s="2" t="s">
        <v>252</v>
      </c>
    </row>
    <row r="150" spans="1:7" x14ac:dyDescent="0.3">
      <c r="A150" s="2">
        <v>2</v>
      </c>
      <c r="C150" s="38" t="s">
        <v>49</v>
      </c>
      <c r="D150" s="42">
        <f>TRUNC(9937,-1)</f>
        <v>9930</v>
      </c>
      <c r="E150" s="63">
        <f>TRUNC(+D150*3.3058,-1)</f>
        <v>32820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TRUNC(2849,-1)</f>
        <v>2840</v>
      </c>
      <c r="E152" s="63">
        <f>TRUNC(+D152*3.3058,-1)</f>
        <v>9380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44270</v>
      </c>
      <c r="E154" s="39">
        <f>SUM(E149:E153)</f>
        <v>146330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TRUNC(38642,-1)</f>
        <v>38640</v>
      </c>
      <c r="E157" s="62">
        <f>TRUNC(+D157*3.3058,-1)</f>
        <v>127730</v>
      </c>
    </row>
    <row r="158" spans="1:7" x14ac:dyDescent="0.3">
      <c r="A158" s="2">
        <v>2</v>
      </c>
      <c r="C158" s="38" t="s">
        <v>52</v>
      </c>
      <c r="D158" s="42">
        <f>TRUNC(2953,-1)</f>
        <v>2950</v>
      </c>
      <c r="E158" s="63">
        <f>TRUNC(+D158*3.3058,-1)</f>
        <v>9750</v>
      </c>
      <c r="F158" s="2" t="s">
        <v>251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41590</v>
      </c>
      <c r="E161" s="39">
        <f>SUM(E157:E160)</f>
        <v>137480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2020-12-08T02:32:49Z</dcterms:modified>
</cp:coreProperties>
</file>