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59" i="4" l="1"/>
  <c r="D157" i="4"/>
  <c r="D152" i="4"/>
  <c r="D150" i="4"/>
  <c r="D149" i="4"/>
  <c r="D144" i="4"/>
  <c r="D143" i="4"/>
  <c r="D137" i="4"/>
  <c r="D132" i="4"/>
  <c r="D130" i="4"/>
  <c r="D128" i="4"/>
  <c r="D125" i="4"/>
  <c r="D122" i="4"/>
  <c r="D116" i="4"/>
  <c r="D114" i="4"/>
  <c r="D104" i="4"/>
  <c r="D103" i="4"/>
  <c r="D102" i="4"/>
  <c r="D100" i="4"/>
  <c r="D99" i="4"/>
  <c r="D98" i="4"/>
  <c r="D94" i="4"/>
  <c r="D92" i="4"/>
  <c r="D90" i="4"/>
  <c r="D89" i="4"/>
  <c r="D73" i="4"/>
  <c r="D72" i="4"/>
  <c r="D70" i="4"/>
  <c r="D69" i="4"/>
  <c r="D63" i="4"/>
  <c r="D58" i="4"/>
  <c r="D53" i="4"/>
  <c r="D52" i="4"/>
  <c r="D49" i="4"/>
  <c r="D48" i="4"/>
  <c r="D46" i="4"/>
  <c r="D45" i="4"/>
  <c r="D44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<sst xmlns="http://schemas.openxmlformats.org/spreadsheetml/2006/main" count="392" uniqueCount="268">
  <si>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</si>
  <si>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</si>
  <si>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</si>
  <si>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</si>
  <si>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</si>
  <si>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</si>
  <si>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</si>
  <si>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</si>
  <si>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</si>
  <si>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</si>
  <si>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</si>
  <si>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</si>
  <si>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</si>
  <si>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</si>
  <si>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</si>
  <si>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</si>
  <si>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</si>
  <si>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</si>
  <si>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</si>
  <si>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</si>
  <si>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</si>
  <si>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</si>
  <si>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</si>
  <si>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</si>
  <si>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</si>
  <si>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</si>
  <si>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</si>
  <si>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</si>
  <si>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</si>
  <si>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</si>
  <si>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</si>
  <si>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</si>
  <si>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</si>
  <si>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</si>
  <si>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</si>
  <si>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</si>
  <si>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</si>
  <si>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</si>
  <si>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</si>
  <si>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</si>
  <si>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</si>
  <si>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</si>
  <si>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</si>
  <si>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</si>
  <si>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</si>
  <si>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</si>
  <si>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</si>
  <si>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</si>
  <si>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</si>
  <si>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</si>
  <si>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</si>
  <si>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</si>
  <si>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</si>
  <si>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</si>
  <si>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</si>
  <si>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</si>
  <si>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</si>
  <si>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</si>
  <si>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</si>
  <si>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</si>
  <si>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</si>
  <si>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</si>
  <si>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</si>
  <si>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</si>
  <si>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</si>
  <si>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</si>
  <si>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</si>
  <si>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</si>
  <si>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</si>
  <si>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</si>
  <si>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</si>
  <si>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</si>
  <si>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</si>
  <si>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</si>
  <si>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</si>
  <si>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</si>
  <si>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</si>
  <si>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</si>
  <si>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</si>
  <si>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</si>
  <si>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</si>
  <si>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</si>
  <si>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</si>
  <si>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</si>
  <si>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</si>
  <si>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</si>
  <si>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</si>
  <si>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</si>
  <si>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</si>
  <si>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</si>
  <si>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</si>
  <si>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</si>
  <si>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</si>
  <si>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</si>
  <si>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</si>
  <si>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</si>
  <si>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</si>
  <si>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</si>
  <si>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</si>
  <si>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</si>
  <si>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</si>
  <si>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</si>
  <si>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</si>
  <si>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</si>
  <si>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</si>
  <si>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</si>
  <si>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</si>
  <si>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</si>
  <si>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</si>
  <si>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</si>
  <si>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</si>
  <si>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</si>
  <si>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</si>
  <si>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</si>
  <si>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</si>
  <si>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</si>
  <si>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</si>
  <si>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</si>
  <si>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</si>
  <si>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</si>
  <si>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</si>
  <si>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</si>
  <si>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</si>
  <si>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</si>
  <si>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</si>
  <si>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</si>
  <si>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</si>
  <si>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</si>
  <si>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</si>
  <si>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</si>
  <si>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</si>
  <si>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</si>
  <si>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</si>
  <si>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</si>
  <si>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</si>
  <si>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</si>
  <si>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</si>
  <si>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</si>
  <si>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</si>
  <si>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</si>
  <si>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</si>
  <si>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</si>
  <si>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</si>
  <si>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</si>
  <si>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</si>
  <si>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</si>
  <si>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</si>
  <si>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</si>
  <si>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</si>
  <si>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</si>
  <si>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</si>
  <si>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</si>
  <si>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</si>
  <si>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</si>
  <si>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</si>
  <si>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</si>
  <si>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</si>
  <si>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</si>
  <si>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</si>
  <si>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</si>
  <si>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</si>
  <si>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</si>
  <si>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</si>
  <si>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</si>
  <si>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</si>
  <si>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</si>
  <si>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</si>
  <si>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</si>
  <si>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</si>
  <si>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</si>
  <si>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</si>
  <si>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</si>
  <si>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</si>
  <si>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</si>
  <si>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</si>
  <si>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</si>
  <si>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</si>
  <si>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</si>
  <si>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</si>
  <si>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</si>
  <si>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</si>
  <si>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</si>
  <si>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</si>
  <si>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</si>
  <si>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</si>
  <si>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</si>
  <si>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</si>
  <si>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</si>
  <si>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</si>
  <si>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</si>
  <si>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</si>
  <si>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</si>
  <si>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</si>
  <si>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</si>
  <si>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</si>
  <si>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</si>
  <si>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</si>
  <si>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</si>
  <si>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</si>
  <si>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</si>
  <si>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</si>
  <si>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</si>
  <si>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</si>
  <si>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</si>
  <si>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</si>
  <si>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</si>
  <si>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</si>
  <si>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</si>
  <si>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</si>
  <si>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</si>
  <si>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</si>
  <si>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</si>
  <si>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</si>
  <si>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</si>
  <si>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</si>
  <si>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</si>
  <si>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</si>
  <si>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</si>
  <si>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</si>
  <si>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</si>
  <si>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</si>
  <si>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</si>
  <si>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</si>
  <si>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</si>
  <si>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</si>
  <si>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</si>
  <si>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</si>
  <si>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</si>
  <si>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</si>
  <si>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</si>
  <si>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</si>
  <si>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</si>
  <si>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</si>
  <si>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</si>
  <si>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</si>
  <si>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</si>
  <si>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</si>
  <si>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</si>
  <si>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</si>
  <si>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</si>
  <si>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</si>
  <si>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</si>
  <si>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</si>
  <si>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</si>
  <si>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</si>
  <si>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</si>
  <si>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</si>
  <si>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</si>
  <si>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</si>
  <si>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</si>
  <si>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</si>
  <si>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</si>
  <si>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</si>
  <si>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</si>
  <si>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</si>
  <si>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</si>
  <si>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</si>
  <si>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</si>
  <si>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정부대전청사 제3어린이집 신축공사</t>
    <phoneticPr fontId="2" type="noConversion"/>
  </si>
  <si>
    <t>대전시</t>
  </si>
  <si>
    <t>기초공사, 폐기물처리비, 골재비및운반비, 작업부산물, 품질시험비, 기타공사</t>
    <phoneticPr fontId="2" type="noConversion"/>
  </si>
  <si>
    <t>공조배관공사,난방배관공사,기타공사</t>
    <phoneticPr fontId="2" type="noConversion"/>
  </si>
  <si>
    <t>옥외보안등설비공사</t>
    <phoneticPr fontId="2" type="noConversion"/>
  </si>
  <si>
    <t>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</si>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</sst>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1756.16</v>
      </c>
      <c r="D7" s="36">
        <f>+C7/3.3058</f>
        <v>531.23600943795759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974360</v>
      </c>
      <c r="E25" s="59">
        <f t="shared" si="0"/>
        <v>3221030</v>
      </c>
    </row>
    <row r="26" spans="1:5" x14ac:dyDescent="0.3">
      <c r="B26" s="2">
        <v>3</v>
      </c>
      <c r="C26" s="35" t="s">
        <v>95</v>
      </c>
      <c r="D26" s="45">
        <f>+D66</f>
        <v>14110</v>
      </c>
      <c r="E26" s="59">
        <f t="shared" si="0"/>
        <v>46640</v>
      </c>
    </row>
    <row r="27" spans="1:5" x14ac:dyDescent="0.3">
      <c r="B27" s="2">
        <v>4</v>
      </c>
      <c r="C27" s="35" t="s">
        <v>96</v>
      </c>
      <c r="D27" s="45">
        <f>+D95</f>
        <v>99400</v>
      </c>
      <c r="E27" s="59">
        <f t="shared" si="0"/>
        <v>328590</v>
      </c>
    </row>
    <row r="28" spans="1:5" x14ac:dyDescent="0.3">
      <c r="B28" s="2">
        <v>5</v>
      </c>
      <c r="C28" s="35" t="s">
        <v>97</v>
      </c>
      <c r="D28" s="45">
        <f>+D119</f>
        <v>101590</v>
      </c>
      <c r="E28" s="59">
        <f t="shared" si="0"/>
        <v>335830</v>
      </c>
    </row>
    <row r="29" spans="1:5" x14ac:dyDescent="0.3">
      <c r="B29" s="2">
        <v>6</v>
      </c>
      <c r="C29" s="35" t="s">
        <v>98</v>
      </c>
      <c r="D29" s="45">
        <f>+D133</f>
        <v>48190</v>
      </c>
      <c r="E29" s="59">
        <f t="shared" si="0"/>
        <v>159300</v>
      </c>
    </row>
    <row r="30" spans="1:5" x14ac:dyDescent="0.3">
      <c r="B30" s="2">
        <v>7</v>
      </c>
      <c r="C30" s="35" t="s">
        <v>99</v>
      </c>
      <c r="D30" s="45">
        <f>+D146</f>
        <v>92280</v>
      </c>
      <c r="E30" s="59">
        <f t="shared" si="0"/>
        <v>305050</v>
      </c>
    </row>
    <row r="31" spans="1:5" x14ac:dyDescent="0.3">
      <c r="B31" s="2">
        <v>8</v>
      </c>
      <c r="C31" s="35" t="s">
        <v>100</v>
      </c>
      <c r="D31" s="45">
        <f>+D154</f>
        <v>56830</v>
      </c>
      <c r="E31" s="59">
        <f t="shared" si="0"/>
        <v>187860</v>
      </c>
    </row>
    <row r="32" spans="1:5" x14ac:dyDescent="0.3">
      <c r="B32" s="2">
        <v>9</v>
      </c>
      <c r="C32" s="35" t="s">
        <v>101</v>
      </c>
      <c r="D32" s="45">
        <f>+D161</f>
        <v>27410</v>
      </c>
      <c r="E32" s="59">
        <f t="shared" si="0"/>
        <v>90610</v>
      </c>
    </row>
    <row r="33" spans="1:7" x14ac:dyDescent="0.3">
      <c r="B33" s="2">
        <v>10</v>
      </c>
      <c r="C33" s="35" t="s">
        <v>154</v>
      </c>
      <c r="D33" s="53">
        <f>TRUNC(SUM(D24:D32)*0.275,-1)</f>
        <v>388890</v>
      </c>
      <c r="E33" s="60">
        <f t="shared" si="0"/>
        <v>1285590</v>
      </c>
    </row>
    <row r="34" spans="1:7" x14ac:dyDescent="0.3">
      <c r="C34" s="35" t="s">
        <v>112</v>
      </c>
      <c r="D34" s="44">
        <f>SUM(D24:D33)</f>
        <v>1803060</v>
      </c>
      <c r="E34" s="44">
        <f>SUM(E24:E33)</f>
        <v>5960500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v>60800</v>
      </c>
      <c r="E40" s="62">
        <f t="shared" ref="E40:E59" si="1">TRUNC(+D40*3.3058,-1)</f>
        <v>200990</v>
      </c>
    </row>
    <row r="41" spans="1:7" x14ac:dyDescent="0.3">
      <c r="A41" s="2">
        <v>2</v>
      </c>
      <c r="C41" s="38" t="s">
        <v>13</v>
      </c>
      <c r="D41" s="42">
        <f>TRUNC(218044,-1)</f>
        <v>218040</v>
      </c>
      <c r="E41" s="63">
        <f t="shared" si="1"/>
        <v>720790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30380</v>
      </c>
      <c r="E43" s="63">
        <f t="shared" si="1"/>
        <v>100430</v>
      </c>
    </row>
    <row r="44" spans="1:7" x14ac:dyDescent="0.3">
      <c r="A44" s="2">
        <v>5</v>
      </c>
      <c r="C44" s="38" t="s">
        <v>17</v>
      </c>
      <c r="D44" s="42">
        <f>TRUNC(17121,-1)</f>
        <v>17120</v>
      </c>
      <c r="E44" s="63">
        <f t="shared" si="1"/>
        <v>56590</v>
      </c>
    </row>
    <row r="45" spans="1:7" x14ac:dyDescent="0.3">
      <c r="A45" s="2">
        <v>6</v>
      </c>
      <c r="C45" s="38" t="s">
        <v>18</v>
      </c>
      <c r="D45" s="42">
        <f>TRUNC(11792,-1)</f>
        <v>11790</v>
      </c>
      <c r="E45" s="63">
        <f t="shared" si="1"/>
        <v>38970</v>
      </c>
    </row>
    <row r="46" spans="1:7" x14ac:dyDescent="0.3">
      <c r="A46" s="2">
        <v>7</v>
      </c>
      <c r="C46" s="38" t="s">
        <v>19</v>
      </c>
      <c r="D46" s="42">
        <f>TRUNC(3743,-1)</f>
        <v>3740</v>
      </c>
      <c r="E46" s="63">
        <f t="shared" si="1"/>
        <v>12360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TRUNC(53784,-1)</f>
        <v>53780</v>
      </c>
      <c r="E48" s="63">
        <f t="shared" si="1"/>
        <v>177780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TRUNC(19017,-1)</f>
        <v>19010</v>
      </c>
      <c r="E49" s="63">
        <f t="shared" si="1"/>
        <v>62840</v>
      </c>
    </row>
    <row r="50" spans="1:7" x14ac:dyDescent="0.3">
      <c r="A50" s="2">
        <v>11</v>
      </c>
      <c r="C50" s="38" t="s">
        <v>155</v>
      </c>
      <c r="D50" s="42">
        <v>42580</v>
      </c>
      <c r="E50" s="63">
        <f t="shared" si="1"/>
        <v>140760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TRUNC(2891,-1)</f>
        <v>2890</v>
      </c>
      <c r="E52" s="63">
        <f t="shared" si="1"/>
        <v>9550</v>
      </c>
    </row>
    <row r="53" spans="1:7" x14ac:dyDescent="0.3">
      <c r="A53" s="2">
        <v>14</v>
      </c>
      <c r="C53" s="38" t="s">
        <v>25</v>
      </c>
      <c r="D53" s="42">
        <f>TRUNC(149231,-1)</f>
        <v>149230</v>
      </c>
      <c r="E53" s="63">
        <f t="shared" si="1"/>
        <v>493320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TRUNC(33266+51+3836-991+1061+305,-1)</f>
        <v>37520</v>
      </c>
      <c r="E58" s="63">
        <f t="shared" si="1"/>
        <v>124030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TRUNC(327483,-1)</f>
        <v>327480</v>
      </c>
      <c r="E59" s="64">
        <f t="shared" si="1"/>
        <v>1082580</v>
      </c>
    </row>
    <row r="60" spans="1:7" x14ac:dyDescent="0.3">
      <c r="A60" s="2">
        <v>21</v>
      </c>
      <c r="C60" s="27" t="s">
        <v>112</v>
      </c>
      <c r="D60" s="39">
        <f>SUM(D40:D59)</f>
        <v>974360</v>
      </c>
      <c r="E60" s="39">
        <f>SUM(E40:E59)</f>
        <v>3220990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TRUNC(14111,-1)</f>
        <v>14110</v>
      </c>
      <c r="E63" s="62">
        <f>TRUNC(+D63*3.3058,-1)</f>
        <v>46640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14110</v>
      </c>
      <c r="E66" s="65">
        <f>SUM(E63:E65)</f>
        <v>46640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TRUNC(5688,-1)</f>
        <v>5680</v>
      </c>
      <c r="E69" s="62">
        <f t="shared" ref="E69:E94" si="2">TRUNC(+D69*3.3058,-1)</f>
        <v>18770</v>
      </c>
    </row>
    <row r="70" spans="1:7" ht="16.5" customHeight="1" x14ac:dyDescent="0.3">
      <c r="A70" s="2">
        <v>2</v>
      </c>
      <c r="C70" s="38" t="s">
        <v>31</v>
      </c>
      <c r="D70" s="42">
        <f>TRUNC(4489,-1)</f>
        <v>4480</v>
      </c>
      <c r="E70" s="63">
        <f t="shared" si="2"/>
        <v>14800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TRUNC(7045,-1)</f>
        <v>7040</v>
      </c>
      <c r="E72" s="63">
        <f t="shared" si="2"/>
        <v>23270</v>
      </c>
    </row>
    <row r="73" spans="1:7" x14ac:dyDescent="0.3">
      <c r="A73" s="2">
        <v>5</v>
      </c>
      <c r="C73" s="38" t="s">
        <v>34</v>
      </c>
      <c r="D73" s="42">
        <f>TRUNC(24489,-1)</f>
        <v>24480</v>
      </c>
      <c r="E73" s="63">
        <f t="shared" si="2"/>
        <v>80920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TRUNC(9182,-1)</f>
        <v>9180</v>
      </c>
      <c r="E89" s="63">
        <f t="shared" si="2"/>
        <v>30340</v>
      </c>
    </row>
    <row r="90" spans="1:7" x14ac:dyDescent="0.3">
      <c r="A90" s="2">
        <v>22</v>
      </c>
      <c r="C90" s="38" t="s">
        <v>36</v>
      </c>
      <c r="D90" s="42">
        <f>TRUNC(2953,-1)</f>
        <v>2950</v>
      </c>
      <c r="E90" s="63">
        <f t="shared" si="2"/>
        <v>9750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TRUNC(10088,-1)</f>
        <v>10080</v>
      </c>
      <c r="E92" s="63">
        <f t="shared" si="2"/>
        <v>33320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TRUNC(173+35344,-1)</f>
        <v>35510</v>
      </c>
      <c r="E94" s="64">
        <f t="shared" si="2"/>
        <v>117380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99400</v>
      </c>
      <c r="E95" s="39">
        <f>SUM(E69:E94)</f>
        <v>328550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TRUNC(21596,-1)</f>
        <v>21590</v>
      </c>
      <c r="E98" s="62">
        <f t="shared" ref="E98:E118" si="3">TRUNC(+D98*3.3058,-1)</f>
        <v>71370</v>
      </c>
    </row>
    <row r="99" spans="1:7" x14ac:dyDescent="0.3">
      <c r="A99" s="2">
        <v>2</v>
      </c>
      <c r="C99" s="38" t="s">
        <v>40</v>
      </c>
      <c r="D99" s="42">
        <f>TRUNC(7461,-1)</f>
        <v>7460</v>
      </c>
      <c r="E99" s="63">
        <f t="shared" si="3"/>
        <v>24660</v>
      </c>
    </row>
    <row r="100" spans="1:7" x14ac:dyDescent="0.3">
      <c r="A100" s="2">
        <v>3</v>
      </c>
      <c r="C100" s="38" t="s">
        <v>41</v>
      </c>
      <c r="D100" s="42">
        <f>TRUNC(26545,-1)</f>
        <v>26540</v>
      </c>
      <c r="E100" s="63">
        <f t="shared" si="3"/>
        <v>87730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TRUNC(8137,-1)</f>
        <v>8130</v>
      </c>
      <c r="E102" s="63">
        <f t="shared" si="3"/>
        <v>26870</v>
      </c>
    </row>
    <row r="103" spans="1:7" x14ac:dyDescent="0.3">
      <c r="A103" s="2">
        <v>6</v>
      </c>
      <c r="C103" s="38" t="s">
        <v>44</v>
      </c>
      <c r="D103" s="42">
        <f>TRUNC(4908,-1)</f>
        <v>4900</v>
      </c>
      <c r="E103" s="63">
        <f t="shared" si="3"/>
        <v>16190</v>
      </c>
    </row>
    <row r="104" spans="1:7" x14ac:dyDescent="0.3">
      <c r="A104" s="2">
        <v>7</v>
      </c>
      <c r="C104" s="38" t="s">
        <v>45</v>
      </c>
      <c r="D104" s="42">
        <f>TRUNC(1463,-1)</f>
        <v>1460</v>
      </c>
      <c r="E104" s="63">
        <f t="shared" si="3"/>
        <v>4820</v>
      </c>
    </row>
    <row r="105" spans="1:7" x14ac:dyDescent="0.3">
      <c r="A105" s="2">
        <v>8</v>
      </c>
      <c r="C105" s="38" t="s">
        <v>46</v>
      </c>
      <c r="D105" s="42">
        <v>1990</v>
      </c>
      <c r="E105" s="63">
        <f t="shared" si="3"/>
        <v>6570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TRUNC(3298,-1)</f>
        <v>3290</v>
      </c>
      <c r="E114" s="63">
        <f t="shared" si="3"/>
        <v>10870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TRUNC(23228,-1)</f>
        <v>23220</v>
      </c>
      <c r="E116" s="63">
        <f t="shared" si="3"/>
        <v>76760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3010</v>
      </c>
      <c r="E118" s="64">
        <f t="shared" si="3"/>
        <v>9950</v>
      </c>
    </row>
    <row r="119" spans="1:7" x14ac:dyDescent="0.3">
      <c r="A119" s="2">
        <v>22</v>
      </c>
      <c r="C119" s="27" t="s">
        <v>112</v>
      </c>
      <c r="D119" s="39">
        <f>SUM(D98:D118)</f>
        <v>101590</v>
      </c>
      <c r="E119" s="39">
        <f>SUM(E98:E118)</f>
        <v>335790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TRUNC(5997,-1)</f>
        <v>5990</v>
      </c>
      <c r="E122" s="62">
        <f t="shared" ref="E122:E132" si="4">TRUNC(+D122*3.3058,-1)</f>
        <v>19800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TRUNC(10908,-1)</f>
        <v>10900</v>
      </c>
      <c r="E125" s="63">
        <f t="shared" si="4"/>
        <v>36030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TRUNC(5068,-1)</f>
        <v>5060</v>
      </c>
      <c r="E128" s="63">
        <f t="shared" si="4"/>
        <v>16720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TRUNC(16247,-1)</f>
        <v>16240</v>
      </c>
      <c r="E130" s="63">
        <f t="shared" si="4"/>
        <v>53680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TRUNC(10007,-1)</f>
        <v>10000</v>
      </c>
      <c r="E132" s="64">
        <f t="shared" si="4"/>
        <v>33050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48190</v>
      </c>
      <c r="E133" s="39">
        <f>SUM(E122:E132)</f>
        <v>159280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TRUNC(80863,-1)</f>
        <v>80860</v>
      </c>
      <c r="E137" s="63">
        <f t="shared" si="5"/>
        <v>267300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TRUNC(4222,-1)</f>
        <v>4220</v>
      </c>
      <c r="E143" s="63">
        <f t="shared" si="5"/>
        <v>13950</v>
      </c>
    </row>
    <row r="144" spans="1:7" x14ac:dyDescent="0.3">
      <c r="A144" s="2">
        <v>9</v>
      </c>
      <c r="C144" s="38" t="s">
        <v>63</v>
      </c>
      <c r="D144" s="42">
        <f>TRUNC(7201,-1)</f>
        <v>7200</v>
      </c>
      <c r="E144" s="63">
        <f t="shared" si="5"/>
        <v>23800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92280</v>
      </c>
      <c r="E146" s="39">
        <f>SUM(E136:E145)</f>
        <v>305050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TRUNC(2733+2454,-1)</f>
        <v>5180</v>
      </c>
      <c r="E149" s="62">
        <f>TRUNC(+D149*3.3058,-1)</f>
        <v>17120</v>
      </c>
    </row>
    <row r="150" spans="1:7" x14ac:dyDescent="0.3">
      <c r="A150" s="2">
        <v>2</v>
      </c>
      <c r="C150" s="38" t="s">
        <v>49</v>
      </c>
      <c r="D150" s="42">
        <f>TRUNC(12028,-1)</f>
        <v>12020</v>
      </c>
      <c r="E150" s="63">
        <f>TRUNC(+D150*3.3058,-1)</f>
        <v>39730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TRUNC(35280+753+3600,-1)</f>
        <v>39630</v>
      </c>
      <c r="E152" s="63">
        <f>TRUNC(+D152*3.3058,-1)</f>
        <v>131000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56830</v>
      </c>
      <c r="E154" s="39">
        <f>SUM(E149:E153)</f>
        <v>187850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TRUNC(8306,-1)</f>
        <v>8300</v>
      </c>
      <c r="E157" s="62">
        <f>TRUNC(+D157*3.3058,-1)</f>
        <v>27430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TRUNC(19114,-1)</f>
        <v>19110</v>
      </c>
      <c r="E159" s="63">
        <f>TRUNC(+D159*3.3058,-1)</f>
        <v>63170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27410</v>
      </c>
      <c r="E161" s="39">
        <f>SUM(E157:E160)</f>
        <v>90600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2020-12-07T09:57:19Z</dcterms:modified>
</cp:coreProperties>
</file>