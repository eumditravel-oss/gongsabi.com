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2" i="4"/>
  <c r="D150" i="4"/>
  <c r="D149" i="4"/>
  <c r="D143" i="4"/>
  <c r="D137" i="4"/>
  <c r="D132" i="4"/>
  <c r="D131" i="4"/>
  <c r="D128" i="4"/>
  <c r="D125" i="4"/>
  <c r="D122" i="4"/>
  <c r="D118" i="4"/>
  <c r="D117" i="4"/>
  <c r="D105" i="4"/>
  <c r="D103" i="4"/>
  <c r="D102" i="4"/>
  <c r="D100" i="4"/>
  <c r="D99" i="4"/>
  <c r="D98" i="4"/>
  <c r="D94" i="4"/>
  <c r="D92" i="4"/>
  <c r="D91" i="4"/>
  <c r="D89" i="4"/>
  <c r="D73" i="4"/>
  <c r="D72" i="4"/>
  <c r="D69" i="4"/>
  <c r="D65" i="4"/>
  <c r="D63" i="4"/>
  <c r="D59" i="4"/>
  <c r="D58" i="4"/>
  <c r="D52" i="4"/>
  <c r="D50" i="4"/>
  <c r="D49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<sst xmlns="http://schemas.openxmlformats.org/spreadsheetml/2006/main" count="389" uniqueCount="263">
  <si>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</si>
  <si>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</si>
  <si>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</si>
  <si>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</si>
  <si>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</si>
  <si>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</si>
  <si>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</si>
  <si>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</si>
  <si>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</si>
  <si>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</si>
  <si>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</si>
  <si>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</si>
  <si>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</si>
  <si>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</si>
  <si>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</si>
  <si>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</si>
  <si>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</si>
  <si>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</si>
  <si>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</si>
  <si>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</si>
  <si>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</si>
  <si>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</si>
  <si>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</si>
  <si>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</si>
  <si>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</si>
  <si>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</si>
  <si>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</si>
  <si>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</si>
  <si>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</si>
  <si>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</si>
  <si>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</si>
  <si>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</si>
  <si>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</si>
  <si>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</si>
  <si>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</si>
  <si>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</si>
  <si>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</si>
  <si>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</si>
  <si>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</si>
  <si>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</si>
  <si>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</si>
  <si>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</si>
  <si>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</si>
  <si>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</si>
  <si>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</si>
  <si>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</si>
  <si>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</si>
  <si>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</si>
  <si>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</si>
  <si>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</si>
  <si>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</si>
  <si>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</si>
  <si>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</si>
  <si>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</si>
  <si>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</si>
  <si>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</si>
  <si>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</si>
  <si>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</si>
  <si>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</si>
  <si>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</si>
  <si>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</si>
  <si>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</si>
  <si>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</si>
  <si>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</si>
  <si>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</si>
  <si>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</si>
  <si>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</si>
  <si>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</si>
  <si>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</si>
  <si>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</si>
  <si>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</si>
  <si>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</si>
  <si>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</si>
  <si>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</si>
  <si>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</si>
  <si>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</si>
  <si>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</si>
  <si>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</si>
  <si>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</si>
  <si>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</si>
  <si>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</si>
  <si>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</si>
  <si>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</si>
  <si>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</si>
  <si>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</si>
  <si>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</si>
  <si>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</si>
  <si>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</si>
  <si>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</si>
  <si>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</si>
  <si>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</si>
  <si>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</si>
  <si>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</si>
  <si>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</si>
  <si>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</si>
  <si>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</si>
  <si>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</si>
  <si>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</si>
  <si>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</si>
  <si>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</si>
  <si>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</si>
  <si>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</si>
  <si>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</si>
  <si>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</si>
  <si>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</si>
  <si>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</si>
  <si>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</si>
  <si>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</si>
  <si>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</si>
  <si>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</si>
  <si>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</si>
  <si>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</si>
  <si>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</si>
  <si>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</si>
  <si>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</si>
  <si>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</si>
  <si>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</si>
  <si>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</si>
  <si>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</si>
  <si>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</si>
  <si>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</si>
  <si>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</si>
  <si>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</si>
  <si>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</si>
  <si>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</si>
  <si>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</si>
  <si>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</si>
  <si>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</si>
  <si>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</si>
  <si>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</si>
  <si>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</si>
  <si>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</si>
  <si>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</si>
  <si>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</si>
  <si>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</si>
  <si>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</si>
  <si>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</si>
  <si>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</si>
  <si>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</si>
  <si>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</si>
  <si>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</si>
  <si>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</si>
  <si>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</si>
  <si>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</si>
  <si>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</si>
  <si>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</si>
  <si>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</si>
  <si>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</si>
  <si>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</si>
  <si>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</si>
  <si>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</si>
  <si>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</si>
  <si>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</si>
  <si>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</si>
  <si>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</si>
  <si>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</si>
  <si>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</si>
  <si>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</si>
  <si>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</si>
  <si>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</si>
  <si>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</si>
  <si>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</si>
  <si>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</si>
  <si>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</si>
  <si>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</si>
  <si>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</si>
  <si>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</si>
  <si>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</si>
  <si>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</si>
  <si>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</si>
  <si>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</si>
  <si>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</si>
  <si>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</si>
  <si>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</si>
  <si>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</si>
  <si>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</si>
  <si>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</si>
  <si>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</si>
  <si>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</si>
  <si>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</si>
  <si>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</si>
  <si>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</si>
  <si>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</si>
  <si>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</si>
  <si>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</si>
  <si>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</si>
  <si>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</si>
  <si>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</si>
  <si>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</si>
  <si>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</si>
  <si>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</si>
  <si>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</si>
  <si>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</si>
  <si>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</si>
  <si>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</si>
  <si>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</si>
  <si>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</si>
  <si>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</si>
  <si>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</si>
  <si>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</si>
  <si>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</si>
  <si>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</si>
  <si>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</si>
  <si>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</si>
  <si>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</si>
  <si>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</si>
  <si>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</si>
  <si>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</si>
  <si>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</si>
  <si>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</si>
  <si>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</si>
  <si>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</si>
  <si>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</si>
  <si>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</si>
  <si>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</si>
  <si>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</si>
  <si>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</si>
  <si>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</si>
  <si>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</si>
  <si>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</si>
  <si>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</si>
  <si>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</si>
  <si>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</si>
  <si>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</si>
  <si>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</si>
  <si>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</si>
  <si>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</si>
  <si>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</si>
  <si>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</si>
  <si>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</si>
  <si>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</si>
  <si>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</si>
  <si>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</si>
  <si>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</si>
  <si>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</si>
  <si>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</si>
  <si>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</si>
  <si>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</si>
  <si>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</si>
  <si>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</si>
  <si>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</si>
  <si>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</si>
  <si>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</si>
  <si>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</si>
  <si>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</si>
  <si>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</si>
  <si>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</si>
  <si>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</si>
  <si>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</si>
  <si>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</si>
  <si>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</si>
  <si>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</si>
  <si>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</si>
  <si>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</si>
  <si>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교육연구</t>
  </si>
  <si>
    <t>가야출토유물보관센터 건립공사</t>
    <phoneticPr fontId="2" type="noConversion"/>
  </si>
  <si>
    <t>경상도</t>
  </si>
  <si>
    <t>기초공사, 해체및철거공사, 골재비및운반비, 기타공사</t>
    <phoneticPr fontId="2" type="noConversion"/>
  </si>
  <si>
    <t>바닥난방공사, 기타공사</t>
    <phoneticPr fontId="2" type="noConversion"/>
  </si>
  <si>
    <t>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</si>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</sst>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1809.12</v>
      </c>
      <c r="D7" s="36">
        <f>+C7/3.3058</f>
        <v>547.25633734648193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1219490</v>
      </c>
      <c r="E25" s="59">
        <f t="shared" si="0"/>
        <v>4031390</v>
      </c>
    </row>
    <row r="26" spans="1:5" x14ac:dyDescent="0.3">
      <c r="B26" s="2">
        <v>3</v>
      </c>
      <c r="C26" s="35" t="s">
        <v>95</v>
      </c>
      <c r="D26" s="45">
        <f>+D66</f>
        <v>82780</v>
      </c>
      <c r="E26" s="59">
        <f t="shared" si="0"/>
        <v>273650</v>
      </c>
    </row>
    <row r="27" spans="1:5" x14ac:dyDescent="0.3">
      <c r="B27" s="2">
        <v>4</v>
      </c>
      <c r="C27" s="35" t="s">
        <v>96</v>
      </c>
      <c r="D27" s="45">
        <f>+D95</f>
        <v>79850</v>
      </c>
      <c r="E27" s="59">
        <f t="shared" si="0"/>
        <v>263960</v>
      </c>
    </row>
    <row r="28" spans="1:5" x14ac:dyDescent="0.3">
      <c r="B28" s="2">
        <v>5</v>
      </c>
      <c r="C28" s="35" t="s">
        <v>97</v>
      </c>
      <c r="D28" s="45">
        <f>+D119</f>
        <v>219140</v>
      </c>
      <c r="E28" s="59">
        <f t="shared" si="0"/>
        <v>724430</v>
      </c>
    </row>
    <row r="29" spans="1:5" x14ac:dyDescent="0.3">
      <c r="B29" s="2">
        <v>6</v>
      </c>
      <c r="C29" s="35" t="s">
        <v>98</v>
      </c>
      <c r="D29" s="45">
        <f>+D133</f>
        <v>43080</v>
      </c>
      <c r="E29" s="59">
        <f t="shared" si="0"/>
        <v>142410</v>
      </c>
    </row>
    <row r="30" spans="1:5" x14ac:dyDescent="0.3">
      <c r="B30" s="2">
        <v>7</v>
      </c>
      <c r="C30" s="35" t="s">
        <v>99</v>
      </c>
      <c r="D30" s="45">
        <f>+D146</f>
        <v>34390</v>
      </c>
      <c r="E30" s="59">
        <f t="shared" si="0"/>
        <v>113680</v>
      </c>
    </row>
    <row r="31" spans="1:5" x14ac:dyDescent="0.3">
      <c r="B31" s="2">
        <v>8</v>
      </c>
      <c r="C31" s="35" t="s">
        <v>100</v>
      </c>
      <c r="D31" s="45">
        <f>+D154</f>
        <v>13330</v>
      </c>
      <c r="E31" s="59">
        <f t="shared" si="0"/>
        <v>44060</v>
      </c>
    </row>
    <row r="32" spans="1:5" x14ac:dyDescent="0.3">
      <c r="B32" s="2">
        <v>9</v>
      </c>
      <c r="C32" s="35" t="s">
        <v>101</v>
      </c>
      <c r="D32" s="45">
        <f>+D161</f>
        <v>7590</v>
      </c>
      <c r="E32" s="59">
        <f t="shared" si="0"/>
        <v>25090</v>
      </c>
    </row>
    <row r="33" spans="1:7" x14ac:dyDescent="0.3">
      <c r="B33" s="2">
        <v>10</v>
      </c>
      <c r="C33" s="35" t="s">
        <v>155</v>
      </c>
      <c r="D33" s="53">
        <f>TRUNC(SUM(D24:D32)*0.275,-1)</f>
        <v>467400</v>
      </c>
      <c r="E33" s="60">
        <f t="shared" si="0"/>
        <v>1545130</v>
      </c>
    </row>
    <row r="34" spans="1:7" x14ac:dyDescent="0.3">
      <c r="C34" s="35" t="s">
        <v>112</v>
      </c>
      <c r="D34" s="44">
        <f>SUM(D24:D33)</f>
        <v>2167050</v>
      </c>
      <c r="E34" s="44">
        <f>SUM(E24:E33)</f>
        <v>7163800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TRUNC(58365,-1)</f>
        <v>58360</v>
      </c>
      <c r="E40" s="62">
        <f t="shared" ref="E40:E59" si="1">TRUNC(+D40*3.3058,-1)</f>
        <v>192920</v>
      </c>
    </row>
    <row r="41" spans="1:7" x14ac:dyDescent="0.3">
      <c r="A41" s="2">
        <v>2</v>
      </c>
      <c r="C41" s="38" t="s">
        <v>13</v>
      </c>
      <c r="D41" s="42">
        <f>TRUNC(208777,-1)</f>
        <v>208770</v>
      </c>
      <c r="E41" s="63">
        <f t="shared" si="1"/>
        <v>690150</v>
      </c>
    </row>
    <row r="42" spans="1:7" x14ac:dyDescent="0.3">
      <c r="A42" s="2">
        <v>3</v>
      </c>
      <c r="C42" s="38" t="s">
        <v>14</v>
      </c>
      <c r="D42" s="42">
        <f>TRUNC(3048,-1)</f>
        <v>3040</v>
      </c>
      <c r="E42" s="63">
        <f t="shared" si="1"/>
        <v>10040</v>
      </c>
    </row>
    <row r="43" spans="1:7" x14ac:dyDescent="0.3">
      <c r="A43" s="2">
        <v>4</v>
      </c>
      <c r="C43" s="38" t="s">
        <v>16</v>
      </c>
      <c r="D43" s="42">
        <f>TRUNC(11969,-1)</f>
        <v>11960</v>
      </c>
      <c r="E43" s="63">
        <f t="shared" si="1"/>
        <v>39530</v>
      </c>
    </row>
    <row r="44" spans="1:7" x14ac:dyDescent="0.3">
      <c r="A44" s="2">
        <v>5</v>
      </c>
      <c r="C44" s="38" t="s">
        <v>17</v>
      </c>
      <c r="D44" s="42">
        <f>TRUNC(32868,-1)</f>
        <v>32860</v>
      </c>
      <c r="E44" s="63">
        <f t="shared" si="1"/>
        <v>108620</v>
      </c>
    </row>
    <row r="45" spans="1:7" x14ac:dyDescent="0.3">
      <c r="A45" s="2">
        <v>6</v>
      </c>
      <c r="C45" s="38" t="s">
        <v>18</v>
      </c>
      <c r="D45" s="42">
        <f>TRUNC(4312,-1)</f>
        <v>4310</v>
      </c>
      <c r="E45" s="63">
        <f t="shared" si="1"/>
        <v>14240</v>
      </c>
    </row>
    <row r="46" spans="1:7" x14ac:dyDescent="0.3">
      <c r="A46" s="2">
        <v>7</v>
      </c>
      <c r="C46" s="38" t="s">
        <v>19</v>
      </c>
      <c r="D46" s="42">
        <f>TRUNC(21658,-1)</f>
        <v>21650</v>
      </c>
      <c r="E46" s="63">
        <f t="shared" si="1"/>
        <v>71570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70240</v>
      </c>
      <c r="E48" s="63">
        <f t="shared" si="1"/>
        <v>232190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TRUNC(17777,-1)</f>
        <v>17770</v>
      </c>
      <c r="E49" s="63">
        <f t="shared" si="1"/>
        <v>58740</v>
      </c>
    </row>
    <row r="50" spans="1:7" x14ac:dyDescent="0.3">
      <c r="A50" s="2">
        <v>11</v>
      </c>
      <c r="C50" s="38" t="s">
        <v>156</v>
      </c>
      <c r="D50" s="42">
        <f>TRUNC(32687,-1)</f>
        <v>32680</v>
      </c>
      <c r="E50" s="63">
        <f t="shared" si="1"/>
        <v>108030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TRUNC(27746,-1)</f>
        <v>27740</v>
      </c>
      <c r="E52" s="63">
        <f t="shared" si="1"/>
        <v>91700</v>
      </c>
    </row>
    <row r="53" spans="1:7" x14ac:dyDescent="0.3">
      <c r="A53" s="2">
        <v>14</v>
      </c>
      <c r="C53" s="38" t="s">
        <v>25</v>
      </c>
      <c r="D53" s="42">
        <v>60180</v>
      </c>
      <c r="E53" s="63">
        <f t="shared" si="1"/>
        <v>198940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TRUNC(6120+4501+166040,-1)</f>
        <v>176660</v>
      </c>
      <c r="E58" s="63">
        <f t="shared" si="1"/>
        <v>584000</v>
      </c>
      <c r="F58" s="2" t="s">
        <v>257</v>
      </c>
    </row>
    <row r="59" spans="1:7" ht="17.25" thickBot="1" x14ac:dyDescent="0.35">
      <c r="A59" s="2">
        <v>20</v>
      </c>
      <c r="C59" s="38" t="s">
        <v>149</v>
      </c>
      <c r="D59" s="43">
        <f>TRUNC(493275,-1)</f>
        <v>493270</v>
      </c>
      <c r="E59" s="64">
        <f t="shared" si="1"/>
        <v>1630650</v>
      </c>
    </row>
    <row r="60" spans="1:7" x14ac:dyDescent="0.3">
      <c r="A60" s="2">
        <v>21</v>
      </c>
      <c r="C60" s="27" t="s">
        <v>112</v>
      </c>
      <c r="D60" s="39">
        <f>SUM(D40:D59)</f>
        <v>1219490</v>
      </c>
      <c r="E60" s="39">
        <f>SUM(E40:E59)</f>
        <v>4031320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TRUNC(15565,-1)</f>
        <v>15560</v>
      </c>
      <c r="E63" s="62">
        <f>TRUNC(+D63*3.3058,-1)</f>
        <v>51430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TRUNC(67228,-1)</f>
        <v>67220</v>
      </c>
      <c r="E65" s="64">
        <f>TRUNC(+D65*3.3058,-1)</f>
        <v>222210</v>
      </c>
    </row>
    <row r="66" spans="1:7" x14ac:dyDescent="0.3">
      <c r="A66" s="2">
        <v>4</v>
      </c>
      <c r="C66" s="27" t="s">
        <v>112</v>
      </c>
      <c r="D66" s="39">
        <f>SUM(D63:D65)</f>
        <v>82780</v>
      </c>
      <c r="E66" s="65">
        <f>SUM(E63:E65)</f>
        <v>273640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TRUNC(19678,-1)</f>
        <v>19670</v>
      </c>
      <c r="E69" s="62">
        <f t="shared" ref="E69:E94" si="2">TRUNC(+D69*3.3058,-1)</f>
        <v>65020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TRUNC(4536,-1)</f>
        <v>4530</v>
      </c>
      <c r="E72" s="63">
        <f t="shared" si="2"/>
        <v>14970</v>
      </c>
    </row>
    <row r="73" spans="1:7" x14ac:dyDescent="0.3">
      <c r="A73" s="2">
        <v>5</v>
      </c>
      <c r="C73" s="38" t="s">
        <v>34</v>
      </c>
      <c r="D73" s="42">
        <f>TRUNC(28914,-1)</f>
        <v>28910</v>
      </c>
      <c r="E73" s="63">
        <f t="shared" si="2"/>
        <v>95570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TRUNC(8315,-1)</f>
        <v>8310</v>
      </c>
      <c r="E89" s="63">
        <f t="shared" si="2"/>
        <v>27470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TRUNC(10289,-1)</f>
        <v>10280</v>
      </c>
      <c r="E91" s="63">
        <f t="shared" si="2"/>
        <v>33980</v>
      </c>
    </row>
    <row r="92" spans="1:7" x14ac:dyDescent="0.3">
      <c r="A92" s="2">
        <v>24</v>
      </c>
      <c r="C92" s="38" t="s">
        <v>38</v>
      </c>
      <c r="D92" s="42">
        <f>TRUNC(4662,-1)</f>
        <v>4660</v>
      </c>
      <c r="E92" s="63">
        <f t="shared" si="2"/>
        <v>15400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TRUNC(1760+1731,-1)</f>
        <v>3490</v>
      </c>
      <c r="E94" s="64">
        <f t="shared" si="2"/>
        <v>11530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79850</v>
      </c>
      <c r="E95" s="39">
        <f>SUM(E69:E94)</f>
        <v>263940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TRUNC(22806,-1)</f>
        <v>22800</v>
      </c>
      <c r="E98" s="62">
        <f t="shared" ref="E98:E118" si="3">TRUNC(+D98*3.3058,-1)</f>
        <v>75370</v>
      </c>
    </row>
    <row r="99" spans="1:7" x14ac:dyDescent="0.3">
      <c r="A99" s="2">
        <v>2</v>
      </c>
      <c r="C99" s="38" t="s">
        <v>40</v>
      </c>
      <c r="D99" s="42">
        <f>TRUNC(9274,-1)</f>
        <v>9270</v>
      </c>
      <c r="E99" s="63">
        <f t="shared" si="3"/>
        <v>30640</v>
      </c>
    </row>
    <row r="100" spans="1:7" x14ac:dyDescent="0.3">
      <c r="A100" s="2">
        <v>3</v>
      </c>
      <c r="C100" s="38" t="s">
        <v>41</v>
      </c>
      <c r="D100" s="42">
        <f>TRUNC(30287,-1)</f>
        <v>30280</v>
      </c>
      <c r="E100" s="63">
        <f t="shared" si="3"/>
        <v>100090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TRUNC(10732,-1)</f>
        <v>10730</v>
      </c>
      <c r="E102" s="63">
        <f t="shared" si="3"/>
        <v>35470</v>
      </c>
    </row>
    <row r="103" spans="1:7" x14ac:dyDescent="0.3">
      <c r="A103" s="2">
        <v>6</v>
      </c>
      <c r="C103" s="38" t="s">
        <v>44</v>
      </c>
      <c r="D103" s="42">
        <f>TRUNC(4489,-1)</f>
        <v>4480</v>
      </c>
      <c r="E103" s="63">
        <f t="shared" si="3"/>
        <v>14800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TRUNC(1004,-1)</f>
        <v>1000</v>
      </c>
      <c r="E105" s="63">
        <f t="shared" si="3"/>
        <v>3300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TRUNC(139157,-1)</f>
        <v>139150</v>
      </c>
      <c r="E117" s="63">
        <f t="shared" si="3"/>
        <v>460000</v>
      </c>
    </row>
    <row r="118" spans="1:7" ht="17.25" thickBot="1" x14ac:dyDescent="0.35">
      <c r="A118" s="2">
        <v>21</v>
      </c>
      <c r="C118" s="38" t="s">
        <v>47</v>
      </c>
      <c r="D118" s="43">
        <f>TRUNC(1434,-1)</f>
        <v>1430</v>
      </c>
      <c r="E118" s="64">
        <f t="shared" si="3"/>
        <v>4720</v>
      </c>
    </row>
    <row r="119" spans="1:7" x14ac:dyDescent="0.3">
      <c r="A119" s="2">
        <v>22</v>
      </c>
      <c r="C119" s="27" t="s">
        <v>112</v>
      </c>
      <c r="D119" s="39">
        <f>SUM(D98:D118)</f>
        <v>219140</v>
      </c>
      <c r="E119" s="39">
        <f>SUM(E98:E118)</f>
        <v>724390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TRUNC(3203,-1)</f>
        <v>3200</v>
      </c>
      <c r="E122" s="62">
        <f t="shared" ref="E122:E132" si="4">TRUNC(+D122*3.3058,-1)</f>
        <v>10570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TRUNC(4817,-1)</f>
        <v>4810</v>
      </c>
      <c r="E125" s="63">
        <f t="shared" si="4"/>
        <v>15900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TRUNC(806,-1)</f>
        <v>800</v>
      </c>
      <c r="E128" s="63">
        <f t="shared" si="4"/>
        <v>2640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14930</v>
      </c>
      <c r="E130" s="63">
        <f t="shared" si="4"/>
        <v>49350</v>
      </c>
    </row>
    <row r="131" spans="1:7" x14ac:dyDescent="0.3">
      <c r="A131" s="2">
        <v>10</v>
      </c>
      <c r="C131" s="38" t="s">
        <v>149</v>
      </c>
      <c r="D131" s="42">
        <f>TRUNC(3956,-1)</f>
        <v>3950</v>
      </c>
      <c r="E131" s="63">
        <f t="shared" si="4"/>
        <v>13050</v>
      </c>
    </row>
    <row r="132" spans="1:7" ht="18" thickBot="1" x14ac:dyDescent="0.35">
      <c r="A132" s="2">
        <v>11</v>
      </c>
      <c r="C132" s="38" t="s">
        <v>47</v>
      </c>
      <c r="D132" s="43">
        <f>TRUNC(6031+9368,-1)</f>
        <v>15390</v>
      </c>
      <c r="E132" s="64">
        <f t="shared" si="4"/>
        <v>50870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43080</v>
      </c>
      <c r="E133" s="39">
        <f>SUM(E122:E132)</f>
        <v>142380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TRUNC(14342,-1)</f>
        <v>14340</v>
      </c>
      <c r="E137" s="63">
        <f t="shared" si="5"/>
        <v>47400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4750</v>
      </c>
      <c r="E141" s="63">
        <f t="shared" si="5"/>
        <v>15700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TRUNC(7523,-1)</f>
        <v>7520</v>
      </c>
      <c r="E143" s="63">
        <f t="shared" si="5"/>
        <v>24850</v>
      </c>
    </row>
    <row r="144" spans="1:7" x14ac:dyDescent="0.3">
      <c r="A144" s="2">
        <v>9</v>
      </c>
      <c r="C144" s="38" t="s">
        <v>63</v>
      </c>
      <c r="D144" s="42">
        <v>7780</v>
      </c>
      <c r="E144" s="63">
        <f t="shared" si="5"/>
        <v>25710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34390</v>
      </c>
      <c r="E146" s="39">
        <f>SUM(E136:E145)</f>
        <v>113660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TRUNC(2328+99,-1)</f>
        <v>2420</v>
      </c>
      <c r="E149" s="62">
        <f>TRUNC(+D149*3.3058,-1)</f>
        <v>8000</v>
      </c>
    </row>
    <row r="150" spans="1:7" x14ac:dyDescent="0.3">
      <c r="A150" s="2">
        <v>2</v>
      </c>
      <c r="C150" s="38" t="s">
        <v>49</v>
      </c>
      <c r="D150" s="42">
        <f>TRUNC(3902,-1)</f>
        <v>3900</v>
      </c>
      <c r="E150" s="63">
        <f>TRUNC(+D150*3.3058,-1)</f>
        <v>12890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TRUNC(4863+184+1968,-1)</f>
        <v>7010</v>
      </c>
      <c r="E152" s="63">
        <f>TRUNC(+D152*3.3058,-1)</f>
        <v>23170</v>
      </c>
      <c r="F152" s="2" t="s">
        <v>259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13330</v>
      </c>
      <c r="E154" s="39">
        <f>SUM(E149:E153)</f>
        <v>44060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TRUNC(619,-1)</f>
        <v>610</v>
      </c>
      <c r="E157" s="62">
        <f>TRUNC(+D157*3.3058,-1)</f>
        <v>2010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TRUNC(6982,-1)</f>
        <v>6980</v>
      </c>
      <c r="E159" s="63">
        <f>TRUNC(+D159*3.3058,-1)</f>
        <v>23070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7590</v>
      </c>
      <c r="E161" s="39">
        <f>SUM(E157:E160)</f>
        <v>25080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2020-12-08T01:24:51Z</dcterms:modified>
</cp:coreProperties>
</file>