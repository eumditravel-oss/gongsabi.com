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8" i="4" l="1"/>
  <c r="D118" i="4"/>
  <c r="D132" i="4" l="1"/>
  <c r="D124" i="4"/>
  <c r="D125" i="4"/>
  <c r="D122" i="4"/>
  <c r="D123" i="4"/>
  <c r="D105" i="4"/>
  <c r="D103" i="4"/>
  <c r="D102" i="4"/>
  <c r="D100" i="4"/>
  <c r="D99" i="4"/>
  <c r="D104" i="4"/>
  <c r="D116" i="4"/>
  <c r="D94" i="4"/>
  <c r="D72" i="4"/>
  <c r="D84" i="4"/>
  <c r="D83" i="4"/>
  <c r="D92" i="4"/>
  <c r="D69" i="4"/>
  <c r="D58" i="4"/>
  <c r="D55" i="4"/>
  <c r="D53" i="4"/>
  <c r="D52" i="4"/>
  <c r="D51" i="4"/>
  <c r="D50" i="4"/>
  <c r="D49" i="4"/>
  <c r="D48" i="4"/>
  <c r="D47" i="4"/>
  <c r="D46" i="4"/>
  <c r="D44" i="4"/>
  <c r="D43" i="4"/>
  <c r="D42" i="4"/>
  <c r="D41" i="4"/>
  <c r="D40" i="4"/>
  <c r="D137" i="4"/>
  <c r="D136" i="4"/>
  <c r="D159" i="4"/>
  <c r="D161" i="4" s="1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33" i="4"/>
  <c r="E119" i="4"/>
  <c r="E95" i="4"/>
  <c r="E60" i="4"/>
  <c r="E154" i="4"/>
  <c r="D32" i="4"/>
  <c r="E32" i="4" s="1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<sst xmlns="http://schemas.openxmlformats.org/spreadsheetml/2006/main" count="399" uniqueCount="274">
  <si>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</si>
  <si>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</si>
  <si>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</si>
  <si>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</si>
  <si>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</si>
  <si>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</si>
  <si>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</si>
  <si>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</si>
  <si>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</si>
  <si>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</si>
  <si>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</si>
  <si>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</si>
  <si>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</si>
  <si>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</si>
  <si>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</si>
  <si>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</si>
  <si>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</si>
  <si>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</si>
  <si>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</si>
  <si>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</si>
  <si>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</si>
  <si>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</si>
  <si>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</si>
  <si>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</si>
  <si>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</si>
  <si>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</si>
  <si>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</si>
  <si>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</si>
  <si>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</si>
  <si>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</si>
  <si>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</si>
  <si>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</si>
  <si>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</si>
  <si>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</si>
  <si>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</si>
  <si>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</si>
  <si>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</si>
  <si>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</si>
  <si>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</si>
  <si>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</si>
  <si>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</si>
  <si>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</si>
  <si>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</si>
  <si>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</si>
  <si>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</si>
  <si>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</si>
  <si>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</si>
  <si>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</si>
  <si>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</si>
  <si>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</si>
  <si>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</si>
  <si>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</si>
  <si>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</si>
  <si>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</si>
  <si>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</si>
  <si>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</si>
  <si>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</si>
  <si>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</si>
  <si>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</si>
  <si>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</si>
  <si>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</si>
  <si>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</si>
  <si>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</si>
  <si>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</si>
  <si>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</si>
  <si>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</si>
  <si>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</si>
  <si>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</si>
  <si>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</si>
  <si>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</si>
  <si>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</si>
  <si>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</si>
  <si>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</si>
  <si>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</si>
  <si>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</si>
  <si>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</si>
  <si>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</si>
  <si>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</si>
  <si>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</si>
  <si>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</si>
  <si>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</si>
  <si>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</si>
  <si>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</si>
  <si>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</si>
  <si>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</si>
  <si>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</si>
  <si>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</si>
  <si>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</si>
  <si>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</si>
  <si>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</si>
  <si>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</si>
  <si>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</si>
  <si>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</si>
  <si>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</si>
  <si>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</si>
  <si>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</si>
  <si>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</si>
  <si>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</si>
  <si>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</si>
  <si>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</si>
  <si>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</si>
  <si>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</si>
  <si>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</si>
  <si>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</si>
  <si>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</si>
  <si>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</si>
  <si>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</si>
  <si>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</si>
  <si>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</si>
  <si>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</si>
  <si>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</si>
  <si>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</si>
  <si>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</si>
  <si>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</si>
  <si>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</si>
  <si>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</si>
  <si>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</si>
  <si>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</si>
  <si>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</si>
  <si>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</si>
  <si>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</si>
  <si>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</si>
  <si>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</si>
  <si>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</si>
  <si>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</si>
  <si>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</si>
  <si>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</si>
  <si>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</si>
  <si>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</si>
  <si>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</si>
  <si>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</si>
  <si>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</si>
  <si>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</si>
  <si>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</si>
  <si>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</si>
  <si>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</si>
  <si>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</si>
  <si>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</si>
  <si>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</si>
  <si>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</si>
  <si>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</si>
  <si>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</si>
  <si>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</si>
  <si>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</si>
  <si>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</si>
  <si>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</si>
  <si>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</si>
  <si>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</si>
  <si>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</si>
  <si>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</si>
  <si>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</si>
  <si>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</si>
  <si>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</si>
  <si>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</si>
  <si>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</si>
  <si>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</si>
  <si>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</si>
  <si>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</si>
  <si>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</si>
  <si>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</si>
  <si>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</si>
  <si>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</si>
  <si>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</si>
  <si>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</si>
  <si>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</si>
  <si>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</si>
  <si>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</si>
  <si>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</si>
  <si>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</si>
  <si>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</si>
  <si>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</si>
  <si>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</si>
  <si>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</si>
  <si>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</si>
  <si>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</si>
  <si>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</si>
  <si>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</si>
  <si>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</si>
  <si>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</si>
  <si>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</si>
  <si>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</si>
  <si>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</si>
  <si>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</si>
  <si>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</si>
  <si>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</si>
  <si>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</si>
  <si>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</si>
  <si>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</si>
  <si>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</si>
  <si>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</si>
  <si>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</si>
  <si>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</si>
  <si>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</si>
  <si>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</si>
  <si>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</si>
  <si>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</si>
  <si>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</si>
  <si>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</si>
  <si>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</si>
  <si>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</si>
  <si>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</si>
  <si>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</si>
  <si>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</si>
  <si>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</si>
  <si>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</si>
  <si>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</si>
  <si>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</si>
  <si>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</si>
  <si>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</si>
  <si>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</si>
  <si>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</si>
  <si>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</si>
  <si>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</si>
  <si>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</si>
  <si>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</si>
  <si>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</si>
  <si>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</si>
  <si>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</si>
  <si>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</si>
  <si>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</si>
  <si>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</si>
  <si>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</si>
  <si>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</si>
  <si>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</si>
  <si>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</si>
  <si>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</si>
  <si>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</si>
  <si>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</si>
  <si>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</si>
  <si>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</si>
  <si>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</si>
  <si>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</si>
  <si>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</si>
  <si>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</si>
  <si>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</si>
  <si>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</si>
  <si>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</si>
  <si>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</si>
  <si>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</si>
  <si>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</si>
  <si>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</si>
  <si>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</si>
  <si>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</si>
  <si>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</si>
  <si>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</si>
  <si>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</si>
  <si>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</si>
  <si>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</si>
  <si>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00고등학교 교사 신축 공사</t>
    <phoneticPr fontId="2" type="noConversion"/>
  </si>
  <si>
    <t>교육연구</t>
  </si>
  <si>
    <t>경상도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</si>
  <si>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</si>
  <si>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</si>
  <si>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</si>
  <si>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</si>
  <si>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돌및타일공사</t>
    <phoneticPr fontId="2" type="noConversion"/>
  </si>
  <si>
    <t>홈통공사</t>
    <phoneticPr fontId="2" type="noConversion"/>
  </si>
  <si>
    <t>기초및토공사,기타공사,골재대,운반공사</t>
    <phoneticPr fontId="2" type="noConversion"/>
  </si>
  <si>
    <t>옥외위생배관공사,기계실위생배관공사,위생배관공사,화장실위생배관공사,조리실위생배관공사,환기배관공사</t>
    <phoneticPr fontId="2" type="noConversion"/>
  </si>
  <si>
    <t>기계 장비설치공사</t>
    <phoneticPr fontId="2" type="noConversion"/>
  </si>
  <si>
    <t>전기인입설비공사</t>
    <phoneticPr fontId="2" type="noConversion"/>
  </si>
  <si>
    <t>수전&amp;접지설비공사</t>
    <phoneticPr fontId="2" type="noConversion"/>
  </si>
  <si>
    <t>기계실동력공사,급식소동력공사</t>
    <phoneticPr fontId="2" type="noConversion"/>
  </si>
  <si>
    <t>환기및공조장치전원공사</t>
    <phoneticPr fontId="2" type="noConversion"/>
  </si>
  <si>
    <t>전화-LAN설비공사</t>
    <phoneticPr fontId="2" type="noConversion"/>
  </si>
  <si>
    <t>CCTV설비공사,무선랜설비공사</t>
    <phoneticPr fontId="2" type="noConversion"/>
  </si>
  <si>
    <t>CATV설비공사</t>
    <phoneticPr fontId="2" type="noConversion"/>
  </si>
  <si>
    <t>외등설치공사,간선공사,원적외선전원공사,장애인음성유도기,태양광발전설비공사</t>
    <phoneticPr fontId="2" type="noConversion"/>
  </si>
  <si>
    <t>냉난방기전원공사,초절전난방기전원공사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</si>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</sst>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10058</v>
      </c>
      <c r="D7" s="36">
        <f>+C7/3.3058</f>
        <v>3042.5313086091114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272</v>
      </c>
    </row>
    <row r="19" spans="1:5" x14ac:dyDescent="0.3">
      <c r="A19" s="2">
        <v>9</v>
      </c>
      <c r="B19" s="2" t="s">
        <v>273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599960</v>
      </c>
      <c r="E25" s="59">
        <f t="shared" si="0"/>
        <v>1983340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59050</v>
      </c>
      <c r="E27" s="59">
        <f t="shared" si="0"/>
        <v>195200</v>
      </c>
    </row>
    <row r="28" spans="1:5" x14ac:dyDescent="0.3">
      <c r="B28" s="2">
        <v>5</v>
      </c>
      <c r="C28" s="35" t="s">
        <v>97</v>
      </c>
      <c r="D28" s="45">
        <f>+D119</f>
        <v>59020</v>
      </c>
      <c r="E28" s="59">
        <f t="shared" si="0"/>
        <v>195100</v>
      </c>
    </row>
    <row r="29" spans="1:5" x14ac:dyDescent="0.3">
      <c r="B29" s="2">
        <v>6</v>
      </c>
      <c r="C29" s="35" t="s">
        <v>98</v>
      </c>
      <c r="D29" s="45">
        <f>+D133</f>
        <v>30200</v>
      </c>
      <c r="E29" s="59">
        <f t="shared" si="0"/>
        <v>99830</v>
      </c>
    </row>
    <row r="30" spans="1:5" x14ac:dyDescent="0.3">
      <c r="B30" s="2">
        <v>7</v>
      </c>
      <c r="C30" s="35" t="s">
        <v>99</v>
      </c>
      <c r="D30" s="45">
        <f>+D146</f>
        <v>30840</v>
      </c>
      <c r="E30" s="59">
        <f t="shared" si="0"/>
        <v>101950</v>
      </c>
    </row>
    <row r="31" spans="1:5" x14ac:dyDescent="0.3">
      <c r="B31" s="2">
        <v>8</v>
      </c>
      <c r="C31" s="35" t="s">
        <v>100</v>
      </c>
      <c r="D31" s="45">
        <f>+D154</f>
        <v>34670</v>
      </c>
      <c r="E31" s="59">
        <f t="shared" si="0"/>
        <v>114610</v>
      </c>
    </row>
    <row r="32" spans="1:5" x14ac:dyDescent="0.3">
      <c r="B32" s="2">
        <v>9</v>
      </c>
      <c r="C32" s="35" t="s">
        <v>101</v>
      </c>
      <c r="D32" s="45">
        <f>+D161</f>
        <v>24970</v>
      </c>
      <c r="E32" s="59">
        <f t="shared" si="0"/>
        <v>82540</v>
      </c>
    </row>
    <row r="33" spans="1:7" x14ac:dyDescent="0.3">
      <c r="B33" s="2">
        <v>10</v>
      </c>
      <c r="C33" s="35" t="s">
        <v>154</v>
      </c>
      <c r="D33" s="53">
        <f>TRUNC(SUM(D24:D32)*0.275,-1)</f>
        <v>230640</v>
      </c>
      <c r="E33" s="60">
        <f t="shared" si="0"/>
        <v>762440</v>
      </c>
    </row>
    <row r="34" spans="1:7" x14ac:dyDescent="0.3">
      <c r="C34" s="35" t="s">
        <v>112</v>
      </c>
      <c r="D34" s="44">
        <f>SUM(D24:D33)</f>
        <v>1069350</v>
      </c>
      <c r="E34" s="44">
        <f>SUM(E24:E33)</f>
        <v>3535010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269</v>
      </c>
      <c r="E39" s="67" t="s">
        <v>270</v>
      </c>
      <c r="G39" s="68"/>
    </row>
    <row r="40" spans="1:7" x14ac:dyDescent="0.3">
      <c r="A40" s="2">
        <v>1</v>
      </c>
      <c r="C40" s="38" t="s">
        <v>15</v>
      </c>
      <c r="D40" s="40">
        <f>TRUNC(24091,-1)</f>
        <v>24090</v>
      </c>
      <c r="E40" s="62">
        <f t="shared" ref="E40:E59" si="1">TRUNC(+D40*3.3058,-1)</f>
        <v>79630</v>
      </c>
    </row>
    <row r="41" spans="1:7" x14ac:dyDescent="0.3">
      <c r="A41" s="2">
        <v>2</v>
      </c>
      <c r="C41" s="38" t="s">
        <v>13</v>
      </c>
      <c r="D41" s="42">
        <f>TRUNC(143249,-1)</f>
        <v>143240</v>
      </c>
      <c r="E41" s="63">
        <f t="shared" si="1"/>
        <v>473520</v>
      </c>
    </row>
    <row r="42" spans="1:7" x14ac:dyDescent="0.3">
      <c r="A42" s="2">
        <v>3</v>
      </c>
      <c r="C42" s="38" t="s">
        <v>14</v>
      </c>
      <c r="D42" s="42">
        <f>TRUNC(15410,-1)</f>
        <v>15410</v>
      </c>
      <c r="E42" s="63">
        <f t="shared" si="1"/>
        <v>50940</v>
      </c>
    </row>
    <row r="43" spans="1:7" x14ac:dyDescent="0.3">
      <c r="A43" s="2">
        <v>4</v>
      </c>
      <c r="C43" s="38" t="s">
        <v>16</v>
      </c>
      <c r="D43" s="42">
        <f>TRUNC(33973,-1)</f>
        <v>33970</v>
      </c>
      <c r="E43" s="63">
        <f t="shared" si="1"/>
        <v>112290</v>
      </c>
    </row>
    <row r="44" spans="1:7" x14ac:dyDescent="0.3">
      <c r="A44" s="2">
        <v>5</v>
      </c>
      <c r="C44" s="38" t="s">
        <v>17</v>
      </c>
      <c r="D44" s="42">
        <f>TRUNC(15941,-1)</f>
        <v>15940</v>
      </c>
      <c r="E44" s="63">
        <f t="shared" si="1"/>
        <v>52690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TRUNC(75551,-1)</f>
        <v>75550</v>
      </c>
      <c r="E46" s="63">
        <f t="shared" si="1"/>
        <v>249750</v>
      </c>
      <c r="F46" s="2" t="s">
        <v>255</v>
      </c>
    </row>
    <row r="47" spans="1:7" x14ac:dyDescent="0.3">
      <c r="A47" s="2">
        <v>8</v>
      </c>
      <c r="C47" s="38" t="s">
        <v>20</v>
      </c>
      <c r="D47" s="42">
        <f>TRUNC(41794,-1)</f>
        <v>41790</v>
      </c>
      <c r="E47" s="63">
        <f t="shared" si="1"/>
        <v>138140</v>
      </c>
    </row>
    <row r="48" spans="1:7" x14ac:dyDescent="0.3">
      <c r="A48" s="2">
        <v>9</v>
      </c>
      <c r="C48" s="38" t="s">
        <v>21</v>
      </c>
      <c r="D48" s="42">
        <f>TRUNC(87161,-1)</f>
        <v>87160</v>
      </c>
      <c r="E48" s="63">
        <f t="shared" si="1"/>
        <v>288130</v>
      </c>
    </row>
    <row r="49" spans="1:7" x14ac:dyDescent="0.3">
      <c r="A49" s="2">
        <v>10</v>
      </c>
      <c r="C49" s="38" t="s">
        <v>22</v>
      </c>
      <c r="D49" s="42">
        <f>TRUNC(20508,-1)</f>
        <v>20500</v>
      </c>
      <c r="E49" s="63">
        <f t="shared" si="1"/>
        <v>67760</v>
      </c>
    </row>
    <row r="50" spans="1:7" x14ac:dyDescent="0.3">
      <c r="A50" s="2">
        <v>11</v>
      </c>
      <c r="C50" s="38" t="s">
        <v>155</v>
      </c>
      <c r="D50" s="42">
        <f>TRUNC(24068,-1)</f>
        <v>24060</v>
      </c>
      <c r="E50" s="63">
        <f t="shared" si="1"/>
        <v>79530</v>
      </c>
    </row>
    <row r="51" spans="1:7" x14ac:dyDescent="0.3">
      <c r="A51" s="2">
        <v>12</v>
      </c>
      <c r="C51" s="38" t="s">
        <v>23</v>
      </c>
      <c r="D51" s="42">
        <f>TRUNC(13394,-1)</f>
        <v>13390</v>
      </c>
      <c r="E51" s="63">
        <f t="shared" si="1"/>
        <v>44260</v>
      </c>
    </row>
    <row r="52" spans="1:7" x14ac:dyDescent="0.3">
      <c r="A52" s="2">
        <v>13</v>
      </c>
      <c r="C52" s="38" t="s">
        <v>24</v>
      </c>
      <c r="D52" s="42">
        <f>TRUNC(14468,-1)</f>
        <v>14460</v>
      </c>
      <c r="E52" s="63">
        <f t="shared" si="1"/>
        <v>47800</v>
      </c>
    </row>
    <row r="53" spans="1:7" x14ac:dyDescent="0.3">
      <c r="A53" s="2">
        <v>14</v>
      </c>
      <c r="C53" s="38" t="s">
        <v>25</v>
      </c>
      <c r="D53" s="42">
        <f>TRUNC(36499,-1)</f>
        <v>36490</v>
      </c>
      <c r="E53" s="63">
        <f t="shared" si="1"/>
        <v>120620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TRUNC(3783,-1)</f>
        <v>3780</v>
      </c>
      <c r="E55" s="63">
        <f t="shared" si="1"/>
        <v>12490</v>
      </c>
      <c r="F55" s="2" t="s">
        <v>256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TRUNC(18496+27295+2198+2150,-1)</f>
        <v>50130</v>
      </c>
      <c r="E58" s="63">
        <f t="shared" si="1"/>
        <v>165710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599960</v>
      </c>
      <c r="E60" s="39">
        <f>SUM(E40:E59)</f>
        <v>1983260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TRUNC(4241,-1)</f>
        <v>4240</v>
      </c>
      <c r="E69" s="62">
        <f t="shared" ref="E69:E94" si="2">TRUNC(+D69*3.3058,-1)</f>
        <v>14010</v>
      </c>
      <c r="F69" s="2" t="s">
        <v>259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TRUNC(5114,-1)</f>
        <v>5110</v>
      </c>
      <c r="E72" s="63">
        <f t="shared" si="2"/>
        <v>16890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f>TRUNC(3658,-1)</f>
        <v>3650</v>
      </c>
      <c r="E83" s="63">
        <f t="shared" si="2"/>
        <v>12060</v>
      </c>
    </row>
    <row r="84" spans="1:7" x14ac:dyDescent="0.3">
      <c r="A84" s="2">
        <v>16</v>
      </c>
      <c r="C84" s="38" t="s">
        <v>122</v>
      </c>
      <c r="D84" s="42">
        <f>TRUNC(3588,-1)</f>
        <v>3580</v>
      </c>
      <c r="E84" s="63">
        <f t="shared" si="2"/>
        <v>11830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TRUNC(9698,-1)</f>
        <v>9690</v>
      </c>
      <c r="E92" s="63">
        <f t="shared" si="2"/>
        <v>32030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TRUNC(1356+5015+10603+8675+2255+3588+1289,-1)</f>
        <v>32780</v>
      </c>
      <c r="E94" s="64">
        <f t="shared" si="2"/>
        <v>108360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59050</v>
      </c>
      <c r="E95" s="39">
        <f>SUM(E69:E94)</f>
        <v>195180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TRUNC(1471+1154,-1)</f>
        <v>2620</v>
      </c>
      <c r="E99" s="63">
        <f t="shared" si="3"/>
        <v>8660</v>
      </c>
      <c r="F99" s="2" t="s">
        <v>262</v>
      </c>
    </row>
    <row r="100" spans="1:7" x14ac:dyDescent="0.3">
      <c r="A100" s="2">
        <v>3</v>
      </c>
      <c r="C100" s="38" t="s">
        <v>41</v>
      </c>
      <c r="D100" s="42">
        <f>TRUNC(25800,-1)</f>
        <v>25800</v>
      </c>
      <c r="E100" s="63">
        <f t="shared" si="3"/>
        <v>85280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TRUNC(8251,-1)</f>
        <v>8250</v>
      </c>
      <c r="E102" s="63">
        <f t="shared" si="3"/>
        <v>27270</v>
      </c>
    </row>
    <row r="103" spans="1:7" x14ac:dyDescent="0.3">
      <c r="A103" s="2">
        <v>6</v>
      </c>
      <c r="C103" s="38" t="s">
        <v>44</v>
      </c>
      <c r="D103" s="42">
        <f>TRUNC(1417,-1)</f>
        <v>1410</v>
      </c>
      <c r="E103" s="63">
        <f t="shared" si="3"/>
        <v>4660</v>
      </c>
      <c r="F103" s="2" t="s">
        <v>263</v>
      </c>
    </row>
    <row r="104" spans="1:7" x14ac:dyDescent="0.3">
      <c r="A104" s="2">
        <v>7</v>
      </c>
      <c r="C104" s="38" t="s">
        <v>45</v>
      </c>
      <c r="D104" s="42">
        <f>TRUNC(233,-1)</f>
        <v>230</v>
      </c>
      <c r="E104" s="63">
        <f t="shared" si="3"/>
        <v>760</v>
      </c>
      <c r="F104" s="2" t="s">
        <v>261</v>
      </c>
    </row>
    <row r="105" spans="1:7" x14ac:dyDescent="0.3">
      <c r="A105" s="2">
        <v>8</v>
      </c>
      <c r="C105" s="38" t="s">
        <v>46</v>
      </c>
      <c r="D105" s="42">
        <f>TRUNC(2983,-1)</f>
        <v>2980</v>
      </c>
      <c r="E105" s="63">
        <f t="shared" si="3"/>
        <v>9850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TRUNC(4346+232,-1)</f>
        <v>4570</v>
      </c>
      <c r="E108" s="63">
        <f t="shared" si="3"/>
        <v>15100</v>
      </c>
      <c r="F108" s="2" t="s">
        <v>268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TRUNC(1213,-1)</f>
        <v>1210</v>
      </c>
      <c r="E116" s="63">
        <f t="shared" si="3"/>
        <v>4000</v>
      </c>
      <c r="F116" s="2" t="s">
        <v>260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TRUNC(1656+6937+1401+255+1704,-1)</f>
        <v>11950</v>
      </c>
      <c r="E118" s="64">
        <f t="shared" si="3"/>
        <v>39500</v>
      </c>
      <c r="F118" s="2" t="s">
        <v>267</v>
      </c>
    </row>
    <row r="119" spans="1:7" x14ac:dyDescent="0.3">
      <c r="A119" s="2">
        <v>22</v>
      </c>
      <c r="C119" s="27" t="s">
        <v>112</v>
      </c>
      <c r="D119" s="39">
        <f>SUM(D98:D118)</f>
        <v>59020</v>
      </c>
      <c r="E119" s="39">
        <f>SUM(E98:E118)</f>
        <v>195080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TRUNC(1937,-1)</f>
        <v>1930</v>
      </c>
      <c r="E122" s="62">
        <f t="shared" ref="E122:E132" si="4">TRUNC(+D122*3.3058,-1)</f>
        <v>6380</v>
      </c>
      <c r="F122" s="2" t="s">
        <v>266</v>
      </c>
    </row>
    <row r="123" spans="1:7" x14ac:dyDescent="0.3">
      <c r="A123" s="2">
        <v>2</v>
      </c>
      <c r="C123" s="38" t="s">
        <v>124</v>
      </c>
      <c r="D123" s="42">
        <f>TRUNC(15431,-1)</f>
        <v>15430</v>
      </c>
      <c r="E123" s="63">
        <f t="shared" si="4"/>
        <v>51000</v>
      </c>
      <c r="F123" s="2" t="s">
        <v>264</v>
      </c>
    </row>
    <row r="124" spans="1:7" x14ac:dyDescent="0.3">
      <c r="A124" s="2">
        <v>3</v>
      </c>
      <c r="C124" s="38" t="s">
        <v>151</v>
      </c>
      <c r="D124" s="42">
        <f>TRUNC(846,-1)</f>
        <v>840</v>
      </c>
      <c r="E124" s="63">
        <f t="shared" si="4"/>
        <v>2770</v>
      </c>
    </row>
    <row r="125" spans="1:7" x14ac:dyDescent="0.3">
      <c r="A125" s="2">
        <v>4</v>
      </c>
      <c r="C125" s="38" t="s">
        <v>138</v>
      </c>
      <c r="D125" s="42">
        <f>TRUNC(5911,-1)</f>
        <v>5910</v>
      </c>
      <c r="E125" s="63">
        <f t="shared" si="4"/>
        <v>19530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TRUNC(3208+2888,-1)</f>
        <v>6090</v>
      </c>
      <c r="E132" s="64">
        <f t="shared" si="4"/>
        <v>20130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30200</v>
      </c>
      <c r="E133" s="39">
        <f>SUM(E122:E132)</f>
        <v>99810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TRUNC(16650,-1)</f>
        <v>16650</v>
      </c>
      <c r="E136" s="62">
        <f t="shared" ref="E136:E145" si="5">TRUNC(+D136*3.3058,-1)</f>
        <v>55040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TRUNC(14195,-1)</f>
        <v>14190</v>
      </c>
      <c r="E137" s="63">
        <f t="shared" si="5"/>
        <v>46900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30840</v>
      </c>
      <c r="E146" s="39">
        <f>SUM(E136:E145)</f>
        <v>101940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TRUNC(34677,-1)</f>
        <v>34670</v>
      </c>
      <c r="E152" s="63">
        <f>TRUNC(+D152*3.3058,-1)</f>
        <v>114610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34670</v>
      </c>
      <c r="E154" s="39">
        <f>SUM(E149:E153)</f>
        <v>114610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TRUNC(24972,-1)</f>
        <v>24970</v>
      </c>
      <c r="E159" s="63">
        <f>TRUNC(+D159*3.3058,-1)</f>
        <v>82540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24970</v>
      </c>
      <c r="E161" s="39">
        <f>SUM(E157:E160)</f>
        <v>82540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2020-12-07T09:47:57Z</dcterms:modified>
</cp:coreProperties>
</file>