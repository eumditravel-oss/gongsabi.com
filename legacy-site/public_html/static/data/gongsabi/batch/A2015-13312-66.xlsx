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45" i="4"/>
  <c r="E144" i="4"/>
  <c r="E143" i="4"/>
  <c r="E139" i="4"/>
  <c r="E138" i="4"/>
  <c r="E136" i="4"/>
  <c r="E129" i="4"/>
  <c r="E127" i="4"/>
  <c r="E126" i="4"/>
  <c r="E124" i="4"/>
  <c r="E123" i="4"/>
  <c r="E115" i="4"/>
  <c r="E113" i="4"/>
  <c r="E112" i="4"/>
  <c r="E111" i="4"/>
  <c r="E110" i="4"/>
  <c r="E109" i="4"/>
  <c r="E108" i="4"/>
  <c r="E107" i="4"/>
  <c r="E106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4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E157" i="4" s="1"/>
  <c r="E161" i="4" s="1"/>
  <c r="D153" i="4"/>
  <c r="E153" i="4" s="1"/>
  <c r="D152" i="4"/>
  <c r="E152" i="4" s="1"/>
  <c r="D151" i="4"/>
  <c r="E151" i="4" s="1"/>
  <c r="D150" i="4"/>
  <c r="D149" i="4"/>
  <c r="E149" i="4" s="1"/>
  <c r="D142" i="4"/>
  <c r="E142" i="4" s="1"/>
  <c r="D141" i="4"/>
  <c r="E141" i="4" s="1"/>
  <c r="D140" i="4"/>
  <c r="E140" i="4" s="1"/>
  <c r="D137" i="4"/>
  <c r="D132" i="4"/>
  <c r="E132" i="4" s="1"/>
  <c r="D131" i="4"/>
  <c r="E131" i="4" s="1"/>
  <c r="D130" i="4"/>
  <c r="E130" i="4" s="1"/>
  <c r="D128" i="4"/>
  <c r="E128" i="4" s="1"/>
  <c r="D125" i="4"/>
  <c r="D122" i="4"/>
  <c r="E122" i="4" s="1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D66" i="4"/>
  <c r="D26" i="4" s="1"/>
  <c r="E26" i="4" s="1"/>
  <c r="D65" i="4"/>
  <c r="E65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D40" i="4"/>
  <c r="E40" i="4" s="1"/>
  <c r="D24" i="4"/>
  <c r="E24" i="4" s="1"/>
  <c r="D7" i="4"/>
  <c r="D60" i="4" l="1"/>
  <c r="D25" i="4" s="1"/>
  <c r="E25" i="4" s="1"/>
  <c r="E41" i="4"/>
  <c r="D95" i="4"/>
  <c r="D27" i="4" s="1"/>
  <c r="E27" i="4" s="1"/>
  <c r="E69" i="4"/>
  <c r="E95" i="4" s="1"/>
  <c r="D133" i="4"/>
  <c r="D29" i="4" s="1"/>
  <c r="E29" i="4" s="1"/>
  <c r="E125" i="4"/>
  <c r="E133" i="4" s="1"/>
  <c r="E60" i="4"/>
  <c r="D154" i="4"/>
  <c r="D31" i="4" s="1"/>
  <c r="E31" i="4" s="1"/>
  <c r="E150" i="4"/>
  <c r="D119" i="4"/>
  <c r="D28" i="4" s="1"/>
  <c r="E28" i="4" s="1"/>
  <c r="E98" i="4"/>
  <c r="E119" i="4" s="1"/>
  <c r="D146" i="4"/>
  <c r="D30" i="4" s="1"/>
  <c r="E30" i="4" s="1"/>
  <c r="E137" i="4"/>
  <c r="E146" i="4" s="1"/>
  <c r="E154" i="4"/>
  <c r="D161" i="4"/>
  <c r="D32" i="4" s="1"/>
  <c r="E32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<sst xmlns="http://schemas.openxmlformats.org/spreadsheetml/2006/main" count="393" uniqueCount="266">
  <si>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</si>
  <si>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</si>
  <si>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</si>
  <si>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</si>
  <si>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</si>
  <si>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</si>
  <si>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</si>
  <si>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</si>
  <si>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</si>
  <si>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</si>
  <si>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</si>
  <si>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</si>
  <si>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</si>
  <si>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</si>
  <si>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</si>
  <si>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</si>
  <si>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</si>
  <si>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</si>
  <si>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</si>
  <si>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</si>
  <si>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</si>
  <si>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</si>
  <si>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</si>
  <si>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</si>
  <si>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</si>
  <si>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</si>
  <si>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</si>
  <si>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</si>
  <si>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</si>
  <si>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</si>
  <si>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</si>
  <si>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</si>
  <si>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</si>
  <si>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</si>
  <si>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</si>
  <si>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</si>
  <si>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</si>
  <si>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</si>
  <si>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</si>
  <si>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</si>
  <si>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</si>
  <si>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</si>
  <si>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</si>
  <si>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</si>
  <si>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</si>
  <si>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</si>
  <si>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</si>
  <si>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</si>
  <si>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</si>
  <si>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</si>
  <si>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</si>
  <si>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</si>
  <si>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</si>
  <si>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</si>
  <si>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</si>
  <si>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</si>
  <si>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</si>
  <si>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</si>
  <si>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</si>
  <si>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</si>
  <si>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</si>
  <si>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</si>
  <si>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</si>
  <si>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</si>
  <si>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</si>
  <si>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</si>
  <si>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</si>
  <si>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</si>
  <si>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</si>
  <si>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</si>
  <si>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</si>
  <si>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</si>
  <si>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</si>
  <si>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</si>
  <si>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</si>
  <si>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</si>
  <si>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</si>
  <si>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</si>
  <si>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</si>
  <si>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</si>
  <si>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</si>
  <si>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</si>
  <si>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</si>
  <si>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</si>
  <si>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</si>
  <si>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</si>
  <si>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</si>
  <si>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</si>
  <si>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</si>
  <si>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</si>
  <si>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</si>
  <si>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</si>
  <si>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</si>
  <si>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</si>
  <si>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</si>
  <si>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</si>
  <si>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</si>
  <si>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</si>
  <si>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</si>
  <si>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</si>
  <si>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</si>
  <si>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</si>
  <si>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</si>
  <si>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</si>
  <si>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</si>
  <si>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</si>
  <si>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</si>
  <si>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</si>
  <si>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</si>
  <si>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</si>
  <si>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</si>
  <si>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</si>
  <si>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</si>
  <si>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</si>
  <si>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</si>
  <si>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</si>
  <si>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</si>
  <si>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</si>
  <si>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</si>
  <si>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</si>
  <si>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</si>
  <si>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</si>
  <si>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</si>
  <si>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</si>
  <si>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</si>
  <si>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</si>
  <si>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</si>
  <si>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</si>
  <si>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</si>
  <si>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</si>
  <si>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</si>
  <si>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</si>
  <si>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</si>
  <si>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</si>
  <si>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</si>
  <si>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</si>
  <si>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</si>
  <si>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</si>
  <si>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</si>
  <si>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</si>
  <si>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</si>
  <si>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</si>
  <si>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</si>
  <si>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</si>
  <si>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</si>
  <si>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</si>
  <si>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</si>
  <si>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</si>
  <si>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</si>
  <si>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</si>
  <si>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</si>
  <si>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</si>
  <si>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</si>
  <si>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</si>
  <si>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</si>
  <si>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</si>
  <si>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</si>
  <si>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</si>
  <si>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</si>
  <si>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</si>
  <si>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</si>
  <si>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</si>
  <si>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</si>
  <si>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</si>
  <si>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</si>
  <si>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</si>
  <si>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</si>
  <si>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</si>
  <si>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</si>
  <si>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</si>
  <si>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</si>
  <si>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</si>
  <si>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</si>
  <si>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</si>
  <si>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</si>
  <si>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</si>
  <si>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</si>
  <si>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</si>
  <si>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</si>
  <si>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</si>
  <si>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</si>
  <si>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</si>
  <si>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</si>
  <si>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</si>
  <si>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</si>
  <si>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</si>
  <si>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</si>
  <si>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</si>
  <si>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</si>
  <si>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</si>
  <si>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</si>
  <si>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</si>
  <si>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</si>
  <si>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</si>
  <si>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</si>
  <si>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</si>
  <si>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</si>
  <si>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</si>
  <si>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</si>
  <si>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</si>
  <si>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</si>
  <si>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</si>
  <si>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</si>
  <si>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</si>
  <si>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</si>
  <si>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</si>
  <si>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</si>
  <si>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</si>
  <si>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</si>
  <si>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</si>
  <si>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</si>
  <si>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</si>
  <si>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</si>
  <si>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</si>
  <si>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</si>
  <si>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</si>
  <si>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</si>
  <si>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</si>
  <si>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</si>
  <si>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</si>
  <si>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</si>
  <si>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</si>
  <si>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</si>
  <si>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</si>
  <si>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</si>
  <si>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</si>
  <si>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</si>
  <si>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</si>
  <si>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</si>
  <si>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</si>
  <si>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</si>
  <si>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</si>
  <si>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</si>
  <si>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</si>
  <si>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</si>
  <si>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</si>
  <si>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</si>
  <si>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</si>
  <si>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</si>
  <si>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</si>
  <si>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</si>
  <si>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</si>
  <si>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</si>
  <si>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</si>
  <si>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</si>
  <si>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해운대우체국 건립공사</t>
  </si>
  <si>
    <t>업무</t>
  </si>
  <si>
    <t>경상도</t>
  </si>
  <si>
    <t>평</t>
    <phoneticPr fontId="2" type="noConversion"/>
  </si>
  <si>
    <t>창호및유리공사</t>
    <phoneticPr fontId="2" type="noConversion"/>
  </si>
  <si>
    <t>기초공사,골재비및운반비, 작업부산물, 품질시험비, 기타공사</t>
    <phoneticPr fontId="2" type="noConversion"/>
  </si>
  <si>
    <t>공조배관공사,바닥난방공사,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</si>
  <si>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</si>
  <si>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</si>
  <si>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CCTV설비공사,기타공사</t>
    <phoneticPr fontId="2" type="noConversion"/>
  </si>
  <si>
    <t>옥외소화배관,펌프실배관공사</t>
    <phoneticPr fontId="2" type="noConversion"/>
  </si>
  <si>
    <t>토목</t>
    <phoneticPr fontId="2" type="noConversion"/>
  </si>
  <si>
    <t>토목 상수도 공사,운반비,기타공사</t>
    <phoneticPr fontId="2" type="noConversion"/>
  </si>
  <si>
    <t>포장공사, 기타공사</t>
    <phoneticPr fontId="2" type="noConversion"/>
  </si>
  <si>
    <t>원/ m2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</si>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</sst>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7962.38</v>
      </c>
      <c r="D7" s="36">
        <f>+C7/3.3058</f>
        <v>2408.6091112589993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260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727140</v>
      </c>
      <c r="E25" s="60">
        <f t="shared" si="0"/>
        <v>2403770</v>
      </c>
    </row>
    <row r="26" spans="1:5" x14ac:dyDescent="0.3">
      <c r="B26" s="2">
        <v>3</v>
      </c>
      <c r="C26" s="35" t="s">
        <v>95</v>
      </c>
      <c r="D26" s="45">
        <f>+D66</f>
        <v>140450</v>
      </c>
      <c r="E26" s="60">
        <f t="shared" si="0"/>
        <v>464290</v>
      </c>
    </row>
    <row r="27" spans="1:5" x14ac:dyDescent="0.3">
      <c r="B27" s="2">
        <v>4</v>
      </c>
      <c r="C27" s="35" t="s">
        <v>96</v>
      </c>
      <c r="D27" s="45">
        <f>+D95</f>
        <v>229490</v>
      </c>
      <c r="E27" s="60">
        <f t="shared" si="0"/>
        <v>758640</v>
      </c>
    </row>
    <row r="28" spans="1:5" x14ac:dyDescent="0.3">
      <c r="B28" s="2">
        <v>5</v>
      </c>
      <c r="C28" s="35" t="s">
        <v>97</v>
      </c>
      <c r="D28" s="45">
        <f>+D119</f>
        <v>234110</v>
      </c>
      <c r="E28" s="60">
        <f t="shared" si="0"/>
        <v>773920</v>
      </c>
    </row>
    <row r="29" spans="1:5" x14ac:dyDescent="0.3">
      <c r="B29" s="2">
        <v>6</v>
      </c>
      <c r="C29" s="35" t="s">
        <v>98</v>
      </c>
      <c r="D29" s="45">
        <f>+D133</f>
        <v>62690</v>
      </c>
      <c r="E29" s="60">
        <f t="shared" si="0"/>
        <v>207240</v>
      </c>
    </row>
    <row r="30" spans="1:5" x14ac:dyDescent="0.3">
      <c r="B30" s="2">
        <v>7</v>
      </c>
      <c r="C30" s="35" t="s">
        <v>99</v>
      </c>
      <c r="D30" s="45">
        <f>+D146</f>
        <v>17950</v>
      </c>
      <c r="E30" s="60">
        <f t="shared" si="0"/>
        <v>59330</v>
      </c>
    </row>
    <row r="31" spans="1:5" x14ac:dyDescent="0.3">
      <c r="B31" s="2">
        <v>8</v>
      </c>
      <c r="C31" s="35" t="s">
        <v>100</v>
      </c>
      <c r="D31" s="45">
        <f>+D154</f>
        <v>15490</v>
      </c>
      <c r="E31" s="60">
        <f t="shared" si="0"/>
        <v>51200</v>
      </c>
    </row>
    <row r="32" spans="1:5" x14ac:dyDescent="0.3">
      <c r="B32" s="2">
        <v>9</v>
      </c>
      <c r="C32" s="35" t="s">
        <v>101</v>
      </c>
      <c r="D32" s="45">
        <f>+D161</f>
        <v>26900</v>
      </c>
      <c r="E32" s="60">
        <f t="shared" si="0"/>
        <v>88920</v>
      </c>
    </row>
    <row r="33" spans="1:7" x14ac:dyDescent="0.3">
      <c r="B33" s="2">
        <v>10</v>
      </c>
      <c r="C33" s="35" t="s">
        <v>153</v>
      </c>
      <c r="D33" s="53">
        <f>TRUNC(SUM(D24:D32)*0.275,-1)</f>
        <v>399910</v>
      </c>
      <c r="E33" s="61">
        <f t="shared" si="0"/>
        <v>1322020</v>
      </c>
    </row>
    <row r="34" spans="1:7" x14ac:dyDescent="0.3">
      <c r="C34" s="35" t="s">
        <v>112</v>
      </c>
      <c r="D34" s="44">
        <f>SUM(D24:D33)</f>
        <v>1854130</v>
      </c>
      <c r="E34" s="44">
        <f>SUM(E24:E33)</f>
        <v>6129330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259</v>
      </c>
      <c r="E36" s="56" t="s">
        <v>260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TRUNC(51741,-1)</f>
        <v>51740</v>
      </c>
      <c r="E40" s="63">
        <f t="shared" ref="E40:E59" si="1">TRUNC(+D40*3.3058,-1)</f>
        <v>171040</v>
      </c>
    </row>
    <row r="41" spans="1:7" x14ac:dyDescent="0.3">
      <c r="A41" s="2">
        <v>2</v>
      </c>
      <c r="C41" s="38" t="s">
        <v>13</v>
      </c>
      <c r="D41" s="42">
        <f>TRUNC(144809,-1)</f>
        <v>144800</v>
      </c>
      <c r="E41" s="64">
        <f t="shared" si="1"/>
        <v>478670</v>
      </c>
    </row>
    <row r="42" spans="1:7" x14ac:dyDescent="0.3">
      <c r="A42" s="2">
        <v>3</v>
      </c>
      <c r="C42" s="38" t="s">
        <v>14</v>
      </c>
      <c r="D42" s="42">
        <f>TRUNC(7849,-1)</f>
        <v>7840</v>
      </c>
      <c r="E42" s="64">
        <f t="shared" si="1"/>
        <v>25910</v>
      </c>
    </row>
    <row r="43" spans="1:7" x14ac:dyDescent="0.3">
      <c r="A43" s="2">
        <v>4</v>
      </c>
      <c r="C43" s="38" t="s">
        <v>16</v>
      </c>
      <c r="D43" s="42">
        <f>TRUNC(13727,-1)</f>
        <v>13720</v>
      </c>
      <c r="E43" s="64">
        <f t="shared" si="1"/>
        <v>45350</v>
      </c>
    </row>
    <row r="44" spans="1:7" x14ac:dyDescent="0.3">
      <c r="A44" s="2">
        <v>5</v>
      </c>
      <c r="C44" s="38" t="s">
        <v>17</v>
      </c>
      <c r="D44" s="42">
        <f>TRUNC(35933,-1)</f>
        <v>35930</v>
      </c>
      <c r="E44" s="64">
        <f t="shared" si="1"/>
        <v>118770</v>
      </c>
    </row>
    <row r="45" spans="1:7" x14ac:dyDescent="0.3">
      <c r="A45" s="2">
        <v>6</v>
      </c>
      <c r="C45" s="38" t="s">
        <v>18</v>
      </c>
      <c r="D45" s="42">
        <f>TRUNC(4673,-1)</f>
        <v>4670</v>
      </c>
      <c r="E45" s="64">
        <f t="shared" si="1"/>
        <v>15430</v>
      </c>
    </row>
    <row r="46" spans="1:7" x14ac:dyDescent="0.3">
      <c r="A46" s="2">
        <v>7</v>
      </c>
      <c r="C46" s="38" t="s">
        <v>19</v>
      </c>
      <c r="D46" s="42">
        <f>TRUNC(4344,-1)</f>
        <v>4340</v>
      </c>
      <c r="E46" s="64">
        <f t="shared" si="1"/>
        <v>14340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TRUNC(77553,-1)</f>
        <v>77550</v>
      </c>
      <c r="E48" s="64">
        <f t="shared" si="1"/>
        <v>256360</v>
      </c>
    </row>
    <row r="49" spans="1:7" x14ac:dyDescent="0.3">
      <c r="A49" s="2">
        <v>10</v>
      </c>
      <c r="C49" s="38" t="s">
        <v>22</v>
      </c>
      <c r="D49" s="42">
        <f>TRUNC(28769,-1)</f>
        <v>28760</v>
      </c>
      <c r="E49" s="64">
        <f t="shared" si="1"/>
        <v>95070</v>
      </c>
    </row>
    <row r="50" spans="1:7" x14ac:dyDescent="0.3">
      <c r="A50" s="2">
        <v>11</v>
      </c>
      <c r="C50" s="38" t="s">
        <v>154</v>
      </c>
      <c r="D50" s="42">
        <f>TRUNC(30484,-1)</f>
        <v>30480</v>
      </c>
      <c r="E50" s="64">
        <f t="shared" si="1"/>
        <v>100760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TRUNC(9742,-1)</f>
        <v>9740</v>
      </c>
      <c r="E52" s="64">
        <f t="shared" si="1"/>
        <v>32190</v>
      </c>
    </row>
    <row r="53" spans="1:7" x14ac:dyDescent="0.3">
      <c r="A53" s="2">
        <v>14</v>
      </c>
      <c r="C53" s="38" t="s">
        <v>25</v>
      </c>
      <c r="D53" s="42">
        <f>TRUNC(86634,-1)</f>
        <v>86630</v>
      </c>
      <c r="E53" s="64">
        <f t="shared" si="1"/>
        <v>286380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TRUNC(14932+4318-572+739+4728,-1)</f>
        <v>24140</v>
      </c>
      <c r="E58" s="64">
        <f t="shared" si="1"/>
        <v>79800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TRUNC(206802,-1)</f>
        <v>206800</v>
      </c>
      <c r="E59" s="65">
        <f t="shared" si="1"/>
        <v>683630</v>
      </c>
    </row>
    <row r="60" spans="1:7" x14ac:dyDescent="0.3">
      <c r="A60" s="2">
        <v>21</v>
      </c>
      <c r="C60" s="27" t="s">
        <v>112</v>
      </c>
      <c r="D60" s="39">
        <f>SUM(D40:D59)</f>
        <v>727140</v>
      </c>
      <c r="E60" s="39">
        <f>SUM(E40:E59)</f>
        <v>2403700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259</v>
      </c>
      <c r="E62" s="56" t="s">
        <v>260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TRUNC(28150,-1)</f>
        <v>28150</v>
      </c>
      <c r="E63" s="63">
        <f>TRUNC(+D63*3.3058,-1)</f>
        <v>93050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TRUNC(112303,-1)</f>
        <v>112300</v>
      </c>
      <c r="E65" s="65">
        <f>TRUNC(+D65*3.3058,-1)</f>
        <v>371240</v>
      </c>
    </row>
    <row r="66" spans="1:7" x14ac:dyDescent="0.3">
      <c r="A66" s="2">
        <v>4</v>
      </c>
      <c r="C66" s="27" t="s">
        <v>112</v>
      </c>
      <c r="D66" s="57">
        <f>SUM(D63:D65)</f>
        <v>140450</v>
      </c>
      <c r="E66" s="57">
        <f>SUM(E63:E65)</f>
        <v>464290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259</v>
      </c>
      <c r="E68" s="56" t="s">
        <v>260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TRUNC(17690,-1)</f>
        <v>17690</v>
      </c>
      <c r="E69" s="63">
        <f t="shared" ref="E69:E94" si="2">TRUNC(+D69*3.3058,-1)</f>
        <v>58470</v>
      </c>
    </row>
    <row r="70" spans="1:7" ht="16.5" customHeight="1" x14ac:dyDescent="0.3">
      <c r="A70" s="2">
        <v>2</v>
      </c>
      <c r="C70" s="38" t="s">
        <v>31</v>
      </c>
      <c r="D70" s="42">
        <f>TRUNC(79,-1)</f>
        <v>70</v>
      </c>
      <c r="E70" s="64">
        <f t="shared" si="2"/>
        <v>230</v>
      </c>
    </row>
    <row r="71" spans="1:7" x14ac:dyDescent="0.3">
      <c r="A71" s="2">
        <v>3</v>
      </c>
      <c r="C71" s="38" t="s">
        <v>32</v>
      </c>
      <c r="D71" s="42">
        <f>TRUNC(16582,-1)</f>
        <v>16580</v>
      </c>
      <c r="E71" s="64">
        <f t="shared" si="2"/>
        <v>54810</v>
      </c>
    </row>
    <row r="72" spans="1:7" x14ac:dyDescent="0.3">
      <c r="A72" s="2">
        <v>4</v>
      </c>
      <c r="C72" s="38" t="s">
        <v>33</v>
      </c>
      <c r="D72" s="42">
        <f>TRUNC(2924,-1)</f>
        <v>2920</v>
      </c>
      <c r="E72" s="64">
        <f t="shared" si="2"/>
        <v>9650</v>
      </c>
    </row>
    <row r="73" spans="1:7" x14ac:dyDescent="0.3">
      <c r="A73" s="2">
        <v>5</v>
      </c>
      <c r="C73" s="38" t="s">
        <v>34</v>
      </c>
      <c r="D73" s="42">
        <f>TRUNC(9827,-1)</f>
        <v>9820</v>
      </c>
      <c r="E73" s="64">
        <f t="shared" si="2"/>
        <v>32460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TRUNC(916,-1)</f>
        <v>910</v>
      </c>
      <c r="E75" s="64">
        <f t="shared" si="2"/>
        <v>3000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TRUNC(19597,-1)</f>
        <v>19590</v>
      </c>
      <c r="E89" s="64">
        <f t="shared" si="2"/>
        <v>64760</v>
      </c>
    </row>
    <row r="90" spans="1:7" x14ac:dyDescent="0.3">
      <c r="A90" s="2">
        <v>22</v>
      </c>
      <c r="C90" s="38" t="s">
        <v>36</v>
      </c>
      <c r="D90" s="42">
        <f>TRUNC(5015,-1)</f>
        <v>5010</v>
      </c>
      <c r="E90" s="64">
        <f t="shared" si="2"/>
        <v>16560</v>
      </c>
    </row>
    <row r="91" spans="1:7" x14ac:dyDescent="0.3">
      <c r="A91" s="2">
        <v>23</v>
      </c>
      <c r="C91" s="38" t="s">
        <v>37</v>
      </c>
      <c r="D91" s="42">
        <f>TRUNC(21304,-1)</f>
        <v>21300</v>
      </c>
      <c r="E91" s="64">
        <f t="shared" si="2"/>
        <v>70410</v>
      </c>
    </row>
    <row r="92" spans="1:7" x14ac:dyDescent="0.3">
      <c r="A92" s="2">
        <v>24</v>
      </c>
      <c r="C92" s="38" t="s">
        <v>38</v>
      </c>
      <c r="D92" s="42">
        <f>TRUNC(3444,-1)</f>
        <v>3440</v>
      </c>
      <c r="E92" s="64">
        <f t="shared" si="2"/>
        <v>11370</v>
      </c>
    </row>
    <row r="93" spans="1:7" x14ac:dyDescent="0.3">
      <c r="A93" s="2">
        <v>25</v>
      </c>
      <c r="C93" s="38" t="s">
        <v>148</v>
      </c>
      <c r="D93" s="42">
        <f>TRUNC(94690,-1)</f>
        <v>94690</v>
      </c>
      <c r="E93" s="64">
        <f t="shared" si="2"/>
        <v>313020</v>
      </c>
    </row>
    <row r="94" spans="1:7" ht="17.25" thickBot="1" x14ac:dyDescent="0.35">
      <c r="A94" s="2">
        <v>26</v>
      </c>
      <c r="C94" s="38" t="s">
        <v>47</v>
      </c>
      <c r="D94" s="43">
        <f>TRUNC(18778+1154+17543,-1)</f>
        <v>37470</v>
      </c>
      <c r="E94" s="65">
        <f t="shared" si="2"/>
        <v>123860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229490</v>
      </c>
      <c r="E95" s="39">
        <f>SUM(E69:E94)</f>
        <v>758600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259</v>
      </c>
      <c r="E97" s="56" t="s">
        <v>260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TRUNC(12499,-1)</f>
        <v>12490</v>
      </c>
      <c r="E98" s="63">
        <f t="shared" ref="E98:E118" si="3">TRUNC(+D98*3.3058,-1)</f>
        <v>41280</v>
      </c>
    </row>
    <row r="99" spans="1:7" x14ac:dyDescent="0.3">
      <c r="A99" s="2">
        <v>2</v>
      </c>
      <c r="C99" s="38" t="s">
        <v>40</v>
      </c>
      <c r="D99" s="42">
        <f>TRUNC(12024,-1)</f>
        <v>12020</v>
      </c>
      <c r="E99" s="64">
        <f t="shared" si="3"/>
        <v>39730</v>
      </c>
    </row>
    <row r="100" spans="1:7" x14ac:dyDescent="0.3">
      <c r="A100" s="2">
        <v>3</v>
      </c>
      <c r="C100" s="38" t="s">
        <v>41</v>
      </c>
      <c r="D100" s="42">
        <f>TRUNC(25850,-1)</f>
        <v>25850</v>
      </c>
      <c r="E100" s="64">
        <f t="shared" si="3"/>
        <v>85450</v>
      </c>
    </row>
    <row r="101" spans="1:7" x14ac:dyDescent="0.3">
      <c r="A101" s="2">
        <v>4</v>
      </c>
      <c r="C101" s="38" t="s">
        <v>42</v>
      </c>
      <c r="D101" s="42">
        <f>TRUNC(3364,-1)</f>
        <v>3360</v>
      </c>
      <c r="E101" s="64">
        <f t="shared" si="3"/>
        <v>11100</v>
      </c>
    </row>
    <row r="102" spans="1:7" x14ac:dyDescent="0.3">
      <c r="A102" s="2">
        <v>5</v>
      </c>
      <c r="C102" s="38" t="s">
        <v>43</v>
      </c>
      <c r="D102" s="42">
        <f>TRUNC(11096,-1)</f>
        <v>11090</v>
      </c>
      <c r="E102" s="64">
        <f t="shared" si="3"/>
        <v>36660</v>
      </c>
    </row>
    <row r="103" spans="1:7" x14ac:dyDescent="0.3">
      <c r="A103" s="2">
        <v>6</v>
      </c>
      <c r="C103" s="38" t="s">
        <v>44</v>
      </c>
      <c r="D103" s="42">
        <f>TRUNC(5532,-1)</f>
        <v>5530</v>
      </c>
      <c r="E103" s="64">
        <f t="shared" si="3"/>
        <v>18280</v>
      </c>
    </row>
    <row r="104" spans="1:7" x14ac:dyDescent="0.3">
      <c r="A104" s="2">
        <v>7</v>
      </c>
      <c r="C104" s="38" t="s">
        <v>45</v>
      </c>
      <c r="D104" s="42">
        <f>TRUNC(3453,-1)</f>
        <v>3450</v>
      </c>
      <c r="E104" s="64">
        <f t="shared" si="3"/>
        <v>11400</v>
      </c>
    </row>
    <row r="105" spans="1:7" x14ac:dyDescent="0.3">
      <c r="A105" s="2">
        <v>8</v>
      </c>
      <c r="C105" s="38" t="s">
        <v>46</v>
      </c>
      <c r="D105" s="42">
        <f>TRUNC(6461,-1)</f>
        <v>6460</v>
      </c>
      <c r="E105" s="64">
        <f t="shared" si="3"/>
        <v>21350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TRUNC(1005,-1)</f>
        <v>1000</v>
      </c>
      <c r="E114" s="64">
        <f t="shared" si="3"/>
        <v>3300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TRUNC(6055,-1)</f>
        <v>6050</v>
      </c>
      <c r="E116" s="64">
        <f t="shared" si="3"/>
        <v>20000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TRUNC(143080,-1)</f>
        <v>143080</v>
      </c>
      <c r="E117" s="64">
        <f t="shared" si="3"/>
        <v>472990</v>
      </c>
    </row>
    <row r="118" spans="1:7" ht="17.25" thickBot="1" x14ac:dyDescent="0.35">
      <c r="A118" s="2">
        <v>21</v>
      </c>
      <c r="C118" s="38" t="s">
        <v>47</v>
      </c>
      <c r="D118" s="43">
        <f>TRUNC(3735,-1)</f>
        <v>3730</v>
      </c>
      <c r="E118" s="65">
        <f t="shared" si="3"/>
        <v>12330</v>
      </c>
    </row>
    <row r="119" spans="1:7" x14ac:dyDescent="0.3">
      <c r="A119" s="2">
        <v>22</v>
      </c>
      <c r="C119" s="27" t="s">
        <v>112</v>
      </c>
      <c r="D119" s="39">
        <f>SUM(D98:D118)</f>
        <v>234110</v>
      </c>
      <c r="E119" s="39">
        <f>SUM(E98:E118)</f>
        <v>773870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259</v>
      </c>
      <c r="E121" s="56" t="s">
        <v>260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TRUNC(1990,-1)</f>
        <v>1990</v>
      </c>
      <c r="E122" s="63">
        <f t="shared" ref="E122:E132" si="4">TRUNC(+D122*3.3058,-1)</f>
        <v>6570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TRUNC(12456,-1)</f>
        <v>12450</v>
      </c>
      <c r="E125" s="64">
        <f t="shared" si="4"/>
        <v>41150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TRUNC(3140,-1)</f>
        <v>3140</v>
      </c>
      <c r="E128" s="64">
        <f t="shared" si="4"/>
        <v>10380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TRUNC(12761,-1)</f>
        <v>12760</v>
      </c>
      <c r="E130" s="64">
        <f t="shared" si="4"/>
        <v>42180</v>
      </c>
    </row>
    <row r="131" spans="1:7" x14ac:dyDescent="0.3">
      <c r="A131" s="2">
        <v>10</v>
      </c>
      <c r="C131" s="38" t="s">
        <v>148</v>
      </c>
      <c r="D131" s="42">
        <f>TRUNC(23984,-1)</f>
        <v>23980</v>
      </c>
      <c r="E131" s="64">
        <f t="shared" si="4"/>
        <v>79270</v>
      </c>
    </row>
    <row r="132" spans="1:7" ht="17.25" thickBot="1" x14ac:dyDescent="0.35">
      <c r="A132" s="2">
        <v>11</v>
      </c>
      <c r="C132" s="38" t="s">
        <v>47</v>
      </c>
      <c r="D132" s="43">
        <f>TRUNC(8266+110,-1)</f>
        <v>8370</v>
      </c>
      <c r="E132" s="65">
        <f t="shared" si="4"/>
        <v>27660</v>
      </c>
      <c r="F132" s="2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62690</v>
      </c>
      <c r="E133" s="39">
        <f>SUM(E122:E132)</f>
        <v>207210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259</v>
      </c>
      <c r="E135" s="56" t="s">
        <v>260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TRUNC(146+2452,-1)</f>
        <v>2590</v>
      </c>
      <c r="E137" s="64">
        <f t="shared" si="5"/>
        <v>8560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TRUNC(400,-1)</f>
        <v>400</v>
      </c>
      <c r="E140" s="64">
        <f t="shared" si="5"/>
        <v>1320</v>
      </c>
    </row>
    <row r="141" spans="1:7" x14ac:dyDescent="0.3">
      <c r="A141" s="2">
        <v>6</v>
      </c>
      <c r="C141" s="38" t="s">
        <v>59</v>
      </c>
      <c r="D141" s="42">
        <f>TRUNC(10232,-1)</f>
        <v>10230</v>
      </c>
      <c r="E141" s="64">
        <f t="shared" si="5"/>
        <v>33810</v>
      </c>
    </row>
    <row r="142" spans="1:7" x14ac:dyDescent="0.3">
      <c r="A142" s="2">
        <v>7</v>
      </c>
      <c r="C142" s="38" t="s">
        <v>58</v>
      </c>
      <c r="D142" s="42">
        <f>TRUNC(4732,-1)</f>
        <v>4730</v>
      </c>
      <c r="E142" s="64">
        <f t="shared" si="5"/>
        <v>15630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17950</v>
      </c>
      <c r="E146" s="39">
        <f>SUM(E136:E145)</f>
        <v>59320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259</v>
      </c>
      <c r="E148" s="56" t="s">
        <v>260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TRUNC(2724+130,-1)</f>
        <v>2850</v>
      </c>
      <c r="E149" s="63">
        <f>TRUNC(+D149*3.3058,-1)</f>
        <v>9420</v>
      </c>
    </row>
    <row r="150" spans="1:7" x14ac:dyDescent="0.3">
      <c r="A150" s="2">
        <v>2</v>
      </c>
      <c r="C150" s="38" t="s">
        <v>49</v>
      </c>
      <c r="D150" s="42">
        <f>TRUNC(2671,-1)</f>
        <v>2670</v>
      </c>
      <c r="E150" s="64">
        <f>TRUNC(+D150*3.3058,-1)</f>
        <v>8820</v>
      </c>
      <c r="F150" s="2" t="s">
        <v>256</v>
      </c>
    </row>
    <row r="151" spans="1:7" x14ac:dyDescent="0.3">
      <c r="A151" s="2">
        <v>3</v>
      </c>
      <c r="C151" s="38" t="s">
        <v>50</v>
      </c>
      <c r="D151" s="42">
        <f>TRUNC(1003,-1)</f>
        <v>1000</v>
      </c>
      <c r="E151" s="64">
        <f>TRUNC(+D151*3.3058,-1)</f>
        <v>3300</v>
      </c>
      <c r="F151" s="2" t="s">
        <v>256</v>
      </c>
    </row>
    <row r="152" spans="1:7" x14ac:dyDescent="0.3">
      <c r="A152" s="2">
        <v>4</v>
      </c>
      <c r="C152" s="38" t="s">
        <v>47</v>
      </c>
      <c r="D152" s="42">
        <f>TRUNC(107+1557+531,-1)</f>
        <v>2190</v>
      </c>
      <c r="E152" s="64">
        <f>TRUNC(+D152*3.3058,-1)</f>
        <v>7230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f>TRUNC(6782,-1)</f>
        <v>6780</v>
      </c>
      <c r="E153" s="65">
        <f>TRUNC(+D153*3.3058,-1)</f>
        <v>22410</v>
      </c>
      <c r="F153" s="58" t="s">
        <v>256</v>
      </c>
    </row>
    <row r="154" spans="1:7" x14ac:dyDescent="0.3">
      <c r="A154" s="2">
        <v>6</v>
      </c>
      <c r="C154" s="27" t="s">
        <v>112</v>
      </c>
      <c r="D154" s="39">
        <f>SUM(D149:D153)</f>
        <v>15490</v>
      </c>
      <c r="E154" s="39">
        <f>SUM(E149:E153)</f>
        <v>51180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259</v>
      </c>
      <c r="E156" s="56" t="s">
        <v>260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TRUNC(12684,-1)</f>
        <v>12680</v>
      </c>
      <c r="E157" s="63">
        <f>TRUNC(+D157*3.3058,-1)</f>
        <v>41910</v>
      </c>
    </row>
    <row r="158" spans="1:7" x14ac:dyDescent="0.3">
      <c r="A158" s="2">
        <v>2</v>
      </c>
      <c r="C158" s="38" t="s">
        <v>52</v>
      </c>
      <c r="D158" s="42">
        <f>TRUNC(3742,-1)</f>
        <v>3740</v>
      </c>
      <c r="E158" s="64">
        <f>TRUNC(+D158*3.3058,-1)</f>
        <v>12360</v>
      </c>
    </row>
    <row r="159" spans="1:7" x14ac:dyDescent="0.3">
      <c r="A159" s="2">
        <v>3</v>
      </c>
      <c r="C159" s="38" t="s">
        <v>47</v>
      </c>
      <c r="D159" s="42">
        <f>TRUNC(3717+6764,-1)</f>
        <v>10480</v>
      </c>
      <c r="E159" s="64">
        <f>TRUNC(+D159*3.3058,-1)</f>
        <v>34640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26900</v>
      </c>
      <c r="E161" s="39">
        <f>SUM(E157:E160)</f>
        <v>88910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2020-12-07T10:17:08Z</dcterms:modified>
</cp:coreProperties>
</file>