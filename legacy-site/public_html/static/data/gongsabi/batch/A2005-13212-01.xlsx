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6" i="4"/>
  <c r="E130" i="4"/>
  <c r="E129" i="4"/>
  <c r="E128" i="4"/>
  <c r="E127" i="4"/>
  <c r="E126" i="4"/>
  <c r="E125" i="4"/>
  <c r="E124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D131" i="4"/>
  <c r="E131" i="4" s="1"/>
  <c r="D117" i="4"/>
  <c r="E117" i="4" s="1"/>
  <c r="D59" i="4"/>
  <c r="E59" i="4" s="1"/>
  <c r="E60" i="4" s="1"/>
  <c r="D159" i="4"/>
  <c r="E159" i="4" s="1"/>
  <c r="D154" i="4"/>
  <c r="D31" i="4" s="1"/>
  <c r="E31" i="4" s="1"/>
  <c r="D152" i="4"/>
  <c r="E152" i="4" s="1"/>
  <c r="D137" i="4"/>
  <c r="E137" i="4" s="1"/>
  <c r="E146" i="4" s="1"/>
  <c r="D146" i="4"/>
  <c r="D30" i="4"/>
  <c r="E30" i="4" s="1"/>
  <c r="D132" i="4"/>
  <c r="E132" i="4" s="1"/>
  <c r="D123" i="4"/>
  <c r="E123" i="4" s="1"/>
  <c r="D122" i="4"/>
  <c r="E122" i="4" s="1"/>
  <c r="D118" i="4"/>
  <c r="E118" i="4" s="1"/>
  <c r="D99" i="4"/>
  <c r="E99" i="4" s="1"/>
  <c r="E119" i="4" s="1"/>
  <c r="D94" i="4"/>
  <c r="E94" i="4" s="1"/>
  <c r="E95" i="4" s="1"/>
  <c r="D66" i="4"/>
  <c r="D26" i="4" s="1"/>
  <c r="E26" i="4" s="1"/>
  <c r="D58" i="4"/>
  <c r="E58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95" i="4" l="1"/>
  <c r="D27" i="4" s="1"/>
  <c r="E27" i="4" s="1"/>
  <c r="D119" i="4"/>
  <c r="D28" i="4" s="1"/>
  <c r="E28" i="4" s="1"/>
  <c r="D161" i="4"/>
  <c r="D32" i="4" s="1"/>
  <c r="E32" i="4" s="1"/>
  <c r="D60" i="4"/>
  <c r="D25" i="4" s="1"/>
  <c r="E25" i="4" s="1"/>
  <c r="E133" i="4"/>
  <c r="D133" i="4"/>
  <c r="D29" i="4" s="1"/>
  <c r="E29" i="4" s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<sst xmlns="http://schemas.openxmlformats.org/spreadsheetml/2006/main" count="401" uniqueCount="276">
  <si>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</si>
  <si>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</si>
  <si>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</si>
  <si>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</si>
  <si>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</si>
  <si>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</si>
  <si>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</si>
  <si>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</si>
  <si>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</si>
  <si>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</si>
  <si>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</si>
  <si>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</si>
  <si>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</si>
  <si>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</si>
  <si>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</si>
  <si>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</si>
  <si>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</si>
  <si>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</si>
  <si>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</si>
  <si>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</si>
  <si>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</si>
  <si>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</si>
  <si>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</si>
  <si>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</si>
  <si>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</si>
  <si>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</si>
  <si>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</si>
  <si>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</si>
  <si>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</si>
  <si>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</si>
  <si>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</si>
  <si>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</si>
  <si>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</si>
  <si>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</si>
  <si>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</si>
  <si>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</si>
  <si>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</si>
  <si>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</si>
  <si>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</si>
  <si>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</si>
  <si>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</si>
  <si>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</si>
  <si>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</si>
  <si>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</si>
  <si>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</si>
  <si>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</si>
  <si>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</si>
  <si>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</si>
  <si>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</si>
  <si>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</si>
  <si>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</si>
  <si>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</si>
  <si>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</si>
  <si>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</si>
  <si>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</si>
  <si>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</si>
  <si>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</si>
  <si>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</si>
  <si>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</si>
  <si>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</si>
  <si>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</si>
  <si>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</si>
  <si>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</si>
  <si>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</si>
  <si>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</si>
  <si>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</si>
  <si>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</si>
  <si>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</si>
  <si>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</si>
  <si>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</si>
  <si>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</si>
  <si>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</si>
  <si>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</si>
  <si>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</si>
  <si>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</si>
  <si>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</si>
  <si>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</si>
  <si>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</si>
  <si>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</si>
  <si>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</si>
  <si>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</si>
  <si>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</si>
  <si>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</si>
  <si>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</si>
  <si>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</si>
  <si>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</si>
  <si>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</si>
  <si>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</si>
  <si>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</si>
  <si>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</si>
  <si>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</si>
  <si>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</si>
  <si>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</si>
  <si>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</si>
  <si>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</si>
  <si>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</si>
  <si>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</si>
  <si>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</si>
  <si>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</si>
  <si>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</si>
  <si>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</si>
  <si>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</si>
  <si>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</si>
  <si>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</si>
  <si>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</si>
  <si>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</si>
  <si>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</si>
  <si>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</si>
  <si>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</si>
  <si>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</si>
  <si>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</si>
  <si>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</si>
  <si>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</si>
  <si>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</si>
  <si>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</si>
  <si>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</si>
  <si>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</si>
  <si>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</si>
  <si>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</si>
  <si>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</si>
  <si>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</si>
  <si>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</si>
  <si>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</si>
  <si>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</si>
  <si>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</si>
  <si>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</si>
  <si>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</si>
  <si>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</si>
  <si>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</si>
  <si>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</si>
  <si>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</si>
  <si>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</si>
  <si>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</si>
  <si>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</si>
  <si>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</si>
  <si>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</si>
  <si>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</si>
  <si>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</si>
  <si>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</si>
  <si>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</si>
  <si>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</si>
  <si>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</si>
  <si>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</si>
  <si>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</si>
  <si>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</si>
  <si>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</si>
  <si>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</si>
  <si>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</si>
  <si>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</si>
  <si>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</si>
  <si>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</si>
  <si>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</si>
  <si>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</si>
  <si>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</si>
  <si>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</si>
  <si>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</si>
  <si>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</si>
  <si>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</si>
  <si>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</si>
  <si>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</si>
  <si>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</si>
  <si>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</si>
  <si>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</si>
  <si>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</si>
  <si>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</si>
  <si>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</si>
  <si>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</si>
  <si>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</si>
  <si>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</si>
  <si>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</si>
  <si>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</si>
  <si>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</si>
  <si>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</si>
  <si>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</si>
  <si>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</si>
  <si>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</si>
  <si>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</si>
  <si>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</si>
  <si>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</si>
  <si>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</si>
  <si>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</si>
  <si>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</si>
  <si>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</si>
  <si>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</si>
  <si>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</si>
  <si>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</si>
  <si>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</si>
  <si>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</si>
  <si>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</si>
  <si>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</si>
  <si>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</si>
  <si>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</si>
  <si>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</si>
  <si>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</si>
  <si>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</si>
  <si>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</si>
  <si>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</si>
  <si>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</si>
  <si>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</si>
  <si>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</si>
  <si>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</si>
  <si>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</si>
  <si>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</si>
  <si>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</si>
  <si>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</si>
  <si>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</si>
  <si>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</si>
  <si>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</si>
  <si>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</si>
  <si>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</si>
  <si>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</si>
  <si>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</si>
  <si>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</si>
  <si>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</si>
  <si>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</si>
  <si>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</si>
  <si>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</si>
  <si>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</si>
  <si>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</si>
  <si>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</si>
  <si>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</si>
  <si>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</si>
  <si>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</si>
  <si>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</si>
  <si>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</si>
  <si>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</si>
  <si>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</si>
  <si>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</si>
  <si>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</si>
  <si>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</si>
  <si>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</si>
  <si>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</si>
  <si>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</si>
  <si>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</si>
  <si>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</si>
  <si>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</si>
  <si>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</si>
  <si>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</si>
  <si>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</si>
  <si>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</si>
  <si>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</si>
  <si>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</si>
  <si>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</si>
  <si>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</si>
  <si>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</si>
  <si>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00경찰서신축공사</t>
  </si>
  <si>
    <t>평</t>
    <phoneticPr fontId="2" type="noConversion"/>
  </si>
  <si>
    <t>원/ m2</t>
    <phoneticPr fontId="2" type="noConversion"/>
  </si>
  <si>
    <t>경상도</t>
  </si>
  <si>
    <t>업무</t>
  </si>
  <si>
    <t>원/ m2</t>
    <phoneticPr fontId="2" type="noConversion"/>
  </si>
  <si>
    <t xml:space="preserve">돌및타일공사 </t>
    <phoneticPr fontId="2" type="noConversion"/>
  </si>
  <si>
    <t>홈통및금속공사</t>
  </si>
  <si>
    <t>기타공사,방수공사,운반공사,토공및기초공사,고재대</t>
    <phoneticPr fontId="2" type="noConversion"/>
  </si>
  <si>
    <t>기계장비설치공사,위생배관공사</t>
    <phoneticPr fontId="2" type="noConversion"/>
  </si>
  <si>
    <t>동력설비,기계실동력설비공사</t>
    <phoneticPr fontId="2" type="noConversion"/>
  </si>
  <si>
    <t>조명설비공사</t>
    <phoneticPr fontId="2" type="noConversion"/>
  </si>
  <si>
    <t>피뢰침 설비공사</t>
    <phoneticPr fontId="2" type="noConversion"/>
  </si>
  <si>
    <t>케이블트레이설치공사</t>
    <phoneticPr fontId="2" type="noConversion"/>
  </si>
  <si>
    <t>도급자설치관급,관급자설치관급</t>
    <phoneticPr fontId="2" type="noConversion"/>
  </si>
  <si>
    <t>전기실설비공사</t>
    <phoneticPr fontId="2" type="noConversion"/>
  </si>
  <si>
    <t>CATV 설비공사</t>
  </si>
  <si>
    <t>전화 및 DATA간선 설비공사</t>
    <phoneticPr fontId="2" type="noConversion"/>
  </si>
  <si>
    <t>방송간선 및 방송설비공사</t>
  </si>
  <si>
    <t>옥외인입 및 접지설비공사,무전기 설비공사,비상벨 설비공사</t>
    <phoneticPr fontId="2" type="noConversion"/>
  </si>
  <si>
    <t>전기 소방간선 설비공사, 전기 소방 설비공사, 전기 소화 설비공사</t>
    <phoneticPr fontId="2" type="noConversion"/>
  </si>
  <si>
    <t>배수공,부대공,골재대</t>
    <phoneticPr fontId="2" type="noConversion"/>
  </si>
  <si>
    <t>수목대,잔디식재</t>
    <phoneticPr fontId="2" type="noConversion"/>
  </si>
  <si>
    <t>도급자설치</t>
    <phoneticPr fontId="2" type="noConversion"/>
  </si>
  <si>
    <t>관급자설치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</si>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</sst>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246</v>
      </c>
    </row>
    <row r="7" spans="1:4" ht="17.25" thickBot="1" x14ac:dyDescent="0.35">
      <c r="C7" s="37">
        <v>4213</v>
      </c>
      <c r="D7" s="36">
        <f>+C7/3.3058</f>
        <v>1274.4267650795571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274</v>
      </c>
    </row>
    <row r="19" spans="1:5" x14ac:dyDescent="0.3">
      <c r="A19" s="2">
        <v>9</v>
      </c>
      <c r="B19" s="2" t="s">
        <v>275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247</v>
      </c>
      <c r="E23" s="35" t="s">
        <v>234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613020</v>
      </c>
      <c r="E25" s="60">
        <f t="shared" si="0"/>
        <v>2026520</v>
      </c>
    </row>
    <row r="26" spans="1:5" x14ac:dyDescent="0.3">
      <c r="B26" s="2">
        <v>3</v>
      </c>
      <c r="C26" s="35" t="s">
        <v>95</v>
      </c>
      <c r="D26" s="45">
        <f>+D66</f>
        <v>7240</v>
      </c>
      <c r="E26" s="60">
        <f t="shared" si="0"/>
        <v>23930</v>
      </c>
    </row>
    <row r="27" spans="1:5" x14ac:dyDescent="0.3">
      <c r="B27" s="2">
        <v>4</v>
      </c>
      <c r="C27" s="35" t="s">
        <v>96</v>
      </c>
      <c r="D27" s="45">
        <f>+D95</f>
        <v>164070</v>
      </c>
      <c r="E27" s="60">
        <f t="shared" si="0"/>
        <v>542380</v>
      </c>
    </row>
    <row r="28" spans="1:5" x14ac:dyDescent="0.3">
      <c r="B28" s="2">
        <v>5</v>
      </c>
      <c r="C28" s="35" t="s">
        <v>97</v>
      </c>
      <c r="D28" s="45">
        <f>+D119</f>
        <v>99880</v>
      </c>
      <c r="E28" s="60">
        <f t="shared" si="0"/>
        <v>330180</v>
      </c>
    </row>
    <row r="29" spans="1:5" x14ac:dyDescent="0.3">
      <c r="B29" s="2">
        <v>6</v>
      </c>
      <c r="C29" s="35" t="s">
        <v>98</v>
      </c>
      <c r="D29" s="45">
        <f>+D133</f>
        <v>78330</v>
      </c>
      <c r="E29" s="60">
        <f t="shared" si="0"/>
        <v>258940</v>
      </c>
    </row>
    <row r="30" spans="1:5" x14ac:dyDescent="0.3">
      <c r="B30" s="2">
        <v>7</v>
      </c>
      <c r="C30" s="35" t="s">
        <v>99</v>
      </c>
      <c r="D30" s="45">
        <f>+D146</f>
        <v>9130</v>
      </c>
      <c r="E30" s="60">
        <f t="shared" si="0"/>
        <v>30180</v>
      </c>
    </row>
    <row r="31" spans="1:5" x14ac:dyDescent="0.3">
      <c r="B31" s="2">
        <v>8</v>
      </c>
      <c r="C31" s="35" t="s">
        <v>100</v>
      </c>
      <c r="D31" s="45">
        <f>+D154</f>
        <v>27540</v>
      </c>
      <c r="E31" s="60">
        <f t="shared" si="0"/>
        <v>91040</v>
      </c>
    </row>
    <row r="32" spans="1:5" x14ac:dyDescent="0.3">
      <c r="B32" s="2">
        <v>9</v>
      </c>
      <c r="C32" s="35" t="s">
        <v>101</v>
      </c>
      <c r="D32" s="45">
        <f>+D161</f>
        <v>7480</v>
      </c>
      <c r="E32" s="60">
        <f t="shared" si="0"/>
        <v>24720</v>
      </c>
    </row>
    <row r="33" spans="1:7" x14ac:dyDescent="0.3">
      <c r="B33" s="2">
        <v>10</v>
      </c>
      <c r="C33" s="35" t="s">
        <v>153</v>
      </c>
      <c r="D33" s="53">
        <f>TRUNC(SUM(D24:D32)*0.275,-1)</f>
        <v>276830</v>
      </c>
      <c r="E33" s="61">
        <f t="shared" si="0"/>
        <v>915140</v>
      </c>
    </row>
    <row r="34" spans="1:7" x14ac:dyDescent="0.3">
      <c r="C34" s="35" t="s">
        <v>112</v>
      </c>
      <c r="D34" s="44">
        <f>SUM(D24:D33)</f>
        <v>1283520</v>
      </c>
      <c r="E34" s="44">
        <f>SUM(E24:E33)</f>
        <v>4243030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247</v>
      </c>
      <c r="E36" s="56" t="s">
        <v>234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271</v>
      </c>
      <c r="E39" s="67" t="s">
        <v>272</v>
      </c>
      <c r="G39" s="68"/>
    </row>
    <row r="40" spans="1:7" x14ac:dyDescent="0.3">
      <c r="A40" s="2">
        <v>1</v>
      </c>
      <c r="C40" s="38" t="s">
        <v>15</v>
      </c>
      <c r="D40" s="40">
        <v>31510</v>
      </c>
      <c r="E40" s="63">
        <f t="shared" ref="E40:E59" si="1">TRUNC(+D40*3.3058,-1)</f>
        <v>104160</v>
      </c>
    </row>
    <row r="41" spans="1:7" x14ac:dyDescent="0.3">
      <c r="A41" s="2">
        <v>2</v>
      </c>
      <c r="C41" s="38" t="s">
        <v>13</v>
      </c>
      <c r="D41" s="42">
        <v>135840</v>
      </c>
      <c r="E41" s="64">
        <f t="shared" si="1"/>
        <v>449050</v>
      </c>
    </row>
    <row r="42" spans="1:7" x14ac:dyDescent="0.3">
      <c r="A42" s="2">
        <v>3</v>
      </c>
      <c r="C42" s="38" t="s">
        <v>14</v>
      </c>
      <c r="D42" s="42"/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v>18880</v>
      </c>
      <c r="E43" s="64">
        <f t="shared" si="1"/>
        <v>62410</v>
      </c>
    </row>
    <row r="44" spans="1:7" x14ac:dyDescent="0.3">
      <c r="A44" s="2">
        <v>5</v>
      </c>
      <c r="C44" s="38" t="s">
        <v>17</v>
      </c>
      <c r="D44" s="42">
        <v>18260</v>
      </c>
      <c r="E44" s="64">
        <f t="shared" si="1"/>
        <v>60360</v>
      </c>
    </row>
    <row r="45" spans="1:7" x14ac:dyDescent="0.3">
      <c r="A45" s="2">
        <v>6</v>
      </c>
      <c r="C45" s="38" t="s">
        <v>18</v>
      </c>
      <c r="D45" s="42">
        <v>57550</v>
      </c>
      <c r="E45" s="64">
        <f t="shared" si="1"/>
        <v>190240</v>
      </c>
      <c r="F45" s="2" t="s">
        <v>251</v>
      </c>
    </row>
    <row r="46" spans="1:7" x14ac:dyDescent="0.3">
      <c r="A46" s="2">
        <v>7</v>
      </c>
      <c r="C46" s="38" t="s">
        <v>19</v>
      </c>
      <c r="D46" s="42">
        <v>2250</v>
      </c>
      <c r="E46" s="64">
        <f t="shared" si="1"/>
        <v>7430</v>
      </c>
    </row>
    <row r="47" spans="1:7" x14ac:dyDescent="0.3">
      <c r="A47" s="2">
        <v>8</v>
      </c>
      <c r="C47" s="38" t="s">
        <v>20</v>
      </c>
      <c r="D47" s="42">
        <v>9770</v>
      </c>
      <c r="E47" s="64">
        <f t="shared" si="1"/>
        <v>32290</v>
      </c>
    </row>
    <row r="48" spans="1:7" x14ac:dyDescent="0.3">
      <c r="A48" s="2">
        <v>9</v>
      </c>
      <c r="C48" s="38" t="s">
        <v>21</v>
      </c>
      <c r="D48" s="42">
        <v>21390</v>
      </c>
      <c r="E48" s="64">
        <f t="shared" si="1"/>
        <v>70710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v>23980</v>
      </c>
      <c r="E49" s="64">
        <f t="shared" si="1"/>
        <v>79270</v>
      </c>
    </row>
    <row r="50" spans="1:7" x14ac:dyDescent="0.3">
      <c r="A50" s="2">
        <v>11</v>
      </c>
      <c r="C50" s="38" t="s">
        <v>154</v>
      </c>
      <c r="D50" s="42">
        <v>15770</v>
      </c>
      <c r="E50" s="64">
        <f t="shared" si="1"/>
        <v>52130</v>
      </c>
    </row>
    <row r="51" spans="1:7" x14ac:dyDescent="0.3">
      <c r="A51" s="2">
        <v>12</v>
      </c>
      <c r="C51" s="38" t="s">
        <v>23</v>
      </c>
      <c r="D51" s="42">
        <v>4720</v>
      </c>
      <c r="E51" s="64">
        <f t="shared" si="1"/>
        <v>15600</v>
      </c>
    </row>
    <row r="52" spans="1:7" x14ac:dyDescent="0.3">
      <c r="A52" s="2">
        <v>13</v>
      </c>
      <c r="C52" s="38" t="s">
        <v>24</v>
      </c>
      <c r="D52" s="42">
        <v>9720</v>
      </c>
      <c r="E52" s="64">
        <f t="shared" si="1"/>
        <v>32130</v>
      </c>
    </row>
    <row r="53" spans="1:7" x14ac:dyDescent="0.3">
      <c r="A53" s="2">
        <v>14</v>
      </c>
      <c r="C53" s="38" t="s">
        <v>25</v>
      </c>
      <c r="D53" s="42">
        <v>29120</v>
      </c>
      <c r="E53" s="64">
        <f t="shared" si="1"/>
        <v>96260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35470+18260+52300-400</f>
        <v>105630</v>
      </c>
      <c r="E58" s="64">
        <f t="shared" si="1"/>
        <v>349190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TRUNC(128634.93947306,-1)</f>
        <v>128630</v>
      </c>
      <c r="E59" s="65">
        <f t="shared" si="1"/>
        <v>425220</v>
      </c>
      <c r="F59" s="2" t="s">
        <v>268</v>
      </c>
    </row>
    <row r="60" spans="1:7" x14ac:dyDescent="0.3">
      <c r="A60" s="2">
        <v>21</v>
      </c>
      <c r="C60" s="27" t="s">
        <v>112</v>
      </c>
      <c r="D60" s="39">
        <f>SUM(D40:D59)</f>
        <v>613020</v>
      </c>
      <c r="E60" s="39">
        <f>SUM(E40:E59)</f>
        <v>2026450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250</v>
      </c>
      <c r="E62" s="56" t="s">
        <v>234</v>
      </c>
      <c r="F62" s="54"/>
      <c r="G62" s="54"/>
    </row>
    <row r="63" spans="1:7" x14ac:dyDescent="0.3">
      <c r="A63" s="2">
        <v>1</v>
      </c>
      <c r="C63" s="38" t="s">
        <v>27</v>
      </c>
      <c r="D63" s="40">
        <v>7240</v>
      </c>
      <c r="E63" s="63">
        <f>TRUNC(+D63*3.3058,-1)</f>
        <v>23930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7240</v>
      </c>
      <c r="E66" s="57">
        <f>SUM(E63:E65)</f>
        <v>23930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250</v>
      </c>
      <c r="E68" s="56" t="s">
        <v>234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3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>TRUNC(+D70*3.3058,-1)</f>
        <v>0</v>
      </c>
    </row>
    <row r="71" spans="1:7" x14ac:dyDescent="0.3">
      <c r="A71" s="2">
        <v>3</v>
      </c>
      <c r="C71" s="38" t="s">
        <v>32</v>
      </c>
      <c r="D71" s="42">
        <v>6060</v>
      </c>
      <c r="E71" s="64">
        <f t="shared" ref="E71:E73" si="2">TRUNC(+D71*3.3058,-1)</f>
        <v>20030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1580</v>
      </c>
      <c r="E74" s="64">
        <f>TRUNC(+D74*3.3058,-1)</f>
        <v>5220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6940</v>
      </c>
      <c r="E81" s="64">
        <f t="shared" si="3"/>
        <v>22940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17060</v>
      </c>
      <c r="E84" s="64">
        <f>TRUNC(+D84*3.3058,-1)</f>
        <v>56390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18680</v>
      </c>
      <c r="E89" s="64">
        <f t="shared" si="3"/>
        <v>61750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v>80290</v>
      </c>
      <c r="E93" s="64">
        <f>TRUNC(+D93*3.3058,-1)</f>
        <v>265420</v>
      </c>
      <c r="F93" s="2" t="s">
        <v>269</v>
      </c>
    </row>
    <row r="94" spans="1:7" ht="17.25" thickBot="1" x14ac:dyDescent="0.35">
      <c r="A94" s="2">
        <v>26</v>
      </c>
      <c r="C94" s="38" t="s">
        <v>47</v>
      </c>
      <c r="D94" s="43">
        <f>23350+10110</f>
        <v>33460</v>
      </c>
      <c r="E94" s="65">
        <f>TRUNC(+D94*3.3058,-1)</f>
        <v>110610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164070</v>
      </c>
      <c r="E95" s="39">
        <f>SUM(E69:E94)</f>
        <v>542360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250</v>
      </c>
      <c r="E97" s="56" t="s">
        <v>270</v>
      </c>
      <c r="F97" s="54"/>
      <c r="G97" s="54"/>
    </row>
    <row r="98" spans="1:7" x14ac:dyDescent="0.3">
      <c r="A98" s="2">
        <v>1</v>
      </c>
      <c r="C98" s="38" t="s">
        <v>39</v>
      </c>
      <c r="D98" s="40">
        <v>7610</v>
      </c>
      <c r="E98" s="63">
        <f t="shared" ref="E98:E118" si="4">TRUNC(+D98*3.3058,-1)</f>
        <v>25150</v>
      </c>
    </row>
    <row r="99" spans="1:7" x14ac:dyDescent="0.3">
      <c r="A99" s="2">
        <v>2</v>
      </c>
      <c r="C99" s="38" t="s">
        <v>40</v>
      </c>
      <c r="D99" s="42">
        <f>3510+6470</f>
        <v>9980</v>
      </c>
      <c r="E99" s="64">
        <f t="shared" si="4"/>
        <v>32990</v>
      </c>
      <c r="F99" s="2" t="s">
        <v>255</v>
      </c>
    </row>
    <row r="100" spans="1:7" x14ac:dyDescent="0.3">
      <c r="A100" s="2">
        <v>3</v>
      </c>
      <c r="C100" s="38" t="s">
        <v>41</v>
      </c>
      <c r="D100" s="42">
        <v>0</v>
      </c>
      <c r="E100" s="64">
        <f t="shared" si="4"/>
        <v>0</v>
      </c>
    </row>
    <row r="101" spans="1:7" x14ac:dyDescent="0.3">
      <c r="A101" s="2">
        <v>4</v>
      </c>
      <c r="C101" s="38" t="s">
        <v>42</v>
      </c>
      <c r="D101" s="42">
        <v>15550</v>
      </c>
      <c r="E101" s="64">
        <f t="shared" si="4"/>
        <v>51400</v>
      </c>
      <c r="F101" s="2" t="s">
        <v>256</v>
      </c>
    </row>
    <row r="102" spans="1:7" x14ac:dyDescent="0.3">
      <c r="A102" s="2">
        <v>5</v>
      </c>
      <c r="C102" s="38" t="s">
        <v>43</v>
      </c>
      <c r="D102" s="42">
        <v>9410</v>
      </c>
      <c r="E102" s="64">
        <f t="shared" si="4"/>
        <v>31100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1160</v>
      </c>
      <c r="E104" s="64">
        <f t="shared" si="4"/>
        <v>3830</v>
      </c>
      <c r="F104" s="2" t="s">
        <v>257</v>
      </c>
    </row>
    <row r="105" spans="1:7" x14ac:dyDescent="0.3">
      <c r="A105" s="2">
        <v>8</v>
      </c>
      <c r="C105" s="38" t="s">
        <v>46</v>
      </c>
      <c r="D105" s="42">
        <v>530</v>
      </c>
      <c r="E105" s="64">
        <f t="shared" si="4"/>
        <v>1750</v>
      </c>
      <c r="F105" s="2" t="s">
        <v>258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7430</v>
      </c>
      <c r="E114" s="64">
        <f t="shared" si="4"/>
        <v>24560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4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TRUNC(18248.2791360076+22107.0496083551,-1)</f>
        <v>40350</v>
      </c>
      <c r="E117" s="64">
        <f t="shared" si="4"/>
        <v>133380</v>
      </c>
      <c r="F117" s="2" t="s">
        <v>259</v>
      </c>
    </row>
    <row r="118" spans="1:7" ht="17.25" thickBot="1" x14ac:dyDescent="0.35">
      <c r="A118" s="2">
        <v>21</v>
      </c>
      <c r="C118" s="38" t="s">
        <v>47</v>
      </c>
      <c r="D118" s="43">
        <f>7860</f>
        <v>7860</v>
      </c>
      <c r="E118" s="65">
        <f t="shared" si="4"/>
        <v>25980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99880</v>
      </c>
      <c r="E119" s="39">
        <f>SUM(E98:E118)</f>
        <v>330140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250</v>
      </c>
      <c r="E121" s="56" t="s">
        <v>270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2170+21570</f>
        <v>23740</v>
      </c>
      <c r="E122" s="63">
        <f t="shared" ref="E122:E132" si="5">TRUNC(+D122*3.3058,-1)</f>
        <v>78470</v>
      </c>
      <c r="F122" s="2" t="s">
        <v>261</v>
      </c>
    </row>
    <row r="123" spans="1:7" x14ac:dyDescent="0.3">
      <c r="A123" s="2">
        <v>2</v>
      </c>
      <c r="C123" s="38" t="s">
        <v>124</v>
      </c>
      <c r="D123" s="42">
        <f>10420+6230</f>
        <v>16650</v>
      </c>
      <c r="E123" s="64">
        <f t="shared" si="5"/>
        <v>55040</v>
      </c>
      <c r="F123" s="2" t="s">
        <v>262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6910</v>
      </c>
      <c r="E125" s="64">
        <f t="shared" si="5"/>
        <v>22840</v>
      </c>
      <c r="F125" s="2" t="s">
        <v>263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2130</v>
      </c>
      <c r="E128" s="64">
        <f t="shared" si="5"/>
        <v>7040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TRUNC(26705.1981960598,-1)</f>
        <v>26700</v>
      </c>
      <c r="E131" s="64">
        <f t="shared" si="5"/>
        <v>88260</v>
      </c>
      <c r="F131" s="2" t="s">
        <v>269</v>
      </c>
    </row>
    <row r="132" spans="1:7" ht="17.25" thickBot="1" x14ac:dyDescent="0.35">
      <c r="A132" s="2">
        <v>11</v>
      </c>
      <c r="C132" s="38" t="s">
        <v>47</v>
      </c>
      <c r="D132" s="43">
        <f>1740+250+210</f>
        <v>2200</v>
      </c>
      <c r="E132" s="65">
        <f t="shared" si="5"/>
        <v>7270</v>
      </c>
      <c r="F132" s="2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78330</v>
      </c>
      <c r="E133" s="39">
        <f>SUM(E122:E132)</f>
        <v>258920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250</v>
      </c>
      <c r="E135" s="56" t="s">
        <v>270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2500+2270+1360</f>
        <v>6130</v>
      </c>
      <c r="E137" s="64">
        <f t="shared" si="6"/>
        <v>20260</v>
      </c>
      <c r="F137" s="2" t="s">
        <v>265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3000</v>
      </c>
      <c r="E143" s="64">
        <f t="shared" si="6"/>
        <v>9910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9130</v>
      </c>
      <c r="E146" s="39">
        <f>SUM(E136:E145)</f>
        <v>30170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250</v>
      </c>
      <c r="E148" s="56" t="s">
        <v>270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14180</v>
      </c>
      <c r="E150" s="64">
        <f>TRUNC(+D150*3.3058,-1)</f>
        <v>46870</v>
      </c>
    </row>
    <row r="151" spans="1:7" x14ac:dyDescent="0.3">
      <c r="A151" s="2">
        <v>3</v>
      </c>
      <c r="C151" s="38" t="s">
        <v>50</v>
      </c>
      <c r="D151" s="42">
        <v>720</v>
      </c>
      <c r="E151" s="64">
        <f>TRUNC(+D151*3.3058,-1)</f>
        <v>2380</v>
      </c>
    </row>
    <row r="152" spans="1:7" x14ac:dyDescent="0.3">
      <c r="A152" s="2">
        <v>4</v>
      </c>
      <c r="C152" s="38" t="s">
        <v>47</v>
      </c>
      <c r="D152" s="42">
        <f>2570+1910+8160</f>
        <v>12640</v>
      </c>
      <c r="E152" s="64">
        <f>TRUNC(+D152*3.3058,-1)</f>
        <v>41780</v>
      </c>
      <c r="F152" s="58" t="s">
        <v>266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27540</v>
      </c>
      <c r="E154" s="39">
        <f>SUM(E149:E153)</f>
        <v>91030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250</v>
      </c>
      <c r="E156" s="56" t="s">
        <v>270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2030</v>
      </c>
      <c r="E157" s="63">
        <f>TRUNC(+D157*3.3058,-1)</f>
        <v>6710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2470+2980</f>
        <v>5450</v>
      </c>
      <c r="E159" s="64">
        <f>TRUNC(+D159*3.3058,-1)</f>
        <v>18010</v>
      </c>
      <c r="F159" s="2" t="s">
        <v>267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7480</v>
      </c>
      <c r="E161" s="39">
        <f>SUM(E157:E160)</f>
        <v>24720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2020-12-07T09:05:57Z</dcterms:modified>
</cp:coreProperties>
</file>