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3" i="4"/>
  <c r="D140" i="4"/>
  <c r="D139" i="4"/>
  <c r="D132" i="4"/>
  <c r="D130" i="4"/>
  <c r="D126" i="4"/>
  <c r="D125" i="4"/>
  <c r="D124" i="4"/>
  <c r="D122" i="4"/>
  <c r="D118" i="4"/>
  <c r="D117" i="4"/>
  <c r="D116" i="4"/>
  <c r="D104" i="4"/>
  <c r="D103" i="4"/>
  <c r="D100" i="4"/>
  <c r="D99" i="4"/>
  <c r="D98" i="4"/>
  <c r="D94" i="4"/>
  <c r="D92" i="4"/>
  <c r="D73" i="4"/>
  <c r="D72" i="4"/>
  <c r="D70" i="4"/>
  <c r="D69" i="4"/>
  <c r="D63" i="4"/>
  <c r="D52" i="4"/>
  <c r="D50" i="4"/>
  <c r="D49" i="4"/>
  <c r="D48" i="4"/>
  <c r="D46" i="4"/>
  <c r="D45" i="4"/>
  <c r="D44" i="4"/>
  <c r="D43" i="4"/>
  <c r="D41" i="4"/>
  <c r="D40" i="4"/>
  <c r="D58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<sst xmlns="http://schemas.openxmlformats.org/spreadsheetml/2006/main" count="392" uniqueCount="266">
  <si>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</si>
  <si>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</si>
  <si>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</si>
  <si>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</si>
  <si>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</si>
  <si>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</si>
  <si>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</si>
  <si>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</si>
  <si>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</si>
  <si>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</si>
  <si>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</si>
  <si>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</si>
  <si>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</si>
  <si>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</si>
  <si>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</si>
  <si>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</si>
  <si>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</si>
  <si>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</si>
  <si>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</si>
  <si>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</si>
  <si>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</si>
  <si>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</si>
  <si>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</si>
  <si>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</si>
  <si>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</si>
  <si>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</si>
  <si>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</si>
  <si>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</si>
  <si>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</si>
  <si>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</si>
  <si>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</si>
  <si>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</si>
  <si>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</si>
  <si>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</si>
  <si>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</si>
  <si>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</si>
  <si>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</si>
  <si>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</si>
  <si>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</si>
  <si>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</si>
  <si>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</si>
  <si>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</si>
  <si>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</si>
  <si>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</si>
  <si>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</si>
  <si>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</si>
  <si>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</si>
  <si>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</si>
  <si>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</si>
  <si>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</si>
  <si>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</si>
  <si>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</si>
  <si>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</si>
  <si>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</si>
  <si>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</si>
  <si>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</si>
  <si>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</si>
  <si>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</si>
  <si>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</si>
  <si>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</si>
  <si>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</si>
  <si>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</si>
  <si>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</si>
  <si>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</si>
  <si>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</si>
  <si>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</si>
  <si>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</si>
  <si>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</si>
  <si>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</si>
  <si>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</si>
  <si>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</si>
  <si>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</si>
  <si>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</si>
  <si>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</si>
  <si>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</si>
  <si>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</si>
  <si>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</si>
  <si>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</si>
  <si>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</si>
  <si>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</si>
  <si>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</si>
  <si>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</si>
  <si>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</si>
  <si>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</si>
  <si>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</si>
  <si>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</si>
  <si>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</si>
  <si>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</si>
  <si>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</si>
  <si>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</si>
  <si>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</si>
  <si>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</si>
  <si>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</si>
  <si>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</si>
  <si>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</si>
  <si>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</si>
  <si>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</si>
  <si>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</si>
  <si>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</si>
  <si>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</si>
  <si>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</si>
  <si>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</si>
  <si>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</si>
  <si>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</si>
  <si>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</si>
  <si>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</si>
  <si>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</si>
  <si>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</si>
  <si>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</si>
  <si>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</si>
  <si>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</si>
  <si>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</si>
  <si>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</si>
  <si>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</si>
  <si>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</si>
  <si>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</si>
  <si>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</si>
  <si>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</si>
  <si>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</si>
  <si>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</si>
  <si>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</si>
  <si>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</si>
  <si>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</si>
  <si>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</si>
  <si>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</si>
  <si>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</si>
  <si>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</si>
  <si>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</si>
  <si>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</si>
  <si>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</si>
  <si>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</si>
  <si>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</si>
  <si>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</si>
  <si>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</si>
  <si>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</si>
  <si>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</si>
  <si>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</si>
  <si>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</si>
  <si>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</si>
  <si>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</si>
  <si>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</si>
  <si>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</si>
  <si>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</si>
  <si>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</si>
  <si>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</si>
  <si>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</si>
  <si>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</si>
  <si>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</si>
  <si>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</si>
  <si>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</si>
  <si>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</si>
  <si>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</si>
  <si>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</si>
  <si>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</si>
  <si>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</si>
  <si>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</si>
  <si>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</si>
  <si>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</si>
  <si>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</si>
  <si>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</si>
  <si>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</si>
  <si>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</si>
  <si>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</si>
  <si>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</si>
  <si>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</si>
  <si>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</si>
  <si>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</si>
  <si>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</si>
  <si>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</si>
  <si>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</si>
  <si>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</si>
  <si>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</si>
  <si>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</si>
  <si>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</si>
  <si>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</si>
  <si>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</si>
  <si>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</si>
  <si>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</si>
  <si>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</si>
  <si>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</si>
  <si>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</si>
  <si>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</si>
  <si>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</si>
  <si>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</si>
  <si>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</si>
  <si>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</si>
  <si>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</si>
  <si>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</si>
  <si>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</si>
  <si>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</si>
  <si>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</si>
  <si>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</si>
  <si>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</si>
  <si>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</si>
  <si>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</si>
  <si>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</si>
  <si>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</si>
  <si>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</si>
  <si>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</si>
  <si>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</si>
  <si>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</si>
  <si>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</si>
  <si>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</si>
  <si>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</si>
  <si>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</si>
  <si>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</si>
  <si>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</si>
  <si>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</si>
  <si>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</si>
  <si>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</si>
  <si>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</si>
  <si>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</si>
  <si>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</si>
  <si>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</si>
  <si>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</si>
  <si>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</si>
  <si>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</si>
  <si>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</si>
  <si>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</si>
  <si>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</si>
  <si>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</si>
  <si>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</si>
  <si>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</si>
  <si>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</si>
  <si>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</si>
  <si>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</si>
  <si>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</si>
  <si>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</si>
  <si>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</si>
  <si>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</si>
  <si>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</si>
  <si>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</si>
  <si>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</si>
  <si>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</si>
  <si>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</si>
  <si>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</si>
  <si>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</si>
  <si>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</si>
  <si>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</si>
  <si>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</si>
  <si>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</si>
  <si>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</si>
  <si>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</si>
  <si>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</si>
  <si>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</si>
  <si>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</si>
  <si>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</si>
  <si>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</si>
  <si>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</si>
  <si>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</si>
  <si>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</si>
  <si>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</si>
  <si>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</si>
  <si>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</si>
  <si>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</si>
  <si>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업무</t>
  </si>
  <si>
    <t>국민건강보험공단 홍성지사 사옥 신축공사</t>
    <phoneticPr fontId="2" type="noConversion"/>
  </si>
  <si>
    <t>충청도</t>
  </si>
  <si>
    <t>기초공사, 폐기물처리비, 골재비및운반비, 작업부산물, 기타공사</t>
    <phoneticPr fontId="2" type="noConversion"/>
  </si>
  <si>
    <t>바닥난방공사, 기타공사</t>
    <phoneticPr fontId="2" type="noConversion"/>
  </si>
  <si>
    <t>CCTV설비공사</t>
    <phoneticPr fontId="2" type="noConversion"/>
  </si>
  <si>
    <t>사급자재비,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</si>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</sst>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1587.19</v>
      </c>
      <c r="D7" s="36">
        <f>+C7/3.3058</f>
        <v>480.12281444733497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1377050</v>
      </c>
      <c r="E25" s="59">
        <f t="shared" si="0"/>
        <v>4552250</v>
      </c>
    </row>
    <row r="26" spans="1:5" x14ac:dyDescent="0.3">
      <c r="B26" s="2">
        <v>3</v>
      </c>
      <c r="C26" s="35" t="s">
        <v>95</v>
      </c>
      <c r="D26" s="45">
        <f>+D66</f>
        <v>7480</v>
      </c>
      <c r="E26" s="59">
        <f t="shared" si="0"/>
        <v>24720</v>
      </c>
    </row>
    <row r="27" spans="1:5" x14ac:dyDescent="0.3">
      <c r="B27" s="2">
        <v>4</v>
      </c>
      <c r="C27" s="35" t="s">
        <v>96</v>
      </c>
      <c r="D27" s="45">
        <f>+D95</f>
        <v>86860</v>
      </c>
      <c r="E27" s="59">
        <f t="shared" si="0"/>
        <v>287140</v>
      </c>
    </row>
    <row r="28" spans="1:5" x14ac:dyDescent="0.3">
      <c r="B28" s="2">
        <v>5</v>
      </c>
      <c r="C28" s="35" t="s">
        <v>97</v>
      </c>
      <c r="D28" s="45">
        <f>+D119</f>
        <v>254010</v>
      </c>
      <c r="E28" s="59">
        <f t="shared" si="0"/>
        <v>839700</v>
      </c>
    </row>
    <row r="29" spans="1:5" x14ac:dyDescent="0.3">
      <c r="B29" s="2">
        <v>6</v>
      </c>
      <c r="C29" s="35" t="s">
        <v>98</v>
      </c>
      <c r="D29" s="45">
        <f>+D133</f>
        <v>81690</v>
      </c>
      <c r="E29" s="59">
        <f t="shared" si="0"/>
        <v>270050</v>
      </c>
    </row>
    <row r="30" spans="1:5" x14ac:dyDescent="0.3">
      <c r="B30" s="2">
        <v>7</v>
      </c>
      <c r="C30" s="35" t="s">
        <v>99</v>
      </c>
      <c r="D30" s="45">
        <f>+D146</f>
        <v>54960</v>
      </c>
      <c r="E30" s="59">
        <f t="shared" si="0"/>
        <v>181680</v>
      </c>
    </row>
    <row r="31" spans="1:5" x14ac:dyDescent="0.3">
      <c r="B31" s="2">
        <v>8</v>
      </c>
      <c r="C31" s="35" t="s">
        <v>100</v>
      </c>
      <c r="D31" s="45">
        <f>+D154</f>
        <v>87750</v>
      </c>
      <c r="E31" s="59">
        <f t="shared" si="0"/>
        <v>290080</v>
      </c>
    </row>
    <row r="32" spans="1:5" x14ac:dyDescent="0.3">
      <c r="B32" s="2">
        <v>9</v>
      </c>
      <c r="C32" s="35" t="s">
        <v>101</v>
      </c>
      <c r="D32" s="45">
        <f>+D161</f>
        <v>80940</v>
      </c>
      <c r="E32" s="59">
        <f t="shared" si="0"/>
        <v>267570</v>
      </c>
    </row>
    <row r="33" spans="1:7" x14ac:dyDescent="0.3">
      <c r="B33" s="2">
        <v>10</v>
      </c>
      <c r="C33" s="35" t="s">
        <v>155</v>
      </c>
      <c r="D33" s="53">
        <f>TRUNC(SUM(D24:D32)*0.275,-1)</f>
        <v>558450</v>
      </c>
      <c r="E33" s="60">
        <f t="shared" si="0"/>
        <v>1846120</v>
      </c>
    </row>
    <row r="34" spans="1:7" x14ac:dyDescent="0.3">
      <c r="C34" s="35" t="s">
        <v>112</v>
      </c>
      <c r="D34" s="44">
        <f>SUM(D24:D33)</f>
        <v>2589190</v>
      </c>
      <c r="E34" s="44">
        <f>SUM(E24:E33)</f>
        <v>8559310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TRUNC(74349,-1)</f>
        <v>74340</v>
      </c>
      <c r="E40" s="62">
        <f t="shared" ref="E40:E59" si="1">TRUNC(+D40*3.3058,-1)</f>
        <v>245750</v>
      </c>
    </row>
    <row r="41" spans="1:7" x14ac:dyDescent="0.3">
      <c r="A41" s="2">
        <v>2</v>
      </c>
      <c r="C41" s="38" t="s">
        <v>13</v>
      </c>
      <c r="D41" s="42">
        <f>TRUNC(193971,-1)</f>
        <v>193970</v>
      </c>
      <c r="E41" s="63">
        <f t="shared" si="1"/>
        <v>641220</v>
      </c>
    </row>
    <row r="42" spans="1:7" x14ac:dyDescent="0.3">
      <c r="A42" s="2">
        <v>3</v>
      </c>
      <c r="C42" s="38" t="s">
        <v>14</v>
      </c>
      <c r="D42" s="42">
        <v>13710</v>
      </c>
      <c r="E42" s="63">
        <f t="shared" si="1"/>
        <v>45320</v>
      </c>
    </row>
    <row r="43" spans="1:7" x14ac:dyDescent="0.3">
      <c r="A43" s="2">
        <v>4</v>
      </c>
      <c r="C43" s="38" t="s">
        <v>16</v>
      </c>
      <c r="D43" s="42">
        <f>TRUNC(17589,-1)</f>
        <v>17580</v>
      </c>
      <c r="E43" s="63">
        <f t="shared" si="1"/>
        <v>58110</v>
      </c>
    </row>
    <row r="44" spans="1:7" x14ac:dyDescent="0.3">
      <c r="A44" s="2">
        <v>5</v>
      </c>
      <c r="C44" s="38" t="s">
        <v>17</v>
      </c>
      <c r="D44" s="42">
        <f>TRUNC(33607,-1)</f>
        <v>33600</v>
      </c>
      <c r="E44" s="63">
        <f t="shared" si="1"/>
        <v>111070</v>
      </c>
    </row>
    <row r="45" spans="1:7" x14ac:dyDescent="0.3">
      <c r="A45" s="2">
        <v>6</v>
      </c>
      <c r="C45" s="38" t="s">
        <v>18</v>
      </c>
      <c r="D45" s="42">
        <f>TRUNC(17182,-1)</f>
        <v>17180</v>
      </c>
      <c r="E45" s="63">
        <f t="shared" si="1"/>
        <v>56790</v>
      </c>
    </row>
    <row r="46" spans="1:7" x14ac:dyDescent="0.3">
      <c r="A46" s="2">
        <v>7</v>
      </c>
      <c r="C46" s="38" t="s">
        <v>19</v>
      </c>
      <c r="D46" s="42">
        <f>TRUNC(244779,-1)</f>
        <v>244770</v>
      </c>
      <c r="E46" s="63">
        <f t="shared" si="1"/>
        <v>809160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TRUNC(59034,-1)</f>
        <v>59030</v>
      </c>
      <c r="E48" s="63">
        <f t="shared" si="1"/>
        <v>195140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TRUNC(14581,-1)</f>
        <v>14580</v>
      </c>
      <c r="E49" s="63">
        <f t="shared" si="1"/>
        <v>48190</v>
      </c>
    </row>
    <row r="50" spans="1:7" x14ac:dyDescent="0.3">
      <c r="A50" s="2">
        <v>11</v>
      </c>
      <c r="C50" s="38" t="s">
        <v>156</v>
      </c>
      <c r="D50" s="42">
        <f>TRUNC(76792,-1)</f>
        <v>76790</v>
      </c>
      <c r="E50" s="63">
        <f t="shared" si="1"/>
        <v>253850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TRUNC(9126,-1)</f>
        <v>9120</v>
      </c>
      <c r="E52" s="63">
        <f t="shared" si="1"/>
        <v>30140</v>
      </c>
    </row>
    <row r="53" spans="1:7" x14ac:dyDescent="0.3">
      <c r="A53" s="2">
        <v>14</v>
      </c>
      <c r="C53" s="38" t="s">
        <v>25</v>
      </c>
      <c r="D53" s="42">
        <v>154320</v>
      </c>
      <c r="E53" s="63">
        <f t="shared" si="1"/>
        <v>510150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36557+1159+743-537+61928</f>
        <v>99850</v>
      </c>
      <c r="E58" s="63">
        <f t="shared" si="1"/>
        <v>330080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v>368210</v>
      </c>
      <c r="E59" s="64">
        <f t="shared" si="1"/>
        <v>1217220</v>
      </c>
    </row>
    <row r="60" spans="1:7" x14ac:dyDescent="0.3">
      <c r="A60" s="2">
        <v>21</v>
      </c>
      <c r="C60" s="27" t="s">
        <v>112</v>
      </c>
      <c r="D60" s="39">
        <f>SUM(D40:D59)</f>
        <v>1377050</v>
      </c>
      <c r="E60" s="39">
        <f>SUM(E40:E59)</f>
        <v>4552190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TRUNC(7487,-1)</f>
        <v>7480</v>
      </c>
      <c r="E63" s="62">
        <f>TRUNC(+D63*3.3058,-1)</f>
        <v>24720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7480</v>
      </c>
      <c r="E66" s="65">
        <f>SUM(E63:E65)</f>
        <v>24720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TRUNC(12146,-1)</f>
        <v>12140</v>
      </c>
      <c r="E69" s="62">
        <f t="shared" ref="E69:E94" si="2">TRUNC(+D69*3.3058,-1)</f>
        <v>40130</v>
      </c>
    </row>
    <row r="70" spans="1:7" ht="16.5" customHeight="1" x14ac:dyDescent="0.3">
      <c r="A70" s="2">
        <v>2</v>
      </c>
      <c r="C70" s="38" t="s">
        <v>31</v>
      </c>
      <c r="D70" s="42">
        <f>TRUNC(794,-1)</f>
        <v>790</v>
      </c>
      <c r="E70" s="63">
        <f t="shared" si="2"/>
        <v>2610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TRUNC(5168,-1)</f>
        <v>5160</v>
      </c>
      <c r="E72" s="63">
        <f t="shared" si="2"/>
        <v>17050</v>
      </c>
    </row>
    <row r="73" spans="1:7" x14ac:dyDescent="0.3">
      <c r="A73" s="2">
        <v>5</v>
      </c>
      <c r="C73" s="38" t="s">
        <v>34</v>
      </c>
      <c r="D73" s="42">
        <f>TRUNC(14755,-1)</f>
        <v>14750</v>
      </c>
      <c r="E73" s="63">
        <f t="shared" si="2"/>
        <v>48760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11450</v>
      </c>
      <c r="E89" s="63">
        <f t="shared" si="2"/>
        <v>37850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TRUNC(15968,-1)</f>
        <v>15960</v>
      </c>
      <c r="E92" s="63">
        <f t="shared" si="2"/>
        <v>52760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TRUNC(403+26210,-1)</f>
        <v>26610</v>
      </c>
      <c r="E94" s="64">
        <f t="shared" si="2"/>
        <v>87960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86860</v>
      </c>
      <c r="E95" s="39">
        <f>SUM(E69:E94)</f>
        <v>287120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TRUNC(20854,-1)</f>
        <v>20850</v>
      </c>
      <c r="E98" s="62">
        <f t="shared" ref="E98:E118" si="3">TRUNC(+D98*3.3058,-1)</f>
        <v>68920</v>
      </c>
    </row>
    <row r="99" spans="1:7" x14ac:dyDescent="0.3">
      <c r="A99" s="2">
        <v>2</v>
      </c>
      <c r="C99" s="38" t="s">
        <v>40</v>
      </c>
      <c r="D99" s="42">
        <f>TRUNC(3803,-1)</f>
        <v>3800</v>
      </c>
      <c r="E99" s="63">
        <f t="shared" si="3"/>
        <v>12560</v>
      </c>
    </row>
    <row r="100" spans="1:7" x14ac:dyDescent="0.3">
      <c r="A100" s="2">
        <v>3</v>
      </c>
      <c r="C100" s="38" t="s">
        <v>41</v>
      </c>
      <c r="D100" s="42">
        <f>TRUNC(46513,-1)</f>
        <v>46510</v>
      </c>
      <c r="E100" s="63">
        <f t="shared" si="3"/>
        <v>153750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25200</v>
      </c>
      <c r="E102" s="63">
        <f t="shared" si="3"/>
        <v>83300</v>
      </c>
    </row>
    <row r="103" spans="1:7" x14ac:dyDescent="0.3">
      <c r="A103" s="2">
        <v>6</v>
      </c>
      <c r="C103" s="38" t="s">
        <v>44</v>
      </c>
      <c r="D103" s="42">
        <f>TRUNC(8408,-1)</f>
        <v>8400</v>
      </c>
      <c r="E103" s="63">
        <f t="shared" si="3"/>
        <v>27760</v>
      </c>
    </row>
    <row r="104" spans="1:7" x14ac:dyDescent="0.3">
      <c r="A104" s="2">
        <v>7</v>
      </c>
      <c r="C104" s="38" t="s">
        <v>45</v>
      </c>
      <c r="D104" s="42">
        <f>TRUNC(8796,-1)</f>
        <v>8790</v>
      </c>
      <c r="E104" s="63">
        <f t="shared" si="3"/>
        <v>29050</v>
      </c>
    </row>
    <row r="105" spans="1:7" x14ac:dyDescent="0.3">
      <c r="A105" s="2">
        <v>8</v>
      </c>
      <c r="C105" s="38" t="s">
        <v>46</v>
      </c>
      <c r="D105" s="42">
        <v>1130</v>
      </c>
      <c r="E105" s="63">
        <f t="shared" si="3"/>
        <v>3730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TRUNC(41048,-1)</f>
        <v>41040</v>
      </c>
      <c r="E116" s="63">
        <f t="shared" si="3"/>
        <v>135670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TRUNC(89892,-1)</f>
        <v>89890</v>
      </c>
      <c r="E117" s="63">
        <f t="shared" si="3"/>
        <v>297150</v>
      </c>
    </row>
    <row r="118" spans="1:7" ht="17.25" thickBot="1" x14ac:dyDescent="0.35">
      <c r="A118" s="2">
        <v>21</v>
      </c>
      <c r="C118" s="38" t="s">
        <v>47</v>
      </c>
      <c r="D118" s="43">
        <f>TRUNC(8409,-1)</f>
        <v>8400</v>
      </c>
      <c r="E118" s="64">
        <f t="shared" si="3"/>
        <v>27760</v>
      </c>
    </row>
    <row r="119" spans="1:7" x14ac:dyDescent="0.3">
      <c r="A119" s="2">
        <v>22</v>
      </c>
      <c r="C119" s="27" t="s">
        <v>112</v>
      </c>
      <c r="D119" s="39">
        <f>SUM(D98:D118)</f>
        <v>254010</v>
      </c>
      <c r="E119" s="39">
        <f>SUM(E98:E118)</f>
        <v>839650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TRUNC(3118,-1)</f>
        <v>3110</v>
      </c>
      <c r="E122" s="62">
        <f t="shared" ref="E122:E132" si="4">TRUNC(+D122*3.3058,-1)</f>
        <v>10280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TRUNC(35262,-1)</f>
        <v>35260</v>
      </c>
      <c r="E124" s="63">
        <f t="shared" si="4"/>
        <v>116560</v>
      </c>
    </row>
    <row r="125" spans="1:7" x14ac:dyDescent="0.3">
      <c r="A125" s="2">
        <v>4</v>
      </c>
      <c r="C125" s="38" t="s">
        <v>138</v>
      </c>
      <c r="D125" s="42">
        <f>TRUNC(11911,-1)</f>
        <v>11910</v>
      </c>
      <c r="E125" s="63">
        <f t="shared" si="4"/>
        <v>39370</v>
      </c>
    </row>
    <row r="126" spans="1:7" x14ac:dyDescent="0.3">
      <c r="A126" s="2">
        <v>5</v>
      </c>
      <c r="C126" s="38" t="s">
        <v>53</v>
      </c>
      <c r="D126" s="42">
        <f>TRUNC(13157,-1)</f>
        <v>13150</v>
      </c>
      <c r="E126" s="63">
        <f t="shared" si="4"/>
        <v>43470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TRUNC(14731,-1)</f>
        <v>14730</v>
      </c>
      <c r="E130" s="63">
        <f t="shared" si="4"/>
        <v>48690</v>
      </c>
    </row>
    <row r="131" spans="1:7" x14ac:dyDescent="0.3">
      <c r="A131" s="2">
        <v>10</v>
      </c>
      <c r="C131" s="38" t="s">
        <v>149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TRUNC(3537,-1)</f>
        <v>3530</v>
      </c>
      <c r="E132" s="64">
        <f t="shared" si="4"/>
        <v>11660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81690</v>
      </c>
      <c r="E133" s="39">
        <f>SUM(E122:E132)</f>
        <v>270030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TRUNC(5653,-1)</f>
        <v>5650</v>
      </c>
      <c r="E139" s="63">
        <f t="shared" si="5"/>
        <v>18670</v>
      </c>
    </row>
    <row r="140" spans="1:7" x14ac:dyDescent="0.3">
      <c r="A140" s="2">
        <v>5</v>
      </c>
      <c r="C140" s="38" t="s">
        <v>57</v>
      </c>
      <c r="D140" s="42">
        <f>TRUNC(2071,-1)</f>
        <v>2070</v>
      </c>
      <c r="E140" s="63">
        <f t="shared" si="5"/>
        <v>6840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9690</v>
      </c>
      <c r="E142" s="63">
        <f t="shared" si="5"/>
        <v>32030</v>
      </c>
    </row>
    <row r="143" spans="1:7" x14ac:dyDescent="0.3">
      <c r="A143" s="2">
        <v>8</v>
      </c>
      <c r="C143" s="38" t="s">
        <v>62</v>
      </c>
      <c r="D143" s="42">
        <f>TRUNC(6029,-1)</f>
        <v>6020</v>
      </c>
      <c r="E143" s="63">
        <f t="shared" si="5"/>
        <v>19900</v>
      </c>
    </row>
    <row r="144" spans="1:7" x14ac:dyDescent="0.3">
      <c r="A144" s="2">
        <v>9</v>
      </c>
      <c r="C144" s="38" t="s">
        <v>63</v>
      </c>
      <c r="D144" s="42">
        <v>31530</v>
      </c>
      <c r="E144" s="63">
        <f t="shared" si="5"/>
        <v>104230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54960</v>
      </c>
      <c r="E146" s="39">
        <f>SUM(E136:E145)</f>
        <v>181670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TRUNC(13046+1587,-1)</f>
        <v>14630</v>
      </c>
      <c r="E149" s="62">
        <f>TRUNC(+D149*3.3058,-1)</f>
        <v>48360</v>
      </c>
    </row>
    <row r="150" spans="1:7" x14ac:dyDescent="0.3">
      <c r="A150" s="2">
        <v>2</v>
      </c>
      <c r="C150" s="38" t="s">
        <v>49</v>
      </c>
      <c r="D150" s="42">
        <f>TRUNC(10057,-1)</f>
        <v>10050</v>
      </c>
      <c r="E150" s="63">
        <f>TRUNC(+D150*3.3058,-1)</f>
        <v>33220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TRUNC(48932+14147,-1)</f>
        <v>63070</v>
      </c>
      <c r="E152" s="63">
        <f>TRUNC(+D152*3.3058,-1)</f>
        <v>208490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87750</v>
      </c>
      <c r="E154" s="39">
        <f>SUM(E149:E153)</f>
        <v>290070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TRUNC(21914,-1)</f>
        <v>21910</v>
      </c>
      <c r="E157" s="62">
        <f>TRUNC(+D157*3.3058,-1)</f>
        <v>72430</v>
      </c>
    </row>
    <row r="158" spans="1:7" x14ac:dyDescent="0.3">
      <c r="A158" s="2">
        <v>2</v>
      </c>
      <c r="C158" s="38" t="s">
        <v>52</v>
      </c>
      <c r="D158" s="42">
        <f>TRUNC(36052,-1)</f>
        <v>36050</v>
      </c>
      <c r="E158" s="63">
        <f>TRUNC(+D158*3.3058,-1)</f>
        <v>119170</v>
      </c>
    </row>
    <row r="159" spans="1:7" x14ac:dyDescent="0.3">
      <c r="A159" s="2">
        <v>3</v>
      </c>
      <c r="C159" s="38" t="s">
        <v>47</v>
      </c>
      <c r="D159" s="42">
        <f>TRUNC(22983,-1)</f>
        <v>22980</v>
      </c>
      <c r="E159" s="63">
        <f>TRUNC(+D159*3.3058,-1)</f>
        <v>75960</v>
      </c>
      <c r="F159" s="2" t="s">
        <v>262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80940</v>
      </c>
      <c r="E161" s="39">
        <f>SUM(E157:E160)</f>
        <v>267560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2020-12-08T01:30:10Z</dcterms:modified>
</cp:coreProperties>
</file>