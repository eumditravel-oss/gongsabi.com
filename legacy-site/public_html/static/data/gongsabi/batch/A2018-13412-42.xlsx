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1" i="4"/>
  <c r="D140" i="4"/>
  <c r="D139" i="4"/>
  <c r="D138" i="4"/>
  <c r="D137" i="4"/>
  <c r="D132" i="4"/>
  <c r="D131" i="4"/>
  <c r="D130" i="4"/>
  <c r="D127" i="4"/>
  <c r="D125" i="4"/>
  <c r="D124" i="4"/>
  <c r="D118" i="4"/>
  <c r="D116" i="4"/>
  <c r="D114" i="4"/>
  <c r="D105" i="4"/>
  <c r="D104" i="4"/>
  <c r="D103" i="4"/>
  <c r="D102" i="4"/>
  <c r="D100" i="4"/>
  <c r="D99" i="4"/>
  <c r="D92" i="4"/>
  <c r="D91" i="4"/>
  <c r="D90" i="4"/>
  <c r="D89" i="4"/>
  <c r="D76" i="4"/>
  <c r="D75" i="4"/>
  <c r="D73" i="4"/>
  <c r="D71" i="4"/>
  <c r="D70" i="4"/>
  <c r="D69" i="4"/>
  <c r="D63" i="4"/>
  <c r="D59" i="4"/>
  <c r="D58" i="4"/>
  <c r="D40" i="4"/>
  <c r="D53" i="4"/>
  <c r="D52" i="4"/>
  <c r="D50" i="4"/>
  <c r="D49" i="4"/>
  <c r="D48" i="4"/>
  <c r="D46" i="4"/>
  <c r="D45" i="4"/>
  <c r="D43" i="4"/>
  <c r="D42" i="4"/>
  <c r="D41" i="4"/>
  <c r="D94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<sst xmlns="http://schemas.openxmlformats.org/spreadsheetml/2006/main" count="391" uniqueCount="266">
  <si>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</si>
  <si>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</si>
  <si>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</si>
  <si>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</si>
  <si>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</si>
  <si>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</si>
  <si>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</si>
  <si>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</si>
  <si>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</si>
  <si>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</si>
  <si>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</si>
  <si>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</si>
  <si>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</si>
  <si>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</si>
  <si>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</si>
  <si>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</si>
  <si>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</si>
  <si>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</si>
  <si>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</si>
  <si>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</si>
  <si>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</si>
  <si>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</si>
  <si>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</si>
  <si>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</si>
  <si>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</si>
  <si>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</si>
  <si>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</si>
  <si>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</si>
  <si>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</si>
  <si>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</si>
  <si>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</si>
  <si>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</si>
  <si>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</si>
  <si>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</si>
  <si>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</si>
  <si>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</si>
  <si>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</si>
  <si>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</si>
  <si>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</si>
  <si>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</si>
  <si>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</si>
  <si>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</si>
  <si>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</si>
  <si>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</si>
  <si>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</si>
  <si>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</si>
  <si>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</si>
  <si>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</si>
  <si>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</si>
  <si>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</si>
  <si>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</si>
  <si>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</si>
  <si>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</si>
  <si>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</si>
  <si>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</si>
  <si>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</si>
  <si>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</si>
  <si>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</si>
  <si>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</si>
  <si>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</si>
  <si>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</si>
  <si>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</si>
  <si>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</si>
  <si>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</si>
  <si>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</si>
  <si>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</si>
  <si>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</si>
  <si>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</si>
  <si>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</si>
  <si>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</si>
  <si>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</si>
  <si>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</si>
  <si>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</si>
  <si>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</si>
  <si>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</si>
  <si>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</si>
  <si>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</si>
  <si>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</si>
  <si>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</si>
  <si>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</si>
  <si>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</si>
  <si>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</si>
  <si>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</si>
  <si>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</si>
  <si>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</si>
  <si>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</si>
  <si>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</si>
  <si>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</si>
  <si>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</si>
  <si>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</si>
  <si>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</si>
  <si>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</si>
  <si>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</si>
  <si>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</si>
  <si>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</si>
  <si>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</si>
  <si>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</si>
  <si>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</si>
  <si>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</si>
  <si>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</si>
  <si>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</si>
  <si>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</si>
  <si>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</si>
  <si>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</si>
  <si>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</si>
  <si>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</si>
  <si>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</si>
  <si>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</si>
  <si>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</si>
  <si>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</si>
  <si>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</si>
  <si>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</si>
  <si>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</si>
  <si>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</si>
  <si>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</si>
  <si>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</si>
  <si>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</si>
  <si>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</si>
  <si>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</si>
  <si>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</si>
  <si>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</si>
  <si>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</si>
  <si>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</si>
  <si>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</si>
  <si>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</si>
  <si>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</si>
  <si>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</si>
  <si>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</si>
  <si>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</si>
  <si>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</si>
  <si>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</si>
  <si>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</si>
  <si>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</si>
  <si>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</si>
  <si>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</si>
  <si>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</si>
  <si>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</si>
  <si>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</si>
  <si>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</si>
  <si>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</si>
  <si>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</si>
  <si>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</si>
  <si>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</si>
  <si>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</si>
  <si>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</si>
  <si>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</si>
  <si>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</si>
  <si>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</si>
  <si>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</si>
  <si>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</si>
  <si>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</si>
  <si>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</si>
  <si>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</si>
  <si>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</si>
  <si>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</si>
  <si>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</si>
  <si>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</si>
  <si>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</si>
  <si>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</si>
  <si>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</si>
  <si>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</si>
  <si>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</si>
  <si>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</si>
  <si>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</si>
  <si>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</si>
  <si>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</si>
  <si>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</si>
  <si>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</si>
  <si>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</si>
  <si>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</si>
  <si>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</si>
  <si>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</si>
  <si>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</si>
  <si>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</si>
  <si>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</si>
  <si>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</si>
  <si>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</si>
  <si>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</si>
  <si>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</si>
  <si>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</si>
  <si>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</si>
  <si>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</si>
  <si>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</si>
  <si>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</si>
  <si>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</si>
  <si>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</si>
  <si>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</si>
  <si>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</si>
  <si>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</si>
  <si>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</si>
  <si>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</si>
  <si>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</si>
  <si>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</si>
  <si>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</si>
  <si>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</si>
  <si>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</si>
  <si>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</si>
  <si>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</si>
  <si>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</si>
  <si>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</si>
  <si>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</si>
  <si>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</si>
  <si>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</si>
  <si>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</si>
  <si>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</si>
  <si>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</si>
  <si>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</si>
  <si>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</si>
  <si>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</si>
  <si>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</si>
  <si>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</si>
  <si>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</si>
  <si>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</si>
  <si>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</si>
  <si>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</si>
  <si>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</si>
  <si>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</si>
  <si>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</si>
  <si>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</si>
  <si>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</si>
  <si>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</si>
  <si>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</si>
  <si>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</si>
  <si>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</si>
  <si>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</si>
  <si>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</si>
  <si>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</si>
  <si>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</si>
  <si>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</si>
  <si>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</si>
  <si>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</si>
  <si>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</si>
  <si>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</si>
  <si>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</si>
  <si>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</si>
  <si>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</si>
  <si>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</si>
  <si>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</si>
  <si>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</si>
  <si>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</si>
  <si>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</si>
  <si>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</si>
  <si>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</si>
  <si>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</si>
  <si>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</si>
  <si>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</si>
  <si>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</si>
  <si>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</si>
  <si>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</si>
  <si>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경북지방합동청사 건설공사</t>
    <phoneticPr fontId="2" type="noConversion"/>
  </si>
  <si>
    <t>경상도</t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</si>
  <si>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</si>
  <si>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</si>
  <si>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</si>
  <si>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</si>
  <si>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</si>
  <si>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기타공사</t>
    <phoneticPr fontId="2" type="noConversion"/>
  </si>
  <si>
    <t>CCTV설비공사, 주차관제설비공사, 기타공사</t>
    <phoneticPr fontId="2" type="noConversion"/>
  </si>
  <si>
    <t>옥외소화배관공사, 펌프실배관공사, 무선통신보조설비공사, 기타공사</t>
    <phoneticPr fontId="2" type="noConversion"/>
  </si>
  <si>
    <t>상수도공사, 사급자재비, 운반비,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</si>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</sst>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10427</v>
      </c>
      <c r="D7" s="36">
        <f>+C7/3.3058</f>
        <v>3154.1533063101215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780810</v>
      </c>
      <c r="E25" s="59">
        <f t="shared" si="0"/>
        <v>2581200</v>
      </c>
    </row>
    <row r="26" spans="1:5" x14ac:dyDescent="0.3">
      <c r="B26" s="2">
        <v>3</v>
      </c>
      <c r="C26" s="35" t="s">
        <v>95</v>
      </c>
      <c r="D26" s="45">
        <f>+D66</f>
        <v>50790</v>
      </c>
      <c r="E26" s="59">
        <f t="shared" si="0"/>
        <v>167900</v>
      </c>
    </row>
    <row r="27" spans="1:5" x14ac:dyDescent="0.3">
      <c r="B27" s="2">
        <v>4</v>
      </c>
      <c r="C27" s="35" t="s">
        <v>96</v>
      </c>
      <c r="D27" s="45">
        <f>+D95</f>
        <v>246090</v>
      </c>
      <c r="E27" s="59">
        <f t="shared" si="0"/>
        <v>813520</v>
      </c>
    </row>
    <row r="28" spans="1:5" x14ac:dyDescent="0.3">
      <c r="B28" s="2">
        <v>5</v>
      </c>
      <c r="C28" s="35" t="s">
        <v>97</v>
      </c>
      <c r="D28" s="45">
        <f>+D119</f>
        <v>191940</v>
      </c>
      <c r="E28" s="59">
        <f t="shared" si="0"/>
        <v>634510</v>
      </c>
    </row>
    <row r="29" spans="1:5" x14ac:dyDescent="0.3">
      <c r="B29" s="2">
        <v>6</v>
      </c>
      <c r="C29" s="35" t="s">
        <v>98</v>
      </c>
      <c r="D29" s="45">
        <f>+D133</f>
        <v>167440</v>
      </c>
      <c r="E29" s="59">
        <f t="shared" si="0"/>
        <v>553520</v>
      </c>
    </row>
    <row r="30" spans="1:5" x14ac:dyDescent="0.3">
      <c r="B30" s="2">
        <v>7</v>
      </c>
      <c r="C30" s="35" t="s">
        <v>99</v>
      </c>
      <c r="D30" s="45">
        <f>+D146</f>
        <v>62220</v>
      </c>
      <c r="E30" s="59">
        <f t="shared" si="0"/>
        <v>205680</v>
      </c>
    </row>
    <row r="31" spans="1:5" x14ac:dyDescent="0.3">
      <c r="B31" s="2">
        <v>8</v>
      </c>
      <c r="C31" s="35" t="s">
        <v>100</v>
      </c>
      <c r="D31" s="45">
        <f>+D154</f>
        <v>24080</v>
      </c>
      <c r="E31" s="59">
        <f t="shared" si="0"/>
        <v>79600</v>
      </c>
    </row>
    <row r="32" spans="1:5" x14ac:dyDescent="0.3">
      <c r="B32" s="2">
        <v>9</v>
      </c>
      <c r="C32" s="35" t="s">
        <v>101</v>
      </c>
      <c r="D32" s="45">
        <f>+D161</f>
        <v>29640</v>
      </c>
      <c r="E32" s="59">
        <f t="shared" si="0"/>
        <v>97980</v>
      </c>
    </row>
    <row r="33" spans="1:7" x14ac:dyDescent="0.3">
      <c r="B33" s="2">
        <v>10</v>
      </c>
      <c r="C33" s="35" t="s">
        <v>154</v>
      </c>
      <c r="D33" s="53">
        <f>TRUNC(SUM(D24:D32)*0.275,-1)</f>
        <v>427070</v>
      </c>
      <c r="E33" s="60">
        <f t="shared" si="0"/>
        <v>1411800</v>
      </c>
    </row>
    <row r="34" spans="1:7" x14ac:dyDescent="0.3">
      <c r="C34" s="35" t="s">
        <v>112</v>
      </c>
      <c r="D34" s="44">
        <f>SUM(D24:D33)</f>
        <v>1980080</v>
      </c>
      <c r="E34" s="44">
        <f>SUM(E24:E33)</f>
        <v>6545710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TRUNC(49054,-1)</f>
        <v>49050</v>
      </c>
      <c r="E40" s="62">
        <f t="shared" ref="E40:E59" si="1">TRUNC(+D40*3.3058,-1)</f>
        <v>162140</v>
      </c>
    </row>
    <row r="41" spans="1:7" x14ac:dyDescent="0.3">
      <c r="A41" s="2">
        <v>2</v>
      </c>
      <c r="C41" s="38" t="s">
        <v>13</v>
      </c>
      <c r="D41" s="42">
        <f>TRUNC(139115,-1)</f>
        <v>139110</v>
      </c>
      <c r="E41" s="63">
        <f t="shared" si="1"/>
        <v>459860</v>
      </c>
    </row>
    <row r="42" spans="1:7" x14ac:dyDescent="0.3">
      <c r="A42" s="2">
        <v>3</v>
      </c>
      <c r="C42" s="38" t="s">
        <v>14</v>
      </c>
      <c r="D42" s="42">
        <f>TRUNC(17501,-1)</f>
        <v>17500</v>
      </c>
      <c r="E42" s="63">
        <f t="shared" si="1"/>
        <v>57850</v>
      </c>
    </row>
    <row r="43" spans="1:7" x14ac:dyDescent="0.3">
      <c r="A43" s="2">
        <v>4</v>
      </c>
      <c r="C43" s="38" t="s">
        <v>16</v>
      </c>
      <c r="D43" s="42">
        <f>TRUNC(12643,-1)</f>
        <v>12640</v>
      </c>
      <c r="E43" s="63">
        <f t="shared" si="1"/>
        <v>41780</v>
      </c>
    </row>
    <row r="44" spans="1:7" x14ac:dyDescent="0.3">
      <c r="A44" s="2">
        <v>5</v>
      </c>
      <c r="C44" s="38" t="s">
        <v>17</v>
      </c>
      <c r="D44" s="42">
        <v>23460</v>
      </c>
      <c r="E44" s="63">
        <f t="shared" si="1"/>
        <v>77550</v>
      </c>
    </row>
    <row r="45" spans="1:7" x14ac:dyDescent="0.3">
      <c r="A45" s="2">
        <v>6</v>
      </c>
      <c r="C45" s="38" t="s">
        <v>18</v>
      </c>
      <c r="D45" s="42">
        <f>TRUNC(5548,-1)</f>
        <v>5540</v>
      </c>
      <c r="E45" s="63">
        <f t="shared" si="1"/>
        <v>18310</v>
      </c>
    </row>
    <row r="46" spans="1:7" x14ac:dyDescent="0.3">
      <c r="A46" s="2">
        <v>7</v>
      </c>
      <c r="C46" s="38" t="s">
        <v>19</v>
      </c>
      <c r="D46" s="42">
        <f>TRUNC(42704,-1)</f>
        <v>42700</v>
      </c>
      <c r="E46" s="63">
        <f t="shared" si="1"/>
        <v>141150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TRUNC(28297,-1)</f>
        <v>28290</v>
      </c>
      <c r="E48" s="63">
        <f t="shared" si="1"/>
        <v>93520</v>
      </c>
    </row>
    <row r="49" spans="1:7" x14ac:dyDescent="0.3">
      <c r="A49" s="2">
        <v>10</v>
      </c>
      <c r="C49" s="38" t="s">
        <v>22</v>
      </c>
      <c r="D49" s="42">
        <f>TRUNC(11654,-1)</f>
        <v>11650</v>
      </c>
      <c r="E49" s="63">
        <f t="shared" si="1"/>
        <v>38510</v>
      </c>
    </row>
    <row r="50" spans="1:7" x14ac:dyDescent="0.3">
      <c r="A50" s="2">
        <v>11</v>
      </c>
      <c r="C50" s="38" t="s">
        <v>155</v>
      </c>
      <c r="D50" s="42">
        <f>TRUNC(43513,-1)</f>
        <v>43510</v>
      </c>
      <c r="E50" s="63">
        <f t="shared" si="1"/>
        <v>143830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TRUNC(9562,-1)</f>
        <v>9560</v>
      </c>
      <c r="E52" s="63">
        <f t="shared" si="1"/>
        <v>31600</v>
      </c>
    </row>
    <row r="53" spans="1:7" x14ac:dyDescent="0.3">
      <c r="A53" s="2">
        <v>14</v>
      </c>
      <c r="C53" s="38" t="s">
        <v>25</v>
      </c>
      <c r="D53" s="42">
        <f>TRUNC(91904,-1)</f>
        <v>91900</v>
      </c>
      <c r="E53" s="63">
        <f t="shared" si="1"/>
        <v>303800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TRUNC(5457+7972,-1)</f>
        <v>13420</v>
      </c>
      <c r="E58" s="63">
        <f t="shared" si="1"/>
        <v>44360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TRUNC(292485,-1)</f>
        <v>292480</v>
      </c>
      <c r="E59" s="64">
        <f t="shared" si="1"/>
        <v>966880</v>
      </c>
    </row>
    <row r="60" spans="1:7" x14ac:dyDescent="0.3">
      <c r="A60" s="2">
        <v>21</v>
      </c>
      <c r="C60" s="27" t="s">
        <v>112</v>
      </c>
      <c r="D60" s="39">
        <f>SUM(D40:D59)</f>
        <v>780810</v>
      </c>
      <c r="E60" s="39">
        <f>SUM(E40:E59)</f>
        <v>2581140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TRUNC(50792,-1)</f>
        <v>50790</v>
      </c>
      <c r="E63" s="62">
        <f>TRUNC(+D63*3.3058,-1)</f>
        <v>167900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50790</v>
      </c>
      <c r="E66" s="65">
        <f>SUM(E63:E65)</f>
        <v>167900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TRUNC(13168,-1)</f>
        <v>13160</v>
      </c>
      <c r="E69" s="62">
        <f t="shared" ref="E69:E94" si="2">TRUNC(+D69*3.3058,-1)</f>
        <v>43500</v>
      </c>
    </row>
    <row r="70" spans="1:7" ht="16.5" customHeight="1" x14ac:dyDescent="0.3">
      <c r="A70" s="2">
        <v>2</v>
      </c>
      <c r="C70" s="38" t="s">
        <v>31</v>
      </c>
      <c r="D70" s="42">
        <f>TRUNC(504,-1)</f>
        <v>500</v>
      </c>
      <c r="E70" s="63">
        <f t="shared" si="2"/>
        <v>1650</v>
      </c>
    </row>
    <row r="71" spans="1:7" x14ac:dyDescent="0.3">
      <c r="A71" s="2">
        <v>3</v>
      </c>
      <c r="C71" s="38" t="s">
        <v>32</v>
      </c>
      <c r="D71" s="42">
        <f>TRUNC(11019,-1)</f>
        <v>11010</v>
      </c>
      <c r="E71" s="63">
        <f t="shared" si="2"/>
        <v>36390</v>
      </c>
    </row>
    <row r="72" spans="1:7" x14ac:dyDescent="0.3">
      <c r="A72" s="2">
        <v>4</v>
      </c>
      <c r="C72" s="38" t="s">
        <v>33</v>
      </c>
      <c r="D72" s="42">
        <v>2000</v>
      </c>
      <c r="E72" s="63">
        <f t="shared" si="2"/>
        <v>6610</v>
      </c>
    </row>
    <row r="73" spans="1:7" x14ac:dyDescent="0.3">
      <c r="A73" s="2">
        <v>5</v>
      </c>
      <c r="C73" s="38" t="s">
        <v>34</v>
      </c>
      <c r="D73" s="42">
        <f>TRUNC(5576,-1)</f>
        <v>5570</v>
      </c>
      <c r="E73" s="63">
        <f t="shared" si="2"/>
        <v>18410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TRUNC(6097,-1)</f>
        <v>6090</v>
      </c>
      <c r="E75" s="63">
        <f t="shared" si="2"/>
        <v>20130</v>
      </c>
    </row>
    <row r="76" spans="1:7" x14ac:dyDescent="0.3">
      <c r="A76" s="2">
        <v>8</v>
      </c>
      <c r="C76" s="38" t="s">
        <v>119</v>
      </c>
      <c r="D76" s="42">
        <f>TRUNC(52154,-1)</f>
        <v>52150</v>
      </c>
      <c r="E76" s="63">
        <f t="shared" si="2"/>
        <v>172390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TRUNC(6175,-1)</f>
        <v>6170</v>
      </c>
      <c r="E89" s="63">
        <f t="shared" si="2"/>
        <v>20390</v>
      </c>
    </row>
    <row r="90" spans="1:7" x14ac:dyDescent="0.3">
      <c r="A90" s="2">
        <v>22</v>
      </c>
      <c r="C90" s="38" t="s">
        <v>36</v>
      </c>
      <c r="D90" s="42">
        <f>TRUNC(5739,-1)</f>
        <v>5730</v>
      </c>
      <c r="E90" s="63">
        <f t="shared" si="2"/>
        <v>18940</v>
      </c>
    </row>
    <row r="91" spans="1:7" x14ac:dyDescent="0.3">
      <c r="A91" s="2">
        <v>23</v>
      </c>
      <c r="C91" s="38" t="s">
        <v>37</v>
      </c>
      <c r="D91" s="42">
        <f>TRUNC(21745,-1)</f>
        <v>21740</v>
      </c>
      <c r="E91" s="63">
        <f t="shared" si="2"/>
        <v>71860</v>
      </c>
    </row>
    <row r="92" spans="1:7" x14ac:dyDescent="0.3">
      <c r="A92" s="2">
        <v>24</v>
      </c>
      <c r="C92" s="38" t="s">
        <v>38</v>
      </c>
      <c r="D92" s="42">
        <f>TRUNC(5998,-1)</f>
        <v>5990</v>
      </c>
      <c r="E92" s="63">
        <f t="shared" si="2"/>
        <v>19800</v>
      </c>
    </row>
    <row r="93" spans="1:7" x14ac:dyDescent="0.3">
      <c r="A93" s="2">
        <v>25</v>
      </c>
      <c r="C93" s="38" t="s">
        <v>148</v>
      </c>
      <c r="D93" s="42">
        <v>102120</v>
      </c>
      <c r="E93" s="63">
        <f t="shared" si="2"/>
        <v>337580</v>
      </c>
    </row>
    <row r="94" spans="1:7" ht="17.25" thickBot="1" x14ac:dyDescent="0.35">
      <c r="A94" s="2">
        <v>26</v>
      </c>
      <c r="C94" s="38" t="s">
        <v>47</v>
      </c>
      <c r="D94" s="43">
        <f>9721+432+3707</f>
        <v>13860</v>
      </c>
      <c r="E94" s="64">
        <f t="shared" si="2"/>
        <v>45810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246090</v>
      </c>
      <c r="E95" s="39">
        <f>SUM(E69:E94)</f>
        <v>813460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13200</v>
      </c>
      <c r="E98" s="62">
        <f t="shared" ref="E98:E118" si="3">TRUNC(+D98*3.3058,-1)</f>
        <v>43630</v>
      </c>
    </row>
    <row r="99" spans="1:7" x14ac:dyDescent="0.3">
      <c r="A99" s="2">
        <v>2</v>
      </c>
      <c r="C99" s="38" t="s">
        <v>40</v>
      </c>
      <c r="D99" s="42">
        <f>TRUNC(6222,-1)</f>
        <v>6220</v>
      </c>
      <c r="E99" s="63">
        <f t="shared" si="3"/>
        <v>20560</v>
      </c>
    </row>
    <row r="100" spans="1:7" x14ac:dyDescent="0.3">
      <c r="A100" s="2">
        <v>3</v>
      </c>
      <c r="C100" s="38" t="s">
        <v>41</v>
      </c>
      <c r="D100" s="42">
        <f>TRUNC(21891,-1)</f>
        <v>21890</v>
      </c>
      <c r="E100" s="63">
        <f t="shared" si="3"/>
        <v>72360</v>
      </c>
    </row>
    <row r="101" spans="1:7" x14ac:dyDescent="0.3">
      <c r="A101" s="2">
        <v>4</v>
      </c>
      <c r="C101" s="38" t="s">
        <v>42</v>
      </c>
      <c r="D101" s="42">
        <v>3310</v>
      </c>
      <c r="E101" s="63">
        <f t="shared" si="3"/>
        <v>10940</v>
      </c>
    </row>
    <row r="102" spans="1:7" x14ac:dyDescent="0.3">
      <c r="A102" s="2">
        <v>5</v>
      </c>
      <c r="C102" s="38" t="s">
        <v>43</v>
      </c>
      <c r="D102" s="42">
        <f>TRUNC(17002,-1)</f>
        <v>17000</v>
      </c>
      <c r="E102" s="63">
        <f t="shared" si="3"/>
        <v>56190</v>
      </c>
    </row>
    <row r="103" spans="1:7" x14ac:dyDescent="0.3">
      <c r="A103" s="2">
        <v>6</v>
      </c>
      <c r="C103" s="38" t="s">
        <v>44</v>
      </c>
      <c r="D103" s="42">
        <f>TRUNC(3828,-1)</f>
        <v>3820</v>
      </c>
      <c r="E103" s="63">
        <f t="shared" si="3"/>
        <v>12620</v>
      </c>
    </row>
    <row r="104" spans="1:7" x14ac:dyDescent="0.3">
      <c r="A104" s="2">
        <v>7</v>
      </c>
      <c r="C104" s="38" t="s">
        <v>45</v>
      </c>
      <c r="D104" s="42">
        <f>TRUNC(4757,-1)</f>
        <v>4750</v>
      </c>
      <c r="E104" s="63">
        <f t="shared" si="3"/>
        <v>15700</v>
      </c>
    </row>
    <row r="105" spans="1:7" x14ac:dyDescent="0.3">
      <c r="A105" s="2">
        <v>8</v>
      </c>
      <c r="C105" s="38" t="s">
        <v>46</v>
      </c>
      <c r="D105" s="42">
        <f>TRUNC(3832,-1)</f>
        <v>3830</v>
      </c>
      <c r="E105" s="63">
        <f t="shared" si="3"/>
        <v>12660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TRUNC(1402,-1)</f>
        <v>1400</v>
      </c>
      <c r="E114" s="63">
        <f t="shared" si="3"/>
        <v>4620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TRUNC(2864,-1)</f>
        <v>2860</v>
      </c>
      <c r="E116" s="63">
        <f t="shared" si="3"/>
        <v>9450</v>
      </c>
    </row>
    <row r="117" spans="1:7" x14ac:dyDescent="0.3">
      <c r="A117" s="2">
        <v>20</v>
      </c>
      <c r="C117" s="38" t="s">
        <v>148</v>
      </c>
      <c r="D117" s="42">
        <v>110540</v>
      </c>
      <c r="E117" s="63">
        <f t="shared" si="3"/>
        <v>365420</v>
      </c>
    </row>
    <row r="118" spans="1:7" ht="17.25" thickBot="1" x14ac:dyDescent="0.35">
      <c r="A118" s="2">
        <v>21</v>
      </c>
      <c r="C118" s="38" t="s">
        <v>47</v>
      </c>
      <c r="D118" s="43">
        <f>TRUNC(3122,-1)</f>
        <v>3120</v>
      </c>
      <c r="E118" s="64">
        <f t="shared" si="3"/>
        <v>10310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191940</v>
      </c>
      <c r="E119" s="39">
        <f>SUM(E98:E118)</f>
        <v>634460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TRUNC(1728,-1)</f>
        <v>1720</v>
      </c>
      <c r="E124" s="63">
        <f t="shared" si="4"/>
        <v>5680</v>
      </c>
    </row>
    <row r="125" spans="1:7" x14ac:dyDescent="0.3">
      <c r="A125" s="2">
        <v>4</v>
      </c>
      <c r="C125" s="38" t="s">
        <v>138</v>
      </c>
      <c r="D125" s="42">
        <f>TRUNC(12246,-1)</f>
        <v>12240</v>
      </c>
      <c r="E125" s="63">
        <f t="shared" si="4"/>
        <v>40460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TRUNC(2832,-1)</f>
        <v>2830</v>
      </c>
      <c r="E127" s="63">
        <f t="shared" si="4"/>
        <v>9350</v>
      </c>
    </row>
    <row r="128" spans="1:7" x14ac:dyDescent="0.3">
      <c r="A128" s="2">
        <v>7</v>
      </c>
      <c r="C128" s="38" t="s">
        <v>46</v>
      </c>
      <c r="D128" s="42">
        <v>3170</v>
      </c>
      <c r="E128" s="63">
        <f t="shared" si="4"/>
        <v>10470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TRUNC(14898,-1)</f>
        <v>14890</v>
      </c>
      <c r="E130" s="63">
        <f t="shared" si="4"/>
        <v>49220</v>
      </c>
    </row>
    <row r="131" spans="1:7" x14ac:dyDescent="0.3">
      <c r="A131" s="2">
        <v>10</v>
      </c>
      <c r="C131" s="38" t="s">
        <v>148</v>
      </c>
      <c r="D131" s="42">
        <f>TRUNC(127448,-1)</f>
        <v>127440</v>
      </c>
      <c r="E131" s="63">
        <f t="shared" si="4"/>
        <v>421290</v>
      </c>
    </row>
    <row r="132" spans="1:7" ht="18" thickBot="1" x14ac:dyDescent="0.35">
      <c r="A132" s="2">
        <v>11</v>
      </c>
      <c r="C132" s="38" t="s">
        <v>47</v>
      </c>
      <c r="D132" s="43">
        <f>2130+1370+1650</f>
        <v>5150</v>
      </c>
      <c r="E132" s="64">
        <f t="shared" si="4"/>
        <v>17020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167440</v>
      </c>
      <c r="E133" s="39">
        <f>SUM(E122:E132)</f>
        <v>553490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TRUNC(185+2622+2888+232,-1)</f>
        <v>5920</v>
      </c>
      <c r="E137" s="63">
        <f t="shared" si="5"/>
        <v>19570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TRUNC(8065,-1)</f>
        <v>8060</v>
      </c>
      <c r="E138" s="63">
        <f t="shared" si="5"/>
        <v>26640</v>
      </c>
    </row>
    <row r="139" spans="1:7" x14ac:dyDescent="0.3">
      <c r="A139" s="2">
        <v>4</v>
      </c>
      <c r="C139" s="38" t="s">
        <v>61</v>
      </c>
      <c r="D139" s="42">
        <f>TRUNC(1543,-1)</f>
        <v>1540</v>
      </c>
      <c r="E139" s="63">
        <f t="shared" si="5"/>
        <v>5090</v>
      </c>
    </row>
    <row r="140" spans="1:7" x14ac:dyDescent="0.3">
      <c r="A140" s="2">
        <v>5</v>
      </c>
      <c r="C140" s="38" t="s">
        <v>57</v>
      </c>
      <c r="D140" s="42">
        <f>TRUNC(1222,-1)</f>
        <v>1220</v>
      </c>
      <c r="E140" s="63">
        <f t="shared" si="5"/>
        <v>4030</v>
      </c>
    </row>
    <row r="141" spans="1:7" x14ac:dyDescent="0.3">
      <c r="A141" s="2">
        <v>6</v>
      </c>
      <c r="C141" s="38" t="s">
        <v>59</v>
      </c>
      <c r="D141" s="42">
        <f>TRUNC(17952,-1)</f>
        <v>17950</v>
      </c>
      <c r="E141" s="63">
        <f t="shared" si="5"/>
        <v>59330</v>
      </c>
    </row>
    <row r="142" spans="1:7" x14ac:dyDescent="0.3">
      <c r="A142" s="2">
        <v>7</v>
      </c>
      <c r="C142" s="38" t="s">
        <v>58</v>
      </c>
      <c r="D142" s="42">
        <v>3570</v>
      </c>
      <c r="E142" s="63">
        <f t="shared" si="5"/>
        <v>11800</v>
      </c>
    </row>
    <row r="143" spans="1:7" x14ac:dyDescent="0.3">
      <c r="A143" s="2">
        <v>8</v>
      </c>
      <c r="C143" s="38" t="s">
        <v>62</v>
      </c>
      <c r="D143" s="42">
        <v>5050</v>
      </c>
      <c r="E143" s="63">
        <f t="shared" si="5"/>
        <v>16690</v>
      </c>
    </row>
    <row r="144" spans="1:7" x14ac:dyDescent="0.3">
      <c r="A144" s="2">
        <v>9</v>
      </c>
      <c r="C144" s="38" t="s">
        <v>63</v>
      </c>
      <c r="D144" s="42">
        <f>TRUNC(18912,-1)</f>
        <v>18910</v>
      </c>
      <c r="E144" s="63">
        <f t="shared" si="5"/>
        <v>62510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62220</v>
      </c>
      <c r="E146" s="39">
        <f>SUM(E136:E145)</f>
        <v>205660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TRUNC(3487+638,-1)</f>
        <v>4120</v>
      </c>
      <c r="E149" s="62">
        <f>TRUNC(+D149*3.3058,-1)</f>
        <v>13610</v>
      </c>
    </row>
    <row r="150" spans="1:7" x14ac:dyDescent="0.3">
      <c r="A150" s="2">
        <v>2</v>
      </c>
      <c r="C150" s="38" t="s">
        <v>49</v>
      </c>
      <c r="D150" s="42">
        <f>TRUNC(1916,-1)</f>
        <v>1910</v>
      </c>
      <c r="E150" s="63">
        <f>TRUNC(+D150*3.3058,-1)</f>
        <v>6310</v>
      </c>
    </row>
    <row r="151" spans="1:7" x14ac:dyDescent="0.3">
      <c r="A151" s="2">
        <v>3</v>
      </c>
      <c r="C151" s="38" t="s">
        <v>50</v>
      </c>
      <c r="D151" s="42">
        <f>TRUNC(2244,-1)</f>
        <v>2240</v>
      </c>
      <c r="E151" s="63">
        <f>TRUNC(+D151*3.3058,-1)</f>
        <v>7400</v>
      </c>
    </row>
    <row r="152" spans="1:7" x14ac:dyDescent="0.3">
      <c r="A152" s="2">
        <v>4</v>
      </c>
      <c r="C152" s="38" t="s">
        <v>47</v>
      </c>
      <c r="D152" s="42">
        <f>TRUNC(100+6387+155+1260,-1)</f>
        <v>7900</v>
      </c>
      <c r="E152" s="63">
        <f>TRUNC(+D152*3.3058,-1)</f>
        <v>26110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TRUNC(7914,-1)</f>
        <v>7910</v>
      </c>
      <c r="E153" s="64">
        <f>TRUNC(+D153*3.3058,-1)</f>
        <v>26140</v>
      </c>
    </row>
    <row r="154" spans="1:7" x14ac:dyDescent="0.3">
      <c r="A154" s="2">
        <v>6</v>
      </c>
      <c r="C154" s="27" t="s">
        <v>112</v>
      </c>
      <c r="D154" s="39">
        <f>SUM(D149:D153)</f>
        <v>24080</v>
      </c>
      <c r="E154" s="39">
        <f>SUM(E149:E153)</f>
        <v>79570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TRUNC(17235,-1)</f>
        <v>17230</v>
      </c>
      <c r="E157" s="62">
        <f>TRUNC(+D157*3.3058,-1)</f>
        <v>56950</v>
      </c>
    </row>
    <row r="158" spans="1:7" x14ac:dyDescent="0.3">
      <c r="A158" s="2">
        <v>2</v>
      </c>
      <c r="C158" s="38" t="s">
        <v>52</v>
      </c>
      <c r="D158" s="42">
        <f>TRUNC(3145,-1)</f>
        <v>3140</v>
      </c>
      <c r="E158" s="63">
        <f>TRUNC(+D158*3.3058,-1)</f>
        <v>10380</v>
      </c>
    </row>
    <row r="159" spans="1:7" x14ac:dyDescent="0.3">
      <c r="A159" s="2">
        <v>3</v>
      </c>
      <c r="C159" s="38" t="s">
        <v>47</v>
      </c>
      <c r="D159" s="42">
        <f>TRUNC(2893+378,-1)</f>
        <v>3270</v>
      </c>
      <c r="E159" s="63">
        <f>TRUNC(+D159*3.3058,-1)</f>
        <v>10800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TRUNC(6001,-1)</f>
        <v>6000</v>
      </c>
      <c r="E160" s="64">
        <f>TRUNC(+D160*3.3058,-1)</f>
        <v>19830</v>
      </c>
    </row>
    <row r="161" spans="1:5" x14ac:dyDescent="0.3">
      <c r="A161" s="2">
        <v>5</v>
      </c>
      <c r="C161" s="27" t="s">
        <v>112</v>
      </c>
      <c r="D161" s="39">
        <f>SUM(D157:D160)</f>
        <v>29640</v>
      </c>
      <c r="E161" s="39">
        <f>SUM(E157:E160)</f>
        <v>97960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2020-12-08T04:01:51Z</dcterms:modified>
</cp:coreProperties>
</file>