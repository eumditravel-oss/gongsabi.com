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8" i="4" l="1"/>
  <c r="D157" i="4"/>
  <c r="D152" i="4"/>
  <c r="D150" i="4"/>
  <c r="D149" i="4"/>
  <c r="D144" i="4"/>
  <c r="D143" i="4"/>
  <c r="D139" i="4"/>
  <c r="D142" i="4"/>
  <c r="D137" i="4"/>
  <c r="D140" i="4"/>
  <c r="D131" i="4"/>
  <c r="D128" i="4"/>
  <c r="D132" i="4"/>
  <c r="D124" i="4"/>
  <c r="D125" i="4"/>
  <c r="D122" i="4"/>
  <c r="D130" i="4"/>
  <c r="D126" i="4"/>
  <c r="D105" i="4"/>
  <c r="D104" i="4"/>
  <c r="D103" i="4"/>
  <c r="D102" i="4"/>
  <c r="D101" i="4"/>
  <c r="D100" i="4"/>
  <c r="D118" i="4"/>
  <c r="D99" i="4"/>
  <c r="D98" i="4"/>
  <c r="D116" i="4"/>
  <c r="D114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1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95" i="4"/>
  <c r="E60" i="4"/>
  <c r="E133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<sst xmlns="http://schemas.openxmlformats.org/spreadsheetml/2006/main" count="394" uniqueCount="269">
  <si>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</si>
  <si>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</si>
  <si>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</si>
  <si>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</si>
  <si>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</si>
  <si>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</si>
  <si>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</si>
  <si>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</si>
  <si>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</si>
  <si>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</si>
  <si>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</si>
  <si>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</si>
  <si>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</si>
  <si>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</si>
  <si>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</si>
  <si>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</si>
  <si>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</si>
  <si>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</si>
  <si>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</si>
  <si>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</si>
  <si>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</si>
  <si>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</si>
  <si>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</si>
  <si>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</si>
  <si>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</si>
  <si>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</si>
  <si>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</si>
  <si>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</si>
  <si>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</si>
  <si>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</si>
  <si>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</si>
  <si>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</si>
  <si>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</si>
  <si>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</si>
  <si>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</si>
  <si>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</si>
  <si>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</si>
  <si>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</si>
  <si>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</si>
  <si>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</si>
  <si>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</si>
  <si>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</si>
  <si>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</si>
  <si>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</si>
  <si>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</si>
  <si>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</si>
  <si>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</si>
  <si>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</si>
  <si>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</si>
  <si>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</si>
  <si>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</si>
  <si>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</si>
  <si>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</si>
  <si>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</si>
  <si>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</si>
  <si>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</si>
  <si>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</si>
  <si>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</si>
  <si>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</si>
  <si>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</si>
  <si>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</si>
  <si>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</si>
  <si>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</si>
  <si>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</si>
  <si>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</si>
  <si>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</si>
  <si>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</si>
  <si>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</si>
  <si>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</si>
  <si>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</si>
  <si>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</si>
  <si>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</si>
  <si>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</si>
  <si>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</si>
  <si>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</si>
  <si>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</si>
  <si>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</si>
  <si>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</si>
  <si>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</si>
  <si>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</si>
  <si>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</si>
  <si>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</si>
  <si>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</si>
  <si>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</si>
  <si>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</si>
  <si>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</si>
  <si>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</si>
  <si>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</si>
  <si>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</si>
  <si>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</si>
  <si>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</si>
  <si>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</si>
  <si>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</si>
  <si>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</si>
  <si>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</si>
  <si>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</si>
  <si>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</si>
  <si>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</si>
  <si>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</si>
  <si>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</si>
  <si>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</si>
  <si>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</si>
  <si>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</si>
  <si>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</si>
  <si>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</si>
  <si>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</si>
  <si>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</si>
  <si>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</si>
  <si>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</si>
  <si>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</si>
  <si>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</si>
  <si>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</si>
  <si>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</si>
  <si>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</si>
  <si>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</si>
  <si>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</si>
  <si>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</si>
  <si>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</si>
  <si>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</si>
  <si>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</si>
  <si>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</si>
  <si>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</si>
  <si>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</si>
  <si>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</si>
  <si>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</si>
  <si>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</si>
  <si>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</si>
  <si>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</si>
  <si>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</si>
  <si>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</si>
  <si>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</si>
  <si>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</si>
  <si>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</si>
  <si>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</si>
  <si>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</si>
  <si>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</si>
  <si>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</si>
  <si>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</si>
  <si>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</si>
  <si>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</si>
  <si>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</si>
  <si>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</si>
  <si>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</si>
  <si>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</si>
  <si>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</si>
  <si>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</si>
  <si>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</si>
  <si>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</si>
  <si>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</si>
  <si>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</si>
  <si>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</si>
  <si>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</si>
  <si>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</si>
  <si>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</si>
  <si>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</si>
  <si>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</si>
  <si>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</si>
  <si>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</si>
  <si>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</si>
  <si>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</si>
  <si>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</si>
  <si>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</si>
  <si>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</si>
  <si>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</si>
  <si>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</si>
  <si>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</si>
  <si>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</si>
  <si>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</si>
  <si>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</si>
  <si>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</si>
  <si>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</si>
  <si>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</si>
  <si>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</si>
  <si>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</si>
  <si>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</si>
  <si>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</si>
  <si>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</si>
  <si>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</si>
  <si>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</si>
  <si>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</si>
  <si>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</si>
  <si>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</si>
  <si>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</si>
  <si>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</si>
  <si>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</si>
  <si>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</si>
  <si>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</si>
  <si>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</si>
  <si>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</si>
  <si>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</si>
  <si>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</si>
  <si>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</si>
  <si>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</si>
  <si>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</si>
  <si>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</si>
  <si>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</si>
  <si>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</si>
  <si>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</si>
  <si>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</si>
  <si>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</si>
  <si>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</si>
  <si>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</si>
  <si>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</si>
  <si>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</si>
  <si>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</si>
  <si>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</si>
  <si>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</si>
  <si>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</si>
  <si>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</si>
  <si>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</si>
  <si>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</si>
  <si>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</si>
  <si>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</si>
  <si>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</si>
  <si>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</si>
  <si>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</si>
  <si>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</si>
  <si>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</si>
  <si>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</si>
  <si>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</si>
  <si>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</si>
  <si>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</si>
  <si>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</si>
  <si>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</si>
  <si>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</si>
  <si>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</si>
  <si>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</si>
  <si>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</si>
  <si>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</si>
  <si>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</si>
  <si>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</si>
  <si>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</si>
  <si>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</si>
  <si>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</si>
  <si>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</si>
  <si>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</si>
  <si>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</si>
  <si>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</si>
  <si>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</si>
  <si>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</si>
  <si>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</si>
  <si>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</si>
  <si>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</si>
  <si>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</si>
  <si>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</si>
  <si>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</si>
  <si>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</si>
  <si>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</si>
  <si>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충북 정선시설 이전 신축공사</t>
    <phoneticPr fontId="2" type="noConversion"/>
  </si>
  <si>
    <t>공장</t>
  </si>
  <si>
    <t>충청도</t>
  </si>
  <si>
    <t>기초공사,골재비및운반비,작업부산물,품질시험비,기타공사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</si>
  <si>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</si>
  <si>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</si>
  <si>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</si>
  <si>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</si>
  <si>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</si>
  <si>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</si>
  <si>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</si>
  <si>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</si>
  <si>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</si>
  <si>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</si>
  <si>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조경시설물</t>
    <phoneticPr fontId="2" type="noConversion"/>
  </si>
  <si>
    <t>원/ m2</t>
  </si>
  <si>
    <t>원 /평</t>
  </si>
  <si>
    <t>바닥난방공사, 공조배관공사,난방배관공사,기타공사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</si>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</sst>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6911.17</v>
      </c>
      <c r="D7" s="36">
        <f>+C7/3.3058</f>
        <v>2090.6195172121725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2146040</v>
      </c>
      <c r="E25" s="59">
        <f t="shared" si="0"/>
        <v>7094370</v>
      </c>
    </row>
    <row r="26" spans="1:5" x14ac:dyDescent="0.3">
      <c r="B26" s="2">
        <v>3</v>
      </c>
      <c r="C26" s="35" t="s">
        <v>95</v>
      </c>
      <c r="D26" s="45">
        <f>+D66</f>
        <v>5890</v>
      </c>
      <c r="E26" s="59">
        <f t="shared" si="0"/>
        <v>19470</v>
      </c>
    </row>
    <row r="27" spans="1:5" x14ac:dyDescent="0.3">
      <c r="B27" s="2">
        <v>4</v>
      </c>
      <c r="C27" s="35" t="s">
        <v>96</v>
      </c>
      <c r="D27" s="45">
        <f>+D95</f>
        <v>68180</v>
      </c>
      <c r="E27" s="59">
        <f t="shared" si="0"/>
        <v>225380</v>
      </c>
    </row>
    <row r="28" spans="1:5" x14ac:dyDescent="0.3">
      <c r="B28" s="2">
        <v>5</v>
      </c>
      <c r="C28" s="35" t="s">
        <v>97</v>
      </c>
      <c r="D28" s="45">
        <f>+D119</f>
        <v>197150</v>
      </c>
      <c r="E28" s="59">
        <f t="shared" si="0"/>
        <v>651730</v>
      </c>
    </row>
    <row r="29" spans="1:5" x14ac:dyDescent="0.3">
      <c r="B29" s="2">
        <v>6</v>
      </c>
      <c r="C29" s="35" t="s">
        <v>98</v>
      </c>
      <c r="D29" s="45">
        <f>+D133</f>
        <v>96140</v>
      </c>
      <c r="E29" s="59">
        <f t="shared" si="0"/>
        <v>317810</v>
      </c>
    </row>
    <row r="30" spans="1:5" x14ac:dyDescent="0.3">
      <c r="B30" s="2">
        <v>7</v>
      </c>
      <c r="C30" s="35" t="s">
        <v>99</v>
      </c>
      <c r="D30" s="45">
        <f>+D146</f>
        <v>37690</v>
      </c>
      <c r="E30" s="59">
        <f t="shared" si="0"/>
        <v>124590</v>
      </c>
    </row>
    <row r="31" spans="1:5" x14ac:dyDescent="0.3">
      <c r="B31" s="2">
        <v>8</v>
      </c>
      <c r="C31" s="35" t="s">
        <v>100</v>
      </c>
      <c r="D31" s="45">
        <f>+D154</f>
        <v>61240</v>
      </c>
      <c r="E31" s="59">
        <f t="shared" si="0"/>
        <v>202440</v>
      </c>
    </row>
    <row r="32" spans="1:5" x14ac:dyDescent="0.3">
      <c r="B32" s="2">
        <v>9</v>
      </c>
      <c r="C32" s="35" t="s">
        <v>101</v>
      </c>
      <c r="D32" s="45">
        <f>+D161</f>
        <v>13560</v>
      </c>
      <c r="E32" s="59">
        <f t="shared" si="0"/>
        <v>44820</v>
      </c>
    </row>
    <row r="33" spans="1:7" x14ac:dyDescent="0.3">
      <c r="B33" s="2">
        <v>10</v>
      </c>
      <c r="C33" s="35" t="s">
        <v>154</v>
      </c>
      <c r="D33" s="53">
        <f>TRUNC(SUM(D24:D32)*0.275,-1)</f>
        <v>722110</v>
      </c>
      <c r="E33" s="60">
        <f t="shared" si="0"/>
        <v>2387150</v>
      </c>
    </row>
    <row r="34" spans="1:7" x14ac:dyDescent="0.3">
      <c r="C34" s="35" t="s">
        <v>112</v>
      </c>
      <c r="D34" s="44">
        <f>SUM(D24:D33)</f>
        <v>3348000</v>
      </c>
      <c r="E34" s="44">
        <f>SUM(E24:E33)</f>
        <v>11067760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TRUNC(70165,-1)</f>
        <v>70160</v>
      </c>
      <c r="E40" s="62">
        <f t="shared" ref="E40:E59" si="1">TRUNC(+D40*3.3058,-1)</f>
        <v>231930</v>
      </c>
    </row>
    <row r="41" spans="1:7" x14ac:dyDescent="0.3">
      <c r="A41" s="2">
        <v>2</v>
      </c>
      <c r="C41" s="38" t="s">
        <v>13</v>
      </c>
      <c r="D41" s="42">
        <f>TRUNC(99407,-1)</f>
        <v>99400</v>
      </c>
      <c r="E41" s="63">
        <f t="shared" si="1"/>
        <v>328590</v>
      </c>
    </row>
    <row r="42" spans="1:7" x14ac:dyDescent="0.3">
      <c r="A42" s="2">
        <v>3</v>
      </c>
      <c r="C42" s="38" t="s">
        <v>14</v>
      </c>
      <c r="D42" s="42">
        <f>TRUNC(325633,-1)</f>
        <v>325630</v>
      </c>
      <c r="E42" s="63">
        <f t="shared" si="1"/>
        <v>1076460</v>
      </c>
    </row>
    <row r="43" spans="1:7" x14ac:dyDescent="0.3">
      <c r="A43" s="2">
        <v>4</v>
      </c>
      <c r="C43" s="38" t="s">
        <v>16</v>
      </c>
      <c r="D43" s="42">
        <f>TRUNC(35439,-1)</f>
        <v>35430</v>
      </c>
      <c r="E43" s="63">
        <f t="shared" si="1"/>
        <v>117120</v>
      </c>
    </row>
    <row r="44" spans="1:7" x14ac:dyDescent="0.3">
      <c r="A44" s="2">
        <v>5</v>
      </c>
      <c r="C44" s="38" t="s">
        <v>17</v>
      </c>
      <c r="D44" s="42">
        <f>TRUNC(13678,-1)</f>
        <v>13670</v>
      </c>
      <c r="E44" s="63">
        <f t="shared" si="1"/>
        <v>45190</v>
      </c>
    </row>
    <row r="45" spans="1:7" x14ac:dyDescent="0.3">
      <c r="A45" s="2">
        <v>6</v>
      </c>
      <c r="C45" s="38" t="s">
        <v>18</v>
      </c>
      <c r="D45" s="42">
        <f>TRUNC(8431,-1)</f>
        <v>8430</v>
      </c>
      <c r="E45" s="63">
        <f t="shared" si="1"/>
        <v>27860</v>
      </c>
    </row>
    <row r="46" spans="1:7" x14ac:dyDescent="0.3">
      <c r="A46" s="2">
        <v>7</v>
      </c>
      <c r="C46" s="38" t="s">
        <v>19</v>
      </c>
      <c r="D46" s="42">
        <f>TRUNC(9632,-1)</f>
        <v>9630</v>
      </c>
      <c r="E46" s="63">
        <f t="shared" si="1"/>
        <v>31830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TRUNC(68627,-1)</f>
        <v>68620</v>
      </c>
      <c r="E48" s="63">
        <f t="shared" si="1"/>
        <v>226840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TRUNC(7525,-1)</f>
        <v>7520</v>
      </c>
      <c r="E49" s="63">
        <f t="shared" si="1"/>
        <v>24850</v>
      </c>
    </row>
    <row r="50" spans="1:7" x14ac:dyDescent="0.3">
      <c r="A50" s="2">
        <v>11</v>
      </c>
      <c r="C50" s="38" t="s">
        <v>155</v>
      </c>
      <c r="D50" s="42">
        <f>TRUNC(35987,-1)</f>
        <v>35980</v>
      </c>
      <c r="E50" s="63">
        <f t="shared" si="1"/>
        <v>118940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TRUNC(14283,-1)</f>
        <v>14280</v>
      </c>
      <c r="E52" s="63">
        <f t="shared" si="1"/>
        <v>47200</v>
      </c>
    </row>
    <row r="53" spans="1:7" x14ac:dyDescent="0.3">
      <c r="A53" s="2">
        <v>14</v>
      </c>
      <c r="C53" s="38" t="s">
        <v>25</v>
      </c>
      <c r="D53" s="42">
        <f>TRUNC(40338,-1)</f>
        <v>40330</v>
      </c>
      <c r="E53" s="63">
        <f t="shared" si="1"/>
        <v>133320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TRUNC(42639+1751-3146+1315+32282,-1)</f>
        <v>74840</v>
      </c>
      <c r="E58" s="63">
        <f t="shared" si="1"/>
        <v>247400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TRUNC(1342125,-1)</f>
        <v>1342120</v>
      </c>
      <c r="E59" s="64">
        <f t="shared" si="1"/>
        <v>4436780</v>
      </c>
    </row>
    <row r="60" spans="1:7" x14ac:dyDescent="0.3">
      <c r="A60" s="2">
        <v>21</v>
      </c>
      <c r="C60" s="27" t="s">
        <v>112</v>
      </c>
      <c r="D60" s="39">
        <f>SUM(D40:D59)</f>
        <v>2146040</v>
      </c>
      <c r="E60" s="39">
        <f>SUM(E40:E59)</f>
        <v>7094310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TRUNC(5892,-1)</f>
        <v>5890</v>
      </c>
      <c r="E63" s="62">
        <f>TRUNC(+D63*3.3058,-1)</f>
        <v>19470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5890</v>
      </c>
      <c r="E66" s="65">
        <f>SUM(E63:E65)</f>
        <v>19470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TRUNC(10369,-1)</f>
        <v>10360</v>
      </c>
      <c r="E69" s="62">
        <f t="shared" ref="E69:E94" si="2">TRUNC(+D69*3.3058,-1)</f>
        <v>34240</v>
      </c>
    </row>
    <row r="70" spans="1:7" ht="16.5" customHeight="1" x14ac:dyDescent="0.3">
      <c r="A70" s="2">
        <v>2</v>
      </c>
      <c r="C70" s="38" t="s">
        <v>31</v>
      </c>
      <c r="D70" s="42">
        <f>TRUNC(2739,-1)</f>
        <v>2730</v>
      </c>
      <c r="E70" s="63">
        <f t="shared" si="2"/>
        <v>9020</v>
      </c>
    </row>
    <row r="71" spans="1:7" x14ac:dyDescent="0.3">
      <c r="A71" s="2">
        <v>3</v>
      </c>
      <c r="C71" s="38" t="s">
        <v>32</v>
      </c>
      <c r="D71" s="42">
        <f>TRUNC(3504,-1)</f>
        <v>3500</v>
      </c>
      <c r="E71" s="63">
        <f t="shared" si="2"/>
        <v>11570</v>
      </c>
    </row>
    <row r="72" spans="1:7" x14ac:dyDescent="0.3">
      <c r="A72" s="2">
        <v>4</v>
      </c>
      <c r="C72" s="38" t="s">
        <v>33</v>
      </c>
      <c r="D72" s="42">
        <f>TRUNC(11944,-1)</f>
        <v>11940</v>
      </c>
      <c r="E72" s="63">
        <f t="shared" si="2"/>
        <v>39470</v>
      </c>
    </row>
    <row r="73" spans="1:7" x14ac:dyDescent="0.3">
      <c r="A73" s="2">
        <v>5</v>
      </c>
      <c r="C73" s="38" t="s">
        <v>34</v>
      </c>
      <c r="D73" s="42">
        <f>TRUNC(5249,-1)</f>
        <v>5240</v>
      </c>
      <c r="E73" s="63">
        <f t="shared" si="2"/>
        <v>17320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TRUNC(6883,-1)</f>
        <v>6880</v>
      </c>
      <c r="E89" s="63">
        <f t="shared" si="2"/>
        <v>22740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TRUNC(3350,-1)</f>
        <v>3350</v>
      </c>
      <c r="E91" s="63">
        <f t="shared" si="2"/>
        <v>11070</v>
      </c>
    </row>
    <row r="92" spans="1:7" x14ac:dyDescent="0.3">
      <c r="A92" s="2">
        <v>24</v>
      </c>
      <c r="C92" s="38" t="s">
        <v>38</v>
      </c>
      <c r="D92" s="42">
        <f>TRUNC(4779,-1)</f>
        <v>4770</v>
      </c>
      <c r="E92" s="63">
        <f t="shared" si="2"/>
        <v>15760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TRUNC(1151+1662+2203+14398,-1)</f>
        <v>19410</v>
      </c>
      <c r="E94" s="64">
        <f t="shared" si="2"/>
        <v>64160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68180</v>
      </c>
      <c r="E95" s="39">
        <f>SUM(E69:E94)</f>
        <v>225350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TRUNC(27065,-1)</f>
        <v>27060</v>
      </c>
      <c r="E98" s="62">
        <f t="shared" ref="E98:E118" si="3">TRUNC(+D98*3.3058,-1)</f>
        <v>89450</v>
      </c>
    </row>
    <row r="99" spans="1:7" x14ac:dyDescent="0.3">
      <c r="A99" s="2">
        <v>2</v>
      </c>
      <c r="C99" s="38" t="s">
        <v>40</v>
      </c>
      <c r="D99" s="42">
        <f>TRUNC(13860,-1)</f>
        <v>13860</v>
      </c>
      <c r="E99" s="63">
        <f t="shared" si="3"/>
        <v>45810</v>
      </c>
    </row>
    <row r="100" spans="1:7" x14ac:dyDescent="0.3">
      <c r="A100" s="2">
        <v>3</v>
      </c>
      <c r="C100" s="38" t="s">
        <v>41</v>
      </c>
      <c r="D100" s="42">
        <f>TRUNC(28162,-1)</f>
        <v>28160</v>
      </c>
      <c r="E100" s="63">
        <f t="shared" si="3"/>
        <v>93090</v>
      </c>
    </row>
    <row r="101" spans="1:7" x14ac:dyDescent="0.3">
      <c r="A101" s="2">
        <v>4</v>
      </c>
      <c r="C101" s="38" t="s">
        <v>42</v>
      </c>
      <c r="D101" s="42">
        <f>TRUNC(4103,-1)</f>
        <v>4100</v>
      </c>
      <c r="E101" s="63">
        <f t="shared" si="3"/>
        <v>13550</v>
      </c>
    </row>
    <row r="102" spans="1:7" x14ac:dyDescent="0.3">
      <c r="A102" s="2">
        <v>5</v>
      </c>
      <c r="C102" s="38" t="s">
        <v>43</v>
      </c>
      <c r="D102" s="42">
        <f>TRUNC(14247,-1)</f>
        <v>14240</v>
      </c>
      <c r="E102" s="63">
        <f t="shared" si="3"/>
        <v>47070</v>
      </c>
    </row>
    <row r="103" spans="1:7" x14ac:dyDescent="0.3">
      <c r="A103" s="2">
        <v>6</v>
      </c>
      <c r="C103" s="38" t="s">
        <v>44</v>
      </c>
      <c r="D103" s="42">
        <f>TRUNC(3091,-1)</f>
        <v>3090</v>
      </c>
      <c r="E103" s="63">
        <f t="shared" si="3"/>
        <v>10210</v>
      </c>
    </row>
    <row r="104" spans="1:7" x14ac:dyDescent="0.3">
      <c r="A104" s="2">
        <v>7</v>
      </c>
      <c r="C104" s="38" t="s">
        <v>45</v>
      </c>
      <c r="D104" s="42">
        <f>TRUNC(6037,-1)</f>
        <v>6030</v>
      </c>
      <c r="E104" s="63">
        <f t="shared" si="3"/>
        <v>19930</v>
      </c>
    </row>
    <row r="105" spans="1:7" x14ac:dyDescent="0.3">
      <c r="A105" s="2">
        <v>8</v>
      </c>
      <c r="C105" s="38" t="s">
        <v>46</v>
      </c>
      <c r="D105" s="42">
        <f>TRUNC(8826,-1)</f>
        <v>8820</v>
      </c>
      <c r="E105" s="63">
        <f t="shared" si="3"/>
        <v>29150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TRUNC(3192,-1)</f>
        <v>3190</v>
      </c>
      <c r="E114" s="63">
        <f t="shared" si="3"/>
        <v>10540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TRUNC(4881,-1)</f>
        <v>4880</v>
      </c>
      <c r="E116" s="63">
        <f t="shared" si="3"/>
        <v>16130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TRUNC(81092,-1)</f>
        <v>81090</v>
      </c>
      <c r="E117" s="63">
        <f t="shared" si="3"/>
        <v>268060</v>
      </c>
    </row>
    <row r="118" spans="1:7" ht="17.25" thickBot="1" x14ac:dyDescent="0.35">
      <c r="A118" s="2">
        <v>21</v>
      </c>
      <c r="C118" s="38" t="s">
        <v>47</v>
      </c>
      <c r="D118" s="43">
        <f>TRUNC(2313+318,-1)</f>
        <v>2630</v>
      </c>
      <c r="E118" s="64">
        <f t="shared" si="3"/>
        <v>8690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197150</v>
      </c>
      <c r="E119" s="39">
        <f>SUM(E98:E118)</f>
        <v>651680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TRUNC(2452,-1)</f>
        <v>2450</v>
      </c>
      <c r="E122" s="62">
        <f t="shared" ref="E122:E132" si="4">TRUNC(+D122*3.3058,-1)</f>
        <v>8090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TRUNC(370,-1)</f>
        <v>370</v>
      </c>
      <c r="E124" s="63">
        <f t="shared" si="4"/>
        <v>1220</v>
      </c>
    </row>
    <row r="125" spans="1:7" x14ac:dyDescent="0.3">
      <c r="A125" s="2">
        <v>4</v>
      </c>
      <c r="C125" s="38" t="s">
        <v>138</v>
      </c>
      <c r="D125" s="42">
        <f>TRUNC(8222,-1)</f>
        <v>8220</v>
      </c>
      <c r="E125" s="63">
        <f t="shared" si="4"/>
        <v>27170</v>
      </c>
    </row>
    <row r="126" spans="1:7" x14ac:dyDescent="0.3">
      <c r="A126" s="2">
        <v>5</v>
      </c>
      <c r="C126" s="38" t="s">
        <v>53</v>
      </c>
      <c r="D126" s="42">
        <f>TRUNC(13727,-1)</f>
        <v>13720</v>
      </c>
      <c r="E126" s="63">
        <f t="shared" si="4"/>
        <v>45350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TRUNC(3087,-1)</f>
        <v>3080</v>
      </c>
      <c r="E128" s="63">
        <f t="shared" si="4"/>
        <v>10180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TRUNC(28653,-1)</f>
        <v>28650</v>
      </c>
      <c r="E130" s="63">
        <f t="shared" si="4"/>
        <v>94710</v>
      </c>
    </row>
    <row r="131" spans="1:7" x14ac:dyDescent="0.3">
      <c r="A131" s="2">
        <v>10</v>
      </c>
      <c r="C131" s="38" t="s">
        <v>148</v>
      </c>
      <c r="D131" s="42">
        <f>TRUNC(35300,-1)</f>
        <v>35300</v>
      </c>
      <c r="E131" s="63">
        <f t="shared" si="4"/>
        <v>116690</v>
      </c>
    </row>
    <row r="132" spans="1:7" ht="18" thickBot="1" x14ac:dyDescent="0.35">
      <c r="A132" s="2">
        <v>11</v>
      </c>
      <c r="C132" s="38" t="s">
        <v>47</v>
      </c>
      <c r="D132" s="43">
        <f>TRUNC(3558+799,-1)</f>
        <v>4350</v>
      </c>
      <c r="E132" s="64">
        <f t="shared" si="4"/>
        <v>14380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96140</v>
      </c>
      <c r="E133" s="39">
        <f>SUM(E122:E132)</f>
        <v>317790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TRUNC(277+3363,-1)</f>
        <v>3640</v>
      </c>
      <c r="E137" s="63">
        <f t="shared" si="5"/>
        <v>12030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TRUNC(598,-1)</f>
        <v>590</v>
      </c>
      <c r="E139" s="63">
        <f t="shared" si="5"/>
        <v>1950</v>
      </c>
    </row>
    <row r="140" spans="1:7" x14ac:dyDescent="0.3">
      <c r="A140" s="2">
        <v>5</v>
      </c>
      <c r="C140" s="38" t="s">
        <v>57</v>
      </c>
      <c r="D140" s="42">
        <f>TRUNC(1768,-1)</f>
        <v>1760</v>
      </c>
      <c r="E140" s="63">
        <f t="shared" si="5"/>
        <v>5810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TRUNC(7182,-1)</f>
        <v>7180</v>
      </c>
      <c r="E142" s="63">
        <f t="shared" si="5"/>
        <v>23730</v>
      </c>
    </row>
    <row r="143" spans="1:7" x14ac:dyDescent="0.3">
      <c r="A143" s="2">
        <v>8</v>
      </c>
      <c r="C143" s="38" t="s">
        <v>62</v>
      </c>
      <c r="D143" s="42">
        <f>TRUNC(4334,-1)</f>
        <v>4330</v>
      </c>
      <c r="E143" s="63">
        <f t="shared" si="5"/>
        <v>14310</v>
      </c>
    </row>
    <row r="144" spans="1:7" x14ac:dyDescent="0.3">
      <c r="A144" s="2">
        <v>9</v>
      </c>
      <c r="C144" s="38" t="s">
        <v>63</v>
      </c>
      <c r="D144" s="42">
        <f>TRUNC(20197,-1)</f>
        <v>20190</v>
      </c>
      <c r="E144" s="63">
        <f t="shared" si="5"/>
        <v>66740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37690</v>
      </c>
      <c r="E146" s="39">
        <f>SUM(E136:E145)</f>
        <v>124570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TRUNC(21661+5632,-1)</f>
        <v>27290</v>
      </c>
      <c r="E149" s="62">
        <f>TRUNC(+D149*3.3058,-1)</f>
        <v>90210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TRUNC(26960,-1)</f>
        <v>26960</v>
      </c>
      <c r="E150" s="63">
        <f>TRUNC(+D150*3.3058,-1)</f>
        <v>89120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TRUNC(6774+223,-1)</f>
        <v>6990</v>
      </c>
      <c r="E152" s="63">
        <f>TRUNC(+D152*3.3058,-1)</f>
        <v>23100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61240</v>
      </c>
      <c r="E154" s="39">
        <f>SUM(E149:E153)</f>
        <v>202430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TRUNC(10929,-1)</f>
        <v>10920</v>
      </c>
      <c r="E157" s="62">
        <f>TRUNC(+D157*3.3058,-1)</f>
        <v>36090</v>
      </c>
    </row>
    <row r="158" spans="1:7" x14ac:dyDescent="0.3">
      <c r="A158" s="2">
        <v>2</v>
      </c>
      <c r="C158" s="38" t="s">
        <v>52</v>
      </c>
      <c r="D158" s="42">
        <f>TRUNC(2641,-1)</f>
        <v>2640</v>
      </c>
      <c r="E158" s="63">
        <f>TRUNC(+D158*3.3058,-1)</f>
        <v>8720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13560</v>
      </c>
      <c r="E161" s="39">
        <f>SUM(E157:E160)</f>
        <v>44810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2020-12-08T04:01:03Z</dcterms:modified>
</cp:coreProperties>
</file>