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45" i="4"/>
  <c r="E139" i="4"/>
  <c r="E136" i="4"/>
  <c r="E129" i="4"/>
  <c r="E126" i="4"/>
  <c r="E123" i="4"/>
  <c r="E115" i="4"/>
  <c r="E113" i="4"/>
  <c r="E112" i="4"/>
  <c r="E111" i="4"/>
  <c r="E110" i="4"/>
  <c r="E109" i="4"/>
  <c r="E108" i="4"/>
  <c r="E107" i="4"/>
  <c r="E106" i="4"/>
  <c r="E103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4" i="4"/>
  <c r="E65" i="4"/>
  <c r="E64" i="4"/>
  <c r="E57" i="4"/>
  <c r="E56" i="4"/>
  <c r="E55" i="4"/>
  <c r="E54" i="4"/>
  <c r="E53" i="4"/>
  <c r="E51" i="4"/>
  <c r="E37" i="4"/>
  <c r="D159" i="4" l="1"/>
  <c r="E159" i="4" s="1"/>
  <c r="D158" i="4"/>
  <c r="E158" i="4" s="1"/>
  <c r="D157" i="4"/>
  <c r="D153" i="4"/>
  <c r="E153" i="4" s="1"/>
  <c r="D152" i="4"/>
  <c r="E152" i="4" s="1"/>
  <c r="D151" i="4"/>
  <c r="E151" i="4" s="1"/>
  <c r="D150" i="4"/>
  <c r="D149" i="4"/>
  <c r="E149" i="4" s="1"/>
  <c r="D144" i="4"/>
  <c r="E144" i="4" s="1"/>
  <c r="D143" i="4"/>
  <c r="E143" i="4" s="1"/>
  <c r="D142" i="4"/>
  <c r="E142" i="4" s="1"/>
  <c r="D141" i="4"/>
  <c r="E141" i="4" s="1"/>
  <c r="D140" i="4"/>
  <c r="E140" i="4" s="1"/>
  <c r="D138" i="4"/>
  <c r="D137" i="4"/>
  <c r="E137" i="4" s="1"/>
  <c r="D132" i="4"/>
  <c r="E132" i="4" s="1"/>
  <c r="D131" i="4"/>
  <c r="E131" i="4" s="1"/>
  <c r="D130" i="4"/>
  <c r="E130" i="4" s="1"/>
  <c r="D128" i="4"/>
  <c r="E128" i="4" s="1"/>
  <c r="D127" i="4"/>
  <c r="E127" i="4" s="1"/>
  <c r="D125" i="4"/>
  <c r="E125" i="4" s="1"/>
  <c r="D124" i="4"/>
  <c r="E124" i="4" s="1"/>
  <c r="D122" i="4"/>
  <c r="D118" i="4"/>
  <c r="E118" i="4" s="1"/>
  <c r="D117" i="4"/>
  <c r="E117" i="4" s="1"/>
  <c r="D116" i="4"/>
  <c r="E116" i="4" s="1"/>
  <c r="D114" i="4"/>
  <c r="E114" i="4" s="1"/>
  <c r="D105" i="4"/>
  <c r="E105" i="4" s="1"/>
  <c r="D104" i="4"/>
  <c r="E104" i="4" s="1"/>
  <c r="D102" i="4"/>
  <c r="E102" i="4" s="1"/>
  <c r="D101" i="4"/>
  <c r="E101" i="4" s="1"/>
  <c r="D100" i="4"/>
  <c r="D99" i="4"/>
  <c r="E99" i="4" s="1"/>
  <c r="D98" i="4"/>
  <c r="E98" i="4" s="1"/>
  <c r="D94" i="4"/>
  <c r="E94" i="4" s="1"/>
  <c r="D93" i="4"/>
  <c r="E93" i="4" s="1"/>
  <c r="D92" i="4"/>
  <c r="E92" i="4" s="1"/>
  <c r="D91" i="4"/>
  <c r="E91" i="4" s="1"/>
  <c r="D90" i="4"/>
  <c r="E90" i="4" s="1"/>
  <c r="D89" i="4"/>
  <c r="E89" i="4" s="1"/>
  <c r="D75" i="4"/>
  <c r="E75" i="4" s="1"/>
  <c r="D73" i="4"/>
  <c r="E73" i="4" s="1"/>
  <c r="D72" i="4"/>
  <c r="E72" i="4" s="1"/>
  <c r="D71" i="4"/>
  <c r="E71" i="4" s="1"/>
  <c r="D70" i="4"/>
  <c r="E70" i="4" s="1"/>
  <c r="D69" i="4"/>
  <c r="D63" i="4"/>
  <c r="E63" i="4" s="1"/>
  <c r="E66" i="4" s="1"/>
  <c r="D59" i="4"/>
  <c r="E59" i="4" s="1"/>
  <c r="D58" i="4"/>
  <c r="E58" i="4" s="1"/>
  <c r="D52" i="4"/>
  <c r="E52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D24" i="4"/>
  <c r="E24" i="4" s="1"/>
  <c r="D7" i="4"/>
  <c r="D119" i="4" l="1"/>
  <c r="D28" i="4" s="1"/>
  <c r="E28" i="4" s="1"/>
  <c r="E100" i="4"/>
  <c r="E119" i="4" s="1"/>
  <c r="D60" i="4"/>
  <c r="D25" i="4" s="1"/>
  <c r="E25" i="4" s="1"/>
  <c r="E40" i="4"/>
  <c r="E60" i="4" s="1"/>
  <c r="D95" i="4"/>
  <c r="D27" i="4" s="1"/>
  <c r="E27" i="4" s="1"/>
  <c r="E69" i="4"/>
  <c r="E95" i="4" s="1"/>
  <c r="D146" i="4"/>
  <c r="D30" i="4" s="1"/>
  <c r="E30" i="4" s="1"/>
  <c r="E138" i="4"/>
  <c r="E146" i="4" s="1"/>
  <c r="D66" i="4"/>
  <c r="D26" i="4" s="1"/>
  <c r="E26" i="4" s="1"/>
  <c r="D133" i="4"/>
  <c r="D29" i="4" s="1"/>
  <c r="E29" i="4" s="1"/>
  <c r="E122" i="4"/>
  <c r="E133" i="4" s="1"/>
  <c r="D154" i="4"/>
  <c r="D31" i="4" s="1"/>
  <c r="E31" i="4" s="1"/>
  <c r="E150" i="4"/>
  <c r="E154" i="4" s="1"/>
  <c r="D161" i="4"/>
  <c r="D32" i="4" s="1"/>
  <c r="E32" i="4" s="1"/>
  <c r="E157" i="4"/>
  <c r="E161" i="4" s="1"/>
  <c r="D33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4" i="4" l="1"/>
  <c r="E33" i="4"/>
  <c r="E34" i="4" s="1"/>
</calcChain>
</file>

<file path=xl/sharedStrings.xml><?xml version="1.0" encoding="utf-8"?>
<sst xmlns="http://schemas.openxmlformats.org/spreadsheetml/2006/main" count="396" uniqueCount="267">
  <si>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</si>
  <si>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</si>
  <si>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</si>
  <si>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</si>
  <si>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</si>
  <si>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</si>
  <si>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</si>
  <si>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</si>
  <si>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</si>
  <si>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</si>
  <si>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</si>
  <si>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</si>
  <si>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</si>
  <si>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</si>
  <si>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</si>
  <si>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</si>
  <si>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</si>
  <si>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</si>
  <si>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</si>
  <si>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</si>
  <si>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</si>
  <si>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</si>
  <si>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</si>
  <si>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</si>
  <si>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</si>
  <si>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</si>
  <si>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</si>
  <si>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</si>
  <si>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</si>
  <si>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</si>
  <si>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</si>
  <si>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</si>
  <si>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</si>
  <si>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</si>
  <si>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</si>
  <si>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</si>
  <si>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</si>
  <si>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</si>
  <si>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</si>
  <si>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</si>
  <si>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</si>
  <si>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</si>
  <si>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</si>
  <si>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</si>
  <si>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</si>
  <si>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</si>
  <si>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</si>
  <si>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</si>
  <si>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</si>
  <si>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</si>
  <si>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</si>
  <si>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</si>
  <si>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</si>
  <si>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</si>
  <si>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</si>
  <si>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</si>
  <si>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</si>
  <si>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</si>
  <si>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</si>
  <si>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</si>
  <si>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</si>
  <si>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</si>
  <si>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</si>
  <si>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</si>
  <si>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</si>
  <si>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</si>
  <si>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</si>
  <si>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</si>
  <si>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</si>
  <si>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</si>
  <si>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</si>
  <si>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</si>
  <si>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</si>
  <si>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</si>
  <si>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</si>
  <si>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</si>
  <si>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</si>
  <si>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</si>
  <si>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</si>
  <si>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</si>
  <si>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</si>
  <si>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</si>
  <si>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</si>
  <si>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</si>
  <si>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</si>
  <si>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</si>
  <si>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</si>
  <si>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</si>
  <si>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</si>
  <si>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</si>
  <si>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</si>
  <si>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</si>
  <si>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</si>
  <si>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</si>
  <si>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</si>
  <si>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</si>
  <si>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</si>
  <si>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</si>
  <si>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</si>
  <si>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</si>
  <si>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</si>
  <si>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</si>
  <si>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</si>
  <si>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</si>
  <si>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</si>
  <si>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</si>
  <si>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</si>
  <si>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</si>
  <si>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</si>
  <si>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</si>
  <si>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</si>
  <si>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</si>
  <si>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</si>
  <si>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</si>
  <si>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</si>
  <si>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</si>
  <si>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</si>
  <si>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</si>
  <si>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</si>
  <si>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</si>
  <si>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</si>
  <si>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</si>
  <si>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</si>
  <si>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</si>
  <si>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</si>
  <si>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</si>
  <si>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</si>
  <si>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</si>
  <si>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</si>
  <si>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</si>
  <si>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</si>
  <si>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</si>
  <si>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</si>
  <si>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</si>
  <si>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</si>
  <si>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</si>
  <si>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</si>
  <si>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</si>
  <si>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</si>
  <si>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</si>
  <si>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</si>
  <si>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</si>
  <si>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</si>
  <si>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</si>
  <si>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</si>
  <si>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</si>
  <si>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</si>
  <si>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</si>
  <si>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</si>
  <si>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</si>
  <si>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</si>
  <si>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</si>
  <si>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</si>
  <si>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</si>
  <si>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</si>
  <si>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</si>
  <si>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</si>
  <si>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</si>
  <si>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</si>
  <si>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</si>
  <si>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</si>
  <si>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</si>
  <si>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</si>
  <si>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</si>
  <si>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</si>
  <si>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</si>
  <si>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</si>
  <si>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</si>
  <si>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</si>
  <si>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</si>
  <si>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</si>
  <si>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</si>
  <si>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</si>
  <si>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</si>
  <si>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</si>
  <si>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</si>
  <si>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</si>
  <si>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</si>
  <si>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</si>
  <si>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</si>
  <si>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</si>
  <si>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</si>
  <si>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</si>
  <si>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</si>
  <si>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</si>
  <si>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</si>
  <si>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</si>
  <si>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</si>
  <si>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</si>
  <si>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</si>
  <si>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</si>
  <si>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</si>
  <si>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</si>
  <si>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</si>
  <si>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</si>
  <si>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</si>
  <si>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</si>
  <si>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</si>
  <si>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</si>
  <si>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</si>
  <si>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</si>
  <si>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</si>
  <si>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</si>
  <si>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</si>
  <si>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</si>
  <si>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</si>
  <si>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</si>
  <si>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</si>
  <si>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</si>
  <si>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</si>
  <si>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</si>
  <si>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</si>
  <si>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</si>
  <si>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</si>
  <si>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</si>
  <si>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</si>
  <si>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</si>
  <si>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</si>
  <si>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</si>
  <si>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</si>
  <si>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</si>
  <si>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</si>
  <si>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</si>
  <si>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</si>
  <si>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</si>
  <si>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</si>
  <si>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</si>
  <si>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</si>
  <si>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</si>
  <si>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</si>
  <si>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</si>
  <si>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</si>
  <si>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</si>
  <si>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</si>
  <si>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</si>
  <si>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</si>
  <si>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</si>
  <si>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</si>
  <si>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</si>
  <si>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</si>
  <si>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</si>
  <si>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</si>
  <si>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</si>
  <si>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</si>
  <si>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</si>
  <si>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</si>
  <si>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예산군 신청사 건립공사</t>
  </si>
  <si>
    <t>업무</t>
  </si>
  <si>
    <t>충청도</t>
  </si>
  <si>
    <t>평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</si>
  <si>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</si>
  <si>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</si>
  <si>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</si>
  <si>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골재비및운반비,작업부산물,기타공사</t>
    <phoneticPr fontId="2" type="noConversion"/>
  </si>
  <si>
    <t>공조배관공사, 우수처리시설공사, 기타공사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</si>
  <si>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</si>
  <si>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</si>
  <si>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CCTV설비공사 , 주차관제설비공사, 기타공사</t>
    <phoneticPr fontId="2" type="noConversion"/>
  </si>
  <si>
    <t>옥외소화배관공사, 펌프실배관공사,제연덕트설치공사, 무선통신보조설비공사, 기타공사</t>
    <phoneticPr fontId="2" type="noConversion"/>
  </si>
  <si>
    <t>토목</t>
    <phoneticPr fontId="2" type="noConversion"/>
  </si>
  <si>
    <t>토목 상수도공사, 토목 사급자재비, 토목 기타공사</t>
    <phoneticPr fontId="2" type="noConversion"/>
  </si>
  <si>
    <t>포장공사,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</si>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</sst>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247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249</v>
      </c>
    </row>
    <row r="7" spans="1:4" ht="17.25" thickBot="1" x14ac:dyDescent="0.35">
      <c r="C7" s="37">
        <v>25805.16</v>
      </c>
      <c r="D7" s="36">
        <f>+C7/3.3058</f>
        <v>7806.0257728840215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235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D37</f>
        <v>0</v>
      </c>
      <c r="E24" s="59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840600</v>
      </c>
      <c r="E25" s="60">
        <f t="shared" si="0"/>
        <v>2778850</v>
      </c>
    </row>
    <row r="26" spans="1:5" x14ac:dyDescent="0.3">
      <c r="B26" s="2">
        <v>3</v>
      </c>
      <c r="C26" s="35" t="s">
        <v>95</v>
      </c>
      <c r="D26" s="45">
        <f>+D66</f>
        <v>23380</v>
      </c>
      <c r="E26" s="60">
        <f t="shared" si="0"/>
        <v>77280</v>
      </c>
    </row>
    <row r="27" spans="1:5" x14ac:dyDescent="0.3">
      <c r="B27" s="2">
        <v>4</v>
      </c>
      <c r="C27" s="35" t="s">
        <v>96</v>
      </c>
      <c r="D27" s="45">
        <f>+D95</f>
        <v>354630</v>
      </c>
      <c r="E27" s="60">
        <f t="shared" si="0"/>
        <v>1172330</v>
      </c>
    </row>
    <row r="28" spans="1:5" x14ac:dyDescent="0.3">
      <c r="B28" s="2">
        <v>5</v>
      </c>
      <c r="C28" s="35" t="s">
        <v>97</v>
      </c>
      <c r="D28" s="45">
        <f>+D119</f>
        <v>219160</v>
      </c>
      <c r="E28" s="60">
        <f t="shared" si="0"/>
        <v>724490</v>
      </c>
    </row>
    <row r="29" spans="1:5" x14ac:dyDescent="0.3">
      <c r="B29" s="2">
        <v>6</v>
      </c>
      <c r="C29" s="35" t="s">
        <v>98</v>
      </c>
      <c r="D29" s="45">
        <f>+D133</f>
        <v>192590</v>
      </c>
      <c r="E29" s="60">
        <f t="shared" si="0"/>
        <v>636660</v>
      </c>
    </row>
    <row r="30" spans="1:5" x14ac:dyDescent="0.3">
      <c r="B30" s="2">
        <v>7</v>
      </c>
      <c r="C30" s="35" t="s">
        <v>99</v>
      </c>
      <c r="D30" s="45">
        <f>+D146</f>
        <v>44730</v>
      </c>
      <c r="E30" s="60">
        <f t="shared" si="0"/>
        <v>147860</v>
      </c>
    </row>
    <row r="31" spans="1:5" x14ac:dyDescent="0.3">
      <c r="B31" s="2">
        <v>8</v>
      </c>
      <c r="C31" s="35" t="s">
        <v>100</v>
      </c>
      <c r="D31" s="45">
        <f>+D154</f>
        <v>78790</v>
      </c>
      <c r="E31" s="60">
        <f t="shared" si="0"/>
        <v>260460</v>
      </c>
    </row>
    <row r="32" spans="1:5" x14ac:dyDescent="0.3">
      <c r="B32" s="2">
        <v>9</v>
      </c>
      <c r="C32" s="35" t="s">
        <v>101</v>
      </c>
      <c r="D32" s="45">
        <f>+D161</f>
        <v>61350</v>
      </c>
      <c r="E32" s="60">
        <f t="shared" si="0"/>
        <v>202810</v>
      </c>
    </row>
    <row r="33" spans="1:7" x14ac:dyDescent="0.3">
      <c r="B33" s="2">
        <v>10</v>
      </c>
      <c r="C33" s="35" t="s">
        <v>154</v>
      </c>
      <c r="D33" s="53">
        <f>TRUNC(SUM(D24:D32)*0.275,-1)</f>
        <v>499180</v>
      </c>
      <c r="E33" s="61">
        <f t="shared" si="0"/>
        <v>1650180</v>
      </c>
    </row>
    <row r="34" spans="1:7" x14ac:dyDescent="0.3">
      <c r="C34" s="35" t="s">
        <v>112</v>
      </c>
      <c r="D34" s="44">
        <f>SUM(D24:D33)</f>
        <v>2314410</v>
      </c>
      <c r="E34" s="44">
        <f>SUM(E24:E33)</f>
        <v>7650920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236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2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240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TRUNC(50702,-1)</f>
        <v>50700</v>
      </c>
      <c r="E40" s="63">
        <f t="shared" ref="E40:E59" si="1">TRUNC(+D40*3.3058,-1)</f>
        <v>167600</v>
      </c>
    </row>
    <row r="41" spans="1:7" x14ac:dyDescent="0.3">
      <c r="A41" s="2">
        <v>2</v>
      </c>
      <c r="C41" s="38" t="s">
        <v>13</v>
      </c>
      <c r="D41" s="42">
        <f>TRUNC(126261,-1)</f>
        <v>126260</v>
      </c>
      <c r="E41" s="64">
        <f t="shared" si="1"/>
        <v>417390</v>
      </c>
    </row>
    <row r="42" spans="1:7" x14ac:dyDescent="0.3">
      <c r="A42" s="2">
        <v>3</v>
      </c>
      <c r="C42" s="38" t="s">
        <v>14</v>
      </c>
      <c r="D42" s="42">
        <f>TRUNC(8408,-1)</f>
        <v>8400</v>
      </c>
      <c r="E42" s="64">
        <f t="shared" si="1"/>
        <v>27760</v>
      </c>
    </row>
    <row r="43" spans="1:7" x14ac:dyDescent="0.3">
      <c r="A43" s="2">
        <v>4</v>
      </c>
      <c r="C43" s="38" t="s">
        <v>16</v>
      </c>
      <c r="D43" s="42">
        <f>TRUNC(15269,-1)</f>
        <v>15260</v>
      </c>
      <c r="E43" s="64">
        <f t="shared" si="1"/>
        <v>50440</v>
      </c>
    </row>
    <row r="44" spans="1:7" x14ac:dyDescent="0.3">
      <c r="A44" s="2">
        <v>5</v>
      </c>
      <c r="C44" s="38" t="s">
        <v>17</v>
      </c>
      <c r="D44" s="42">
        <f>TRUNC(31770,-1)</f>
        <v>31770</v>
      </c>
      <c r="E44" s="64">
        <f t="shared" si="1"/>
        <v>105020</v>
      </c>
    </row>
    <row r="45" spans="1:7" x14ac:dyDescent="0.3">
      <c r="A45" s="2">
        <v>6</v>
      </c>
      <c r="C45" s="38" t="s">
        <v>18</v>
      </c>
      <c r="D45" s="42">
        <f>TRUNC(1673,-1)</f>
        <v>1670</v>
      </c>
      <c r="E45" s="64">
        <f t="shared" si="1"/>
        <v>5520</v>
      </c>
    </row>
    <row r="46" spans="1:7" x14ac:dyDescent="0.3">
      <c r="A46" s="2">
        <v>7</v>
      </c>
      <c r="C46" s="38" t="s">
        <v>19</v>
      </c>
      <c r="D46" s="42">
        <f>TRUNC(35296,-1)</f>
        <v>35290</v>
      </c>
      <c r="E46" s="64">
        <f t="shared" si="1"/>
        <v>116660</v>
      </c>
    </row>
    <row r="47" spans="1:7" x14ac:dyDescent="0.3">
      <c r="A47" s="2">
        <v>8</v>
      </c>
      <c r="C47" s="38" t="s">
        <v>20</v>
      </c>
      <c r="D47" s="42">
        <f>TRUNC(154825,-1)</f>
        <v>154820</v>
      </c>
      <c r="E47" s="64">
        <f t="shared" si="1"/>
        <v>511800</v>
      </c>
    </row>
    <row r="48" spans="1:7" x14ac:dyDescent="0.3">
      <c r="A48" s="2">
        <v>9</v>
      </c>
      <c r="C48" s="38" t="s">
        <v>21</v>
      </c>
      <c r="D48" s="42">
        <f>TRUNC(45302,-1)</f>
        <v>45300</v>
      </c>
      <c r="E48" s="64">
        <f t="shared" si="1"/>
        <v>149750</v>
      </c>
      <c r="F48" s="2" t="s">
        <v>250</v>
      </c>
    </row>
    <row r="49" spans="1:7" x14ac:dyDescent="0.3">
      <c r="A49" s="2">
        <v>10</v>
      </c>
      <c r="C49" s="38" t="s">
        <v>22</v>
      </c>
      <c r="D49" s="42">
        <f>TRUNC(14124,-1)</f>
        <v>14120</v>
      </c>
      <c r="E49" s="64">
        <f t="shared" si="1"/>
        <v>46670</v>
      </c>
    </row>
    <row r="50" spans="1:7" x14ac:dyDescent="0.3">
      <c r="A50" s="2">
        <v>11</v>
      </c>
      <c r="C50" s="38" t="s">
        <v>155</v>
      </c>
      <c r="D50" s="42">
        <f>TRUNC(45249,-1)</f>
        <v>45240</v>
      </c>
      <c r="E50" s="64">
        <f t="shared" si="1"/>
        <v>149550</v>
      </c>
      <c r="F50" s="2" t="s">
        <v>251</v>
      </c>
    </row>
    <row r="51" spans="1:7" x14ac:dyDescent="0.3">
      <c r="A51" s="2">
        <v>12</v>
      </c>
      <c r="C51" s="38" t="s">
        <v>23</v>
      </c>
      <c r="D51" s="42">
        <v>0</v>
      </c>
      <c r="E51" s="64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TRUNC(8537,-1)</f>
        <v>8530</v>
      </c>
      <c r="E52" s="64">
        <f t="shared" si="1"/>
        <v>28190</v>
      </c>
    </row>
    <row r="53" spans="1:7" x14ac:dyDescent="0.3">
      <c r="A53" s="2">
        <v>14</v>
      </c>
      <c r="C53" s="38" t="s">
        <v>25</v>
      </c>
      <c r="D53" s="42">
        <v>0</v>
      </c>
      <c r="E53" s="64">
        <f t="shared" si="1"/>
        <v>0</v>
      </c>
      <c r="F53" s="2" t="s">
        <v>252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4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TRUNC(2913-614+8911,-1)</f>
        <v>11210</v>
      </c>
      <c r="E58" s="64">
        <f t="shared" si="1"/>
        <v>37050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f>TRUNC(292037,-1)</f>
        <v>292030</v>
      </c>
      <c r="E59" s="65">
        <f t="shared" si="1"/>
        <v>965390</v>
      </c>
    </row>
    <row r="60" spans="1:7" x14ac:dyDescent="0.3">
      <c r="A60" s="2">
        <v>21</v>
      </c>
      <c r="C60" s="27" t="s">
        <v>112</v>
      </c>
      <c r="D60" s="39">
        <f>SUM(D40:D59)</f>
        <v>840600</v>
      </c>
      <c r="E60" s="39">
        <f>SUM(E40:E59)</f>
        <v>2778790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237</v>
      </c>
      <c r="C62" s="55" t="s">
        <v>238</v>
      </c>
      <c r="D62" s="56" t="s">
        <v>235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TRUNC(23383,-1)</f>
        <v>23380</v>
      </c>
      <c r="E63" s="63">
        <f>TRUNC(+D63*3.3058,-1)</f>
        <v>77280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23380</v>
      </c>
      <c r="E66" s="57">
        <f>SUM(E63:E65)</f>
        <v>77280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239</v>
      </c>
      <c r="C68" s="55" t="s">
        <v>240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TRUNC(7936,-1)</f>
        <v>7930</v>
      </c>
      <c r="E69" s="63">
        <f t="shared" ref="E69:E94" si="2">TRUNC(+D69*3.3058,-1)</f>
        <v>26210</v>
      </c>
    </row>
    <row r="70" spans="1:7" ht="16.5" customHeight="1" x14ac:dyDescent="0.3">
      <c r="A70" s="2">
        <v>2</v>
      </c>
      <c r="C70" s="38" t="s">
        <v>31</v>
      </c>
      <c r="D70" s="42">
        <f>TRUNC(538,-1)</f>
        <v>530</v>
      </c>
      <c r="E70" s="64">
        <f t="shared" si="2"/>
        <v>1750</v>
      </c>
    </row>
    <row r="71" spans="1:7" x14ac:dyDescent="0.3">
      <c r="A71" s="2">
        <v>3</v>
      </c>
      <c r="C71" s="38" t="s">
        <v>32</v>
      </c>
      <c r="D71" s="42">
        <f>TRUNC(10558,-1)</f>
        <v>10550</v>
      </c>
      <c r="E71" s="64">
        <f t="shared" si="2"/>
        <v>34870</v>
      </c>
    </row>
    <row r="72" spans="1:7" x14ac:dyDescent="0.3">
      <c r="A72" s="2">
        <v>4</v>
      </c>
      <c r="C72" s="38" t="s">
        <v>33</v>
      </c>
      <c r="D72" s="42">
        <f>TRUNC(1237,-1)</f>
        <v>1230</v>
      </c>
      <c r="E72" s="64">
        <f t="shared" si="2"/>
        <v>4060</v>
      </c>
    </row>
    <row r="73" spans="1:7" x14ac:dyDescent="0.3">
      <c r="A73" s="2">
        <v>5</v>
      </c>
      <c r="C73" s="38" t="s">
        <v>34</v>
      </c>
      <c r="D73" s="42">
        <f>TRUNC(5692,-1)</f>
        <v>5690</v>
      </c>
      <c r="E73" s="64">
        <f t="shared" si="2"/>
        <v>18810</v>
      </c>
    </row>
    <row r="74" spans="1:7" x14ac:dyDescent="0.3">
      <c r="A74" s="2">
        <v>6</v>
      </c>
      <c r="C74" s="38" t="s">
        <v>176</v>
      </c>
      <c r="D74" s="42">
        <v>0</v>
      </c>
      <c r="E74" s="64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TRUNC(2326,-1)</f>
        <v>2320</v>
      </c>
      <c r="E75" s="64">
        <f t="shared" si="2"/>
        <v>7660</v>
      </c>
    </row>
    <row r="76" spans="1:7" x14ac:dyDescent="0.3">
      <c r="A76" s="2">
        <v>8</v>
      </c>
      <c r="C76" s="38" t="s">
        <v>119</v>
      </c>
      <c r="D76" s="42">
        <v>0</v>
      </c>
      <c r="E76" s="64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4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4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TRUNC(13788,-1)</f>
        <v>13780</v>
      </c>
      <c r="E89" s="64">
        <f t="shared" si="2"/>
        <v>45550</v>
      </c>
    </row>
    <row r="90" spans="1:7" x14ac:dyDescent="0.3">
      <c r="A90" s="2">
        <v>22</v>
      </c>
      <c r="C90" s="38" t="s">
        <v>36</v>
      </c>
      <c r="D90" s="42">
        <f>TRUNC(1622,-1)</f>
        <v>1620</v>
      </c>
      <c r="E90" s="64">
        <f t="shared" si="2"/>
        <v>5350</v>
      </c>
    </row>
    <row r="91" spans="1:7" x14ac:dyDescent="0.3">
      <c r="A91" s="2">
        <v>23</v>
      </c>
      <c r="C91" s="38" t="s">
        <v>37</v>
      </c>
      <c r="D91" s="42">
        <f>TRUNC(54079,-1)</f>
        <v>54070</v>
      </c>
      <c r="E91" s="64">
        <f t="shared" si="2"/>
        <v>178740</v>
      </c>
    </row>
    <row r="92" spans="1:7" x14ac:dyDescent="0.3">
      <c r="A92" s="2">
        <v>24</v>
      </c>
      <c r="C92" s="38" t="s">
        <v>38</v>
      </c>
      <c r="D92" s="42">
        <f>TRUNC(3917,-1)</f>
        <v>3910</v>
      </c>
      <c r="E92" s="64">
        <f t="shared" si="2"/>
        <v>12920</v>
      </c>
    </row>
    <row r="93" spans="1:7" x14ac:dyDescent="0.3">
      <c r="A93" s="2">
        <v>25</v>
      </c>
      <c r="C93" s="38" t="s">
        <v>148</v>
      </c>
      <c r="D93" s="42">
        <f>TRUNC(169227,-1)</f>
        <v>169220</v>
      </c>
      <c r="E93" s="64">
        <f t="shared" si="2"/>
        <v>559400</v>
      </c>
    </row>
    <row r="94" spans="1:7" ht="17.25" thickBot="1" x14ac:dyDescent="0.35">
      <c r="A94" s="2">
        <v>26</v>
      </c>
      <c r="C94" s="38" t="s">
        <v>47</v>
      </c>
      <c r="D94" s="43">
        <f>TRUNC(21070+9251+53462,-1)</f>
        <v>83780</v>
      </c>
      <c r="E94" s="65">
        <f t="shared" si="2"/>
        <v>276950</v>
      </c>
      <c r="F94" s="2" t="s">
        <v>254</v>
      </c>
    </row>
    <row r="95" spans="1:7" x14ac:dyDescent="0.3">
      <c r="A95" s="2">
        <v>27</v>
      </c>
      <c r="C95" s="27" t="s">
        <v>112</v>
      </c>
      <c r="D95" s="39">
        <f>SUM(D69:D94)</f>
        <v>354630</v>
      </c>
      <c r="E95" s="39">
        <f>SUM(E69:E94)</f>
        <v>1172270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241</v>
      </c>
      <c r="C97" s="55" t="s">
        <v>240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TRUNC(25426,-1)</f>
        <v>25420</v>
      </c>
      <c r="E98" s="63">
        <f t="shared" ref="E98:E118" si="3">TRUNC(+D98*3.3058,-1)</f>
        <v>84030</v>
      </c>
    </row>
    <row r="99" spans="1:7" x14ac:dyDescent="0.3">
      <c r="A99" s="2">
        <v>2</v>
      </c>
      <c r="C99" s="38" t="s">
        <v>40</v>
      </c>
      <c r="D99" s="42">
        <f>TRUNC(10038,-1)</f>
        <v>10030</v>
      </c>
      <c r="E99" s="64">
        <f t="shared" si="3"/>
        <v>33150</v>
      </c>
    </row>
    <row r="100" spans="1:7" x14ac:dyDescent="0.3">
      <c r="A100" s="2">
        <v>3</v>
      </c>
      <c r="C100" s="38" t="s">
        <v>41</v>
      </c>
      <c r="D100" s="42">
        <f>TRUNC(26813,-1)</f>
        <v>26810</v>
      </c>
      <c r="E100" s="64">
        <f t="shared" si="3"/>
        <v>88620</v>
      </c>
    </row>
    <row r="101" spans="1:7" x14ac:dyDescent="0.3">
      <c r="A101" s="2">
        <v>4</v>
      </c>
      <c r="C101" s="38" t="s">
        <v>42</v>
      </c>
      <c r="D101" s="42">
        <f>TRUNC(659,-1)</f>
        <v>650</v>
      </c>
      <c r="E101" s="64">
        <f t="shared" si="3"/>
        <v>2140</v>
      </c>
    </row>
    <row r="102" spans="1:7" x14ac:dyDescent="0.3">
      <c r="A102" s="2">
        <v>5</v>
      </c>
      <c r="C102" s="38" t="s">
        <v>43</v>
      </c>
      <c r="D102" s="42">
        <f>TRUNC(14339,-1)</f>
        <v>14330</v>
      </c>
      <c r="E102" s="64">
        <f t="shared" si="3"/>
        <v>47370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TRUNC(2872,-1)</f>
        <v>2870</v>
      </c>
      <c r="E104" s="64">
        <f t="shared" si="3"/>
        <v>9480</v>
      </c>
    </row>
    <row r="105" spans="1:7" x14ac:dyDescent="0.3">
      <c r="A105" s="2">
        <v>8</v>
      </c>
      <c r="C105" s="38" t="s">
        <v>46</v>
      </c>
      <c r="D105" s="42">
        <f>TRUNC(8560,-1)</f>
        <v>8560</v>
      </c>
      <c r="E105" s="64">
        <f t="shared" si="3"/>
        <v>28290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3"/>
        <v>0</v>
      </c>
    </row>
    <row r="111" spans="1:7" x14ac:dyDescent="0.3">
      <c r="A111" s="2">
        <v>14</v>
      </c>
      <c r="C111" s="38" t="s">
        <v>129</v>
      </c>
      <c r="D111" s="42"/>
      <c r="E111" s="64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TRUNC(5964,-1)</f>
        <v>5960</v>
      </c>
      <c r="E114" s="64">
        <f t="shared" si="3"/>
        <v>19700</v>
      </c>
      <c r="F114" s="2" t="s">
        <v>255</v>
      </c>
    </row>
    <row r="115" spans="1:7" x14ac:dyDescent="0.3">
      <c r="A115" s="2">
        <v>18</v>
      </c>
      <c r="C115" s="38" t="s">
        <v>116</v>
      </c>
      <c r="D115" s="42">
        <v>0</v>
      </c>
      <c r="E115" s="64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TRUNC(10101,-1)</f>
        <v>10100</v>
      </c>
      <c r="E116" s="64">
        <f t="shared" si="3"/>
        <v>33380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TRUNC(114271,-1)</f>
        <v>114270</v>
      </c>
      <c r="E117" s="64">
        <f t="shared" si="3"/>
        <v>377750</v>
      </c>
    </row>
    <row r="118" spans="1:7" ht="17.25" thickBot="1" x14ac:dyDescent="0.35">
      <c r="A118" s="2">
        <v>21</v>
      </c>
      <c r="C118" s="38" t="s">
        <v>47</v>
      </c>
      <c r="D118" s="43">
        <f>TRUNC(165,-1)</f>
        <v>160</v>
      </c>
      <c r="E118" s="65">
        <f t="shared" si="3"/>
        <v>520</v>
      </c>
    </row>
    <row r="119" spans="1:7" x14ac:dyDescent="0.3">
      <c r="A119" s="2">
        <v>22</v>
      </c>
      <c r="C119" s="27" t="s">
        <v>112</v>
      </c>
      <c r="D119" s="39">
        <f>SUM(D98:D118)</f>
        <v>219160</v>
      </c>
      <c r="E119" s="39">
        <f>SUM(E98:E118)</f>
        <v>724430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242</v>
      </c>
      <c r="C121" s="55" t="s">
        <v>240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TRUNC(3947,-1)</f>
        <v>3940</v>
      </c>
      <c r="E122" s="63">
        <f t="shared" ref="E122:E132" si="4">TRUNC(+D122*3.3058,-1)</f>
        <v>13020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TRUNC(1845,-1)</f>
        <v>1840</v>
      </c>
      <c r="E124" s="64">
        <f t="shared" si="4"/>
        <v>6080</v>
      </c>
    </row>
    <row r="125" spans="1:7" x14ac:dyDescent="0.3">
      <c r="A125" s="2">
        <v>4</v>
      </c>
      <c r="C125" s="38" t="s">
        <v>138</v>
      </c>
      <c r="D125" s="42">
        <f>TRUNC(5533,-1)</f>
        <v>5530</v>
      </c>
      <c r="E125" s="64">
        <f t="shared" si="4"/>
        <v>18280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TRUNC(3315,-1)</f>
        <v>3310</v>
      </c>
      <c r="E127" s="64">
        <f t="shared" si="4"/>
        <v>10940</v>
      </c>
    </row>
    <row r="128" spans="1:7" x14ac:dyDescent="0.3">
      <c r="A128" s="2">
        <v>7</v>
      </c>
      <c r="C128" s="38" t="s">
        <v>46</v>
      </c>
      <c r="D128" s="42">
        <f>TRUNC(3949,-1)</f>
        <v>3940</v>
      </c>
      <c r="E128" s="64">
        <f t="shared" si="4"/>
        <v>13020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TRUNC(22585,-1)</f>
        <v>22580</v>
      </c>
      <c r="E130" s="64">
        <f t="shared" si="4"/>
        <v>74640</v>
      </c>
    </row>
    <row r="131" spans="1:7" x14ac:dyDescent="0.3">
      <c r="A131" s="2">
        <v>10</v>
      </c>
      <c r="C131" s="38" t="s">
        <v>148</v>
      </c>
      <c r="D131" s="42">
        <f>TRUNC(147218,-1)</f>
        <v>147210</v>
      </c>
      <c r="E131" s="64">
        <f t="shared" si="4"/>
        <v>486640</v>
      </c>
    </row>
    <row r="132" spans="1:7" ht="17.25" thickBot="1" x14ac:dyDescent="0.35">
      <c r="A132" s="2">
        <v>11</v>
      </c>
      <c r="C132" s="38" t="s">
        <v>47</v>
      </c>
      <c r="D132" s="43">
        <f>TRUNC(2459+997+786,-1)</f>
        <v>4240</v>
      </c>
      <c r="E132" s="65">
        <f t="shared" si="4"/>
        <v>14010</v>
      </c>
      <c r="F132" s="2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192590</v>
      </c>
      <c r="E133" s="39">
        <f>SUM(E122:E132)</f>
        <v>636630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243</v>
      </c>
      <c r="C135" s="55" t="s">
        <v>240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3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TRUNC(131+1448+1430+1701+895,-1)</f>
        <v>5600</v>
      </c>
      <c r="E137" s="64">
        <f t="shared" si="5"/>
        <v>18510</v>
      </c>
      <c r="F137" s="2" t="s">
        <v>258</v>
      </c>
    </row>
    <row r="138" spans="1:7" x14ac:dyDescent="0.3">
      <c r="A138" s="2">
        <v>3</v>
      </c>
      <c r="C138" s="38" t="s">
        <v>60</v>
      </c>
      <c r="D138" s="42">
        <f>TRUNC(5951,-1)</f>
        <v>5950</v>
      </c>
      <c r="E138" s="64">
        <f t="shared" si="5"/>
        <v>19660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TRUNC(2269,-1)</f>
        <v>2260</v>
      </c>
      <c r="E140" s="64">
        <f t="shared" si="5"/>
        <v>7470</v>
      </c>
    </row>
    <row r="141" spans="1:7" x14ac:dyDescent="0.3">
      <c r="A141" s="2">
        <v>6</v>
      </c>
      <c r="C141" s="38" t="s">
        <v>59</v>
      </c>
      <c r="D141" s="42">
        <f>TRUNC(12838,-1)</f>
        <v>12830</v>
      </c>
      <c r="E141" s="64">
        <f t="shared" si="5"/>
        <v>42410</v>
      </c>
    </row>
    <row r="142" spans="1:7" x14ac:dyDescent="0.3">
      <c r="A142" s="2">
        <v>7</v>
      </c>
      <c r="C142" s="38" t="s">
        <v>58</v>
      </c>
      <c r="D142" s="42">
        <f>TRUNC(2511,-1)</f>
        <v>2510</v>
      </c>
      <c r="E142" s="64">
        <f t="shared" si="5"/>
        <v>8290</v>
      </c>
    </row>
    <row r="143" spans="1:7" x14ac:dyDescent="0.3">
      <c r="A143" s="2">
        <v>8</v>
      </c>
      <c r="C143" s="38" t="s">
        <v>62</v>
      </c>
      <c r="D143" s="42">
        <f>TRUNC(3149,-1)</f>
        <v>3140</v>
      </c>
      <c r="E143" s="64">
        <f t="shared" si="5"/>
        <v>10380</v>
      </c>
    </row>
    <row r="144" spans="1:7" x14ac:dyDescent="0.3">
      <c r="A144" s="2">
        <v>9</v>
      </c>
      <c r="C144" s="38" t="s">
        <v>63</v>
      </c>
      <c r="D144" s="42">
        <f>TRUNC(12440,-1)</f>
        <v>12440</v>
      </c>
      <c r="E144" s="64">
        <f t="shared" si="5"/>
        <v>41120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5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44730</v>
      </c>
      <c r="E146" s="39">
        <f>SUM(E136:E145)</f>
        <v>147840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244</v>
      </c>
      <c r="C148" s="55" t="s">
        <v>240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TRUNC(7516+1253,-1)</f>
        <v>8760</v>
      </c>
      <c r="E149" s="63">
        <f>TRUNC(+D149*3.3058,-1)</f>
        <v>28950</v>
      </c>
      <c r="F149" s="2" t="s">
        <v>259</v>
      </c>
    </row>
    <row r="150" spans="1:7" x14ac:dyDescent="0.3">
      <c r="A150" s="2">
        <v>2</v>
      </c>
      <c r="C150" s="38" t="s">
        <v>49</v>
      </c>
      <c r="D150" s="42">
        <f>TRUNC(8379,-1)</f>
        <v>8370</v>
      </c>
      <c r="E150" s="64">
        <f>TRUNC(+D150*3.3058,-1)</f>
        <v>27660</v>
      </c>
      <c r="F150" s="2" t="s">
        <v>259</v>
      </c>
    </row>
    <row r="151" spans="1:7" x14ac:dyDescent="0.3">
      <c r="A151" s="2">
        <v>3</v>
      </c>
      <c r="C151" s="38" t="s">
        <v>50</v>
      </c>
      <c r="D151" s="42">
        <f>TRUNC(4082,-1)</f>
        <v>4080</v>
      </c>
      <c r="E151" s="64">
        <f>TRUNC(+D151*3.3058,-1)</f>
        <v>13480</v>
      </c>
      <c r="F151" s="2" t="s">
        <v>259</v>
      </c>
    </row>
    <row r="152" spans="1:7" x14ac:dyDescent="0.3">
      <c r="A152" s="2">
        <v>4</v>
      </c>
      <c r="C152" s="38" t="s">
        <v>47</v>
      </c>
      <c r="D152" s="42">
        <f>TRUNC(280+6169+8295,-1)</f>
        <v>14740</v>
      </c>
      <c r="E152" s="64">
        <f>TRUNC(+D152*3.3058,-1)</f>
        <v>48720</v>
      </c>
      <c r="F152" s="58" t="s">
        <v>260</v>
      </c>
    </row>
    <row r="153" spans="1:7" ht="17.25" thickBot="1" x14ac:dyDescent="0.35">
      <c r="A153" s="2">
        <v>5</v>
      </c>
      <c r="C153" s="38" t="s">
        <v>148</v>
      </c>
      <c r="D153" s="43">
        <f>TRUNC(42846,-1)</f>
        <v>42840</v>
      </c>
      <c r="E153" s="65">
        <f>TRUNC(+D153*3.3058,-1)</f>
        <v>141620</v>
      </c>
      <c r="F153" s="2" t="s">
        <v>259</v>
      </c>
    </row>
    <row r="154" spans="1:7" x14ac:dyDescent="0.3">
      <c r="A154" s="2">
        <v>6</v>
      </c>
      <c r="C154" s="27" t="s">
        <v>112</v>
      </c>
      <c r="D154" s="39">
        <f>SUM(D149:D153)</f>
        <v>78790</v>
      </c>
      <c r="E154" s="39">
        <f>SUM(E149:E153)</f>
        <v>260430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245</v>
      </c>
      <c r="C156" s="55" t="s">
        <v>240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TRUNC(46054,-1)</f>
        <v>46050</v>
      </c>
      <c r="E157" s="63">
        <f>TRUNC(+D157*3.3058,-1)</f>
        <v>152230</v>
      </c>
    </row>
    <row r="158" spans="1:7" x14ac:dyDescent="0.3">
      <c r="A158" s="2">
        <v>2</v>
      </c>
      <c r="C158" s="38" t="s">
        <v>52</v>
      </c>
      <c r="D158" s="42">
        <f>TRUNC(5748,-1)</f>
        <v>5740</v>
      </c>
      <c r="E158" s="64">
        <f>TRUNC(+D158*3.3058,-1)</f>
        <v>18970</v>
      </c>
    </row>
    <row r="159" spans="1:7" x14ac:dyDescent="0.3">
      <c r="A159" s="2">
        <v>3</v>
      </c>
      <c r="C159" s="38" t="s">
        <v>47</v>
      </c>
      <c r="D159" s="42">
        <f>TRUNC(8744+817,-1)</f>
        <v>9560</v>
      </c>
      <c r="E159" s="64">
        <f>TRUNC(+D159*3.3058,-1)</f>
        <v>31600</v>
      </c>
      <c r="F159" s="2" t="s">
        <v>261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61350</v>
      </c>
      <c r="E161" s="39">
        <f>SUM(E157:E160)</f>
        <v>202800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2020-12-07T10:16:26Z</dcterms:modified>
</cp:coreProperties>
</file>