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1" i="4"/>
  <c r="E139" i="4"/>
  <c r="E136" i="4"/>
  <c r="E129" i="4"/>
  <c r="E126" i="4"/>
  <c r="E123" i="4"/>
  <c r="E118" i="4"/>
  <c r="E115" i="4"/>
  <c r="E113" i="4"/>
  <c r="E112" i="4"/>
  <c r="E111" i="4"/>
  <c r="E110" i="4"/>
  <c r="E109" i="4"/>
  <c r="E108" i="4"/>
  <c r="E107" i="4"/>
  <c r="E106" i="4"/>
  <c r="E103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5" i="4"/>
  <c r="E64" i="4"/>
  <c r="E57" i="4"/>
  <c r="E56" i="4"/>
  <c r="E55" i="4"/>
  <c r="E54" i="4"/>
  <c r="E51" i="4"/>
  <c r="E47" i="4"/>
  <c r="E37" i="4"/>
  <c r="D159" i="4" l="1"/>
  <c r="E159" i="4" s="1"/>
  <c r="D158" i="4"/>
  <c r="E158" i="4" s="1"/>
  <c r="D157" i="4"/>
  <c r="E157" i="4" s="1"/>
  <c r="E161" i="4" s="1"/>
  <c r="D153" i="4"/>
  <c r="E153" i="4" s="1"/>
  <c r="D152" i="4"/>
  <c r="E152" i="4" s="1"/>
  <c r="D150" i="4"/>
  <c r="E150" i="4" s="1"/>
  <c r="D149" i="4"/>
  <c r="D145" i="4"/>
  <c r="E145" i="4" s="1"/>
  <c r="D144" i="4"/>
  <c r="E144" i="4" s="1"/>
  <c r="D143" i="4"/>
  <c r="E143" i="4" s="1"/>
  <c r="D142" i="4"/>
  <c r="E142" i="4" s="1"/>
  <c r="D141" i="4"/>
  <c r="E141" i="4" s="1"/>
  <c r="D140" i="4"/>
  <c r="E140" i="4" s="1"/>
  <c r="D138" i="4"/>
  <c r="E138" i="4" s="1"/>
  <c r="D137" i="4"/>
  <c r="D132" i="4"/>
  <c r="E132" i="4" s="1"/>
  <c r="D131" i="4"/>
  <c r="E131" i="4" s="1"/>
  <c r="D130" i="4"/>
  <c r="E130" i="4" s="1"/>
  <c r="D128" i="4"/>
  <c r="E128" i="4" s="1"/>
  <c r="D127" i="4"/>
  <c r="E127" i="4" s="1"/>
  <c r="D125" i="4"/>
  <c r="E125" i="4" s="1"/>
  <c r="D124" i="4"/>
  <c r="E124" i="4" s="1"/>
  <c r="D122" i="4"/>
  <c r="D117" i="4"/>
  <c r="E117" i="4" s="1"/>
  <c r="D116" i="4"/>
  <c r="E116" i="4" s="1"/>
  <c r="D114" i="4"/>
  <c r="E114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D98" i="4"/>
  <c r="E98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D63" i="4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E24" i="4" s="1"/>
  <c r="D7" i="4"/>
  <c r="D133" i="4" l="1"/>
  <c r="D29" i="4" s="1"/>
  <c r="E29" i="4" s="1"/>
  <c r="E122" i="4"/>
  <c r="D66" i="4"/>
  <c r="D26" i="4" s="1"/>
  <c r="E26" i="4" s="1"/>
  <c r="E63" i="4"/>
  <c r="E66" i="4" s="1"/>
  <c r="D146" i="4"/>
  <c r="D30" i="4" s="1"/>
  <c r="E30" i="4" s="1"/>
  <c r="E137" i="4"/>
  <c r="E146" i="4" s="1"/>
  <c r="D95" i="4"/>
  <c r="D27" i="4" s="1"/>
  <c r="E27" i="4" s="1"/>
  <c r="E69" i="4"/>
  <c r="E95" i="4" s="1"/>
  <c r="E133" i="4"/>
  <c r="D154" i="4"/>
  <c r="D31" i="4" s="1"/>
  <c r="E31" i="4" s="1"/>
  <c r="E149" i="4"/>
  <c r="E154" i="4" s="1"/>
  <c r="D60" i="4"/>
  <c r="D25" i="4" s="1"/>
  <c r="E25" i="4" s="1"/>
  <c r="E40" i="4"/>
  <c r="E60" i="4" s="1"/>
  <c r="D119" i="4"/>
  <c r="D28" i="4" s="1"/>
  <c r="E28" i="4" s="1"/>
  <c r="E99" i="4"/>
  <c r="E119" i="4" s="1"/>
  <c r="D161" i="4"/>
  <c r="D32" i="4" s="1"/>
  <c r="E32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<sst xmlns="http://schemas.openxmlformats.org/spreadsheetml/2006/main" count="395" uniqueCount="267">
  <si>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</si>
  <si>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</si>
  <si>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</si>
  <si>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</si>
  <si>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</si>
  <si>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</si>
  <si>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</si>
  <si>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</si>
  <si>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</si>
  <si>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</si>
  <si>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</si>
  <si>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</si>
  <si>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</si>
  <si>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</si>
  <si>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</si>
  <si>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</si>
  <si>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</si>
  <si>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</si>
  <si>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</si>
  <si>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</si>
  <si>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</si>
  <si>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</si>
  <si>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</si>
  <si>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</si>
  <si>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</si>
  <si>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</si>
  <si>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</si>
  <si>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</si>
  <si>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</si>
  <si>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</si>
  <si>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</si>
  <si>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</si>
  <si>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</si>
  <si>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</si>
  <si>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</si>
  <si>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</si>
  <si>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</si>
  <si>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</si>
  <si>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</si>
  <si>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</si>
  <si>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</si>
  <si>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</si>
  <si>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</si>
  <si>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</si>
  <si>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</si>
  <si>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</si>
  <si>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</si>
  <si>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</si>
  <si>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</si>
  <si>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</si>
  <si>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</si>
  <si>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</si>
  <si>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</si>
  <si>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</si>
  <si>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</si>
  <si>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</si>
  <si>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</si>
  <si>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</si>
  <si>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</si>
  <si>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</si>
  <si>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</si>
  <si>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</si>
  <si>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</si>
  <si>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</si>
  <si>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</si>
  <si>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</si>
  <si>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</si>
  <si>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</si>
  <si>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</si>
  <si>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</si>
  <si>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</si>
  <si>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</si>
  <si>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</si>
  <si>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</si>
  <si>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</si>
  <si>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</si>
  <si>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</si>
  <si>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</si>
  <si>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</si>
  <si>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</si>
  <si>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</si>
  <si>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</si>
  <si>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</si>
  <si>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</si>
  <si>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</si>
  <si>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</si>
  <si>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</si>
  <si>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</si>
  <si>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</si>
  <si>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</si>
  <si>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</si>
  <si>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</si>
  <si>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</si>
  <si>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</si>
  <si>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</si>
  <si>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</si>
  <si>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</si>
  <si>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</si>
  <si>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</si>
  <si>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</si>
  <si>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</si>
  <si>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</si>
  <si>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</si>
  <si>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</si>
  <si>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</si>
  <si>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</si>
  <si>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</si>
  <si>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</si>
  <si>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</si>
  <si>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</si>
  <si>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</si>
  <si>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</si>
  <si>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</si>
  <si>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</si>
  <si>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</si>
  <si>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</si>
  <si>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</si>
  <si>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</si>
  <si>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</si>
  <si>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</si>
  <si>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</si>
  <si>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</si>
  <si>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</si>
  <si>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</si>
  <si>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</si>
  <si>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</si>
  <si>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</si>
  <si>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</si>
  <si>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</si>
  <si>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</si>
  <si>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</si>
  <si>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</si>
  <si>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</si>
  <si>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</si>
  <si>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</si>
  <si>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</si>
  <si>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</si>
  <si>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</si>
  <si>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</si>
  <si>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</si>
  <si>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</si>
  <si>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</si>
  <si>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</si>
  <si>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</si>
  <si>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</si>
  <si>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</si>
  <si>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</si>
  <si>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</si>
  <si>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</si>
  <si>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</si>
  <si>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</si>
  <si>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</si>
  <si>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</si>
  <si>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</si>
  <si>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</si>
  <si>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</si>
  <si>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</si>
  <si>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</si>
  <si>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</si>
  <si>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</si>
  <si>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</si>
  <si>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</si>
  <si>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</si>
  <si>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</si>
  <si>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</si>
  <si>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</si>
  <si>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</si>
  <si>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</si>
  <si>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</si>
  <si>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</si>
  <si>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</si>
  <si>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</si>
  <si>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</si>
  <si>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</si>
  <si>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</si>
  <si>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</si>
  <si>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</si>
  <si>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</si>
  <si>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</si>
  <si>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</si>
  <si>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</si>
  <si>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</si>
  <si>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</si>
  <si>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</si>
  <si>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</si>
  <si>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</si>
  <si>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</si>
  <si>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</si>
  <si>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</si>
  <si>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</si>
  <si>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</si>
  <si>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</si>
  <si>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</si>
  <si>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</si>
  <si>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</si>
  <si>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</si>
  <si>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</si>
  <si>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</si>
  <si>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</si>
  <si>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</si>
  <si>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</si>
  <si>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</si>
  <si>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</si>
  <si>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</si>
  <si>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</si>
  <si>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</si>
  <si>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</si>
  <si>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</si>
  <si>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</si>
  <si>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</si>
  <si>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</si>
  <si>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</si>
  <si>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</si>
  <si>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</si>
  <si>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</si>
  <si>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</si>
  <si>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</si>
  <si>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</si>
  <si>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</si>
  <si>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</si>
  <si>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</si>
  <si>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</si>
  <si>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</si>
  <si>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</si>
  <si>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</si>
  <si>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</si>
  <si>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</si>
  <si>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</si>
  <si>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</si>
  <si>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</si>
  <si>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</si>
  <si>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</si>
  <si>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</si>
  <si>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</si>
  <si>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</si>
  <si>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</si>
  <si>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</si>
  <si>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</si>
  <si>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</si>
  <si>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</si>
  <si>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</si>
  <si>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</si>
  <si>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</si>
  <si>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</si>
  <si>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</si>
  <si>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 xml:space="preserve"> 예천군 신청사 및 의회청사 건립공사</t>
  </si>
  <si>
    <t>업무</t>
  </si>
  <si>
    <t>평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</si>
  <si>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</si>
  <si>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</si>
  <si>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</si>
  <si>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기초공사,골재비및운반비,작업부산물,기타공사</t>
    <phoneticPr fontId="2" type="noConversion"/>
  </si>
  <si>
    <t>공조배관공사,우수처리시설공사,바닥난방공사,기타공사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</si>
  <si>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</si>
  <si>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</si>
  <si>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CCTV설비공사, 주차관제설비공사</t>
    <phoneticPr fontId="2" type="noConversion"/>
  </si>
  <si>
    <t>옥외소화배관공사, 펌프실배관공사,무선통신보조설비공사, 기타공사</t>
    <phoneticPr fontId="2" type="noConversion"/>
  </si>
  <si>
    <t>토목 상수도공사, 토목 사급자재비, 토목 기타공사</t>
    <phoneticPr fontId="2" type="noConversion"/>
  </si>
  <si>
    <t>포장공사, 기타공사</t>
    <phoneticPr fontId="2" type="noConversion"/>
  </si>
  <si>
    <t>경상도</t>
  </si>
  <si>
    <t>원/ m2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</si>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</sst>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247</v>
      </c>
    </row>
    <row r="7" spans="1:4" ht="17.25" thickBot="1" x14ac:dyDescent="0.35">
      <c r="C7" s="37">
        <v>17861.04</v>
      </c>
      <c r="D7" s="36">
        <f>+C7/3.3058</f>
        <v>5402.9402867687095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261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837660</v>
      </c>
      <c r="E25" s="60">
        <f t="shared" si="0"/>
        <v>2769130</v>
      </c>
    </row>
    <row r="26" spans="1:5" x14ac:dyDescent="0.3">
      <c r="B26" s="2">
        <v>3</v>
      </c>
      <c r="C26" s="35" t="s">
        <v>95</v>
      </c>
      <c r="D26" s="45">
        <f>+D66</f>
        <v>42440</v>
      </c>
      <c r="E26" s="60">
        <f t="shared" si="0"/>
        <v>140290</v>
      </c>
    </row>
    <row r="27" spans="1:5" x14ac:dyDescent="0.3">
      <c r="B27" s="2">
        <v>4</v>
      </c>
      <c r="C27" s="35" t="s">
        <v>96</v>
      </c>
      <c r="D27" s="45">
        <f>+D95</f>
        <v>326660</v>
      </c>
      <c r="E27" s="60">
        <f t="shared" si="0"/>
        <v>1079870</v>
      </c>
    </row>
    <row r="28" spans="1:5" x14ac:dyDescent="0.3">
      <c r="B28" s="2">
        <v>5</v>
      </c>
      <c r="C28" s="35" t="s">
        <v>97</v>
      </c>
      <c r="D28" s="45">
        <f>+D119</f>
        <v>198770</v>
      </c>
      <c r="E28" s="60">
        <f t="shared" si="0"/>
        <v>657090</v>
      </c>
    </row>
    <row r="29" spans="1:5" x14ac:dyDescent="0.3">
      <c r="B29" s="2">
        <v>6</v>
      </c>
      <c r="C29" s="35" t="s">
        <v>98</v>
      </c>
      <c r="D29" s="45">
        <f>+D133</f>
        <v>137460</v>
      </c>
      <c r="E29" s="60">
        <f t="shared" si="0"/>
        <v>454410</v>
      </c>
    </row>
    <row r="30" spans="1:5" x14ac:dyDescent="0.3">
      <c r="B30" s="2">
        <v>7</v>
      </c>
      <c r="C30" s="35" t="s">
        <v>99</v>
      </c>
      <c r="D30" s="45">
        <f>+D146</f>
        <v>75530</v>
      </c>
      <c r="E30" s="60">
        <f t="shared" si="0"/>
        <v>249680</v>
      </c>
    </row>
    <row r="31" spans="1:5" x14ac:dyDescent="0.3">
      <c r="B31" s="2">
        <v>8</v>
      </c>
      <c r="C31" s="35" t="s">
        <v>100</v>
      </c>
      <c r="D31" s="45">
        <f>+D154</f>
        <v>46550</v>
      </c>
      <c r="E31" s="60">
        <f t="shared" si="0"/>
        <v>153880</v>
      </c>
    </row>
    <row r="32" spans="1:5" x14ac:dyDescent="0.3">
      <c r="B32" s="2">
        <v>9</v>
      </c>
      <c r="C32" s="35" t="s">
        <v>101</v>
      </c>
      <c r="D32" s="45">
        <f>+D161</f>
        <v>52160</v>
      </c>
      <c r="E32" s="60">
        <f t="shared" si="0"/>
        <v>172430</v>
      </c>
    </row>
    <row r="33" spans="1:7" x14ac:dyDescent="0.3">
      <c r="B33" s="2">
        <v>10</v>
      </c>
      <c r="C33" s="35" t="s">
        <v>153</v>
      </c>
      <c r="D33" s="53">
        <f>TRUNC(SUM(D24:D32)*0.275,-1)</f>
        <v>472230</v>
      </c>
      <c r="E33" s="61">
        <f t="shared" si="0"/>
        <v>1561090</v>
      </c>
    </row>
    <row r="34" spans="1:7" x14ac:dyDescent="0.3">
      <c r="C34" s="35" t="s">
        <v>112</v>
      </c>
      <c r="D34" s="44">
        <f>SUM(D24:D33)</f>
        <v>2189460</v>
      </c>
      <c r="E34" s="44">
        <f>SUM(E24:E33)</f>
        <v>7237870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235</v>
      </c>
      <c r="D36" s="56" t="s">
        <v>260</v>
      </c>
      <c r="E36" s="56" t="s">
        <v>261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TRUNC(72575,-1)</f>
        <v>72570</v>
      </c>
      <c r="E40" s="63">
        <f t="shared" ref="E40:E59" si="1">TRUNC(+D40*3.3058,-1)</f>
        <v>239900</v>
      </c>
    </row>
    <row r="41" spans="1:7" x14ac:dyDescent="0.3">
      <c r="A41" s="2">
        <v>2</v>
      </c>
      <c r="C41" s="38" t="s">
        <v>13</v>
      </c>
      <c r="D41" s="42">
        <f>TRUNC(139592,-1)</f>
        <v>139590</v>
      </c>
      <c r="E41" s="64">
        <f t="shared" si="1"/>
        <v>461450</v>
      </c>
    </row>
    <row r="42" spans="1:7" x14ac:dyDescent="0.3">
      <c r="A42" s="2">
        <v>3</v>
      </c>
      <c r="C42" s="38" t="s">
        <v>14</v>
      </c>
      <c r="D42" s="42">
        <f>TRUNC(27843,-1)</f>
        <v>27840</v>
      </c>
      <c r="E42" s="64">
        <f t="shared" si="1"/>
        <v>92030</v>
      </c>
    </row>
    <row r="43" spans="1:7" x14ac:dyDescent="0.3">
      <c r="A43" s="2">
        <v>4</v>
      </c>
      <c r="C43" s="38" t="s">
        <v>16</v>
      </c>
      <c r="D43" s="42">
        <f>TRUNC(35709,-1)</f>
        <v>35700</v>
      </c>
      <c r="E43" s="64">
        <f t="shared" si="1"/>
        <v>118010</v>
      </c>
    </row>
    <row r="44" spans="1:7" x14ac:dyDescent="0.3">
      <c r="A44" s="2">
        <v>5</v>
      </c>
      <c r="C44" s="38" t="s">
        <v>17</v>
      </c>
      <c r="D44" s="42">
        <f>TRUNC(22521,-1)</f>
        <v>22520</v>
      </c>
      <c r="E44" s="64">
        <f t="shared" si="1"/>
        <v>74440</v>
      </c>
    </row>
    <row r="45" spans="1:7" x14ac:dyDescent="0.3">
      <c r="A45" s="2">
        <v>6</v>
      </c>
      <c r="C45" s="38" t="s">
        <v>18</v>
      </c>
      <c r="D45" s="42">
        <f>TRUNC(3408,-1)</f>
        <v>3400</v>
      </c>
      <c r="E45" s="64">
        <f t="shared" si="1"/>
        <v>11230</v>
      </c>
    </row>
    <row r="46" spans="1:7" x14ac:dyDescent="0.3">
      <c r="A46" s="2">
        <v>7</v>
      </c>
      <c r="C46" s="38" t="s">
        <v>19</v>
      </c>
      <c r="D46" s="42">
        <f>TRUNC(22253,-1)</f>
        <v>22250</v>
      </c>
      <c r="E46" s="64">
        <f t="shared" si="1"/>
        <v>73550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TRUNC(71824,-1)</f>
        <v>71820</v>
      </c>
      <c r="E48" s="64">
        <f t="shared" si="1"/>
        <v>237420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TRUNC(16058,-1)</f>
        <v>16050</v>
      </c>
      <c r="E49" s="64">
        <f t="shared" si="1"/>
        <v>53050</v>
      </c>
    </row>
    <row r="50" spans="1:7" x14ac:dyDescent="0.3">
      <c r="A50" s="2">
        <v>11</v>
      </c>
      <c r="C50" s="38" t="s">
        <v>154</v>
      </c>
      <c r="D50" s="42">
        <f>TRUNC(31618,-1)</f>
        <v>31610</v>
      </c>
      <c r="E50" s="64">
        <f t="shared" si="1"/>
        <v>104490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TRUNC(12762,-1)</f>
        <v>12760</v>
      </c>
      <c r="E52" s="64">
        <f t="shared" si="1"/>
        <v>42180</v>
      </c>
    </row>
    <row r="53" spans="1:7" x14ac:dyDescent="0.3">
      <c r="A53" s="2">
        <v>14</v>
      </c>
      <c r="C53" s="38" t="s">
        <v>25</v>
      </c>
      <c r="D53" s="42">
        <f>TRUNC(97687,-1)</f>
        <v>97680</v>
      </c>
      <c r="E53" s="64">
        <f t="shared" si="1"/>
        <v>322910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TRUNC(3001+3074-741+32297,-1)</f>
        <v>37630</v>
      </c>
      <c r="E58" s="64">
        <f t="shared" si="1"/>
        <v>124390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TRUNC(246244,-1)</f>
        <v>246240</v>
      </c>
      <c r="E59" s="65">
        <f t="shared" si="1"/>
        <v>814020</v>
      </c>
    </row>
    <row r="60" spans="1:7" x14ac:dyDescent="0.3">
      <c r="A60" s="2">
        <v>21</v>
      </c>
      <c r="C60" s="27" t="s">
        <v>112</v>
      </c>
      <c r="D60" s="39">
        <f>SUM(D40:D59)</f>
        <v>837660</v>
      </c>
      <c r="E60" s="39">
        <f>SUM(E40:E59)</f>
        <v>2769070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236</v>
      </c>
      <c r="C62" s="55" t="s">
        <v>237</v>
      </c>
      <c r="D62" s="56" t="s">
        <v>260</v>
      </c>
      <c r="E62" s="56" t="s">
        <v>261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TRUNC(42449,-1)</f>
        <v>42440</v>
      </c>
      <c r="E63" s="63">
        <f>TRUNC(+D63*3.3058,-1)</f>
        <v>140290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42440</v>
      </c>
      <c r="E66" s="57">
        <f>SUM(E63:E65)</f>
        <v>140290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238</v>
      </c>
      <c r="C68" s="55" t="s">
        <v>239</v>
      </c>
      <c r="D68" s="56" t="s">
        <v>260</v>
      </c>
      <c r="E68" s="56" t="s">
        <v>261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TRUNC(14225,-1)</f>
        <v>14220</v>
      </c>
      <c r="E69" s="63">
        <f t="shared" ref="E69:E94" si="2">TRUNC(+D69*3.3058,-1)</f>
        <v>47000</v>
      </c>
    </row>
    <row r="70" spans="1:7" ht="16.5" customHeight="1" x14ac:dyDescent="0.3">
      <c r="A70" s="2">
        <v>2</v>
      </c>
      <c r="C70" s="38" t="s">
        <v>31</v>
      </c>
      <c r="D70" s="42">
        <f>TRUNC(1302,-1)</f>
        <v>1300</v>
      </c>
      <c r="E70" s="64">
        <f t="shared" si="2"/>
        <v>4290</v>
      </c>
    </row>
    <row r="71" spans="1:7" x14ac:dyDescent="0.3">
      <c r="A71" s="2">
        <v>3</v>
      </c>
      <c r="C71" s="38" t="s">
        <v>32</v>
      </c>
      <c r="D71" s="42">
        <f>TRUNC(19780,-1)</f>
        <v>19780</v>
      </c>
      <c r="E71" s="64">
        <f t="shared" si="2"/>
        <v>65380</v>
      </c>
    </row>
    <row r="72" spans="1:7" x14ac:dyDescent="0.3">
      <c r="A72" s="2">
        <v>4</v>
      </c>
      <c r="C72" s="38" t="s">
        <v>33</v>
      </c>
      <c r="D72" s="42">
        <f>TRUNC(3402,-1)</f>
        <v>3400</v>
      </c>
      <c r="E72" s="64">
        <f t="shared" si="2"/>
        <v>11230</v>
      </c>
    </row>
    <row r="73" spans="1:7" x14ac:dyDescent="0.3">
      <c r="A73" s="2">
        <v>5</v>
      </c>
      <c r="C73" s="38" t="s">
        <v>34</v>
      </c>
      <c r="D73" s="42">
        <f>TRUNC(6064,-1)</f>
        <v>6060</v>
      </c>
      <c r="E73" s="64">
        <f t="shared" si="2"/>
        <v>20030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TRUNC(2278,-1)</f>
        <v>2270</v>
      </c>
      <c r="E75" s="64">
        <f t="shared" si="2"/>
        <v>7500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TRUNC(10933,-1)</f>
        <v>10930</v>
      </c>
      <c r="E89" s="64">
        <f t="shared" si="2"/>
        <v>36130</v>
      </c>
    </row>
    <row r="90" spans="1:7" x14ac:dyDescent="0.3">
      <c r="A90" s="2">
        <v>22</v>
      </c>
      <c r="C90" s="38" t="s">
        <v>36</v>
      </c>
      <c r="D90" s="42">
        <f>TRUNC(2255,-1)</f>
        <v>2250</v>
      </c>
      <c r="E90" s="64">
        <f t="shared" si="2"/>
        <v>7430</v>
      </c>
    </row>
    <row r="91" spans="1:7" x14ac:dyDescent="0.3">
      <c r="A91" s="2">
        <v>23</v>
      </c>
      <c r="C91" s="38" t="s">
        <v>37</v>
      </c>
      <c r="D91" s="42">
        <f>TRUNC(61727,-1)</f>
        <v>61720</v>
      </c>
      <c r="E91" s="64">
        <f t="shared" si="2"/>
        <v>204030</v>
      </c>
    </row>
    <row r="92" spans="1:7" x14ac:dyDescent="0.3">
      <c r="A92" s="2">
        <v>24</v>
      </c>
      <c r="C92" s="38" t="s">
        <v>38</v>
      </c>
      <c r="D92" s="42">
        <f>TRUNC(3284,-1)</f>
        <v>3280</v>
      </c>
      <c r="E92" s="64">
        <f t="shared" si="2"/>
        <v>10840</v>
      </c>
    </row>
    <row r="93" spans="1:7" x14ac:dyDescent="0.3">
      <c r="A93" s="2">
        <v>25</v>
      </c>
      <c r="C93" s="38" t="s">
        <v>148</v>
      </c>
      <c r="D93" s="42">
        <f>TRUNC(165623,-1)</f>
        <v>165620</v>
      </c>
      <c r="E93" s="64">
        <f t="shared" si="2"/>
        <v>547500</v>
      </c>
    </row>
    <row r="94" spans="1:7" ht="17.25" thickBot="1" x14ac:dyDescent="0.35">
      <c r="A94" s="2">
        <v>26</v>
      </c>
      <c r="C94" s="38" t="s">
        <v>47</v>
      </c>
      <c r="D94" s="43">
        <f>TRUNC(28609+2546+963+3719,-1)</f>
        <v>35830</v>
      </c>
      <c r="E94" s="65">
        <f t="shared" si="2"/>
        <v>118440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326660</v>
      </c>
      <c r="E95" s="39">
        <f>SUM(E69:E94)</f>
        <v>1079800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240</v>
      </c>
      <c r="C97" s="55" t="s">
        <v>239</v>
      </c>
      <c r="D97" s="56" t="s">
        <v>260</v>
      </c>
      <c r="E97" s="56" t="s">
        <v>261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TRUNC(25243,-1)</f>
        <v>25240</v>
      </c>
      <c r="E98" s="63">
        <f t="shared" ref="E98:E118" si="3">TRUNC(+D98*3.3058,-1)</f>
        <v>83430</v>
      </c>
    </row>
    <row r="99" spans="1:7" x14ac:dyDescent="0.3">
      <c r="A99" s="2">
        <v>2</v>
      </c>
      <c r="C99" s="38" t="s">
        <v>40</v>
      </c>
      <c r="D99" s="42">
        <f>TRUNC(11314,-1)</f>
        <v>11310</v>
      </c>
      <c r="E99" s="64">
        <f t="shared" si="3"/>
        <v>37380</v>
      </c>
    </row>
    <row r="100" spans="1:7" x14ac:dyDescent="0.3">
      <c r="A100" s="2">
        <v>3</v>
      </c>
      <c r="C100" s="38" t="s">
        <v>41</v>
      </c>
      <c r="D100" s="42">
        <f>TRUNC(28966,-1)</f>
        <v>28960</v>
      </c>
      <c r="E100" s="64">
        <f t="shared" si="3"/>
        <v>95730</v>
      </c>
    </row>
    <row r="101" spans="1:7" x14ac:dyDescent="0.3">
      <c r="A101" s="2">
        <v>4</v>
      </c>
      <c r="C101" s="38" t="s">
        <v>42</v>
      </c>
      <c r="D101" s="42">
        <f>TRUNC(420,-1)</f>
        <v>420</v>
      </c>
      <c r="E101" s="64">
        <f t="shared" si="3"/>
        <v>1380</v>
      </c>
    </row>
    <row r="102" spans="1:7" x14ac:dyDescent="0.3">
      <c r="A102" s="2">
        <v>5</v>
      </c>
      <c r="C102" s="38" t="s">
        <v>43</v>
      </c>
      <c r="D102" s="42">
        <f>TRUNC(10175,-1)</f>
        <v>10170</v>
      </c>
      <c r="E102" s="64">
        <f t="shared" si="3"/>
        <v>33610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TRUNC(4415,-1)</f>
        <v>4410</v>
      </c>
      <c r="E104" s="64">
        <f t="shared" si="3"/>
        <v>14570</v>
      </c>
    </row>
    <row r="105" spans="1:7" x14ac:dyDescent="0.3">
      <c r="A105" s="2">
        <v>8</v>
      </c>
      <c r="C105" s="38" t="s">
        <v>46</v>
      </c>
      <c r="D105" s="42">
        <f>TRUNC(6231,-1)</f>
        <v>6230</v>
      </c>
      <c r="E105" s="64">
        <f t="shared" si="3"/>
        <v>20590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TRUNC(7437,-1)</f>
        <v>7430</v>
      </c>
      <c r="E114" s="64">
        <f t="shared" si="3"/>
        <v>24560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TRUNC(11015,-1)</f>
        <v>11010</v>
      </c>
      <c r="E116" s="64">
        <f t="shared" si="3"/>
        <v>36390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TRUNC(93598,-1)</f>
        <v>93590</v>
      </c>
      <c r="E117" s="64">
        <f t="shared" si="3"/>
        <v>309380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5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198770</v>
      </c>
      <c r="E119" s="39">
        <f>SUM(E98:E118)</f>
        <v>657020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241</v>
      </c>
      <c r="C121" s="55" t="s">
        <v>239</v>
      </c>
      <c r="D121" s="56" t="s">
        <v>260</v>
      </c>
      <c r="E121" s="56" t="s">
        <v>261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TRUNC(7452,-1)</f>
        <v>7450</v>
      </c>
      <c r="E122" s="63">
        <f t="shared" ref="E122:E132" si="4">TRUNC(+D122*3.3058,-1)</f>
        <v>24620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TRUNC(4005,-1)</f>
        <v>4000</v>
      </c>
      <c r="E124" s="64">
        <f t="shared" si="4"/>
        <v>13220</v>
      </c>
    </row>
    <row r="125" spans="1:7" x14ac:dyDescent="0.3">
      <c r="A125" s="2">
        <v>4</v>
      </c>
      <c r="C125" s="38" t="s">
        <v>138</v>
      </c>
      <c r="D125" s="42">
        <f>TRUNC(8525,-1)</f>
        <v>8520</v>
      </c>
      <c r="E125" s="64">
        <f t="shared" si="4"/>
        <v>28160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TRUNC(7752,-1)</f>
        <v>7750</v>
      </c>
      <c r="E127" s="64">
        <f t="shared" si="4"/>
        <v>25610</v>
      </c>
    </row>
    <row r="128" spans="1:7" x14ac:dyDescent="0.3">
      <c r="A128" s="2">
        <v>7</v>
      </c>
      <c r="C128" s="38" t="s">
        <v>46</v>
      </c>
      <c r="D128" s="42">
        <f>TRUNC(5477,-1)</f>
        <v>5470</v>
      </c>
      <c r="E128" s="64">
        <f t="shared" si="4"/>
        <v>18080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TRUNC(26702,-1)</f>
        <v>26700</v>
      </c>
      <c r="E130" s="64">
        <f t="shared" si="4"/>
        <v>88260</v>
      </c>
    </row>
    <row r="131" spans="1:7" x14ac:dyDescent="0.3">
      <c r="A131" s="2">
        <v>10</v>
      </c>
      <c r="C131" s="38" t="s">
        <v>148</v>
      </c>
      <c r="D131" s="42">
        <f>TRUNC(73235,-1)</f>
        <v>73230</v>
      </c>
      <c r="E131" s="64">
        <f t="shared" si="4"/>
        <v>242080</v>
      </c>
    </row>
    <row r="132" spans="1:7" ht="17.25" thickBot="1" x14ac:dyDescent="0.35">
      <c r="A132" s="2">
        <v>11</v>
      </c>
      <c r="C132" s="38" t="s">
        <v>47</v>
      </c>
      <c r="D132" s="43">
        <f>TRUNC(3189+1155,-1)</f>
        <v>4340</v>
      </c>
      <c r="E132" s="65">
        <f t="shared" si="4"/>
        <v>14340</v>
      </c>
      <c r="F132" s="2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137460</v>
      </c>
      <c r="E133" s="39">
        <f>SUM(E122:E132)</f>
        <v>454370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242</v>
      </c>
      <c r="C135" s="55" t="s">
        <v>239</v>
      </c>
      <c r="D135" s="56" t="s">
        <v>260</v>
      </c>
      <c r="E135" s="56" t="s">
        <v>261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TRUNC(134+4231+4358+705,-1)</f>
        <v>9420</v>
      </c>
      <c r="E137" s="64">
        <f t="shared" si="5"/>
        <v>31140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f>TRUNC(9167,-1)</f>
        <v>9160</v>
      </c>
      <c r="E138" s="64">
        <f t="shared" si="5"/>
        <v>30280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TRUNC(2488,-1)</f>
        <v>2480</v>
      </c>
      <c r="E140" s="64">
        <f t="shared" si="5"/>
        <v>8190</v>
      </c>
    </row>
    <row r="141" spans="1:7" x14ac:dyDescent="0.3">
      <c r="A141" s="2">
        <v>6</v>
      </c>
      <c r="C141" s="38" t="s">
        <v>59</v>
      </c>
      <c r="D141" s="42">
        <f>TRUNC(18842,-1)</f>
        <v>18840</v>
      </c>
      <c r="E141" s="64">
        <f t="shared" si="5"/>
        <v>62280</v>
      </c>
    </row>
    <row r="142" spans="1:7" x14ac:dyDescent="0.3">
      <c r="A142" s="2">
        <v>7</v>
      </c>
      <c r="C142" s="38" t="s">
        <v>58</v>
      </c>
      <c r="D142" s="42">
        <f>TRUNC(4231,-1)</f>
        <v>4230</v>
      </c>
      <c r="E142" s="64">
        <f t="shared" si="5"/>
        <v>13980</v>
      </c>
    </row>
    <row r="143" spans="1:7" x14ac:dyDescent="0.3">
      <c r="A143" s="2">
        <v>8</v>
      </c>
      <c r="C143" s="38" t="s">
        <v>62</v>
      </c>
      <c r="D143" s="42">
        <f>TRUNC(4119,-1)</f>
        <v>4110</v>
      </c>
      <c r="E143" s="64">
        <f t="shared" si="5"/>
        <v>13580</v>
      </c>
    </row>
    <row r="144" spans="1:7" x14ac:dyDescent="0.3">
      <c r="A144" s="2">
        <v>9</v>
      </c>
      <c r="C144" s="38" t="s">
        <v>63</v>
      </c>
      <c r="D144" s="42">
        <f>TRUNC(22995,-1)</f>
        <v>22990</v>
      </c>
      <c r="E144" s="64">
        <f t="shared" si="5"/>
        <v>76000</v>
      </c>
    </row>
    <row r="145" spans="1:7" ht="17.25" thickBot="1" x14ac:dyDescent="0.35">
      <c r="A145" s="2">
        <v>10</v>
      </c>
      <c r="C145" s="38" t="s">
        <v>148</v>
      </c>
      <c r="D145" s="43">
        <f>TRUNC(4306,-1)</f>
        <v>4300</v>
      </c>
      <c r="E145" s="65">
        <f t="shared" si="5"/>
        <v>14210</v>
      </c>
    </row>
    <row r="146" spans="1:7" x14ac:dyDescent="0.3">
      <c r="A146" s="2">
        <v>11</v>
      </c>
      <c r="C146" s="27" t="s">
        <v>112</v>
      </c>
      <c r="D146" s="39">
        <f>SUM(D136:D145)</f>
        <v>75530</v>
      </c>
      <c r="E146" s="39">
        <f>SUM(E136:E145)</f>
        <v>249660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243</v>
      </c>
      <c r="C148" s="55" t="s">
        <v>239</v>
      </c>
      <c r="D148" s="56" t="s">
        <v>260</v>
      </c>
      <c r="E148" s="56" t="s">
        <v>261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TRUNC(3661+1863,-1)</f>
        <v>5520</v>
      </c>
      <c r="E149" s="63">
        <f>TRUNC(+D149*3.3058,-1)</f>
        <v>18240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f>TRUNC(6639,-1)</f>
        <v>6630</v>
      </c>
      <c r="E150" s="64">
        <f>TRUNC(+D150*3.3058,-1)</f>
        <v>21910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TRUNC(572+7122+3776,-1)</f>
        <v>11470</v>
      </c>
      <c r="E152" s="64">
        <f>TRUNC(+D152*3.3058,-1)</f>
        <v>37910</v>
      </c>
      <c r="F152" s="58" t="s">
        <v>257</v>
      </c>
    </row>
    <row r="153" spans="1:7" ht="17.25" thickBot="1" x14ac:dyDescent="0.35">
      <c r="A153" s="2">
        <v>5</v>
      </c>
      <c r="C153" s="38" t="s">
        <v>148</v>
      </c>
      <c r="D153" s="43">
        <f>TRUNC(22933,-1)</f>
        <v>22930</v>
      </c>
      <c r="E153" s="65">
        <f>TRUNC(+D153*3.3058,-1)</f>
        <v>75800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46550</v>
      </c>
      <c r="E154" s="39">
        <f>SUM(E149:E153)</f>
        <v>153860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244</v>
      </c>
      <c r="C156" s="55" t="s">
        <v>239</v>
      </c>
      <c r="D156" s="56" t="s">
        <v>260</v>
      </c>
      <c r="E156" s="56" t="s">
        <v>261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TRUNC(30455,-1)</f>
        <v>30450</v>
      </c>
      <c r="E157" s="63">
        <f>TRUNC(+D157*3.3058,-1)</f>
        <v>100660</v>
      </c>
    </row>
    <row r="158" spans="1:7" x14ac:dyDescent="0.3">
      <c r="A158" s="2">
        <v>2</v>
      </c>
      <c r="C158" s="38" t="s">
        <v>52</v>
      </c>
      <c r="D158" s="42">
        <f>TRUNC(180,-1)</f>
        <v>180</v>
      </c>
      <c r="E158" s="64">
        <f>TRUNC(+D158*3.3058,-1)</f>
        <v>590</v>
      </c>
    </row>
    <row r="159" spans="1:7" x14ac:dyDescent="0.3">
      <c r="A159" s="2">
        <v>3</v>
      </c>
      <c r="C159" s="38" t="s">
        <v>47</v>
      </c>
      <c r="D159" s="42">
        <f>TRUNC(6343+15192,-1)</f>
        <v>21530</v>
      </c>
      <c r="E159" s="64">
        <f>TRUNC(+D159*3.3058,-1)</f>
        <v>71170</v>
      </c>
      <c r="F159" s="2" t="s">
        <v>258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52160</v>
      </c>
      <c r="E161" s="39">
        <f>SUM(E157:E160)</f>
        <v>172420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2020-12-07T10:16:52Z</dcterms:modified>
</cp:coreProperties>
</file>