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3" i="4"/>
  <c r="D142" i="4"/>
  <c r="D140" i="4"/>
  <c r="D137" i="4"/>
  <c r="D132" i="4"/>
  <c r="D131" i="4"/>
  <c r="D130" i="4"/>
  <c r="D128" i="4"/>
  <c r="D125" i="4"/>
  <c r="D124" i="4"/>
  <c r="D122" i="4"/>
  <c r="D118" i="4"/>
  <c r="D117" i="4"/>
  <c r="D116" i="4"/>
  <c r="D91" i="4"/>
  <c r="D105" i="4"/>
  <c r="D104" i="4"/>
  <c r="D103" i="4"/>
  <c r="D102" i="4"/>
  <c r="D99" i="4"/>
  <c r="D98" i="4"/>
  <c r="D94" i="4"/>
  <c r="D93" i="4"/>
  <c r="D92" i="4"/>
  <c r="D76" i="4"/>
  <c r="D73" i="4"/>
  <c r="D72" i="4"/>
  <c r="D71" i="4"/>
  <c r="D69" i="4"/>
  <c r="D63" i="4"/>
  <c r="D59" i="4"/>
  <c r="D58" i="4"/>
  <c r="D53" i="4"/>
  <c r="D52" i="4"/>
  <c r="D50" i="4"/>
  <c r="D48" i="4"/>
  <c r="D46" i="4"/>
  <c r="D45" i="4"/>
  <c r="D44" i="4"/>
  <c r="D43" i="4"/>
  <c r="D42" i="4"/>
  <c r="D41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<sst xmlns="http://schemas.openxmlformats.org/spreadsheetml/2006/main" count="392" uniqueCount="266">
  <si>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</si>
  <si>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</si>
  <si>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</si>
  <si>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</si>
  <si>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</si>
  <si>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</si>
  <si>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</si>
  <si>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</si>
  <si>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</si>
  <si>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</si>
  <si>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</si>
  <si>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</si>
  <si>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</si>
  <si>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</si>
  <si>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</si>
  <si>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</si>
  <si>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</si>
  <si>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</si>
  <si>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</si>
  <si>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</si>
  <si>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</si>
  <si>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</si>
  <si>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</si>
  <si>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</si>
  <si>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</si>
  <si>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</si>
  <si>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</si>
  <si>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</si>
  <si>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</si>
  <si>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</si>
  <si>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</si>
  <si>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</si>
  <si>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</si>
  <si>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</si>
  <si>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</si>
  <si>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</si>
  <si>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</si>
  <si>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</si>
  <si>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</si>
  <si>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</si>
  <si>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</si>
  <si>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</si>
  <si>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</si>
  <si>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</si>
  <si>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</si>
  <si>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</si>
  <si>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</si>
  <si>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</si>
  <si>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</si>
  <si>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</si>
  <si>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</si>
  <si>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</si>
  <si>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</si>
  <si>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</si>
  <si>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</si>
  <si>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</si>
  <si>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</si>
  <si>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</si>
  <si>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</si>
  <si>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</si>
  <si>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</si>
  <si>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</si>
  <si>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</si>
  <si>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</si>
  <si>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</si>
  <si>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</si>
  <si>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</si>
  <si>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</si>
  <si>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</si>
  <si>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</si>
  <si>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</si>
  <si>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</si>
  <si>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</si>
  <si>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</si>
  <si>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</si>
  <si>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</si>
  <si>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</si>
  <si>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</si>
  <si>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</si>
  <si>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</si>
  <si>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</si>
  <si>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</si>
  <si>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</si>
  <si>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</si>
  <si>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</si>
  <si>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</si>
  <si>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</si>
  <si>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</si>
  <si>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</si>
  <si>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</si>
  <si>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</si>
  <si>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</si>
  <si>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</si>
  <si>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</si>
  <si>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</si>
  <si>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</si>
  <si>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</si>
  <si>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</si>
  <si>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</si>
  <si>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</si>
  <si>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</si>
  <si>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</si>
  <si>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</si>
  <si>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</si>
  <si>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</si>
  <si>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</si>
  <si>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</si>
  <si>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</si>
  <si>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</si>
  <si>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</si>
  <si>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</si>
  <si>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</si>
  <si>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</si>
  <si>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</si>
  <si>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</si>
  <si>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</si>
  <si>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</si>
  <si>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</si>
  <si>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</si>
  <si>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</si>
  <si>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</si>
  <si>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</si>
  <si>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</si>
  <si>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</si>
  <si>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</si>
  <si>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</si>
  <si>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</si>
  <si>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</si>
  <si>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</si>
  <si>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</si>
  <si>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</si>
  <si>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</si>
  <si>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</si>
  <si>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</si>
  <si>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</si>
  <si>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</si>
  <si>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</si>
  <si>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</si>
  <si>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</si>
  <si>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</si>
  <si>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</si>
  <si>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</si>
  <si>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</si>
  <si>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</si>
  <si>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</si>
  <si>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</si>
  <si>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</si>
  <si>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</si>
  <si>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</si>
  <si>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</si>
  <si>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</si>
  <si>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</si>
  <si>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</si>
  <si>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</si>
  <si>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</si>
  <si>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</si>
  <si>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</si>
  <si>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</si>
  <si>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</si>
  <si>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</si>
  <si>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</si>
  <si>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</si>
  <si>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</si>
  <si>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</si>
  <si>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</si>
  <si>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</si>
  <si>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</si>
  <si>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</si>
  <si>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</si>
  <si>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</si>
  <si>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</si>
  <si>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</si>
  <si>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</si>
  <si>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</si>
  <si>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</si>
  <si>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</si>
  <si>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</si>
  <si>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</si>
  <si>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</si>
  <si>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</si>
  <si>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</si>
  <si>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</si>
  <si>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</si>
  <si>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</si>
  <si>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</si>
  <si>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</si>
  <si>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</si>
  <si>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</si>
  <si>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</si>
  <si>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</si>
  <si>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</si>
  <si>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</si>
  <si>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</si>
  <si>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</si>
  <si>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</si>
  <si>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</si>
  <si>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</si>
  <si>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</si>
  <si>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</si>
  <si>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</si>
  <si>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</si>
  <si>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</si>
  <si>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</si>
  <si>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</si>
  <si>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</si>
  <si>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</si>
  <si>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</si>
  <si>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</si>
  <si>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</si>
  <si>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</si>
  <si>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</si>
  <si>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</si>
  <si>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</si>
  <si>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</si>
  <si>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</si>
  <si>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</si>
  <si>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</si>
  <si>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</si>
  <si>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</si>
  <si>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</si>
  <si>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</si>
  <si>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</si>
  <si>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</si>
  <si>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</si>
  <si>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</si>
  <si>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</si>
  <si>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</si>
  <si>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</si>
  <si>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</si>
  <si>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</si>
  <si>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</si>
  <si>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</si>
  <si>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</si>
  <si>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</si>
  <si>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</si>
  <si>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</si>
  <si>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</si>
  <si>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</si>
  <si>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</si>
  <si>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</si>
  <si>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</si>
  <si>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</si>
  <si>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</si>
  <si>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</si>
  <si>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</si>
  <si>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</si>
  <si>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</si>
  <si>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</si>
  <si>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</si>
  <si>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</si>
  <si>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</si>
  <si>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</si>
  <si>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</si>
  <si>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</si>
  <si>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</si>
  <si>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교육연구</t>
  </si>
  <si>
    <t>(긴급)대관령중학교 신축이전공사</t>
    <phoneticPr fontId="2" type="noConversion"/>
  </si>
  <si>
    <t>강원도</t>
  </si>
  <si>
    <t>기초공사, 골재비및운반비, 작업부산물, 기타공사</t>
    <phoneticPr fontId="2" type="noConversion"/>
  </si>
  <si>
    <t>난방배관공사, 기타공사</t>
    <phoneticPr fontId="2" type="noConversion"/>
  </si>
  <si>
    <t>CCTV설비공사</t>
    <phoneticPr fontId="2" type="noConversion"/>
  </si>
  <si>
    <t xml:space="preserve"> </t>
    <phoneticPr fontId="2" type="noConversion"/>
  </si>
  <si>
    <t>펌프실배관공사,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</si>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</sst>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5590.31</v>
      </c>
      <c r="D7" s="36">
        <f>+C7/3.3058</f>
        <v>1691.0611652247567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1203400</v>
      </c>
      <c r="E25" s="59">
        <f t="shared" si="0"/>
        <v>3978190</v>
      </c>
    </row>
    <row r="26" spans="1:5" x14ac:dyDescent="0.3">
      <c r="B26" s="2">
        <v>3</v>
      </c>
      <c r="C26" s="35" t="s">
        <v>95</v>
      </c>
      <c r="D26" s="45">
        <f>+D66</f>
        <v>34140</v>
      </c>
      <c r="E26" s="59">
        <f t="shared" si="0"/>
        <v>112860</v>
      </c>
    </row>
    <row r="27" spans="1:5" x14ac:dyDescent="0.3">
      <c r="B27" s="2">
        <v>4</v>
      </c>
      <c r="C27" s="35" t="s">
        <v>96</v>
      </c>
      <c r="D27" s="45">
        <f>+D95</f>
        <v>158540</v>
      </c>
      <c r="E27" s="59">
        <f t="shared" si="0"/>
        <v>524100</v>
      </c>
    </row>
    <row r="28" spans="1:5" x14ac:dyDescent="0.3">
      <c r="B28" s="2">
        <v>5</v>
      </c>
      <c r="C28" s="35" t="s">
        <v>97</v>
      </c>
      <c r="D28" s="45">
        <f>+D119</f>
        <v>203540</v>
      </c>
      <c r="E28" s="59">
        <f t="shared" si="0"/>
        <v>672860</v>
      </c>
    </row>
    <row r="29" spans="1:5" x14ac:dyDescent="0.3">
      <c r="B29" s="2">
        <v>6</v>
      </c>
      <c r="C29" s="35" t="s">
        <v>98</v>
      </c>
      <c r="D29" s="45">
        <f>+D133</f>
        <v>99830</v>
      </c>
      <c r="E29" s="59">
        <f t="shared" si="0"/>
        <v>330010</v>
      </c>
    </row>
    <row r="30" spans="1:5" x14ac:dyDescent="0.3">
      <c r="B30" s="2">
        <v>7</v>
      </c>
      <c r="C30" s="35" t="s">
        <v>99</v>
      </c>
      <c r="D30" s="45">
        <f>+D146</f>
        <v>27210</v>
      </c>
      <c r="E30" s="59">
        <f t="shared" si="0"/>
        <v>89950</v>
      </c>
    </row>
    <row r="31" spans="1:5" x14ac:dyDescent="0.3">
      <c r="B31" s="2">
        <v>8</v>
      </c>
      <c r="C31" s="35" t="s">
        <v>100</v>
      </c>
      <c r="D31" s="45">
        <f>+D154</f>
        <v>76010</v>
      </c>
      <c r="E31" s="59">
        <f t="shared" si="0"/>
        <v>251270</v>
      </c>
    </row>
    <row r="32" spans="1:5" x14ac:dyDescent="0.3">
      <c r="B32" s="2">
        <v>9</v>
      </c>
      <c r="C32" s="35" t="s">
        <v>101</v>
      </c>
      <c r="D32" s="45">
        <f>+D161</f>
        <v>50400</v>
      </c>
      <c r="E32" s="59">
        <f t="shared" si="0"/>
        <v>166610</v>
      </c>
    </row>
    <row r="33" spans="1:7" x14ac:dyDescent="0.3">
      <c r="B33" s="2">
        <v>10</v>
      </c>
      <c r="C33" s="35" t="s">
        <v>155</v>
      </c>
      <c r="D33" s="53">
        <f>TRUNC(SUM(D24:D32)*0.275,-1)</f>
        <v>509590</v>
      </c>
      <c r="E33" s="60">
        <f t="shared" si="0"/>
        <v>1684600</v>
      </c>
    </row>
    <row r="34" spans="1:7" x14ac:dyDescent="0.3">
      <c r="C34" s="35" t="s">
        <v>112</v>
      </c>
      <c r="D34" s="44">
        <f>SUM(D24:D33)</f>
        <v>2362660</v>
      </c>
      <c r="E34" s="44">
        <f>SUM(E24:E33)</f>
        <v>7810450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v>63470</v>
      </c>
      <c r="E40" s="62">
        <f t="shared" ref="E40:E59" si="1">TRUNC(+D40*3.3058,-1)</f>
        <v>209810</v>
      </c>
    </row>
    <row r="41" spans="1:7" x14ac:dyDescent="0.3">
      <c r="A41" s="2">
        <v>2</v>
      </c>
      <c r="C41" s="38" t="s">
        <v>13</v>
      </c>
      <c r="D41" s="42">
        <f>TRUNC(204785,-1)</f>
        <v>204780</v>
      </c>
      <c r="E41" s="63">
        <f t="shared" si="1"/>
        <v>676960</v>
      </c>
    </row>
    <row r="42" spans="1:7" x14ac:dyDescent="0.3">
      <c r="A42" s="2">
        <v>3</v>
      </c>
      <c r="C42" s="38" t="s">
        <v>14</v>
      </c>
      <c r="D42" s="42">
        <f>TRUNC(17498,-1)</f>
        <v>17490</v>
      </c>
      <c r="E42" s="63">
        <f t="shared" si="1"/>
        <v>57810</v>
      </c>
    </row>
    <row r="43" spans="1:7" x14ac:dyDescent="0.3">
      <c r="A43" s="2">
        <v>4</v>
      </c>
      <c r="C43" s="38" t="s">
        <v>16</v>
      </c>
      <c r="D43" s="42">
        <f>TRUNC(53514,-1)</f>
        <v>53510</v>
      </c>
      <c r="E43" s="63">
        <f t="shared" si="1"/>
        <v>176890</v>
      </c>
    </row>
    <row r="44" spans="1:7" x14ac:dyDescent="0.3">
      <c r="A44" s="2">
        <v>5</v>
      </c>
      <c r="C44" s="38" t="s">
        <v>17</v>
      </c>
      <c r="D44" s="42">
        <f>TRUNC(23673,-1)</f>
        <v>23670</v>
      </c>
      <c r="E44" s="63">
        <f t="shared" si="1"/>
        <v>78240</v>
      </c>
    </row>
    <row r="45" spans="1:7" x14ac:dyDescent="0.3">
      <c r="A45" s="2">
        <v>6</v>
      </c>
      <c r="C45" s="38" t="s">
        <v>18</v>
      </c>
      <c r="D45" s="42">
        <f>TRUNC(14958,-1)</f>
        <v>14950</v>
      </c>
      <c r="E45" s="63">
        <f t="shared" si="1"/>
        <v>49420</v>
      </c>
    </row>
    <row r="46" spans="1:7" x14ac:dyDescent="0.3">
      <c r="A46" s="2">
        <v>7</v>
      </c>
      <c r="C46" s="38" t="s">
        <v>19</v>
      </c>
      <c r="D46" s="42">
        <f>TRUNC(26976,-1)</f>
        <v>26970</v>
      </c>
      <c r="E46" s="63">
        <f t="shared" si="1"/>
        <v>89150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TRUNC(85313,-1)</f>
        <v>85310</v>
      </c>
      <c r="E48" s="63">
        <f t="shared" si="1"/>
        <v>282010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v>19390</v>
      </c>
      <c r="E49" s="63">
        <f t="shared" si="1"/>
        <v>64090</v>
      </c>
    </row>
    <row r="50" spans="1:7" x14ac:dyDescent="0.3">
      <c r="A50" s="2">
        <v>11</v>
      </c>
      <c r="C50" s="38" t="s">
        <v>156</v>
      </c>
      <c r="D50" s="42">
        <f>TRUNC(66984,-1)</f>
        <v>66980</v>
      </c>
      <c r="E50" s="63">
        <f t="shared" si="1"/>
        <v>221420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TRUNC(8834,-1)</f>
        <v>8830</v>
      </c>
      <c r="E52" s="63">
        <f t="shared" si="1"/>
        <v>29190</v>
      </c>
    </row>
    <row r="53" spans="1:7" x14ac:dyDescent="0.3">
      <c r="A53" s="2">
        <v>14</v>
      </c>
      <c r="C53" s="38" t="s">
        <v>25</v>
      </c>
      <c r="D53" s="42">
        <f>TRUNC(69436,-1)</f>
        <v>69430</v>
      </c>
      <c r="E53" s="63">
        <f t="shared" si="1"/>
        <v>229520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TRUNC(11143+6778-655+22196,-1)</f>
        <v>39460</v>
      </c>
      <c r="E58" s="63">
        <f t="shared" si="1"/>
        <v>130440</v>
      </c>
      <c r="F58" s="2" t="s">
        <v>258</v>
      </c>
    </row>
    <row r="59" spans="1:7" ht="17.25" thickBot="1" x14ac:dyDescent="0.35">
      <c r="A59" s="2">
        <v>20</v>
      </c>
      <c r="C59" s="38" t="s">
        <v>149</v>
      </c>
      <c r="D59" s="43">
        <f>TRUNC(509164,-1)</f>
        <v>509160</v>
      </c>
      <c r="E59" s="64">
        <f t="shared" si="1"/>
        <v>1683180</v>
      </c>
    </row>
    <row r="60" spans="1:7" x14ac:dyDescent="0.3">
      <c r="A60" s="2">
        <v>21</v>
      </c>
      <c r="C60" s="27" t="s">
        <v>112</v>
      </c>
      <c r="D60" s="39">
        <f>SUM(D40:D59)</f>
        <v>1203400</v>
      </c>
      <c r="E60" s="39">
        <f>SUM(E40:E59)</f>
        <v>3978130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TRUNC(34144,-1)</f>
        <v>34140</v>
      </c>
      <c r="E63" s="62">
        <f>TRUNC(+D63*3.3058,-1)</f>
        <v>112860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34140</v>
      </c>
      <c r="E66" s="65">
        <f>SUM(E63:E65)</f>
        <v>112860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TRUNC(7215,-1)</f>
        <v>7210</v>
      </c>
      <c r="E69" s="62">
        <f t="shared" ref="E69:E94" si="2">TRUNC(+D69*3.3058,-1)</f>
        <v>23830</v>
      </c>
    </row>
    <row r="70" spans="1:7" ht="16.5" customHeight="1" x14ac:dyDescent="0.3">
      <c r="A70" s="2">
        <v>2</v>
      </c>
      <c r="C70" s="38" t="s">
        <v>31</v>
      </c>
      <c r="D70" s="42">
        <v>4850</v>
      </c>
      <c r="E70" s="63">
        <f t="shared" si="2"/>
        <v>16030</v>
      </c>
    </row>
    <row r="71" spans="1:7" x14ac:dyDescent="0.3">
      <c r="A71" s="2">
        <v>3</v>
      </c>
      <c r="C71" s="38" t="s">
        <v>32</v>
      </c>
      <c r="D71" s="42">
        <f>TRUNC(10696,-1)</f>
        <v>10690</v>
      </c>
      <c r="E71" s="63">
        <f t="shared" si="2"/>
        <v>35330</v>
      </c>
    </row>
    <row r="72" spans="1:7" x14ac:dyDescent="0.3">
      <c r="A72" s="2">
        <v>4</v>
      </c>
      <c r="C72" s="38" t="s">
        <v>33</v>
      </c>
      <c r="D72" s="42">
        <f>TRUNC(9416,-1)</f>
        <v>9410</v>
      </c>
      <c r="E72" s="63">
        <f t="shared" si="2"/>
        <v>31100</v>
      </c>
    </row>
    <row r="73" spans="1:7" x14ac:dyDescent="0.3">
      <c r="A73" s="2">
        <v>5</v>
      </c>
      <c r="C73" s="38" t="s">
        <v>34</v>
      </c>
      <c r="D73" s="42">
        <f>TRUNC(16278,-1)</f>
        <v>16270</v>
      </c>
      <c r="E73" s="63">
        <f t="shared" si="2"/>
        <v>53780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TRUNC(22143,-1)</f>
        <v>22140</v>
      </c>
      <c r="E76" s="63">
        <f t="shared" si="2"/>
        <v>73190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8090</v>
      </c>
      <c r="E89" s="63">
        <f t="shared" si="2"/>
        <v>26740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TRUNC(3204,-1)</f>
        <v>3200</v>
      </c>
      <c r="E91" s="63">
        <f t="shared" si="2"/>
        <v>10570</v>
      </c>
    </row>
    <row r="92" spans="1:7" x14ac:dyDescent="0.3">
      <c r="A92" s="2">
        <v>24</v>
      </c>
      <c r="C92" s="38" t="s">
        <v>38</v>
      </c>
      <c r="D92" s="42">
        <f>TRUNC(9806,-1)</f>
        <v>9800</v>
      </c>
      <c r="E92" s="63">
        <f t="shared" si="2"/>
        <v>32390</v>
      </c>
    </row>
    <row r="93" spans="1:7" x14ac:dyDescent="0.3">
      <c r="A93" s="2">
        <v>25</v>
      </c>
      <c r="C93" s="38" t="s">
        <v>149</v>
      </c>
      <c r="D93" s="42">
        <f>TRUNC(64767,-1)</f>
        <v>64760</v>
      </c>
      <c r="E93" s="63">
        <f t="shared" si="2"/>
        <v>214080</v>
      </c>
    </row>
    <row r="94" spans="1:7" ht="17.25" thickBot="1" x14ac:dyDescent="0.35">
      <c r="A94" s="2">
        <v>26</v>
      </c>
      <c r="C94" s="38" t="s">
        <v>47</v>
      </c>
      <c r="D94" s="43">
        <f>TRUNC(1468+654,-1)</f>
        <v>2120</v>
      </c>
      <c r="E94" s="64">
        <f t="shared" si="2"/>
        <v>7000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158540</v>
      </c>
      <c r="E95" s="39">
        <f>SUM(E69:E94)</f>
        <v>524040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TRUNC(10183,-1)</f>
        <v>10180</v>
      </c>
      <c r="E98" s="62">
        <f t="shared" ref="E98:E118" si="3">TRUNC(+D98*3.3058,-1)</f>
        <v>33650</v>
      </c>
    </row>
    <row r="99" spans="1:7" x14ac:dyDescent="0.3">
      <c r="A99" s="2">
        <v>2</v>
      </c>
      <c r="C99" s="38" t="s">
        <v>40</v>
      </c>
      <c r="D99" s="42">
        <f>TRUNC(2597,-1)</f>
        <v>2590</v>
      </c>
      <c r="E99" s="63">
        <f t="shared" si="3"/>
        <v>8560</v>
      </c>
    </row>
    <row r="100" spans="1:7" x14ac:dyDescent="0.3">
      <c r="A100" s="2">
        <v>3</v>
      </c>
      <c r="C100" s="38" t="s">
        <v>41</v>
      </c>
      <c r="D100" s="42">
        <v>25140</v>
      </c>
      <c r="E100" s="63">
        <f t="shared" si="3"/>
        <v>83100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TRUNC(17965,-1)</f>
        <v>17960</v>
      </c>
      <c r="E102" s="63">
        <f t="shared" si="3"/>
        <v>59370</v>
      </c>
    </row>
    <row r="103" spans="1:7" x14ac:dyDescent="0.3">
      <c r="A103" s="2">
        <v>6</v>
      </c>
      <c r="C103" s="38" t="s">
        <v>44</v>
      </c>
      <c r="D103" s="42">
        <f>TRUNC(2155,-1)</f>
        <v>2150</v>
      </c>
      <c r="E103" s="63">
        <f t="shared" si="3"/>
        <v>7100</v>
      </c>
    </row>
    <row r="104" spans="1:7" x14ac:dyDescent="0.3">
      <c r="A104" s="2">
        <v>7</v>
      </c>
      <c r="C104" s="38" t="s">
        <v>45</v>
      </c>
      <c r="D104" s="42">
        <f>TRUNC(5935,-1)</f>
        <v>5930</v>
      </c>
      <c r="E104" s="63">
        <f t="shared" si="3"/>
        <v>19600</v>
      </c>
    </row>
    <row r="105" spans="1:7" x14ac:dyDescent="0.3">
      <c r="A105" s="2">
        <v>8</v>
      </c>
      <c r="C105" s="38" t="s">
        <v>46</v>
      </c>
      <c r="D105" s="42">
        <f>TRUNC(3565,-1)</f>
        <v>3560</v>
      </c>
      <c r="E105" s="63">
        <f t="shared" si="3"/>
        <v>11760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TRUNC(14418,-1)</f>
        <v>14410</v>
      </c>
      <c r="E116" s="63">
        <f t="shared" si="3"/>
        <v>47630</v>
      </c>
      <c r="F116" s="2" t="s">
        <v>252</v>
      </c>
    </row>
    <row r="117" spans="1:7" x14ac:dyDescent="0.3">
      <c r="A117" s="2">
        <v>20</v>
      </c>
      <c r="C117" s="38" t="s">
        <v>149</v>
      </c>
      <c r="D117" s="42">
        <f>TRUNC(120255,-1)</f>
        <v>120250</v>
      </c>
      <c r="E117" s="63">
        <f t="shared" si="3"/>
        <v>397520</v>
      </c>
    </row>
    <row r="118" spans="1:7" ht="17.25" thickBot="1" x14ac:dyDescent="0.35">
      <c r="A118" s="2">
        <v>21</v>
      </c>
      <c r="C118" s="38" t="s">
        <v>47</v>
      </c>
      <c r="D118" s="43">
        <f>TRUNC(1376,-1)</f>
        <v>1370</v>
      </c>
      <c r="E118" s="64">
        <f t="shared" si="3"/>
        <v>4520</v>
      </c>
    </row>
    <row r="119" spans="1:7" x14ac:dyDescent="0.3">
      <c r="A119" s="2">
        <v>22</v>
      </c>
      <c r="C119" s="27" t="s">
        <v>112</v>
      </c>
      <c r="D119" s="39">
        <f>SUM(D98:D118)</f>
        <v>203540</v>
      </c>
      <c r="E119" s="39">
        <f>SUM(E98:E118)</f>
        <v>672810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TRUNC(3795,-1)</f>
        <v>3790</v>
      </c>
      <c r="E122" s="62">
        <f t="shared" ref="E122:E132" si="4">TRUNC(+D122*3.3058,-1)</f>
        <v>12520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TRUNC(5633,-1)</f>
        <v>5630</v>
      </c>
      <c r="E124" s="63">
        <f t="shared" si="4"/>
        <v>18610</v>
      </c>
    </row>
    <row r="125" spans="1:7" x14ac:dyDescent="0.3">
      <c r="A125" s="2">
        <v>4</v>
      </c>
      <c r="C125" s="38" t="s">
        <v>138</v>
      </c>
      <c r="D125" s="42">
        <f>TRUNC(6118,-1)</f>
        <v>6110</v>
      </c>
      <c r="E125" s="63">
        <f t="shared" si="4"/>
        <v>20190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TRUNC(3481,-1)</f>
        <v>3480</v>
      </c>
      <c r="E128" s="63">
        <f t="shared" si="4"/>
        <v>11500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TRUNC(20443,-1)</f>
        <v>20440</v>
      </c>
      <c r="E130" s="63">
        <f t="shared" si="4"/>
        <v>67570</v>
      </c>
    </row>
    <row r="131" spans="1:7" x14ac:dyDescent="0.3">
      <c r="A131" s="2">
        <v>10</v>
      </c>
      <c r="C131" s="38" t="s">
        <v>149</v>
      </c>
      <c r="D131" s="42">
        <f>TRUNC(57299,-1)</f>
        <v>57290</v>
      </c>
      <c r="E131" s="63">
        <f t="shared" si="4"/>
        <v>189380</v>
      </c>
    </row>
    <row r="132" spans="1:7" ht="18" thickBot="1" x14ac:dyDescent="0.35">
      <c r="A132" s="2">
        <v>11</v>
      </c>
      <c r="C132" s="38" t="s">
        <v>47</v>
      </c>
      <c r="D132" s="43">
        <f>TRUNC(3093,-1)</f>
        <v>3090</v>
      </c>
      <c r="E132" s="64">
        <f t="shared" si="4"/>
        <v>10210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99830</v>
      </c>
      <c r="E133" s="39">
        <f>SUM(E122:E132)</f>
        <v>329980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TRUNC(1206+12022,-1)</f>
        <v>13220</v>
      </c>
      <c r="E137" s="63">
        <f t="shared" si="5"/>
        <v>43700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  <c r="F139" s="2" t="s">
        <v>261</v>
      </c>
    </row>
    <row r="140" spans="1:7" x14ac:dyDescent="0.3">
      <c r="A140" s="2">
        <v>5</v>
      </c>
      <c r="C140" s="38" t="s">
        <v>57</v>
      </c>
      <c r="D140" s="42">
        <f>TRUNC(527,-1)</f>
        <v>520</v>
      </c>
      <c r="E140" s="63">
        <f t="shared" si="5"/>
        <v>1710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TRUNC(4068,-1)</f>
        <v>4060</v>
      </c>
      <c r="E142" s="63">
        <f t="shared" si="5"/>
        <v>13420</v>
      </c>
    </row>
    <row r="143" spans="1:7" x14ac:dyDescent="0.3">
      <c r="A143" s="2">
        <v>8</v>
      </c>
      <c r="C143" s="38" t="s">
        <v>62</v>
      </c>
      <c r="D143" s="42">
        <f>TRUNC(2968,-1)</f>
        <v>2960</v>
      </c>
      <c r="E143" s="63">
        <f t="shared" si="5"/>
        <v>9780</v>
      </c>
    </row>
    <row r="144" spans="1:7" x14ac:dyDescent="0.3">
      <c r="A144" s="2">
        <v>9</v>
      </c>
      <c r="C144" s="38" t="s">
        <v>63</v>
      </c>
      <c r="D144" s="42">
        <v>6450</v>
      </c>
      <c r="E144" s="63">
        <f t="shared" si="5"/>
        <v>21320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27210</v>
      </c>
      <c r="E146" s="39">
        <f>SUM(E136:E145)</f>
        <v>89930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TRUNC(14048+3530,-1)</f>
        <v>17570</v>
      </c>
      <c r="E149" s="62">
        <f>TRUNC(+D149*3.3058,-1)</f>
        <v>58080</v>
      </c>
    </row>
    <row r="150" spans="1:7" x14ac:dyDescent="0.3">
      <c r="A150" s="2">
        <v>2</v>
      </c>
      <c r="C150" s="38" t="s">
        <v>49</v>
      </c>
      <c r="D150" s="42">
        <f>TRUNC(2547,-1)</f>
        <v>2540</v>
      </c>
      <c r="E150" s="63">
        <f>TRUNC(+D150*3.3058,-1)</f>
        <v>8390</v>
      </c>
    </row>
    <row r="151" spans="1:7" x14ac:dyDescent="0.3">
      <c r="A151" s="2">
        <v>3</v>
      </c>
      <c r="C151" s="38" t="s">
        <v>50</v>
      </c>
      <c r="D151" s="42">
        <f>TRUNC(48764,-1)</f>
        <v>48760</v>
      </c>
      <c r="E151" s="63">
        <f>TRUNC(+D151*3.3058,-1)</f>
        <v>161190</v>
      </c>
    </row>
    <row r="152" spans="1:7" x14ac:dyDescent="0.3">
      <c r="A152" s="2">
        <v>4</v>
      </c>
      <c r="C152" s="38" t="s">
        <v>47</v>
      </c>
      <c r="D152" s="42">
        <f>TRUNC(7148,-1)</f>
        <v>7140</v>
      </c>
      <c r="E152" s="63">
        <f>TRUNC(+D152*3.3058,-1)</f>
        <v>23600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76010</v>
      </c>
      <c r="E154" s="39">
        <f>SUM(E149:E153)</f>
        <v>251260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TRUNC(28696,-1)</f>
        <v>28690</v>
      </c>
      <c r="E157" s="62">
        <f>TRUNC(+D157*3.3058,-1)</f>
        <v>94840</v>
      </c>
    </row>
    <row r="158" spans="1:7" x14ac:dyDescent="0.3">
      <c r="A158" s="2">
        <v>2</v>
      </c>
      <c r="C158" s="38" t="s">
        <v>52</v>
      </c>
      <c r="D158" s="42">
        <f>TRUNC(6793,-1)</f>
        <v>6790</v>
      </c>
      <c r="E158" s="63">
        <f>TRUNC(+D158*3.3058,-1)</f>
        <v>22440</v>
      </c>
    </row>
    <row r="159" spans="1:7" x14ac:dyDescent="0.3">
      <c r="A159" s="2">
        <v>3</v>
      </c>
      <c r="C159" s="38" t="s">
        <v>47</v>
      </c>
      <c r="D159" s="42">
        <f>TRUNC(9678+5249,-1)</f>
        <v>14920</v>
      </c>
      <c r="E159" s="63">
        <f>TRUNC(+D159*3.3058,-1)</f>
        <v>49320</v>
      </c>
      <c r="F159" s="2" t="s">
        <v>254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50400</v>
      </c>
      <c r="E161" s="39">
        <f>SUM(E157:E160)</f>
        <v>166600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2020-12-08T01:24:10Z</dcterms:modified>
</cp:coreProperties>
</file>