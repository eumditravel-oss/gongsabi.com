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28" i="4" l="1"/>
  <c r="D127" i="4"/>
  <c r="D124" i="4"/>
  <c r="D132" i="4"/>
  <c r="D125" i="4"/>
  <c r="D122" i="4"/>
  <c r="D130" i="4"/>
  <c r="D118" i="4"/>
  <c r="D105" i="4"/>
  <c r="D101" i="4"/>
  <c r="D104" i="4"/>
  <c r="D102" i="4"/>
  <c r="D100" i="4"/>
  <c r="D99" i="4"/>
  <c r="D98" i="4"/>
  <c r="D115" i="4"/>
  <c r="D114" i="4"/>
  <c r="D94" i="4"/>
  <c r="D77" i="4"/>
  <c r="D85" i="4"/>
  <c r="D75" i="4"/>
  <c r="D90" i="4"/>
  <c r="D72" i="4"/>
  <c r="D78" i="4"/>
  <c r="D71" i="4"/>
  <c r="D70" i="4"/>
  <c r="D69" i="4"/>
  <c r="D54" i="4"/>
  <c r="D58" i="4"/>
  <c r="D55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7" i="4"/>
  <c r="D159" i="4"/>
  <c r="D152" i="4"/>
  <c r="D137" i="4"/>
  <c r="D136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19" i="4"/>
  <c r="E95" i="4"/>
  <c r="E60" i="4"/>
  <c r="E154" i="4"/>
  <c r="E146" i="4"/>
  <c r="D161" i="4"/>
  <c r="D154" i="4"/>
  <c r="D146" i="4"/>
  <c r="D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1" i="4"/>
  <c r="E31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0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<sst xmlns="http://schemas.openxmlformats.org/spreadsheetml/2006/main" count="391" uniqueCount="266">
  <si>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</si>
  <si>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</si>
  <si>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</si>
  <si>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</si>
  <si>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</si>
  <si>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</si>
  <si>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</si>
  <si>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</si>
  <si>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</si>
  <si>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</si>
  <si>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</si>
  <si>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</si>
  <si>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</si>
  <si>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</si>
  <si>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</si>
  <si>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</si>
  <si>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</si>
  <si>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</si>
  <si>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</si>
  <si>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</si>
  <si>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</si>
  <si>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</si>
  <si>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</si>
  <si>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</si>
  <si>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</si>
  <si>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</si>
  <si>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</si>
  <si>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</si>
  <si>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</si>
  <si>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</si>
  <si>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</si>
  <si>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</si>
  <si>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</si>
  <si>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</si>
  <si>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</si>
  <si>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</si>
  <si>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</si>
  <si>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</si>
  <si>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</si>
  <si>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</si>
  <si>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</si>
  <si>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</si>
  <si>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</si>
  <si>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</si>
  <si>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</si>
  <si>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</si>
  <si>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</si>
  <si>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</si>
  <si>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</si>
  <si>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</si>
  <si>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</si>
  <si>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</si>
  <si>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</si>
  <si>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</si>
  <si>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</si>
  <si>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</si>
  <si>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</si>
  <si>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</si>
  <si>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</si>
  <si>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</si>
  <si>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</si>
  <si>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</si>
  <si>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</si>
  <si>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</si>
  <si>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</si>
  <si>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</si>
  <si>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</si>
  <si>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</si>
  <si>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</si>
  <si>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</si>
  <si>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</si>
  <si>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</si>
  <si>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</si>
  <si>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</si>
  <si>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</si>
  <si>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</si>
  <si>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</si>
  <si>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</si>
  <si>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</si>
  <si>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</si>
  <si>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</si>
  <si>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</si>
  <si>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</si>
  <si>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</si>
  <si>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</si>
  <si>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</si>
  <si>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</si>
  <si>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</si>
  <si>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</si>
  <si>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</si>
  <si>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</si>
  <si>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</si>
  <si>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</si>
  <si>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</si>
  <si>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</si>
  <si>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</si>
  <si>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</si>
  <si>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</si>
  <si>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</si>
  <si>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</si>
  <si>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</si>
  <si>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</si>
  <si>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</si>
  <si>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</si>
  <si>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</si>
  <si>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</si>
  <si>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</si>
  <si>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</si>
  <si>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</si>
  <si>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</si>
  <si>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</si>
  <si>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</si>
  <si>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</si>
  <si>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</si>
  <si>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</si>
  <si>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</si>
  <si>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</si>
  <si>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</si>
  <si>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</si>
  <si>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</si>
  <si>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</si>
  <si>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</si>
  <si>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</si>
  <si>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</si>
  <si>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</si>
  <si>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</si>
  <si>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</si>
  <si>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</si>
  <si>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</si>
  <si>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</si>
  <si>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</si>
  <si>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</si>
  <si>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</si>
  <si>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</si>
  <si>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</si>
  <si>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</si>
  <si>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</si>
  <si>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</si>
  <si>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</si>
  <si>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</si>
  <si>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</si>
  <si>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</si>
  <si>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</si>
  <si>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</si>
  <si>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</si>
  <si>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</si>
  <si>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</si>
  <si>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</si>
  <si>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</si>
  <si>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</si>
  <si>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</si>
  <si>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</si>
  <si>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</si>
  <si>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</si>
  <si>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</si>
  <si>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</si>
  <si>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</si>
  <si>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</si>
  <si>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</si>
  <si>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</si>
  <si>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</si>
  <si>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</si>
  <si>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</si>
  <si>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</si>
  <si>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</si>
  <si>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</si>
  <si>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</si>
  <si>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</si>
  <si>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</si>
  <si>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</si>
  <si>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</si>
  <si>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</si>
  <si>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</si>
  <si>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</si>
  <si>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</si>
  <si>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</si>
  <si>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</si>
  <si>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</si>
  <si>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</si>
  <si>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</si>
  <si>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</si>
  <si>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</si>
  <si>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</si>
  <si>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</si>
  <si>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</si>
  <si>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</si>
  <si>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</si>
  <si>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</si>
  <si>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</si>
  <si>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</si>
  <si>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</si>
  <si>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</si>
  <si>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</si>
  <si>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</si>
  <si>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</si>
  <si>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</si>
  <si>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</si>
  <si>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</si>
  <si>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</si>
  <si>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</si>
  <si>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</si>
  <si>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</si>
  <si>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</si>
  <si>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</si>
  <si>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</si>
  <si>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</si>
  <si>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</si>
  <si>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</si>
  <si>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</si>
  <si>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</si>
  <si>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</si>
  <si>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</si>
  <si>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</si>
  <si>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</si>
  <si>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</si>
  <si>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</si>
  <si>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</si>
  <si>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</si>
  <si>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</si>
  <si>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</si>
  <si>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</si>
  <si>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</si>
  <si>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</si>
  <si>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</si>
  <si>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</si>
  <si>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</si>
  <si>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</si>
  <si>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</si>
  <si>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</si>
  <si>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</si>
  <si>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</si>
  <si>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</si>
  <si>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</si>
  <si>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</si>
  <si>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</si>
  <si>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</si>
  <si>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</si>
  <si>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</si>
  <si>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</si>
  <si>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</si>
  <si>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</si>
  <si>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</si>
  <si>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</si>
  <si>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</si>
  <si>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</si>
  <si>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</si>
  <si>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</si>
  <si>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</si>
  <si>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0000검찰청 00지청 신축공사</t>
    <phoneticPr fontId="2" type="noConversion"/>
  </si>
  <si>
    <t>업무</t>
  </si>
  <si>
    <t>충청도</t>
  </si>
  <si>
    <t>기계 소화설비공사</t>
    <phoneticPr fontId="2" type="noConversion"/>
  </si>
  <si>
    <t>전기 소방공사</t>
    <phoneticPr fontId="2" type="noConversion"/>
  </si>
  <si>
    <t>부대토목공사</t>
    <phoneticPr fontId="2" type="noConversion"/>
  </si>
  <si>
    <t>부대조경공사</t>
    <phoneticPr fontId="2" type="noConversion"/>
  </si>
  <si>
    <t>토및지정공사,기타공사,골재비및운반비</t>
    <phoneticPr fontId="2" type="noConversion"/>
  </si>
  <si>
    <t>난방배관공사,공조배관공사,위생배관공사,경유배관공사,주차장유인휀설치공사,항온항습기설치공사,초절전온돌난방공사,VAV-CAV유니트설치공사</t>
    <phoneticPr fontId="2" type="noConversion"/>
  </si>
  <si>
    <t>전력간선공사,전력간선설비공사</t>
    <phoneticPr fontId="2" type="noConversion"/>
  </si>
  <si>
    <t>전력제어설비공사,조명제어설비공사</t>
    <phoneticPr fontId="2" type="noConversion"/>
  </si>
  <si>
    <t>주차관제설비공사,숙소동</t>
    <phoneticPr fontId="2" type="noConversion"/>
  </si>
  <si>
    <t>CCTV설비공사,비상벨설비공사,숙소동,경비실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</si>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</sst>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16506</v>
      </c>
      <c r="D7" s="36">
        <f>+C7/3.3058</f>
        <v>4993.0425313086089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14420</v>
      </c>
      <c r="E24" s="58">
        <f t="shared" ref="E24:E33" si="0">TRUNC(+D24*3.3058,-1)</f>
        <v>47660</v>
      </c>
    </row>
    <row r="25" spans="1:5" x14ac:dyDescent="0.3">
      <c r="B25" s="2">
        <v>2</v>
      </c>
      <c r="C25" s="35" t="s">
        <v>111</v>
      </c>
      <c r="D25" s="45">
        <f>+D60</f>
        <v>535780</v>
      </c>
      <c r="E25" s="59">
        <f t="shared" si="0"/>
        <v>1771180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201450</v>
      </c>
      <c r="E27" s="59">
        <f t="shared" si="0"/>
        <v>665950</v>
      </c>
    </row>
    <row r="28" spans="1:5" x14ac:dyDescent="0.3">
      <c r="B28" s="2">
        <v>5</v>
      </c>
      <c r="C28" s="35" t="s">
        <v>97</v>
      </c>
      <c r="D28" s="45">
        <f>+D119</f>
        <v>112760</v>
      </c>
      <c r="E28" s="59">
        <f t="shared" si="0"/>
        <v>372760</v>
      </c>
    </row>
    <row r="29" spans="1:5" x14ac:dyDescent="0.3">
      <c r="B29" s="2">
        <v>6</v>
      </c>
      <c r="C29" s="35" t="s">
        <v>98</v>
      </c>
      <c r="D29" s="45">
        <f>+D133</f>
        <v>59920</v>
      </c>
      <c r="E29" s="59">
        <f t="shared" si="0"/>
        <v>198080</v>
      </c>
    </row>
    <row r="30" spans="1:5" x14ac:dyDescent="0.3">
      <c r="B30" s="2">
        <v>7</v>
      </c>
      <c r="C30" s="35" t="s">
        <v>99</v>
      </c>
      <c r="D30" s="45">
        <f>+D146</f>
        <v>48380</v>
      </c>
      <c r="E30" s="59">
        <f t="shared" si="0"/>
        <v>159930</v>
      </c>
    </row>
    <row r="31" spans="1:5" x14ac:dyDescent="0.3">
      <c r="B31" s="2">
        <v>8</v>
      </c>
      <c r="C31" s="35" t="s">
        <v>100</v>
      </c>
      <c r="D31" s="45">
        <f>+D154</f>
        <v>56460</v>
      </c>
      <c r="E31" s="59">
        <f t="shared" si="0"/>
        <v>186640</v>
      </c>
    </row>
    <row r="32" spans="1:5" x14ac:dyDescent="0.3">
      <c r="B32" s="2">
        <v>9</v>
      </c>
      <c r="C32" s="35" t="s">
        <v>101</v>
      </c>
      <c r="D32" s="45">
        <f>+D161</f>
        <v>50830</v>
      </c>
      <c r="E32" s="59">
        <f t="shared" si="0"/>
        <v>168030</v>
      </c>
    </row>
    <row r="33" spans="1:7" x14ac:dyDescent="0.3">
      <c r="B33" s="2">
        <v>10</v>
      </c>
      <c r="C33" s="35" t="s">
        <v>154</v>
      </c>
      <c r="D33" s="53">
        <f>TRUNC(SUM(D24:D32)*0.275,-1)</f>
        <v>297000</v>
      </c>
      <c r="E33" s="60">
        <f t="shared" si="0"/>
        <v>981820</v>
      </c>
    </row>
    <row r="34" spans="1:7" x14ac:dyDescent="0.3">
      <c r="C34" s="35" t="s">
        <v>112</v>
      </c>
      <c r="D34" s="44">
        <f>SUM(D24:D33)</f>
        <v>1377000</v>
      </c>
      <c r="E34" s="44">
        <f>SUM(E24:E33)</f>
        <v>4552050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TRUNC(14421,-1)</f>
        <v>14420</v>
      </c>
      <c r="E37" s="61">
        <f>TRUNC(+D37*3.3058,-1)</f>
        <v>47660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TRUNC(33856,-1)</f>
        <v>33850</v>
      </c>
      <c r="E40" s="62">
        <f t="shared" ref="E40:E59" si="1">TRUNC(+D40*3.3058,-1)</f>
        <v>111900</v>
      </c>
    </row>
    <row r="41" spans="1:7" x14ac:dyDescent="0.3">
      <c r="A41" s="2">
        <v>2</v>
      </c>
      <c r="C41" s="38" t="s">
        <v>13</v>
      </c>
      <c r="D41" s="42">
        <f>TRUNC(99934,-1)</f>
        <v>99930</v>
      </c>
      <c r="E41" s="63">
        <f t="shared" si="1"/>
        <v>330340</v>
      </c>
    </row>
    <row r="42" spans="1:7" x14ac:dyDescent="0.3">
      <c r="A42" s="2">
        <v>3</v>
      </c>
      <c r="C42" s="38" t="s">
        <v>14</v>
      </c>
      <c r="D42" s="42">
        <f>TRUNC(4827,-1)</f>
        <v>4820</v>
      </c>
      <c r="E42" s="63">
        <f t="shared" si="1"/>
        <v>15930</v>
      </c>
    </row>
    <row r="43" spans="1:7" x14ac:dyDescent="0.3">
      <c r="A43" s="2">
        <v>4</v>
      </c>
      <c r="C43" s="38" t="s">
        <v>16</v>
      </c>
      <c r="D43" s="42">
        <f>TRUNC(14210,-1)</f>
        <v>14210</v>
      </c>
      <c r="E43" s="63">
        <f t="shared" si="1"/>
        <v>46970</v>
      </c>
    </row>
    <row r="44" spans="1:7" x14ac:dyDescent="0.3">
      <c r="A44" s="2">
        <v>5</v>
      </c>
      <c r="C44" s="38" t="s">
        <v>17</v>
      </c>
      <c r="D44" s="42">
        <f>TRUNC(28309,-1)</f>
        <v>28300</v>
      </c>
      <c r="E44" s="63">
        <f t="shared" si="1"/>
        <v>93550</v>
      </c>
    </row>
    <row r="45" spans="1:7" x14ac:dyDescent="0.3">
      <c r="A45" s="2">
        <v>6</v>
      </c>
      <c r="C45" s="38" t="s">
        <v>18</v>
      </c>
      <c r="D45" s="42">
        <f>TRUNC(7426,-1)</f>
        <v>7420</v>
      </c>
      <c r="E45" s="63">
        <f t="shared" si="1"/>
        <v>24520</v>
      </c>
    </row>
    <row r="46" spans="1:7" x14ac:dyDescent="0.3">
      <c r="A46" s="2">
        <v>7</v>
      </c>
      <c r="C46" s="38" t="s">
        <v>19</v>
      </c>
      <c r="D46" s="42">
        <f>TRUNC(88915,-1)</f>
        <v>88910</v>
      </c>
      <c r="E46" s="63">
        <f t="shared" si="1"/>
        <v>293910</v>
      </c>
    </row>
    <row r="47" spans="1:7" x14ac:dyDescent="0.3">
      <c r="A47" s="2">
        <v>8</v>
      </c>
      <c r="C47" s="38" t="s">
        <v>20</v>
      </c>
      <c r="D47" s="42">
        <f>TRUNC(4677,-1)</f>
        <v>4670</v>
      </c>
      <c r="E47" s="63">
        <f t="shared" si="1"/>
        <v>15430</v>
      </c>
    </row>
    <row r="48" spans="1:7" x14ac:dyDescent="0.3">
      <c r="A48" s="2">
        <v>9</v>
      </c>
      <c r="C48" s="38" t="s">
        <v>21</v>
      </c>
      <c r="D48" s="42">
        <f>TRUNC(38735,-1)</f>
        <v>38730</v>
      </c>
      <c r="E48" s="63">
        <f t="shared" si="1"/>
        <v>128030</v>
      </c>
    </row>
    <row r="49" spans="1:7" x14ac:dyDescent="0.3">
      <c r="A49" s="2">
        <v>10</v>
      </c>
      <c r="C49" s="38" t="s">
        <v>22</v>
      </c>
      <c r="D49" s="42">
        <f>TRUNC(19387,-1)</f>
        <v>19380</v>
      </c>
      <c r="E49" s="63">
        <f t="shared" si="1"/>
        <v>64060</v>
      </c>
    </row>
    <row r="50" spans="1:7" x14ac:dyDescent="0.3">
      <c r="A50" s="2">
        <v>11</v>
      </c>
      <c r="C50" s="38" t="s">
        <v>155</v>
      </c>
      <c r="D50" s="42">
        <f>TRUNC(31960,-1)</f>
        <v>31960</v>
      </c>
      <c r="E50" s="63">
        <f t="shared" si="1"/>
        <v>105650</v>
      </c>
    </row>
    <row r="51" spans="1:7" x14ac:dyDescent="0.3">
      <c r="A51" s="2">
        <v>12</v>
      </c>
      <c r="C51" s="38" t="s">
        <v>23</v>
      </c>
      <c r="D51" s="42">
        <f>TRUNC(21420,-1)</f>
        <v>21420</v>
      </c>
      <c r="E51" s="63">
        <f t="shared" si="1"/>
        <v>70810</v>
      </c>
    </row>
    <row r="52" spans="1:7" x14ac:dyDescent="0.3">
      <c r="A52" s="2">
        <v>13</v>
      </c>
      <c r="C52" s="38" t="s">
        <v>24</v>
      </c>
      <c r="D52" s="42">
        <f>TRUNC(11985,-1)</f>
        <v>11980</v>
      </c>
      <c r="E52" s="63">
        <f t="shared" si="1"/>
        <v>39600</v>
      </c>
    </row>
    <row r="53" spans="1:7" x14ac:dyDescent="0.3">
      <c r="A53" s="2">
        <v>14</v>
      </c>
      <c r="C53" s="38" t="s">
        <v>25</v>
      </c>
      <c r="D53" s="42">
        <f>TRUNC(93038,-1)</f>
        <v>93030</v>
      </c>
      <c r="E53" s="63">
        <f t="shared" si="1"/>
        <v>307530</v>
      </c>
    </row>
    <row r="54" spans="1:7" x14ac:dyDescent="0.3">
      <c r="A54" s="2">
        <v>15</v>
      </c>
      <c r="C54" s="38" t="s">
        <v>147</v>
      </c>
      <c r="D54" s="42">
        <f>TRUNC(15371,-1)</f>
        <v>15370</v>
      </c>
      <c r="E54" s="63">
        <f t="shared" si="1"/>
        <v>50810</v>
      </c>
    </row>
    <row r="55" spans="1:7" x14ac:dyDescent="0.3">
      <c r="A55" s="2">
        <v>16</v>
      </c>
      <c r="C55" s="38" t="s">
        <v>144</v>
      </c>
      <c r="D55" s="42">
        <f>TRUNC(466,-1)</f>
        <v>460</v>
      </c>
      <c r="E55" s="63">
        <f t="shared" si="1"/>
        <v>1520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TRUNC(8365+8860+4115,-1)</f>
        <v>21340</v>
      </c>
      <c r="E58" s="63">
        <f t="shared" si="1"/>
        <v>70540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535780</v>
      </c>
      <c r="E60" s="39">
        <f>SUM(E40:E59)</f>
        <v>1771100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TRUNC(19985,-1)</f>
        <v>19980</v>
      </c>
      <c r="E69" s="62">
        <f t="shared" ref="E69:E94" si="2">TRUNC(+D69*3.3058,-1)</f>
        <v>66040</v>
      </c>
    </row>
    <row r="70" spans="1:7" ht="16.5" customHeight="1" x14ac:dyDescent="0.3">
      <c r="A70" s="2">
        <v>2</v>
      </c>
      <c r="C70" s="38" t="s">
        <v>31</v>
      </c>
      <c r="D70" s="42">
        <f>TRUNC(4746,-1)</f>
        <v>4740</v>
      </c>
      <c r="E70" s="63">
        <f t="shared" si="2"/>
        <v>15660</v>
      </c>
    </row>
    <row r="71" spans="1:7" x14ac:dyDescent="0.3">
      <c r="A71" s="2">
        <v>3</v>
      </c>
      <c r="C71" s="38" t="s">
        <v>32</v>
      </c>
      <c r="D71" s="42">
        <f>TRUNC(21944,-1)</f>
        <v>21940</v>
      </c>
      <c r="E71" s="63">
        <f t="shared" si="2"/>
        <v>72520</v>
      </c>
    </row>
    <row r="72" spans="1:7" x14ac:dyDescent="0.3">
      <c r="A72" s="2">
        <v>4</v>
      </c>
      <c r="C72" s="38" t="s">
        <v>33</v>
      </c>
      <c r="D72" s="42">
        <f>TRUNC(476,-1)</f>
        <v>470</v>
      </c>
      <c r="E72" s="63">
        <f t="shared" si="2"/>
        <v>1550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TRUNC(2434,-1)</f>
        <v>2430</v>
      </c>
      <c r="E75" s="63">
        <f t="shared" si="2"/>
        <v>8030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f>TRUNC(14904,-1)</f>
        <v>14900</v>
      </c>
      <c r="E77" s="63">
        <f t="shared" si="2"/>
        <v>49250</v>
      </c>
    </row>
    <row r="78" spans="1:7" x14ac:dyDescent="0.3">
      <c r="A78" s="2">
        <v>10</v>
      </c>
      <c r="C78" s="38" t="s">
        <v>137</v>
      </c>
      <c r="D78" s="42">
        <f>TRUNC(47247,-1)</f>
        <v>47240</v>
      </c>
      <c r="E78" s="63">
        <f t="shared" si="2"/>
        <v>156160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f>TRUNC(565,-1)</f>
        <v>560</v>
      </c>
      <c r="E85" s="63">
        <f t="shared" si="2"/>
        <v>1850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TRUNC(1713,-1)</f>
        <v>1710</v>
      </c>
      <c r="E90" s="63">
        <f t="shared" si="2"/>
        <v>5650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TRUNC(1757+36954+29233+48+777+863+1114+16735,-1)</f>
        <v>87480</v>
      </c>
      <c r="E94" s="64">
        <f t="shared" si="2"/>
        <v>289190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201450</v>
      </c>
      <c r="E95" s="39">
        <f>SUM(E69:E94)</f>
        <v>665900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TRUNC(3884+12291,-1)</f>
        <v>16170</v>
      </c>
      <c r="E98" s="62">
        <f t="shared" ref="E98:E118" si="3">TRUNC(+D98*3.3058,-1)</f>
        <v>53450</v>
      </c>
      <c r="F98" s="2" t="s">
        <v>257</v>
      </c>
    </row>
    <row r="99" spans="1:7" x14ac:dyDescent="0.3">
      <c r="A99" s="2">
        <v>2</v>
      </c>
      <c r="C99" s="38" t="s">
        <v>40</v>
      </c>
      <c r="D99" s="42">
        <f>TRUNC(8979,-1)</f>
        <v>8970</v>
      </c>
      <c r="E99" s="63">
        <f t="shared" si="3"/>
        <v>29650</v>
      </c>
    </row>
    <row r="100" spans="1:7" x14ac:dyDescent="0.3">
      <c r="A100" s="2">
        <v>3</v>
      </c>
      <c r="C100" s="38" t="s">
        <v>41</v>
      </c>
      <c r="D100" s="42">
        <f>TRUNC(36873,-1)</f>
        <v>36870</v>
      </c>
      <c r="E100" s="63">
        <f t="shared" si="3"/>
        <v>121880</v>
      </c>
    </row>
    <row r="101" spans="1:7" x14ac:dyDescent="0.3">
      <c r="A101" s="2">
        <v>4</v>
      </c>
      <c r="C101" s="38" t="s">
        <v>42</v>
      </c>
      <c r="D101" s="42">
        <f>TRUNC(212+1031,-1)</f>
        <v>1240</v>
      </c>
      <c r="E101" s="63">
        <f t="shared" si="3"/>
        <v>4090</v>
      </c>
      <c r="F101" s="2" t="s">
        <v>258</v>
      </c>
    </row>
    <row r="102" spans="1:7" x14ac:dyDescent="0.3">
      <c r="A102" s="2">
        <v>5</v>
      </c>
      <c r="C102" s="38" t="s">
        <v>43</v>
      </c>
      <c r="D102" s="42">
        <f>TRUNC(23364,-1)</f>
        <v>23360</v>
      </c>
      <c r="E102" s="63">
        <f t="shared" si="3"/>
        <v>77220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TRUNC(2410,-1)</f>
        <v>2410</v>
      </c>
      <c r="E104" s="63">
        <f t="shared" si="3"/>
        <v>7960</v>
      </c>
    </row>
    <row r="105" spans="1:7" x14ac:dyDescent="0.3">
      <c r="A105" s="2">
        <v>8</v>
      </c>
      <c r="C105" s="38" t="s">
        <v>46</v>
      </c>
      <c r="D105" s="42">
        <f>TRUNC(4453,-1)</f>
        <v>4450</v>
      </c>
      <c r="E105" s="63">
        <f t="shared" si="3"/>
        <v>14710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TRUNC(4150,-1)</f>
        <v>4150</v>
      </c>
      <c r="E114" s="63">
        <f t="shared" si="3"/>
        <v>13710</v>
      </c>
    </row>
    <row r="115" spans="1:7" x14ac:dyDescent="0.3">
      <c r="A115" s="2">
        <v>18</v>
      </c>
      <c r="C115" s="38" t="s">
        <v>116</v>
      </c>
      <c r="D115" s="42">
        <f>TRUNC(5991,-1)</f>
        <v>5990</v>
      </c>
      <c r="E115" s="63">
        <f t="shared" si="3"/>
        <v>19800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TRUNC(5161+3993,-1)</f>
        <v>9150</v>
      </c>
      <c r="E118" s="64">
        <f t="shared" si="3"/>
        <v>30240</v>
      </c>
      <c r="F118" s="2" t="s">
        <v>259</v>
      </c>
    </row>
    <row r="119" spans="1:7" x14ac:dyDescent="0.3">
      <c r="A119" s="2">
        <v>22</v>
      </c>
      <c r="C119" s="27" t="s">
        <v>112</v>
      </c>
      <c r="D119" s="39">
        <f>SUM(D98:D118)</f>
        <v>112760</v>
      </c>
      <c r="E119" s="39">
        <f>SUM(E98:E118)</f>
        <v>372710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TRUNC(7676,-1)</f>
        <v>7670</v>
      </c>
      <c r="E122" s="62">
        <f t="shared" ref="E122:E132" si="4">TRUNC(+D122*3.3058,-1)</f>
        <v>25350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TRUNC(1127,-1)</f>
        <v>1120</v>
      </c>
      <c r="E124" s="63">
        <f t="shared" si="4"/>
        <v>3700</v>
      </c>
    </row>
    <row r="125" spans="1:7" x14ac:dyDescent="0.3">
      <c r="A125" s="2">
        <v>4</v>
      </c>
      <c r="C125" s="38" t="s">
        <v>138</v>
      </c>
      <c r="D125" s="42">
        <f>TRUNC(7649,-1)</f>
        <v>7640</v>
      </c>
      <c r="E125" s="63">
        <f t="shared" si="4"/>
        <v>25250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TRUNC(2383,-1)</f>
        <v>2380</v>
      </c>
      <c r="E127" s="63">
        <f t="shared" si="4"/>
        <v>7860</v>
      </c>
    </row>
    <row r="128" spans="1:7" x14ac:dyDescent="0.3">
      <c r="A128" s="2">
        <v>7</v>
      </c>
      <c r="C128" s="38" t="s">
        <v>46</v>
      </c>
      <c r="D128" s="42">
        <f>TRUNC(6671,-1)</f>
        <v>6670</v>
      </c>
      <c r="E128" s="63">
        <f t="shared" si="4"/>
        <v>22040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TRUNC(21584,-1)</f>
        <v>21580</v>
      </c>
      <c r="E130" s="63">
        <f t="shared" si="4"/>
        <v>71330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TRUNC(5405+3591+3452+420,-1)</f>
        <v>12860</v>
      </c>
      <c r="E132" s="64">
        <f t="shared" si="4"/>
        <v>42510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59920</v>
      </c>
      <c r="E133" s="39">
        <f>SUM(E122:E132)</f>
        <v>198040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TRUNC(27331,-1)</f>
        <v>27330</v>
      </c>
      <c r="E136" s="62">
        <f t="shared" ref="E136:E145" si="5">TRUNC(+D136*3.3058,-1)</f>
        <v>90340</v>
      </c>
      <c r="F136" s="2" t="s">
        <v>251</v>
      </c>
    </row>
    <row r="137" spans="1:7" x14ac:dyDescent="0.3">
      <c r="A137" s="2">
        <v>2</v>
      </c>
      <c r="C137" s="38" t="s">
        <v>47</v>
      </c>
      <c r="D137" s="42">
        <f>TRUNC(21054,-1)</f>
        <v>21050</v>
      </c>
      <c r="E137" s="63">
        <f t="shared" si="5"/>
        <v>69580</v>
      </c>
      <c r="F137" s="2" t="s">
        <v>252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48380</v>
      </c>
      <c r="E146" s="39">
        <f>SUM(E136:E145)</f>
        <v>159920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TRUNC(56468,-1)</f>
        <v>56460</v>
      </c>
      <c r="E152" s="63">
        <f>TRUNC(+D152*3.3058,-1)</f>
        <v>186640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56460</v>
      </c>
      <c r="E154" s="39">
        <f>SUM(E149:E153)</f>
        <v>186640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TRUNC(50832,-1)</f>
        <v>50830</v>
      </c>
      <c r="E159" s="63">
        <f>TRUNC(+D159*3.3058,-1)</f>
        <v>168030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50830</v>
      </c>
      <c r="E161" s="39">
        <f>SUM(E157:E160)</f>
        <v>168030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2020-12-07T09:48:49Z</dcterms:modified>
</cp:coreProperties>
</file>