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59" i="4"/>
  <c r="D117" i="4"/>
  <c r="D159" i="4" l="1"/>
  <c r="D158" i="4"/>
  <c r="D157" i="4"/>
  <c r="D152" i="4"/>
  <c r="D150" i="4"/>
  <c r="D149" i="4"/>
  <c r="D142" i="4"/>
  <c r="D141" i="4"/>
  <c r="D140" i="4"/>
  <c r="D139" i="4"/>
  <c r="D137" i="4"/>
  <c r="D132" i="4"/>
  <c r="D130" i="4"/>
  <c r="D128" i="4"/>
  <c r="D125" i="4"/>
  <c r="D118" i="4"/>
  <c r="D116" i="4"/>
  <c r="D105" i="4"/>
  <c r="D104" i="4"/>
  <c r="D103" i="4"/>
  <c r="D102" i="4"/>
  <c r="D100" i="4"/>
  <c r="D99" i="4"/>
  <c r="D98" i="4"/>
  <c r="D94" i="4"/>
  <c r="D92" i="4"/>
  <c r="D91" i="4"/>
  <c r="D90" i="4"/>
  <c r="D89" i="4"/>
  <c r="D72" i="4"/>
  <c r="D71" i="4"/>
  <c r="D69" i="4"/>
  <c r="D58" i="4"/>
  <c r="D53" i="4"/>
  <c r="D52" i="4"/>
  <c r="D50" i="4"/>
  <c r="D49" i="4"/>
  <c r="D48" i="4"/>
  <c r="D45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<sst xmlns="http://schemas.openxmlformats.org/spreadsheetml/2006/main" count="392" uniqueCount="267">
  <si>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</si>
  <si>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</si>
  <si>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</si>
  <si>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</si>
  <si>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</si>
  <si>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</si>
  <si>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</si>
  <si>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</si>
  <si>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</si>
  <si>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</si>
  <si>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</si>
  <si>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</si>
  <si>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</si>
  <si>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</si>
  <si>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</si>
  <si>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</si>
  <si>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</si>
  <si>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</si>
  <si>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</si>
  <si>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</si>
  <si>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</si>
  <si>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</si>
  <si>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</si>
  <si>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</si>
  <si>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</si>
  <si>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</si>
  <si>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</si>
  <si>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</si>
  <si>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</si>
  <si>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</si>
  <si>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</si>
  <si>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</si>
  <si>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</si>
  <si>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</si>
  <si>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</si>
  <si>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</si>
  <si>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</si>
  <si>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</si>
  <si>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</si>
  <si>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</si>
  <si>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</si>
  <si>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</si>
  <si>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</si>
  <si>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</si>
  <si>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</si>
  <si>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</si>
  <si>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</si>
  <si>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</si>
  <si>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</si>
  <si>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</si>
  <si>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</si>
  <si>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</si>
  <si>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</si>
  <si>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</si>
  <si>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</si>
  <si>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</si>
  <si>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</si>
  <si>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</si>
  <si>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</si>
  <si>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</si>
  <si>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</si>
  <si>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</si>
  <si>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</si>
  <si>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</si>
  <si>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</si>
  <si>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</si>
  <si>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</si>
  <si>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</si>
  <si>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</si>
  <si>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</si>
  <si>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</si>
  <si>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</si>
  <si>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</si>
  <si>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</si>
  <si>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</si>
  <si>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</si>
  <si>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</si>
  <si>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</si>
  <si>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</si>
  <si>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</si>
  <si>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</si>
  <si>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</si>
  <si>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</si>
  <si>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</si>
  <si>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</si>
  <si>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</si>
  <si>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</si>
  <si>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</si>
  <si>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</si>
  <si>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</si>
  <si>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</si>
  <si>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</si>
  <si>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</si>
  <si>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</si>
  <si>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</si>
  <si>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</si>
  <si>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</si>
  <si>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</si>
  <si>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</si>
  <si>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</si>
  <si>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</si>
  <si>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</si>
  <si>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</si>
  <si>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</si>
  <si>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</si>
  <si>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</si>
  <si>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</si>
  <si>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</si>
  <si>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</si>
  <si>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</si>
  <si>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</si>
  <si>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</si>
  <si>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</si>
  <si>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</si>
  <si>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</si>
  <si>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</si>
  <si>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</si>
  <si>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</si>
  <si>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</si>
  <si>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</si>
  <si>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</si>
  <si>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</si>
  <si>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</si>
  <si>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</si>
  <si>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</si>
  <si>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</si>
  <si>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</si>
  <si>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</si>
  <si>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</si>
  <si>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</si>
  <si>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</si>
  <si>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</si>
  <si>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</si>
  <si>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</si>
  <si>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</si>
  <si>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</si>
  <si>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</si>
  <si>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</si>
  <si>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</si>
  <si>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</si>
  <si>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</si>
  <si>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</si>
  <si>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</si>
  <si>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</si>
  <si>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</si>
  <si>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</si>
  <si>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</si>
  <si>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</si>
  <si>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</si>
  <si>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</si>
  <si>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</si>
  <si>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</si>
  <si>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</si>
  <si>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</si>
  <si>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</si>
  <si>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</si>
  <si>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</si>
  <si>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</si>
  <si>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</si>
  <si>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</si>
  <si>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</si>
  <si>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</si>
  <si>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</si>
  <si>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</si>
  <si>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</si>
  <si>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</si>
  <si>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</si>
  <si>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</si>
  <si>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</si>
  <si>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</si>
  <si>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</si>
  <si>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</si>
  <si>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</si>
  <si>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</si>
  <si>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</si>
  <si>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</si>
  <si>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</si>
  <si>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</si>
  <si>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</si>
  <si>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</si>
  <si>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</si>
  <si>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</si>
  <si>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</si>
  <si>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</si>
  <si>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</si>
  <si>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</si>
  <si>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</si>
  <si>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</si>
  <si>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</si>
  <si>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</si>
  <si>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</si>
  <si>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</si>
  <si>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</si>
  <si>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</si>
  <si>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</si>
  <si>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</si>
  <si>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</si>
  <si>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</si>
  <si>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</si>
  <si>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</si>
  <si>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</si>
  <si>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</si>
  <si>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</si>
  <si>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</si>
  <si>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</si>
  <si>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</si>
  <si>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</si>
  <si>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</si>
  <si>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</si>
  <si>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</si>
  <si>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</si>
  <si>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</si>
  <si>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</si>
  <si>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</si>
  <si>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</si>
  <si>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</si>
  <si>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</si>
  <si>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</si>
  <si>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</si>
  <si>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</si>
  <si>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</si>
  <si>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</si>
  <si>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</si>
  <si>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</si>
  <si>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</si>
  <si>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</si>
  <si>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</si>
  <si>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</si>
  <si>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</si>
  <si>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</si>
  <si>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</si>
  <si>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</si>
  <si>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</si>
  <si>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</si>
  <si>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</si>
  <si>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</si>
  <si>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</si>
  <si>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</si>
  <si>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</si>
  <si>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</si>
  <si>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</si>
  <si>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</si>
  <si>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</si>
  <si>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</si>
  <si>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</si>
  <si>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</si>
  <si>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</si>
  <si>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</si>
  <si>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</si>
  <si>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의료</t>
  </si>
  <si>
    <t>하남시 보건소 신축공사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</si>
  <si>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</si>
  <si>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</si>
  <si>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기초공사, 골재비및운반비품질시험비, 기타공사</t>
    <phoneticPr fontId="2" type="noConversion"/>
  </si>
  <si>
    <t>난방배관공사, 바닥난방공사,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</si>
  <si>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</si>
  <si>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</si>
  <si>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</si>
  <si>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 주차관제설비공사</t>
    <phoneticPr fontId="2" type="noConversion"/>
  </si>
  <si>
    <t>펌프실배관공사, 기타공사</t>
    <phoneticPr fontId="2" type="noConversion"/>
  </si>
  <si>
    <t>상수도공사, 사급자재비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</si>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</sst>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5739.98</v>
      </c>
      <c r="D7" s="36">
        <f>+C7/3.3058</f>
        <v>1736.3361364873856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1136020</v>
      </c>
      <c r="E25" s="59">
        <f t="shared" si="0"/>
        <v>3755450</v>
      </c>
    </row>
    <row r="26" spans="1:5" x14ac:dyDescent="0.3">
      <c r="B26" s="2">
        <v>3</v>
      </c>
      <c r="C26" s="35" t="s">
        <v>95</v>
      </c>
      <c r="D26" s="45">
        <f>+D66</f>
        <v>43750</v>
      </c>
      <c r="E26" s="59">
        <f t="shared" si="0"/>
        <v>144620</v>
      </c>
    </row>
    <row r="27" spans="1:5" x14ac:dyDescent="0.3">
      <c r="B27" s="2">
        <v>4</v>
      </c>
      <c r="C27" s="35" t="s">
        <v>96</v>
      </c>
      <c r="D27" s="45">
        <f>+D95</f>
        <v>71960</v>
      </c>
      <c r="E27" s="59">
        <f t="shared" si="0"/>
        <v>237880</v>
      </c>
    </row>
    <row r="28" spans="1:5" x14ac:dyDescent="0.3">
      <c r="B28" s="2">
        <v>5</v>
      </c>
      <c r="C28" s="35" t="s">
        <v>97</v>
      </c>
      <c r="D28" s="45">
        <f>+D119</f>
        <v>178630</v>
      </c>
      <c r="E28" s="59">
        <f t="shared" si="0"/>
        <v>590510</v>
      </c>
    </row>
    <row r="29" spans="1:5" x14ac:dyDescent="0.3">
      <c r="B29" s="2">
        <v>6</v>
      </c>
      <c r="C29" s="35" t="s">
        <v>98</v>
      </c>
      <c r="D29" s="45">
        <f>+D133</f>
        <v>149460</v>
      </c>
      <c r="E29" s="59">
        <f t="shared" si="0"/>
        <v>494080</v>
      </c>
    </row>
    <row r="30" spans="1:5" x14ac:dyDescent="0.3">
      <c r="B30" s="2">
        <v>7</v>
      </c>
      <c r="C30" s="35" t="s">
        <v>99</v>
      </c>
      <c r="D30" s="45">
        <f>+D146</f>
        <v>43570</v>
      </c>
      <c r="E30" s="59">
        <f t="shared" si="0"/>
        <v>144030</v>
      </c>
    </row>
    <row r="31" spans="1:5" x14ac:dyDescent="0.3">
      <c r="B31" s="2">
        <v>8</v>
      </c>
      <c r="C31" s="35" t="s">
        <v>100</v>
      </c>
      <c r="D31" s="45">
        <f>+D154</f>
        <v>18420</v>
      </c>
      <c r="E31" s="59">
        <f t="shared" si="0"/>
        <v>60890</v>
      </c>
    </row>
    <row r="32" spans="1:5" x14ac:dyDescent="0.3">
      <c r="B32" s="2">
        <v>9</v>
      </c>
      <c r="C32" s="35" t="s">
        <v>101</v>
      </c>
      <c r="D32" s="45">
        <f>+D161</f>
        <v>57610</v>
      </c>
      <c r="E32" s="59">
        <f t="shared" si="0"/>
        <v>190440</v>
      </c>
    </row>
    <row r="33" spans="1:7" x14ac:dyDescent="0.3">
      <c r="B33" s="2">
        <v>10</v>
      </c>
      <c r="C33" s="35" t="s">
        <v>154</v>
      </c>
      <c r="D33" s="53">
        <f>TRUNC(SUM(D24:D32)*0.275,-1)</f>
        <v>467340</v>
      </c>
      <c r="E33" s="60">
        <f t="shared" si="0"/>
        <v>1544930</v>
      </c>
    </row>
    <row r="34" spans="1:7" x14ac:dyDescent="0.3">
      <c r="C34" s="35" t="s">
        <v>112</v>
      </c>
      <c r="D34" s="44">
        <f>SUM(D24:D33)</f>
        <v>2166760</v>
      </c>
      <c r="E34" s="44">
        <f>SUM(E24:E33)</f>
        <v>7162830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TRUNC(52456,-1)</f>
        <v>52450</v>
      </c>
      <c r="E40" s="62">
        <f t="shared" ref="E40:E59" si="1">TRUNC(+D40*3.3058,-1)</f>
        <v>173380</v>
      </c>
    </row>
    <row r="41" spans="1:7" x14ac:dyDescent="0.3">
      <c r="A41" s="2">
        <v>2</v>
      </c>
      <c r="C41" s="38" t="s">
        <v>13</v>
      </c>
      <c r="D41" s="42">
        <f>TRUNC(169869,-1)</f>
        <v>169860</v>
      </c>
      <c r="E41" s="63">
        <f t="shared" si="1"/>
        <v>561520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TRUNC(14044,-1)</f>
        <v>14040</v>
      </c>
      <c r="E43" s="63">
        <f t="shared" si="1"/>
        <v>46410</v>
      </c>
    </row>
    <row r="44" spans="1:7" x14ac:dyDescent="0.3">
      <c r="A44" s="2">
        <v>5</v>
      </c>
      <c r="C44" s="38" t="s">
        <v>17</v>
      </c>
      <c r="D44" s="42">
        <v>39600</v>
      </c>
      <c r="E44" s="63">
        <f t="shared" si="1"/>
        <v>130900</v>
      </c>
    </row>
    <row r="45" spans="1:7" x14ac:dyDescent="0.3">
      <c r="A45" s="2">
        <v>6</v>
      </c>
      <c r="C45" s="38" t="s">
        <v>18</v>
      </c>
      <c r="D45" s="42">
        <f>TRUNC(11516,-1)</f>
        <v>11510</v>
      </c>
      <c r="E45" s="63">
        <f t="shared" si="1"/>
        <v>38040</v>
      </c>
    </row>
    <row r="46" spans="1:7" x14ac:dyDescent="0.3">
      <c r="A46" s="2">
        <v>7</v>
      </c>
      <c r="C46" s="38" t="s">
        <v>19</v>
      </c>
      <c r="D46" s="42">
        <v>12240</v>
      </c>
      <c r="E46" s="63">
        <f t="shared" si="1"/>
        <v>40460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TRUNC(27095,-1)</f>
        <v>27090</v>
      </c>
      <c r="E48" s="63">
        <f t="shared" si="1"/>
        <v>89550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TRUNC(14571,-1)</f>
        <v>14570</v>
      </c>
      <c r="E49" s="63">
        <f t="shared" si="1"/>
        <v>48160</v>
      </c>
    </row>
    <row r="50" spans="1:7" x14ac:dyDescent="0.3">
      <c r="A50" s="2">
        <v>11</v>
      </c>
      <c r="C50" s="38" t="s">
        <v>155</v>
      </c>
      <c r="D50" s="42">
        <f>TRUNC(46518,-1)</f>
        <v>46510</v>
      </c>
      <c r="E50" s="63">
        <f t="shared" si="1"/>
        <v>153750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TRUNC(15074,-1)</f>
        <v>15070</v>
      </c>
      <c r="E52" s="63">
        <f t="shared" si="1"/>
        <v>49810</v>
      </c>
    </row>
    <row r="53" spans="1:7" x14ac:dyDescent="0.3">
      <c r="A53" s="2">
        <v>14</v>
      </c>
      <c r="C53" s="38" t="s">
        <v>25</v>
      </c>
      <c r="D53" s="42">
        <f>TRUNC(149421,-1)</f>
        <v>149420</v>
      </c>
      <c r="E53" s="63">
        <f t="shared" si="1"/>
        <v>493950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TRUNC(55090+2739+928+9594,-1)</f>
        <v>68350</v>
      </c>
      <c r="E58" s="63">
        <f t="shared" si="1"/>
        <v>225950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TRUNC(515317,-1)</f>
        <v>515310</v>
      </c>
      <c r="E59" s="64">
        <f t="shared" si="1"/>
        <v>1703510</v>
      </c>
    </row>
    <row r="60" spans="1:7" x14ac:dyDescent="0.3">
      <c r="A60" s="2">
        <v>21</v>
      </c>
      <c r="C60" s="27" t="s">
        <v>112</v>
      </c>
      <c r="D60" s="39">
        <f>SUM(D40:D59)</f>
        <v>1136020</v>
      </c>
      <c r="E60" s="39">
        <f>SUM(E40:E59)</f>
        <v>3755390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37000</v>
      </c>
      <c r="E63" s="62">
        <f>TRUNC(+D63*3.3058,-1)</f>
        <v>122310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6750</v>
      </c>
      <c r="E65" s="64">
        <f>TRUNC(+D65*3.3058,-1)</f>
        <v>22310</v>
      </c>
    </row>
    <row r="66" spans="1:7" x14ac:dyDescent="0.3">
      <c r="A66" s="2">
        <v>4</v>
      </c>
      <c r="C66" s="27" t="s">
        <v>112</v>
      </c>
      <c r="D66" s="39">
        <f>SUM(D63:D65)</f>
        <v>43750</v>
      </c>
      <c r="E66" s="65">
        <f>SUM(E63:E65)</f>
        <v>144620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TRUNC(7656,-1)</f>
        <v>7650</v>
      </c>
      <c r="E69" s="62">
        <f t="shared" ref="E69:E94" si="2">TRUNC(+D69*3.3058,-1)</f>
        <v>25280</v>
      </c>
    </row>
    <row r="70" spans="1:7" ht="16.5" customHeight="1" x14ac:dyDescent="0.3">
      <c r="A70" s="2">
        <v>2</v>
      </c>
      <c r="C70" s="38" t="s">
        <v>31</v>
      </c>
      <c r="D70" s="42">
        <v>550</v>
      </c>
      <c r="E70" s="63">
        <f t="shared" si="2"/>
        <v>1810</v>
      </c>
    </row>
    <row r="71" spans="1:7" x14ac:dyDescent="0.3">
      <c r="A71" s="2">
        <v>3</v>
      </c>
      <c r="C71" s="38" t="s">
        <v>32</v>
      </c>
      <c r="D71" s="42">
        <f>TRUNC(6709,-1)</f>
        <v>6700</v>
      </c>
      <c r="E71" s="63">
        <f t="shared" si="2"/>
        <v>22140</v>
      </c>
    </row>
    <row r="72" spans="1:7" x14ac:dyDescent="0.3">
      <c r="A72" s="2">
        <v>4</v>
      </c>
      <c r="C72" s="38" t="s">
        <v>33</v>
      </c>
      <c r="D72" s="42">
        <f>TRUNC(4924,-1)</f>
        <v>4920</v>
      </c>
      <c r="E72" s="63">
        <f t="shared" si="2"/>
        <v>16260</v>
      </c>
    </row>
    <row r="73" spans="1:7" x14ac:dyDescent="0.3">
      <c r="A73" s="2">
        <v>5</v>
      </c>
      <c r="C73" s="38" t="s">
        <v>34</v>
      </c>
      <c r="D73" s="42">
        <v>12170</v>
      </c>
      <c r="E73" s="63">
        <f t="shared" si="2"/>
        <v>40230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650</v>
      </c>
      <c r="E75" s="63">
        <f t="shared" si="2"/>
        <v>2140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TRUNC(10928,-1)</f>
        <v>10920</v>
      </c>
      <c r="E89" s="63">
        <f t="shared" si="2"/>
        <v>36090</v>
      </c>
    </row>
    <row r="90" spans="1:7" x14ac:dyDescent="0.3">
      <c r="A90" s="2">
        <v>22</v>
      </c>
      <c r="C90" s="38" t="s">
        <v>36</v>
      </c>
      <c r="D90" s="42">
        <f>TRUNC(1635,-1)</f>
        <v>1630</v>
      </c>
      <c r="E90" s="63">
        <f t="shared" si="2"/>
        <v>5380</v>
      </c>
    </row>
    <row r="91" spans="1:7" x14ac:dyDescent="0.3">
      <c r="A91" s="2">
        <v>23</v>
      </c>
      <c r="C91" s="38" t="s">
        <v>37</v>
      </c>
      <c r="D91" s="42">
        <f>TRUNC(9421,-1)</f>
        <v>9420</v>
      </c>
      <c r="E91" s="63">
        <f t="shared" si="2"/>
        <v>31140</v>
      </c>
    </row>
    <row r="92" spans="1:7" x14ac:dyDescent="0.3">
      <c r="A92" s="2">
        <v>24</v>
      </c>
      <c r="C92" s="38" t="s">
        <v>38</v>
      </c>
      <c r="D92" s="42">
        <f>TRUNC(4491,-1)</f>
        <v>4490</v>
      </c>
      <c r="E92" s="63">
        <f t="shared" si="2"/>
        <v>14840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TRUNC(367+2843+9652,-1)</f>
        <v>12860</v>
      </c>
      <c r="E94" s="64">
        <f t="shared" si="2"/>
        <v>42510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71960</v>
      </c>
      <c r="E95" s="39">
        <f>SUM(E69:E94)</f>
        <v>237820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TRUNC(13429,-1)</f>
        <v>13420</v>
      </c>
      <c r="E98" s="62">
        <f t="shared" ref="E98:E118" si="3">TRUNC(+D98*3.3058,-1)</f>
        <v>44360</v>
      </c>
    </row>
    <row r="99" spans="1:7" x14ac:dyDescent="0.3">
      <c r="A99" s="2">
        <v>2</v>
      </c>
      <c r="C99" s="38" t="s">
        <v>40</v>
      </c>
      <c r="D99" s="42">
        <f>TRUNC(12355,-1)</f>
        <v>12350</v>
      </c>
      <c r="E99" s="63">
        <f t="shared" si="3"/>
        <v>40820</v>
      </c>
    </row>
    <row r="100" spans="1:7" x14ac:dyDescent="0.3">
      <c r="A100" s="2">
        <v>3</v>
      </c>
      <c r="C100" s="38" t="s">
        <v>41</v>
      </c>
      <c r="D100" s="42">
        <f>TRUNC(37392,-1)</f>
        <v>37390</v>
      </c>
      <c r="E100" s="63">
        <f t="shared" si="3"/>
        <v>123600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TRUNC(16912,-1)</f>
        <v>16910</v>
      </c>
      <c r="E102" s="63">
        <f t="shared" si="3"/>
        <v>55900</v>
      </c>
    </row>
    <row r="103" spans="1:7" x14ac:dyDescent="0.3">
      <c r="A103" s="2">
        <v>6</v>
      </c>
      <c r="C103" s="38" t="s">
        <v>44</v>
      </c>
      <c r="D103" s="42">
        <f>TRUNC(7194,-1)</f>
        <v>7190</v>
      </c>
      <c r="E103" s="63">
        <f t="shared" si="3"/>
        <v>23760</v>
      </c>
    </row>
    <row r="104" spans="1:7" x14ac:dyDescent="0.3">
      <c r="A104" s="2">
        <v>7</v>
      </c>
      <c r="C104" s="38" t="s">
        <v>45</v>
      </c>
      <c r="D104" s="42">
        <f>TRUNC(1342,-1)</f>
        <v>1340</v>
      </c>
      <c r="E104" s="63">
        <f t="shared" si="3"/>
        <v>4420</v>
      </c>
    </row>
    <row r="105" spans="1:7" x14ac:dyDescent="0.3">
      <c r="A105" s="2">
        <v>8</v>
      </c>
      <c r="C105" s="38" t="s">
        <v>46</v>
      </c>
      <c r="D105" s="42">
        <f>TRUNC(2888,-1)</f>
        <v>2880</v>
      </c>
      <c r="E105" s="63">
        <f t="shared" si="3"/>
        <v>9520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5470</v>
      </c>
      <c r="E114" s="63">
        <f t="shared" si="3"/>
        <v>18080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TRUNC(4469,-1)</f>
        <v>4460</v>
      </c>
      <c r="E116" s="63">
        <f t="shared" si="3"/>
        <v>14740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TRUNC(75895,-1)</f>
        <v>75890</v>
      </c>
      <c r="E117" s="63">
        <f t="shared" si="3"/>
        <v>250870</v>
      </c>
    </row>
    <row r="118" spans="1:7" ht="17.25" thickBot="1" x14ac:dyDescent="0.35">
      <c r="A118" s="2">
        <v>21</v>
      </c>
      <c r="C118" s="38" t="s">
        <v>47</v>
      </c>
      <c r="D118" s="43">
        <f>TRUNC(1339,-1)</f>
        <v>1330</v>
      </c>
      <c r="E118" s="64">
        <f t="shared" si="3"/>
        <v>4390</v>
      </c>
    </row>
    <row r="119" spans="1:7" x14ac:dyDescent="0.3">
      <c r="A119" s="2">
        <v>22</v>
      </c>
      <c r="C119" s="27" t="s">
        <v>112</v>
      </c>
      <c r="D119" s="39">
        <f>SUM(D98:D118)</f>
        <v>178630</v>
      </c>
      <c r="E119" s="39">
        <f>SUM(E98:E118)</f>
        <v>590460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17610</v>
      </c>
      <c r="E122" s="62">
        <f t="shared" ref="E122:E132" si="4">TRUNC(+D122*3.3058,-1)</f>
        <v>58210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TRUNC(8494,-1)</f>
        <v>8490</v>
      </c>
      <c r="E125" s="63">
        <f t="shared" si="4"/>
        <v>28060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TRUNC(4997,-1)</f>
        <v>4990</v>
      </c>
      <c r="E128" s="63">
        <f t="shared" si="4"/>
        <v>16490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TRUNC(39886,-1)</f>
        <v>39880</v>
      </c>
      <c r="E130" s="63">
        <f t="shared" si="4"/>
        <v>131830</v>
      </c>
    </row>
    <row r="131" spans="1:7" x14ac:dyDescent="0.3">
      <c r="A131" s="2">
        <v>10</v>
      </c>
      <c r="C131" s="38" t="s">
        <v>148</v>
      </c>
      <c r="D131" s="42">
        <f>TRUNC(75507,-1)</f>
        <v>75500</v>
      </c>
      <c r="E131" s="63">
        <f t="shared" si="4"/>
        <v>249580</v>
      </c>
    </row>
    <row r="132" spans="1:7" ht="18" thickBot="1" x14ac:dyDescent="0.35">
      <c r="A132" s="2">
        <v>11</v>
      </c>
      <c r="C132" s="38" t="s">
        <v>47</v>
      </c>
      <c r="D132" s="43">
        <f>TRUNC(2811+185,-1)</f>
        <v>2990</v>
      </c>
      <c r="E132" s="64">
        <f t="shared" si="4"/>
        <v>9880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149460</v>
      </c>
      <c r="E133" s="39">
        <f>SUM(E122:E132)</f>
        <v>494050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TRUNC(3335+27233,-1)</f>
        <v>30560</v>
      </c>
      <c r="E137" s="63">
        <f t="shared" si="5"/>
        <v>101020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TRUNC(1042,-1)</f>
        <v>1040</v>
      </c>
      <c r="E139" s="63">
        <f t="shared" si="5"/>
        <v>3430</v>
      </c>
    </row>
    <row r="140" spans="1:7" x14ac:dyDescent="0.3">
      <c r="A140" s="2">
        <v>5</v>
      </c>
      <c r="C140" s="38" t="s">
        <v>57</v>
      </c>
      <c r="D140" s="42">
        <f>TRUNC(1641,-1)</f>
        <v>1640</v>
      </c>
      <c r="E140" s="63">
        <f t="shared" si="5"/>
        <v>5420</v>
      </c>
    </row>
    <row r="141" spans="1:7" x14ac:dyDescent="0.3">
      <c r="A141" s="2">
        <v>6</v>
      </c>
      <c r="C141" s="38" t="s">
        <v>59</v>
      </c>
      <c r="D141" s="42">
        <f>TRUNC(5776,-1)</f>
        <v>5770</v>
      </c>
      <c r="E141" s="63">
        <f t="shared" si="5"/>
        <v>19070</v>
      </c>
    </row>
    <row r="142" spans="1:7" x14ac:dyDescent="0.3">
      <c r="A142" s="2">
        <v>7</v>
      </c>
      <c r="C142" s="38" t="s">
        <v>58</v>
      </c>
      <c r="D142" s="42">
        <f>TRUNC(4564,-1)</f>
        <v>4560</v>
      </c>
      <c r="E142" s="63">
        <f t="shared" si="5"/>
        <v>15070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43570</v>
      </c>
      <c r="E146" s="39">
        <f>SUM(E136:E145)</f>
        <v>144010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TRUNC(9581+2184,-1)</f>
        <v>11760</v>
      </c>
      <c r="E149" s="62">
        <f>TRUNC(+D149*3.3058,-1)</f>
        <v>38870</v>
      </c>
    </row>
    <row r="150" spans="1:7" x14ac:dyDescent="0.3">
      <c r="A150" s="2">
        <v>2</v>
      </c>
      <c r="C150" s="38" t="s">
        <v>49</v>
      </c>
      <c r="D150" s="42">
        <f>TRUNC(4584,-1)</f>
        <v>4580</v>
      </c>
      <c r="E150" s="63">
        <f>TRUNC(+D150*3.3058,-1)</f>
        <v>15140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TRUNC(602+1480,-1)</f>
        <v>2080</v>
      </c>
      <c r="E152" s="63">
        <f>TRUNC(+D152*3.3058,-1)</f>
        <v>6870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18420</v>
      </c>
      <c r="E154" s="39">
        <f>SUM(E149:E153)</f>
        <v>60880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TRUNC(34904,-1)</f>
        <v>34900</v>
      </c>
      <c r="E157" s="62">
        <f>TRUNC(+D157*3.3058,-1)</f>
        <v>115370</v>
      </c>
    </row>
    <row r="158" spans="1:7" x14ac:dyDescent="0.3">
      <c r="A158" s="2">
        <v>2</v>
      </c>
      <c r="C158" s="38" t="s">
        <v>52</v>
      </c>
      <c r="D158" s="42">
        <f>TRUNC(7431,-1)</f>
        <v>7430</v>
      </c>
      <c r="E158" s="63">
        <f>TRUNC(+D158*3.3058,-1)</f>
        <v>24560</v>
      </c>
    </row>
    <row r="159" spans="1:7" x14ac:dyDescent="0.3">
      <c r="A159" s="2">
        <v>3</v>
      </c>
      <c r="C159" s="38" t="s">
        <v>47</v>
      </c>
      <c r="D159" s="42">
        <f>TRUNC(13363+1923,-1)</f>
        <v>15280</v>
      </c>
      <c r="E159" s="63">
        <f>TRUNC(+D159*3.3058,-1)</f>
        <v>50510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57610</v>
      </c>
      <c r="E161" s="39">
        <f>SUM(E157:E160)</f>
        <v>190440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2020-12-08T02:17:28Z</dcterms:modified>
</cp:coreProperties>
</file>