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7" i="4" l="1"/>
  <c r="D118" i="4"/>
  <c r="E160" i="4" l="1"/>
  <c r="E159" i="4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2" i="4"/>
  <c r="E118" i="4"/>
  <c r="E116" i="4"/>
  <c r="E115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46" i="4"/>
  <c r="D117" i="4"/>
  <c r="E117" i="4" s="1"/>
  <c r="D161" i="4" l="1"/>
  <c r="D152" i="4"/>
  <c r="D146" i="4"/>
  <c r="D30" i="4" s="1"/>
  <c r="E30" i="4" s="1"/>
  <c r="D132" i="4"/>
  <c r="E132" i="4" s="1"/>
  <c r="D123" i="4"/>
  <c r="D114" i="4"/>
  <c r="E114" i="4" s="1"/>
  <c r="E119" i="4" s="1"/>
  <c r="D95" i="4"/>
  <c r="D27" i="4" s="1"/>
  <c r="E27" i="4" s="1"/>
  <c r="D94" i="4"/>
  <c r="E94" i="4" s="1"/>
  <c r="D93" i="4"/>
  <c r="E93" i="4" s="1"/>
  <c r="E95" i="4" s="1"/>
  <c r="D66" i="4"/>
  <c r="D26" i="4" s="1"/>
  <c r="E26" i="4" s="1"/>
  <c r="D60" i="4"/>
  <c r="D25" i="4" s="1"/>
  <c r="E25" i="4" s="1"/>
  <c r="D59" i="4"/>
  <c r="E59" i="4" s="1"/>
  <c r="D58" i="4"/>
  <c r="E58" i="4" s="1"/>
  <c r="E60" i="4" s="1"/>
  <c r="D32" i="4"/>
  <c r="E32" i="4" s="1"/>
  <c r="D24" i="4"/>
  <c r="E24" i="4" s="1"/>
  <c r="D7" i="4"/>
  <c r="D119" i="4" l="1"/>
  <c r="D28" i="4" s="1"/>
  <c r="E28" i="4" s="1"/>
  <c r="D154" i="4"/>
  <c r="D31" i="4" s="1"/>
  <c r="E31" i="4" s="1"/>
  <c r="E152" i="4"/>
  <c r="E154" i="4" s="1"/>
  <c r="D133" i="4"/>
  <c r="D29" i="4" s="1"/>
  <c r="E29" i="4" s="1"/>
  <c r="E123" i="4"/>
  <c r="E133" i="4" s="1"/>
  <c r="D33" i="4" l="1"/>
  <c r="D34" i="4"/>
  <c r="E33" i="4"/>
  <c r="E34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<sst xmlns="http://schemas.openxmlformats.org/spreadsheetml/2006/main" count="396" uniqueCount="270">
  <si>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</si>
  <si>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</si>
  <si>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</si>
  <si>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</si>
  <si>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</si>
  <si>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</si>
  <si>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</si>
  <si>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</si>
  <si>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</si>
  <si>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</si>
  <si>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</si>
  <si>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</si>
  <si>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</si>
  <si>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</si>
  <si>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</si>
  <si>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</si>
  <si>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</si>
  <si>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</si>
  <si>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</si>
  <si>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</si>
  <si>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</si>
  <si>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</si>
  <si>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</si>
  <si>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</si>
  <si>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</si>
  <si>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</si>
  <si>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</si>
  <si>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</si>
  <si>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</si>
  <si>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</si>
  <si>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</si>
  <si>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</si>
  <si>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</si>
  <si>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</si>
  <si>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</si>
  <si>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</si>
  <si>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</si>
  <si>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</si>
  <si>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</si>
  <si>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</si>
  <si>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</si>
  <si>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</si>
  <si>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</si>
  <si>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</si>
  <si>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</si>
  <si>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</si>
  <si>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</si>
  <si>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</si>
  <si>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</si>
  <si>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</si>
  <si>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</si>
  <si>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</si>
  <si>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</si>
  <si>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</si>
  <si>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</si>
  <si>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</si>
  <si>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</si>
  <si>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</si>
  <si>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</si>
  <si>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</si>
  <si>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</si>
  <si>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</si>
  <si>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</si>
  <si>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</si>
  <si>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</si>
  <si>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</si>
  <si>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</si>
  <si>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</si>
  <si>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</si>
  <si>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</si>
  <si>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</si>
  <si>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</si>
  <si>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</si>
  <si>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</si>
  <si>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</si>
  <si>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</si>
  <si>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</si>
  <si>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</si>
  <si>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</si>
  <si>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</si>
  <si>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</si>
  <si>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</si>
  <si>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</si>
  <si>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</si>
  <si>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</si>
  <si>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</si>
  <si>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</si>
  <si>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</si>
  <si>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</si>
  <si>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</si>
  <si>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</si>
  <si>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</si>
  <si>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</si>
  <si>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</si>
  <si>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</si>
  <si>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</si>
  <si>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</si>
  <si>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</si>
  <si>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</si>
  <si>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</si>
  <si>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</si>
  <si>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</si>
  <si>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</si>
  <si>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</si>
  <si>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</si>
  <si>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</si>
  <si>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</si>
  <si>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</si>
  <si>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</si>
  <si>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</si>
  <si>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</si>
  <si>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</si>
  <si>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</si>
  <si>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</si>
  <si>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</si>
  <si>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</si>
  <si>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</si>
  <si>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</si>
  <si>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</si>
  <si>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</si>
  <si>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</si>
  <si>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</si>
  <si>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</si>
  <si>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</si>
  <si>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</si>
  <si>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</si>
  <si>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</si>
  <si>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</si>
  <si>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</si>
  <si>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</si>
  <si>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</si>
  <si>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</si>
  <si>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</si>
  <si>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</si>
  <si>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</si>
  <si>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</si>
  <si>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</si>
  <si>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</si>
  <si>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</si>
  <si>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</si>
  <si>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</si>
  <si>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</si>
  <si>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</si>
  <si>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</si>
  <si>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</si>
  <si>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</si>
  <si>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</si>
  <si>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</si>
  <si>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</si>
  <si>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</si>
  <si>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</si>
  <si>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</si>
  <si>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</si>
  <si>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</si>
  <si>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</si>
  <si>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</si>
  <si>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</si>
  <si>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</si>
  <si>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</si>
  <si>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</si>
  <si>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</si>
  <si>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</si>
  <si>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</si>
  <si>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</si>
  <si>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</si>
  <si>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</si>
  <si>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</si>
  <si>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</si>
  <si>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</si>
  <si>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</si>
  <si>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</si>
  <si>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</si>
  <si>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</si>
  <si>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</si>
  <si>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</si>
  <si>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</si>
  <si>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</si>
  <si>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</si>
  <si>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</si>
  <si>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</si>
  <si>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</si>
  <si>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</si>
  <si>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</si>
  <si>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</si>
  <si>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</si>
  <si>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</si>
  <si>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</si>
  <si>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</si>
  <si>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</si>
  <si>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</si>
  <si>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</si>
  <si>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</si>
  <si>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</si>
  <si>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</si>
  <si>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</si>
  <si>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</si>
  <si>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</si>
  <si>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</si>
  <si>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</si>
  <si>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</si>
  <si>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</si>
  <si>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</si>
  <si>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</si>
  <si>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</si>
  <si>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</si>
  <si>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</si>
  <si>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</si>
  <si>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</si>
  <si>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</si>
  <si>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</si>
  <si>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</si>
  <si>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</si>
  <si>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</si>
  <si>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</si>
  <si>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</si>
  <si>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</si>
  <si>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</si>
  <si>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</si>
  <si>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</si>
  <si>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</si>
  <si>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</si>
  <si>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</si>
  <si>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</si>
  <si>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</si>
  <si>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</si>
  <si>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</si>
  <si>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</si>
  <si>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</si>
  <si>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</si>
  <si>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</si>
  <si>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</si>
  <si>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</si>
  <si>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</si>
  <si>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</si>
  <si>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</si>
  <si>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</si>
  <si>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</si>
  <si>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</si>
  <si>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</si>
  <si>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</si>
  <si>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</si>
  <si>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</si>
  <si>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</si>
  <si>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</si>
  <si>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</si>
  <si>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</si>
  <si>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00대학교 교육연구센터 신축공사</t>
  </si>
  <si>
    <t>대전시</t>
  </si>
  <si>
    <t>평</t>
    <phoneticPr fontId="2" type="noConversion"/>
  </si>
  <si>
    <t>원/ m2</t>
    <phoneticPr fontId="2" type="noConversion"/>
  </si>
  <si>
    <t>기초및토공사,골재비,폐기물처리,정화조공사,운반비,작업부산물</t>
    <phoneticPr fontId="2" type="noConversion"/>
  </si>
  <si>
    <t>옥외급수배관공사</t>
  </si>
  <si>
    <t>환기닥트설치공사</t>
  </si>
  <si>
    <t>위생배관공사</t>
    <phoneticPr fontId="2" type="noConversion"/>
  </si>
  <si>
    <t>냉난방기 전기배선공사</t>
  </si>
  <si>
    <t>옥외전력간선공사,옥외보안등설비공사</t>
    <phoneticPr fontId="2" type="noConversion"/>
  </si>
  <si>
    <t>전화설비공사,LAN설비공사</t>
    <phoneticPr fontId="2" type="noConversion"/>
  </si>
  <si>
    <t>비상방송설비공사,무대방송배관공사,방범설비공사</t>
    <phoneticPr fontId="2" type="noConversion"/>
  </si>
  <si>
    <t>배수공사,비탈면보호공사,조경공사,자재대,부대공사</t>
    <phoneticPr fontId="2" type="noConversion"/>
  </si>
  <si>
    <t>도급자설치</t>
    <phoneticPr fontId="2" type="noConversion"/>
  </si>
  <si>
    <t>관급자설치</t>
    <phoneticPr fontId="2" type="noConversion"/>
  </si>
  <si>
    <t>도급자설치, 관급자설치</t>
    <phoneticPr fontId="2" type="noConversion"/>
  </si>
  <si>
    <t>원 /평</t>
    <phoneticPr fontId="2" type="noConversion"/>
  </si>
  <si>
    <t>심야축열식전기공사,스노우멜팅 전기공사</t>
    <phoneticPr fontId="2" type="noConversion"/>
  </si>
  <si>
    <t>기계 소화배관공사,전기 소방설비공사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</si>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</sst>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6837</v>
      </c>
      <c r="D7" s="36">
        <f>+C7/3.3058</f>
        <v>2068.1831931756305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234</v>
      </c>
      <c r="E23" s="35" t="s">
        <v>262</v>
      </c>
    </row>
    <row r="24" spans="1:5" x14ac:dyDescent="0.3">
      <c r="B24" s="2">
        <v>1</v>
      </c>
      <c r="C24" s="35" t="s">
        <v>110</v>
      </c>
      <c r="D24" s="41">
        <f>D37</f>
        <v>4830</v>
      </c>
      <c r="E24" s="59">
        <f t="shared" ref="E24:E33" si="0">TRUNC(+D24*3.3058,-1)</f>
        <v>15960</v>
      </c>
    </row>
    <row r="25" spans="1:5" x14ac:dyDescent="0.3">
      <c r="B25" s="2">
        <v>2</v>
      </c>
      <c r="C25" s="35" t="s">
        <v>111</v>
      </c>
      <c r="D25" s="45">
        <f>+D60</f>
        <v>491040</v>
      </c>
      <c r="E25" s="60">
        <f t="shared" si="0"/>
        <v>1623280</v>
      </c>
    </row>
    <row r="26" spans="1:5" x14ac:dyDescent="0.3">
      <c r="B26" s="2">
        <v>3</v>
      </c>
      <c r="C26" s="35" t="s">
        <v>95</v>
      </c>
      <c r="D26" s="45">
        <f>+D66</f>
        <v>66730</v>
      </c>
      <c r="E26" s="60">
        <f t="shared" si="0"/>
        <v>220590</v>
      </c>
    </row>
    <row r="27" spans="1:5" x14ac:dyDescent="0.3">
      <c r="B27" s="2">
        <v>4</v>
      </c>
      <c r="C27" s="35" t="s">
        <v>96</v>
      </c>
      <c r="D27" s="45">
        <f>+D95</f>
        <v>140610</v>
      </c>
      <c r="E27" s="60">
        <f t="shared" si="0"/>
        <v>464820</v>
      </c>
    </row>
    <row r="28" spans="1:5" x14ac:dyDescent="0.3">
      <c r="B28" s="2">
        <v>5</v>
      </c>
      <c r="C28" s="35" t="s">
        <v>97</v>
      </c>
      <c r="D28" s="45">
        <f>+D119</f>
        <v>64100</v>
      </c>
      <c r="E28" s="60">
        <f t="shared" si="0"/>
        <v>211900</v>
      </c>
    </row>
    <row r="29" spans="1:5" x14ac:dyDescent="0.3">
      <c r="B29" s="2">
        <v>6</v>
      </c>
      <c r="C29" s="35" t="s">
        <v>98</v>
      </c>
      <c r="D29" s="45">
        <f>+D133</f>
        <v>50540</v>
      </c>
      <c r="E29" s="60">
        <f t="shared" si="0"/>
        <v>167070</v>
      </c>
    </row>
    <row r="30" spans="1:5" x14ac:dyDescent="0.3">
      <c r="B30" s="2">
        <v>7</v>
      </c>
      <c r="C30" s="35" t="s">
        <v>99</v>
      </c>
      <c r="D30" s="45">
        <f>+D146</f>
        <v>9560</v>
      </c>
      <c r="E30" s="60">
        <f t="shared" si="0"/>
        <v>31600</v>
      </c>
    </row>
    <row r="31" spans="1:5" x14ac:dyDescent="0.3">
      <c r="B31" s="2">
        <v>8</v>
      </c>
      <c r="C31" s="35" t="s">
        <v>100</v>
      </c>
      <c r="D31" s="45">
        <f>+D154</f>
        <v>65590</v>
      </c>
      <c r="E31" s="60">
        <f t="shared" si="0"/>
        <v>216820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245570</v>
      </c>
      <c r="E33" s="61">
        <f t="shared" si="0"/>
        <v>811800</v>
      </c>
    </row>
    <row r="34" spans="1:7" x14ac:dyDescent="0.3">
      <c r="C34" s="35" t="s">
        <v>112</v>
      </c>
      <c r="D34" s="44">
        <f>SUM(D24:D33)</f>
        <v>1138570</v>
      </c>
      <c r="E34" s="44">
        <f>SUM(E24:E33)</f>
        <v>3763840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235</v>
      </c>
      <c r="D36" s="56" t="s">
        <v>234</v>
      </c>
      <c r="E36" s="56" t="s">
        <v>262</v>
      </c>
      <c r="F36" s="54"/>
      <c r="G36" s="54"/>
    </row>
    <row r="37" spans="1:7" ht="17.25" thickBot="1" x14ac:dyDescent="0.35">
      <c r="C37" s="38" t="s">
        <v>143</v>
      </c>
      <c r="D37" s="52">
        <v>4830</v>
      </c>
      <c r="E37" s="62">
        <f>TRUNC(+D37*3.3058,-1)</f>
        <v>15960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239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v>23810</v>
      </c>
      <c r="E40" s="63">
        <f t="shared" ref="E40:E59" si="1">TRUNC(+D40*3.3058,-1)</f>
        <v>78710</v>
      </c>
    </row>
    <row r="41" spans="1:7" x14ac:dyDescent="0.3">
      <c r="A41" s="2">
        <v>2</v>
      </c>
      <c r="C41" s="38" t="s">
        <v>13</v>
      </c>
      <c r="D41" s="42">
        <v>110400</v>
      </c>
      <c r="E41" s="64">
        <f t="shared" si="1"/>
        <v>364960</v>
      </c>
    </row>
    <row r="42" spans="1:7" x14ac:dyDescent="0.3">
      <c r="A42" s="2">
        <v>3</v>
      </c>
      <c r="C42" s="38" t="s">
        <v>14</v>
      </c>
      <c r="D42" s="42">
        <v>3530</v>
      </c>
      <c r="E42" s="64">
        <f t="shared" si="1"/>
        <v>11660</v>
      </c>
    </row>
    <row r="43" spans="1:7" x14ac:dyDescent="0.3">
      <c r="A43" s="2">
        <v>4</v>
      </c>
      <c r="C43" s="38" t="s">
        <v>16</v>
      </c>
      <c r="D43" s="42">
        <v>50260</v>
      </c>
      <c r="E43" s="64">
        <f t="shared" si="1"/>
        <v>166140</v>
      </c>
    </row>
    <row r="44" spans="1:7" x14ac:dyDescent="0.3">
      <c r="A44" s="2">
        <v>5</v>
      </c>
      <c r="C44" s="38" t="s">
        <v>17</v>
      </c>
      <c r="D44" s="42">
        <v>14210</v>
      </c>
      <c r="E44" s="64">
        <f t="shared" si="1"/>
        <v>46970</v>
      </c>
    </row>
    <row r="45" spans="1:7" x14ac:dyDescent="0.3">
      <c r="A45" s="2">
        <v>6</v>
      </c>
      <c r="C45" s="38" t="s">
        <v>18</v>
      </c>
      <c r="D45" s="42">
        <v>7910</v>
      </c>
      <c r="E45" s="64">
        <f t="shared" si="1"/>
        <v>26140</v>
      </c>
    </row>
    <row r="46" spans="1:7" x14ac:dyDescent="0.3">
      <c r="A46" s="2">
        <v>7</v>
      </c>
      <c r="C46" s="38" t="s">
        <v>19</v>
      </c>
      <c r="D46" s="42">
        <v>28970</v>
      </c>
      <c r="E46" s="64">
        <f t="shared" si="1"/>
        <v>95760</v>
      </c>
    </row>
    <row r="47" spans="1:7" x14ac:dyDescent="0.3">
      <c r="A47" s="2">
        <v>8</v>
      </c>
      <c r="C47" s="38" t="s">
        <v>20</v>
      </c>
      <c r="D47" s="42">
        <v>1350</v>
      </c>
      <c r="E47" s="64">
        <f t="shared" si="1"/>
        <v>4460</v>
      </c>
    </row>
    <row r="48" spans="1:7" x14ac:dyDescent="0.3">
      <c r="A48" s="2">
        <v>9</v>
      </c>
      <c r="C48" s="38" t="s">
        <v>21</v>
      </c>
      <c r="D48" s="42">
        <v>27060</v>
      </c>
      <c r="E48" s="64">
        <f t="shared" si="1"/>
        <v>89450</v>
      </c>
    </row>
    <row r="49" spans="1:7" x14ac:dyDescent="0.3">
      <c r="A49" s="2">
        <v>10</v>
      </c>
      <c r="C49" s="38" t="s">
        <v>22</v>
      </c>
      <c r="D49" s="42">
        <v>17680</v>
      </c>
      <c r="E49" s="64">
        <f t="shared" si="1"/>
        <v>58440</v>
      </c>
    </row>
    <row r="50" spans="1:7" x14ac:dyDescent="0.3">
      <c r="A50" s="2">
        <v>11</v>
      </c>
      <c r="C50" s="38" t="s">
        <v>154</v>
      </c>
      <c r="D50" s="42">
        <v>46260</v>
      </c>
      <c r="E50" s="64">
        <f t="shared" si="1"/>
        <v>152920</v>
      </c>
    </row>
    <row r="51" spans="1:7" x14ac:dyDescent="0.3">
      <c r="A51" s="2">
        <v>12</v>
      </c>
      <c r="C51" s="38" t="s">
        <v>23</v>
      </c>
      <c r="D51" s="42">
        <v>10570</v>
      </c>
      <c r="E51" s="64">
        <f t="shared" si="1"/>
        <v>34940</v>
      </c>
    </row>
    <row r="52" spans="1:7" x14ac:dyDescent="0.3">
      <c r="A52" s="2">
        <v>13</v>
      </c>
      <c r="C52" s="38" t="s">
        <v>24</v>
      </c>
      <c r="D52" s="42">
        <v>7690</v>
      </c>
      <c r="E52" s="64">
        <f t="shared" si="1"/>
        <v>25420</v>
      </c>
    </row>
    <row r="53" spans="1:7" x14ac:dyDescent="0.3">
      <c r="A53" s="2">
        <v>14</v>
      </c>
      <c r="C53" s="38" t="s">
        <v>25</v>
      </c>
      <c r="D53" s="42">
        <v>17080</v>
      </c>
      <c r="E53" s="64">
        <f t="shared" si="1"/>
        <v>56460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4230</v>
      </c>
      <c r="E55" s="64">
        <f t="shared" si="1"/>
        <v>13980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6310+2950+1240+2810-600</f>
        <v>12710</v>
      </c>
      <c r="E58" s="64">
        <f t="shared" si="1"/>
        <v>42010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f>TRUNC(107324.557554483,-1)</f>
        <v>107320</v>
      </c>
      <c r="E59" s="65">
        <f t="shared" si="1"/>
        <v>354770</v>
      </c>
      <c r="F59" s="2" t="s">
        <v>259</v>
      </c>
    </row>
    <row r="60" spans="1:7" x14ac:dyDescent="0.3">
      <c r="A60" s="2">
        <v>21</v>
      </c>
      <c r="C60" s="27" t="s">
        <v>112</v>
      </c>
      <c r="D60" s="39">
        <f>SUM(D40:D59)</f>
        <v>491040</v>
      </c>
      <c r="E60" s="39">
        <f>SUM(E40:E59)</f>
        <v>1623190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236</v>
      </c>
      <c r="C62" s="55" t="s">
        <v>237</v>
      </c>
      <c r="D62" s="56" t="s">
        <v>249</v>
      </c>
      <c r="E62" s="56" t="s">
        <v>262</v>
      </c>
      <c r="F62" s="54"/>
      <c r="G62" s="54"/>
    </row>
    <row r="63" spans="1:7" x14ac:dyDescent="0.3">
      <c r="A63" s="2">
        <v>1</v>
      </c>
      <c r="C63" s="38" t="s">
        <v>27</v>
      </c>
      <c r="D63" s="40">
        <v>66730</v>
      </c>
      <c r="E63" s="63">
        <f>TRUNC(+D63*3.3058,-1)</f>
        <v>220590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66730</v>
      </c>
      <c r="E66" s="57">
        <f>SUM(E63:E65)</f>
        <v>220590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238</v>
      </c>
      <c r="C68" s="55" t="s">
        <v>239</v>
      </c>
      <c r="D68" s="56" t="s">
        <v>249</v>
      </c>
      <c r="E68" s="56" t="s">
        <v>262</v>
      </c>
      <c r="F68" s="54"/>
      <c r="G68" s="54"/>
    </row>
    <row r="69" spans="1:7" x14ac:dyDescent="0.3">
      <c r="A69" s="2">
        <v>1</v>
      </c>
      <c r="C69" s="38" t="s">
        <v>30</v>
      </c>
      <c r="D69" s="40">
        <v>6880</v>
      </c>
      <c r="E69" s="63">
        <f>TRUNC(+D69*3.3058,-1)</f>
        <v>22740</v>
      </c>
    </row>
    <row r="70" spans="1:7" ht="16.5" customHeight="1" x14ac:dyDescent="0.3">
      <c r="A70" s="2">
        <v>2</v>
      </c>
      <c r="C70" s="38" t="s">
        <v>31</v>
      </c>
      <c r="D70" s="42">
        <v>1740</v>
      </c>
      <c r="E70" s="64">
        <f>TRUNC(+D70*3.3058,-1)</f>
        <v>5750</v>
      </c>
      <c r="F70" s="2" t="s">
        <v>251</v>
      </c>
    </row>
    <row r="71" spans="1:7" x14ac:dyDescent="0.3">
      <c r="A71" s="2">
        <v>3</v>
      </c>
      <c r="C71" s="38" t="s">
        <v>32</v>
      </c>
      <c r="D71" s="42">
        <v>2480</v>
      </c>
      <c r="E71" s="64">
        <f t="shared" ref="E71:E73" si="2">TRUNC(+D71*3.3058,-1)</f>
        <v>8190</v>
      </c>
    </row>
    <row r="72" spans="1:7" x14ac:dyDescent="0.3">
      <c r="A72" s="2">
        <v>4</v>
      </c>
      <c r="C72" s="38" t="s">
        <v>33</v>
      </c>
      <c r="D72" s="42">
        <v>2800</v>
      </c>
      <c r="E72" s="64">
        <f t="shared" si="2"/>
        <v>9250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v>4450</v>
      </c>
      <c r="E79" s="64">
        <f t="shared" si="3"/>
        <v>14710</v>
      </c>
      <c r="F79" s="2" t="s">
        <v>252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2100</v>
      </c>
      <c r="E81" s="64">
        <f t="shared" si="3"/>
        <v>6940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>TRUNC(+D90*3.3058,-1)</f>
        <v>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>TRUNC(+D92*3.3058,-1)</f>
        <v>0</v>
      </c>
    </row>
    <row r="93" spans="1:7" x14ac:dyDescent="0.3">
      <c r="A93" s="2">
        <v>25</v>
      </c>
      <c r="C93" s="38" t="s">
        <v>148</v>
      </c>
      <c r="D93" s="42">
        <f>TRUNC(86106.3331870704,-1)</f>
        <v>86100</v>
      </c>
      <c r="E93" s="64">
        <f>TRUNC(+D93*3.3058,-1)</f>
        <v>284620</v>
      </c>
      <c r="F93" s="2" t="s">
        <v>260</v>
      </c>
    </row>
    <row r="94" spans="1:7" ht="17.25" thickBot="1" x14ac:dyDescent="0.35">
      <c r="A94" s="2">
        <v>26</v>
      </c>
      <c r="C94" s="38" t="s">
        <v>47</v>
      </c>
      <c r="D94" s="43">
        <f>34060</f>
        <v>34060</v>
      </c>
      <c r="E94" s="65">
        <f>TRUNC(+D94*3.3058,-1)</f>
        <v>112590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140610</v>
      </c>
      <c r="E95" s="39">
        <f>SUM(E69:E94)</f>
        <v>464790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240</v>
      </c>
      <c r="C97" s="55" t="s">
        <v>239</v>
      </c>
      <c r="D97" s="56" t="s">
        <v>249</v>
      </c>
      <c r="E97" s="56" t="s">
        <v>262</v>
      </c>
      <c r="F97" s="54"/>
      <c r="G97" s="54"/>
    </row>
    <row r="98" spans="1:7" x14ac:dyDescent="0.3">
      <c r="A98" s="2">
        <v>1</v>
      </c>
      <c r="C98" s="38" t="s">
        <v>39</v>
      </c>
      <c r="D98" s="40">
        <v>8430</v>
      </c>
      <c r="E98" s="63">
        <f t="shared" ref="E98:E118" si="4">TRUNC(+D98*3.3058,-1)</f>
        <v>27860</v>
      </c>
    </row>
    <row r="99" spans="1:7" x14ac:dyDescent="0.3">
      <c r="A99" s="2">
        <v>2</v>
      </c>
      <c r="C99" s="38" t="s">
        <v>40</v>
      </c>
      <c r="D99" s="42">
        <v>1220</v>
      </c>
      <c r="E99" s="64">
        <f t="shared" si="4"/>
        <v>4030</v>
      </c>
    </row>
    <row r="100" spans="1:7" x14ac:dyDescent="0.3">
      <c r="A100" s="2">
        <v>3</v>
      </c>
      <c r="C100" s="38" t="s">
        <v>41</v>
      </c>
      <c r="D100" s="42">
        <v>14180</v>
      </c>
      <c r="E100" s="64">
        <f t="shared" si="4"/>
        <v>46870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v>3830</v>
      </c>
      <c r="E102" s="64">
        <f t="shared" si="4"/>
        <v>12660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v>630</v>
      </c>
      <c r="E104" s="64">
        <f t="shared" si="4"/>
        <v>2080</v>
      </c>
    </row>
    <row r="105" spans="1:7" x14ac:dyDescent="0.3">
      <c r="A105" s="2">
        <v>8</v>
      </c>
      <c r="C105" s="38" t="s">
        <v>46</v>
      </c>
      <c r="D105" s="42">
        <v>0</v>
      </c>
      <c r="E105" s="64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1040</v>
      </c>
      <c r="E108" s="64">
        <f t="shared" si="4"/>
        <v>3430</v>
      </c>
      <c r="F108" s="2" t="s">
        <v>254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f>6660+1310</f>
        <v>7970</v>
      </c>
      <c r="E114" s="64">
        <f t="shared" si="4"/>
        <v>26340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4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TRUNC(13676.3200234021+10106.0406611087,-1)</f>
        <v>23780</v>
      </c>
      <c r="E117" s="64">
        <f t="shared" si="4"/>
        <v>78610</v>
      </c>
      <c r="F117" s="2" t="s">
        <v>261</v>
      </c>
    </row>
    <row r="118" spans="1:7" ht="17.25" thickBot="1" x14ac:dyDescent="0.35">
      <c r="A118" s="2">
        <v>21</v>
      </c>
      <c r="C118" s="38" t="s">
        <v>47</v>
      </c>
      <c r="D118" s="43">
        <f>1920+1100</f>
        <v>3020</v>
      </c>
      <c r="E118" s="65">
        <f t="shared" si="4"/>
        <v>9980</v>
      </c>
      <c r="F118" s="2" t="s">
        <v>263</v>
      </c>
    </row>
    <row r="119" spans="1:7" x14ac:dyDescent="0.3">
      <c r="A119" s="2">
        <v>22</v>
      </c>
      <c r="C119" s="27" t="s">
        <v>112</v>
      </c>
      <c r="D119" s="39">
        <f>SUM(D98:D118)</f>
        <v>64100</v>
      </c>
      <c r="E119" s="39">
        <f>SUM(E98:E118)</f>
        <v>211860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241</v>
      </c>
      <c r="C121" s="55" t="s">
        <v>239</v>
      </c>
      <c r="D121" s="56" t="s">
        <v>249</v>
      </c>
      <c r="E121" s="56" t="s">
        <v>262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2950</v>
      </c>
      <c r="E122" s="63">
        <f t="shared" ref="E122:E132" si="5">TRUNC(+D122*3.3058,-1)</f>
        <v>9750</v>
      </c>
    </row>
    <row r="123" spans="1:7" x14ac:dyDescent="0.3">
      <c r="A123" s="2">
        <v>2</v>
      </c>
      <c r="C123" s="38" t="s">
        <v>124</v>
      </c>
      <c r="D123" s="42">
        <f>5670+4390</f>
        <v>10060</v>
      </c>
      <c r="E123" s="64">
        <f t="shared" si="5"/>
        <v>33250</v>
      </c>
      <c r="F123" s="2" t="s">
        <v>256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4">
        <f t="shared" si="5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2530</v>
      </c>
      <c r="E128" s="64">
        <f t="shared" si="5"/>
        <v>8360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5"/>
        <v>0</v>
      </c>
    </row>
    <row r="131" spans="1:7" x14ac:dyDescent="0.3">
      <c r="A131" s="2">
        <v>10</v>
      </c>
      <c r="C131" s="38" t="s">
        <v>148</v>
      </c>
      <c r="D131" s="42">
        <v>29000</v>
      </c>
      <c r="E131" s="64">
        <f t="shared" si="5"/>
        <v>95860</v>
      </c>
      <c r="F131" s="2" t="s">
        <v>260</v>
      </c>
    </row>
    <row r="132" spans="1:7" ht="17.25" thickBot="1" x14ac:dyDescent="0.35">
      <c r="A132" s="2">
        <v>11</v>
      </c>
      <c r="C132" s="38" t="s">
        <v>47</v>
      </c>
      <c r="D132" s="43">
        <f>2850+1900+1250</f>
        <v>6000</v>
      </c>
      <c r="E132" s="65">
        <f t="shared" si="5"/>
        <v>19830</v>
      </c>
      <c r="F132" s="2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50540</v>
      </c>
      <c r="E133" s="39">
        <f>SUM(E122:E132)</f>
        <v>167050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242</v>
      </c>
      <c r="C135" s="55" t="s">
        <v>239</v>
      </c>
      <c r="D135" s="56" t="s">
        <v>249</v>
      </c>
      <c r="E135" s="56" t="s">
        <v>262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f>4750+4810</f>
        <v>9560</v>
      </c>
      <c r="E137" s="64">
        <f t="shared" si="6"/>
        <v>31600</v>
      </c>
      <c r="F137" s="2" t="s">
        <v>264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9560</v>
      </c>
      <c r="E146" s="39">
        <f>SUM(E136:E145)</f>
        <v>31600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243</v>
      </c>
      <c r="C148" s="55" t="s">
        <v>239</v>
      </c>
      <c r="D148" s="56" t="s">
        <v>249</v>
      </c>
      <c r="E148" s="56" t="s">
        <v>262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15820</v>
      </c>
      <c r="E150" s="64">
        <f>TRUNC(+D150*3.3058,-1)</f>
        <v>52290</v>
      </c>
    </row>
    <row r="151" spans="1:7" x14ac:dyDescent="0.3">
      <c r="A151" s="2">
        <v>3</v>
      </c>
      <c r="C151" s="38" t="s">
        <v>50</v>
      </c>
      <c r="D151" s="42">
        <v>21290</v>
      </c>
      <c r="E151" s="64">
        <f>TRUNC(+D151*3.3058,-1)</f>
        <v>70380</v>
      </c>
    </row>
    <row r="152" spans="1:7" x14ac:dyDescent="0.3">
      <c r="A152" s="2">
        <v>4</v>
      </c>
      <c r="C152" s="38" t="s">
        <v>47</v>
      </c>
      <c r="D152" s="42">
        <f>6870+6100+6930+8440+140</f>
        <v>28480</v>
      </c>
      <c r="E152" s="64">
        <f>TRUNC(+D152*3.3058,-1)</f>
        <v>94140</v>
      </c>
      <c r="F152" s="58" t="s">
        <v>258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65590</v>
      </c>
      <c r="E154" s="39">
        <f>SUM(E149:E153)</f>
        <v>216810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244</v>
      </c>
      <c r="C156" s="55" t="s">
        <v>239</v>
      </c>
      <c r="D156" s="56" t="s">
        <v>249</v>
      </c>
      <c r="E156" s="56" t="s">
        <v>262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2020-12-07T09:00:49Z</dcterms:modified>
</cp:coreProperties>
</file>