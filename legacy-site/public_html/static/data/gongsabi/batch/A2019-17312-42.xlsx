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93" i="4"/>
  <c r="D117" i="4"/>
  <c r="D131" i="4"/>
  <c r="D145" i="4"/>
  <c r="D153" i="4"/>
  <c r="D160" i="4"/>
  <c r="D157" i="4"/>
  <c r="D159" i="4"/>
  <c r="D158" i="4"/>
  <c r="D152" i="4"/>
  <c r="D151" i="4"/>
  <c r="D150" i="4"/>
  <c r="D149" i="4"/>
  <c r="D144" i="4"/>
  <c r="D143" i="4"/>
  <c r="D139" i="4"/>
  <c r="D137" i="4"/>
  <c r="D140" i="4"/>
  <c r="D132" i="4"/>
  <c r="D118" i="4"/>
  <c r="D105" i="4"/>
  <c r="D104" i="4"/>
  <c r="D102" i="4"/>
  <c r="D101" i="4"/>
  <c r="D100" i="4"/>
  <c r="D99" i="4"/>
  <c r="D114" i="4"/>
  <c r="D98" i="4"/>
  <c r="D116" i="4"/>
  <c r="D75" i="4"/>
  <c r="D92" i="4"/>
  <c r="D91" i="4"/>
  <c r="D90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<sst xmlns="http://schemas.openxmlformats.org/spreadsheetml/2006/main" count="394" uniqueCount="269">
  <si>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</si>
  <si>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</si>
  <si>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</si>
  <si>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</si>
  <si>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</si>
  <si>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</si>
  <si>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</si>
  <si>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</si>
  <si>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</si>
  <si>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</si>
  <si>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</si>
  <si>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</si>
  <si>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</si>
  <si>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</si>
  <si>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</si>
  <si>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</si>
  <si>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</si>
  <si>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</si>
  <si>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</si>
  <si>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</si>
  <si>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</si>
  <si>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</si>
  <si>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</si>
  <si>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</si>
  <si>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</si>
  <si>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</si>
  <si>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</si>
  <si>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</si>
  <si>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</si>
  <si>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</si>
  <si>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</si>
  <si>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</si>
  <si>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</si>
  <si>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</si>
  <si>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</si>
  <si>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</si>
  <si>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</si>
  <si>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</si>
  <si>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</si>
  <si>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</si>
  <si>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</si>
  <si>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</si>
  <si>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</si>
  <si>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</si>
  <si>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</si>
  <si>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</si>
  <si>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</si>
  <si>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</si>
  <si>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</si>
  <si>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</si>
  <si>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</si>
  <si>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</si>
  <si>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</si>
  <si>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</si>
  <si>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</si>
  <si>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</si>
  <si>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</si>
  <si>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</si>
  <si>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</si>
  <si>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</si>
  <si>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</si>
  <si>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</si>
  <si>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</si>
  <si>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</si>
  <si>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</si>
  <si>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</si>
  <si>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</si>
  <si>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</si>
  <si>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</si>
  <si>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</si>
  <si>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</si>
  <si>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</si>
  <si>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</si>
  <si>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</si>
  <si>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</si>
  <si>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</si>
  <si>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</si>
  <si>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</si>
  <si>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</si>
  <si>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</si>
  <si>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</si>
  <si>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</si>
  <si>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</si>
  <si>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</si>
  <si>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</si>
  <si>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</si>
  <si>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</si>
  <si>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</si>
  <si>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</si>
  <si>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</si>
  <si>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</si>
  <si>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</si>
  <si>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</si>
  <si>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</si>
  <si>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</si>
  <si>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</si>
  <si>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</si>
  <si>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</si>
  <si>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</si>
  <si>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</si>
  <si>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</si>
  <si>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</si>
  <si>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</si>
  <si>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</si>
  <si>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</si>
  <si>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</si>
  <si>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</si>
  <si>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</si>
  <si>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</si>
  <si>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</si>
  <si>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</si>
  <si>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</si>
  <si>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</si>
  <si>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</si>
  <si>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</si>
  <si>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</si>
  <si>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</si>
  <si>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</si>
  <si>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</si>
  <si>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</si>
  <si>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</si>
  <si>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</si>
  <si>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</si>
  <si>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</si>
  <si>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</si>
  <si>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</si>
  <si>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</si>
  <si>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</si>
  <si>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</si>
  <si>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</si>
  <si>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</si>
  <si>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</si>
  <si>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</si>
  <si>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</si>
  <si>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</si>
  <si>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</si>
  <si>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</si>
  <si>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</si>
  <si>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</si>
  <si>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</si>
  <si>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</si>
  <si>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</si>
  <si>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</si>
  <si>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</si>
  <si>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</si>
  <si>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</si>
  <si>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</si>
  <si>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</si>
  <si>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</si>
  <si>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</si>
  <si>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</si>
  <si>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</si>
  <si>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</si>
  <si>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</si>
  <si>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</si>
  <si>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</si>
  <si>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</si>
  <si>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</si>
  <si>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</si>
  <si>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</si>
  <si>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</si>
  <si>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</si>
  <si>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</si>
  <si>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</si>
  <si>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</si>
  <si>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</si>
  <si>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</si>
  <si>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</si>
  <si>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</si>
  <si>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</si>
  <si>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</si>
  <si>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</si>
  <si>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</si>
  <si>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</si>
  <si>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</si>
  <si>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</si>
  <si>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</si>
  <si>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</si>
  <si>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</si>
  <si>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</si>
  <si>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</si>
  <si>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</si>
  <si>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</si>
  <si>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</si>
  <si>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</si>
  <si>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</si>
  <si>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</si>
  <si>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</si>
  <si>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</si>
  <si>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</si>
  <si>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</si>
  <si>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</si>
  <si>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</si>
  <si>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</si>
  <si>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</si>
  <si>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</si>
  <si>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</si>
  <si>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</si>
  <si>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</si>
  <si>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</si>
  <si>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</si>
  <si>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</si>
  <si>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</si>
  <si>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</si>
  <si>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</si>
  <si>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</si>
  <si>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</si>
  <si>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</si>
  <si>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</si>
  <si>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</si>
  <si>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</si>
  <si>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</si>
  <si>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</si>
  <si>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</si>
  <si>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</si>
  <si>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</si>
  <si>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</si>
  <si>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</si>
  <si>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</si>
  <si>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</si>
  <si>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</si>
  <si>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</si>
  <si>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</si>
  <si>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</si>
  <si>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</si>
  <si>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</si>
  <si>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</si>
  <si>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</si>
  <si>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</si>
  <si>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</si>
  <si>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</si>
  <si>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</si>
  <si>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</si>
  <si>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</si>
  <si>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</si>
  <si>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</si>
  <si>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</si>
  <si>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</si>
  <si>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</si>
  <si>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</si>
  <si>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</si>
  <si>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</si>
  <si>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</si>
  <si>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</si>
  <si>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</si>
  <si>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</si>
  <si>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</si>
  <si>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</si>
  <si>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국립청소년산림센터 건립공사(건축)</t>
    <phoneticPr fontId="2" type="noConversion"/>
  </si>
  <si>
    <t>기타</t>
  </si>
  <si>
    <t>경상도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</si>
  <si>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</si>
  <si>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</si>
  <si>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</si>
  <si>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기초공사,골재비및운반비,품질시험비,기타공사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</si>
  <si>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</si>
  <si>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</si>
  <si>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기타공사</t>
    <phoneticPr fontId="2" type="noConversion"/>
  </si>
  <si>
    <t>펌프실배관공사,기타공사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</si>
  <si>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</si>
  <si>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</si>
  <si>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</si>
  <si>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</si>
  <si>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  <phoneticPr fontId="2" type="noConversion"/>
  </si>
  <si>
    <t>원 /평</t>
    <phoneticPr fontId="2" type="noConversion"/>
  </si>
  <si>
    <t>바닥난방공사, 공조배관공사,난방배관공사,기타공사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</si>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</sst>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8572.4500000000007</v>
      </c>
      <c r="D7" s="36">
        <f>+C7/3.3058</f>
        <v>2593.1544558049491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1017110</v>
      </c>
      <c r="E25" s="59">
        <f t="shared" si="0"/>
        <v>3362360</v>
      </c>
    </row>
    <row r="26" spans="1:5" x14ac:dyDescent="0.3">
      <c r="B26" s="2">
        <v>3</v>
      </c>
      <c r="C26" s="35" t="s">
        <v>95</v>
      </c>
      <c r="D26" s="45">
        <f>+D66</f>
        <v>10750</v>
      </c>
      <c r="E26" s="59">
        <f t="shared" si="0"/>
        <v>35530</v>
      </c>
    </row>
    <row r="27" spans="1:5" x14ac:dyDescent="0.3">
      <c r="B27" s="2">
        <v>4</v>
      </c>
      <c r="C27" s="35" t="s">
        <v>96</v>
      </c>
      <c r="D27" s="45">
        <f>+D95</f>
        <v>312080</v>
      </c>
      <c r="E27" s="59">
        <f t="shared" si="0"/>
        <v>1031670</v>
      </c>
    </row>
    <row r="28" spans="1:5" x14ac:dyDescent="0.3">
      <c r="B28" s="2">
        <v>5</v>
      </c>
      <c r="C28" s="35" t="s">
        <v>97</v>
      </c>
      <c r="D28" s="45">
        <f>+D119</f>
        <v>264750</v>
      </c>
      <c r="E28" s="59">
        <f t="shared" si="0"/>
        <v>875210</v>
      </c>
    </row>
    <row r="29" spans="1:5" x14ac:dyDescent="0.3">
      <c r="B29" s="2">
        <v>6</v>
      </c>
      <c r="C29" s="35" t="s">
        <v>98</v>
      </c>
      <c r="D29" s="45">
        <f>+D133</f>
        <v>114240</v>
      </c>
      <c r="E29" s="59">
        <f t="shared" si="0"/>
        <v>377650</v>
      </c>
    </row>
    <row r="30" spans="1:5" x14ac:dyDescent="0.3">
      <c r="B30" s="2">
        <v>7</v>
      </c>
      <c r="C30" s="35" t="s">
        <v>99</v>
      </c>
      <c r="D30" s="45">
        <f>+D146</f>
        <v>62430</v>
      </c>
      <c r="E30" s="59">
        <f t="shared" si="0"/>
        <v>206380</v>
      </c>
    </row>
    <row r="31" spans="1:5" x14ac:dyDescent="0.3">
      <c r="B31" s="2">
        <v>8</v>
      </c>
      <c r="C31" s="35" t="s">
        <v>100</v>
      </c>
      <c r="D31" s="45">
        <f>+D154</f>
        <v>55230</v>
      </c>
      <c r="E31" s="59">
        <f t="shared" si="0"/>
        <v>182570</v>
      </c>
    </row>
    <row r="32" spans="1:5" x14ac:dyDescent="0.3">
      <c r="B32" s="2">
        <v>9</v>
      </c>
      <c r="C32" s="35" t="s">
        <v>101</v>
      </c>
      <c r="D32" s="45">
        <f>+D161</f>
        <v>38490</v>
      </c>
      <c r="E32" s="59">
        <f t="shared" si="0"/>
        <v>127240</v>
      </c>
    </row>
    <row r="33" spans="1:7" x14ac:dyDescent="0.3">
      <c r="B33" s="2">
        <v>10</v>
      </c>
      <c r="C33" s="35" t="s">
        <v>154</v>
      </c>
      <c r="D33" s="53">
        <f>TRUNC(SUM(D24:D32)*0.275,-1)</f>
        <v>515640</v>
      </c>
      <c r="E33" s="60">
        <f t="shared" si="0"/>
        <v>1704600</v>
      </c>
    </row>
    <row r="34" spans="1:7" x14ac:dyDescent="0.3">
      <c r="C34" s="35" t="s">
        <v>112</v>
      </c>
      <c r="D34" s="44">
        <f>SUM(D24:D33)</f>
        <v>2390720</v>
      </c>
      <c r="E34" s="44">
        <f>SUM(E24:E33)</f>
        <v>7903210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TRUNC(79299,-1)</f>
        <v>79290</v>
      </c>
      <c r="E40" s="62">
        <f t="shared" ref="E40:E59" si="1">TRUNC(+D40*3.3058,-1)</f>
        <v>262110</v>
      </c>
    </row>
    <row r="41" spans="1:7" x14ac:dyDescent="0.3">
      <c r="A41" s="2">
        <v>2</v>
      </c>
      <c r="C41" s="38" t="s">
        <v>13</v>
      </c>
      <c r="D41" s="42">
        <f>TRUNC(207177,-1)</f>
        <v>207170</v>
      </c>
      <c r="E41" s="63">
        <f t="shared" si="1"/>
        <v>684860</v>
      </c>
    </row>
    <row r="42" spans="1:7" x14ac:dyDescent="0.3">
      <c r="A42" s="2">
        <v>3</v>
      </c>
      <c r="C42" s="38" t="s">
        <v>14</v>
      </c>
      <c r="D42" s="42">
        <f>TRUNC(26599,-1)</f>
        <v>26590</v>
      </c>
      <c r="E42" s="63">
        <f t="shared" si="1"/>
        <v>87900</v>
      </c>
    </row>
    <row r="43" spans="1:7" x14ac:dyDescent="0.3">
      <c r="A43" s="2">
        <v>4</v>
      </c>
      <c r="C43" s="38" t="s">
        <v>16</v>
      </c>
      <c r="D43" s="42">
        <f>TRUNC(38756,-1)</f>
        <v>38750</v>
      </c>
      <c r="E43" s="63">
        <f t="shared" si="1"/>
        <v>128090</v>
      </c>
    </row>
    <row r="44" spans="1:7" x14ac:dyDescent="0.3">
      <c r="A44" s="2">
        <v>5</v>
      </c>
      <c r="C44" s="38" t="s">
        <v>17</v>
      </c>
      <c r="D44" s="42">
        <f>TRUNC(28027,-1)</f>
        <v>28020</v>
      </c>
      <c r="E44" s="63">
        <f t="shared" si="1"/>
        <v>92620</v>
      </c>
    </row>
    <row r="45" spans="1:7" x14ac:dyDescent="0.3">
      <c r="A45" s="2">
        <v>6</v>
      </c>
      <c r="C45" s="38" t="s">
        <v>18</v>
      </c>
      <c r="D45" s="42">
        <f>TRUNC(16651,-1)</f>
        <v>16650</v>
      </c>
      <c r="E45" s="63">
        <f t="shared" si="1"/>
        <v>55040</v>
      </c>
    </row>
    <row r="46" spans="1:7" x14ac:dyDescent="0.3">
      <c r="A46" s="2">
        <v>7</v>
      </c>
      <c r="C46" s="38" t="s">
        <v>19</v>
      </c>
      <c r="D46" s="42">
        <f>TRUNC(9547,-1)</f>
        <v>9540</v>
      </c>
      <c r="E46" s="63">
        <f t="shared" si="1"/>
        <v>31530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TRUNC(45148,-1)</f>
        <v>45140</v>
      </c>
      <c r="E48" s="63">
        <f t="shared" si="1"/>
        <v>149220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TRUNC(21148,-1)</f>
        <v>21140</v>
      </c>
      <c r="E49" s="63">
        <f t="shared" si="1"/>
        <v>69880</v>
      </c>
    </row>
    <row r="50" spans="1:7" x14ac:dyDescent="0.3">
      <c r="A50" s="2">
        <v>11</v>
      </c>
      <c r="C50" s="38" t="s">
        <v>155</v>
      </c>
      <c r="D50" s="42">
        <f>TRUNC(52532,-1)</f>
        <v>52530</v>
      </c>
      <c r="E50" s="63">
        <f t="shared" si="1"/>
        <v>173650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TRUNC(11167,-1)</f>
        <v>11160</v>
      </c>
      <c r="E52" s="63">
        <f t="shared" si="1"/>
        <v>36890</v>
      </c>
    </row>
    <row r="53" spans="1:7" x14ac:dyDescent="0.3">
      <c r="A53" s="2">
        <v>14</v>
      </c>
      <c r="C53" s="38" t="s">
        <v>25</v>
      </c>
      <c r="D53" s="42">
        <f>TRUNC(71623,-1)</f>
        <v>71620</v>
      </c>
      <c r="E53" s="63">
        <f t="shared" si="1"/>
        <v>236760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TRUNC(20137+7122+853+112177,-1)</f>
        <v>140280</v>
      </c>
      <c r="E58" s="63">
        <f t="shared" si="1"/>
        <v>463730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TRUNC(269236,-1)</f>
        <v>269230</v>
      </c>
      <c r="E59" s="64">
        <f t="shared" si="1"/>
        <v>890020</v>
      </c>
    </row>
    <row r="60" spans="1:7" x14ac:dyDescent="0.3">
      <c r="A60" s="2">
        <v>21</v>
      </c>
      <c r="C60" s="27" t="s">
        <v>112</v>
      </c>
      <c r="D60" s="39">
        <f>SUM(D40:D59)</f>
        <v>1017110</v>
      </c>
      <c r="E60" s="39">
        <f>SUM(E40:E59)</f>
        <v>3362300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TRUNC(10754,-1)</f>
        <v>10750</v>
      </c>
      <c r="E63" s="62">
        <f>TRUNC(+D63*3.3058,-1)</f>
        <v>35530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10750</v>
      </c>
      <c r="E66" s="65">
        <f>SUM(E63:E65)</f>
        <v>35530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TRUNC(24514,-1)</f>
        <v>24510</v>
      </c>
      <c r="E69" s="62">
        <f t="shared" ref="E69:E94" si="2">TRUNC(+D69*3.3058,-1)</f>
        <v>81020</v>
      </c>
    </row>
    <row r="70" spans="1:7" ht="16.5" customHeight="1" x14ac:dyDescent="0.3">
      <c r="A70" s="2">
        <v>2</v>
      </c>
      <c r="C70" s="38" t="s">
        <v>31</v>
      </c>
      <c r="D70" s="42">
        <f>TRUNC(15840,-1)</f>
        <v>15840</v>
      </c>
      <c r="E70" s="63">
        <f t="shared" si="2"/>
        <v>52360</v>
      </c>
    </row>
    <row r="71" spans="1:7" x14ac:dyDescent="0.3">
      <c r="A71" s="2">
        <v>3</v>
      </c>
      <c r="C71" s="38" t="s">
        <v>32</v>
      </c>
      <c r="D71" s="42">
        <f>TRUNC(8122,-1)</f>
        <v>8120</v>
      </c>
      <c r="E71" s="63">
        <f t="shared" si="2"/>
        <v>26840</v>
      </c>
    </row>
    <row r="72" spans="1:7" x14ac:dyDescent="0.3">
      <c r="A72" s="2">
        <v>4</v>
      </c>
      <c r="C72" s="38" t="s">
        <v>33</v>
      </c>
      <c r="D72" s="42">
        <f>TRUNC(6465,-1)</f>
        <v>6460</v>
      </c>
      <c r="E72" s="63">
        <f t="shared" si="2"/>
        <v>21350</v>
      </c>
    </row>
    <row r="73" spans="1:7" x14ac:dyDescent="0.3">
      <c r="A73" s="2">
        <v>5</v>
      </c>
      <c r="C73" s="38" t="s">
        <v>34</v>
      </c>
      <c r="D73" s="42">
        <f>TRUNC(32837,-1)</f>
        <v>32830</v>
      </c>
      <c r="E73" s="63">
        <f t="shared" si="2"/>
        <v>108520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TRUNC(214,-1)</f>
        <v>210</v>
      </c>
      <c r="E75" s="63">
        <f t="shared" si="2"/>
        <v>690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TRUNC(50371,-1)</f>
        <v>50370</v>
      </c>
      <c r="E89" s="63">
        <f t="shared" si="2"/>
        <v>166510</v>
      </c>
    </row>
    <row r="90" spans="1:7" x14ac:dyDescent="0.3">
      <c r="A90" s="2">
        <v>22</v>
      </c>
      <c r="C90" s="38" t="s">
        <v>36</v>
      </c>
      <c r="D90" s="42">
        <f>TRUNC(2660,-1)</f>
        <v>2660</v>
      </c>
      <c r="E90" s="63">
        <f t="shared" si="2"/>
        <v>8790</v>
      </c>
    </row>
    <row r="91" spans="1:7" x14ac:dyDescent="0.3">
      <c r="A91" s="2">
        <v>23</v>
      </c>
      <c r="C91" s="38" t="s">
        <v>37</v>
      </c>
      <c r="D91" s="42">
        <f>TRUNC(5814,-1)</f>
        <v>5810</v>
      </c>
      <c r="E91" s="63">
        <f t="shared" si="2"/>
        <v>19200</v>
      </c>
    </row>
    <row r="92" spans="1:7" x14ac:dyDescent="0.3">
      <c r="A92" s="2">
        <v>24</v>
      </c>
      <c r="C92" s="38" t="s">
        <v>38</v>
      </c>
      <c r="D92" s="42">
        <f>TRUNC(14501,-1)</f>
        <v>14500</v>
      </c>
      <c r="E92" s="63">
        <f t="shared" si="2"/>
        <v>47930</v>
      </c>
    </row>
    <row r="93" spans="1:7" x14ac:dyDescent="0.3">
      <c r="A93" s="2">
        <v>25</v>
      </c>
      <c r="C93" s="38" t="s">
        <v>148</v>
      </c>
      <c r="D93" s="42">
        <f>TRUNC(117054,-1)</f>
        <v>117050</v>
      </c>
      <c r="E93" s="63">
        <f t="shared" si="2"/>
        <v>386940</v>
      </c>
    </row>
    <row r="94" spans="1:7" ht="17.25" thickBot="1" x14ac:dyDescent="0.35">
      <c r="A94" s="2">
        <v>26</v>
      </c>
      <c r="C94" s="38" t="s">
        <v>47</v>
      </c>
      <c r="D94" s="43">
        <f>TRUNC(8476+3388+8486+13378,-1)</f>
        <v>33720</v>
      </c>
      <c r="E94" s="64">
        <f t="shared" si="2"/>
        <v>111470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312080</v>
      </c>
      <c r="E95" s="39">
        <f>SUM(E69:E94)</f>
        <v>1031620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TRUNC(24055,-1)</f>
        <v>24050</v>
      </c>
      <c r="E98" s="62">
        <f t="shared" ref="E98:E118" si="3">TRUNC(+D98*3.3058,-1)</f>
        <v>79500</v>
      </c>
    </row>
    <row r="99" spans="1:7" x14ac:dyDescent="0.3">
      <c r="A99" s="2">
        <v>2</v>
      </c>
      <c r="C99" s="38" t="s">
        <v>40</v>
      </c>
      <c r="D99" s="42">
        <f>TRUNC(12542,-1)</f>
        <v>12540</v>
      </c>
      <c r="E99" s="63">
        <f t="shared" si="3"/>
        <v>41450</v>
      </c>
    </row>
    <row r="100" spans="1:7" x14ac:dyDescent="0.3">
      <c r="A100" s="2">
        <v>3</v>
      </c>
      <c r="C100" s="38" t="s">
        <v>41</v>
      </c>
      <c r="D100" s="42">
        <f>TRUNC(25665,-1)</f>
        <v>25660</v>
      </c>
      <c r="E100" s="63">
        <f t="shared" si="3"/>
        <v>84820</v>
      </c>
    </row>
    <row r="101" spans="1:7" x14ac:dyDescent="0.3">
      <c r="A101" s="2">
        <v>4</v>
      </c>
      <c r="C101" s="38" t="s">
        <v>42</v>
      </c>
      <c r="D101" s="42">
        <f>TRUNC(1801,-1)</f>
        <v>1800</v>
      </c>
      <c r="E101" s="63">
        <f t="shared" si="3"/>
        <v>5950</v>
      </c>
    </row>
    <row r="102" spans="1:7" x14ac:dyDescent="0.3">
      <c r="A102" s="2">
        <v>5</v>
      </c>
      <c r="C102" s="38" t="s">
        <v>43</v>
      </c>
      <c r="D102" s="42">
        <f>TRUNC(6740,-1)</f>
        <v>6740</v>
      </c>
      <c r="E102" s="63">
        <f t="shared" si="3"/>
        <v>22280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TRUNC(11536,-1)</f>
        <v>11530</v>
      </c>
      <c r="E104" s="63">
        <f t="shared" si="3"/>
        <v>38110</v>
      </c>
    </row>
    <row r="105" spans="1:7" x14ac:dyDescent="0.3">
      <c r="A105" s="2">
        <v>8</v>
      </c>
      <c r="C105" s="38" t="s">
        <v>46</v>
      </c>
      <c r="D105" s="42">
        <f>TRUNC(8063,-1)</f>
        <v>8060</v>
      </c>
      <c r="E105" s="63">
        <f t="shared" si="3"/>
        <v>26640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TRUNC(5052,-1)</f>
        <v>5050</v>
      </c>
      <c r="E114" s="63">
        <f t="shared" si="3"/>
        <v>16690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TRUNC(4096,-1)</f>
        <v>4090</v>
      </c>
      <c r="E116" s="63">
        <f t="shared" si="3"/>
        <v>13520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TRUNC(134877,-1)</f>
        <v>134870</v>
      </c>
      <c r="E117" s="63">
        <f t="shared" si="3"/>
        <v>445850</v>
      </c>
    </row>
    <row r="118" spans="1:7" ht="17.25" thickBot="1" x14ac:dyDescent="0.35">
      <c r="A118" s="2">
        <v>21</v>
      </c>
      <c r="C118" s="38" t="s">
        <v>47</v>
      </c>
      <c r="D118" s="43">
        <f>TRUNC(30368,-1)</f>
        <v>30360</v>
      </c>
      <c r="E118" s="64">
        <f t="shared" si="3"/>
        <v>100360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264750</v>
      </c>
      <c r="E119" s="39">
        <f>SUM(E98:E118)</f>
        <v>875170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TRUNC(53977,-1)</f>
        <v>53970</v>
      </c>
      <c r="E131" s="63">
        <f t="shared" si="4"/>
        <v>178410</v>
      </c>
    </row>
    <row r="132" spans="1:7" ht="18" thickBot="1" x14ac:dyDescent="0.35">
      <c r="A132" s="2">
        <v>11</v>
      </c>
      <c r="C132" s="38" t="s">
        <v>47</v>
      </c>
      <c r="D132" s="43">
        <f>TRUNC(60276,-1)</f>
        <v>60270</v>
      </c>
      <c r="E132" s="64">
        <f t="shared" si="4"/>
        <v>199240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114240</v>
      </c>
      <c r="E133" s="39">
        <f>SUM(E122:E132)</f>
        <v>377650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TRUNC(2720+25568,-1)</f>
        <v>28280</v>
      </c>
      <c r="E137" s="63">
        <f t="shared" si="5"/>
        <v>93480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TRUNC(3137,-1)</f>
        <v>3130</v>
      </c>
      <c r="E139" s="63">
        <f t="shared" si="5"/>
        <v>10340</v>
      </c>
    </row>
    <row r="140" spans="1:7" x14ac:dyDescent="0.3">
      <c r="A140" s="2">
        <v>5</v>
      </c>
      <c r="C140" s="38" t="s">
        <v>57</v>
      </c>
      <c r="D140" s="42">
        <f>TRUNC(2907,-1)</f>
        <v>2900</v>
      </c>
      <c r="E140" s="63">
        <f t="shared" si="5"/>
        <v>9580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TRUNC(4461,-1)</f>
        <v>4460</v>
      </c>
      <c r="E143" s="63">
        <f t="shared" si="5"/>
        <v>14740</v>
      </c>
    </row>
    <row r="144" spans="1:7" x14ac:dyDescent="0.3">
      <c r="A144" s="2">
        <v>9</v>
      </c>
      <c r="C144" s="38" t="s">
        <v>63</v>
      </c>
      <c r="D144" s="42">
        <f>TRUNC(20556,-1)</f>
        <v>20550</v>
      </c>
      <c r="E144" s="63">
        <f t="shared" si="5"/>
        <v>67930</v>
      </c>
    </row>
    <row r="145" spans="1:7" ht="17.25" thickBot="1" x14ac:dyDescent="0.35">
      <c r="A145" s="2">
        <v>10</v>
      </c>
      <c r="C145" s="38" t="s">
        <v>148</v>
      </c>
      <c r="D145" s="43">
        <f>TRUNC(3117,-1)</f>
        <v>3110</v>
      </c>
      <c r="E145" s="64">
        <f t="shared" si="5"/>
        <v>10280</v>
      </c>
    </row>
    <row r="146" spans="1:7" x14ac:dyDescent="0.3">
      <c r="A146" s="2">
        <v>11</v>
      </c>
      <c r="C146" s="27" t="s">
        <v>112</v>
      </c>
      <c r="D146" s="39">
        <f>SUM(D136:D145)</f>
        <v>62430</v>
      </c>
      <c r="E146" s="39">
        <f>SUM(E136:E145)</f>
        <v>206350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TRUNC(8975+1093,-1)</f>
        <v>10060</v>
      </c>
      <c r="E149" s="62">
        <f>TRUNC(+D149*3.3058,-1)</f>
        <v>33250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TRUNC(7879,-1)</f>
        <v>7870</v>
      </c>
      <c r="E150" s="63">
        <f>TRUNC(+D150*3.3058,-1)</f>
        <v>26010</v>
      </c>
    </row>
    <row r="151" spans="1:7" x14ac:dyDescent="0.3">
      <c r="A151" s="2">
        <v>3</v>
      </c>
      <c r="C151" s="38" t="s">
        <v>50</v>
      </c>
      <c r="D151" s="42">
        <f>TRUNC(7763,-1)</f>
        <v>7760</v>
      </c>
      <c r="E151" s="63">
        <f>TRUNC(+D151*3.3058,-1)</f>
        <v>25650</v>
      </c>
    </row>
    <row r="152" spans="1:7" x14ac:dyDescent="0.3">
      <c r="A152" s="2">
        <v>4</v>
      </c>
      <c r="C152" s="38" t="s">
        <v>47</v>
      </c>
      <c r="D152" s="42">
        <f>TRUNC(2663+376+681,-1)</f>
        <v>3720</v>
      </c>
      <c r="E152" s="63">
        <f>TRUNC(+D152*3.3058,-1)</f>
        <v>12290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TRUNC(25826,-1)</f>
        <v>25820</v>
      </c>
      <c r="E153" s="64">
        <f>TRUNC(+D153*3.3058,-1)</f>
        <v>85350</v>
      </c>
    </row>
    <row r="154" spans="1:7" x14ac:dyDescent="0.3">
      <c r="A154" s="2">
        <v>6</v>
      </c>
      <c r="C154" s="27" t="s">
        <v>112</v>
      </c>
      <c r="D154" s="39">
        <f>SUM(D149:D153)</f>
        <v>55230</v>
      </c>
      <c r="E154" s="39">
        <f>SUM(E149:E153)</f>
        <v>182550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TRUNC(14838,-1)</f>
        <v>14830</v>
      </c>
      <c r="E157" s="62">
        <f>TRUNC(+D157*3.3058,-1)</f>
        <v>49020</v>
      </c>
    </row>
    <row r="158" spans="1:7" x14ac:dyDescent="0.3">
      <c r="A158" s="2">
        <v>2</v>
      </c>
      <c r="C158" s="38" t="s">
        <v>52</v>
      </c>
      <c r="D158" s="42">
        <f>TRUNC(7863,-1)</f>
        <v>7860</v>
      </c>
      <c r="E158" s="63">
        <f>TRUNC(+D158*3.3058,-1)</f>
        <v>25980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TRUNC(8306,-1)</f>
        <v>8300</v>
      </c>
      <c r="E159" s="63">
        <f>TRUNC(+D159*3.3058,-1)</f>
        <v>27430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f>TRUNC(7505,-1)</f>
        <v>7500</v>
      </c>
      <c r="E160" s="64">
        <f>TRUNC(+D160*3.3058,-1)</f>
        <v>24790</v>
      </c>
    </row>
    <row r="161" spans="1:5" x14ac:dyDescent="0.3">
      <c r="A161" s="2">
        <v>5</v>
      </c>
      <c r="C161" s="27" t="s">
        <v>112</v>
      </c>
      <c r="D161" s="39">
        <f>SUM(D157:D160)</f>
        <v>38490</v>
      </c>
      <c r="E161" s="39">
        <f>SUM(E157:E160)</f>
        <v>127220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2020-12-08T04:48:35Z</dcterms:modified>
</cp:coreProperties>
</file>