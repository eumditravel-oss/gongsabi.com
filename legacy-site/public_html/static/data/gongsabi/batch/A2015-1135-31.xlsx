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2" i="4"/>
  <c r="D140" i="4"/>
  <c r="D137" i="4"/>
  <c r="D132" i="4"/>
  <c r="D131" i="4"/>
  <c r="D129" i="4"/>
  <c r="D128" i="4"/>
  <c r="D125" i="4"/>
  <c r="D124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75" i="4"/>
  <c r="D94" i="4"/>
  <c r="D93" i="4"/>
  <c r="D92" i="4"/>
  <c r="D91" i="4"/>
  <c r="D89" i="4"/>
  <c r="D73" i="4"/>
  <c r="D72" i="4"/>
  <c r="D71" i="4"/>
  <c r="D70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<sst xmlns="http://schemas.openxmlformats.org/spreadsheetml/2006/main" count="392" uniqueCount="268">
  <si>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</si>
  <si>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</si>
  <si>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</si>
  <si>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</si>
  <si>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</si>
  <si>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</si>
  <si>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</si>
  <si>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</si>
  <si>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</si>
  <si>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</si>
  <si>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</si>
  <si>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</si>
  <si>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</si>
  <si>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</si>
  <si>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</si>
  <si>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</si>
  <si>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</si>
  <si>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</si>
  <si>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</si>
  <si>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</si>
  <si>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</si>
  <si>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</si>
  <si>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</si>
  <si>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</si>
  <si>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</si>
  <si>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</si>
  <si>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</si>
  <si>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</si>
  <si>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</si>
  <si>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</si>
  <si>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</si>
  <si>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</si>
  <si>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</si>
  <si>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</si>
  <si>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</si>
  <si>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</si>
  <si>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</si>
  <si>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</si>
  <si>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</si>
  <si>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</si>
  <si>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</si>
  <si>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</si>
  <si>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</si>
  <si>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</si>
  <si>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</si>
  <si>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</si>
  <si>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</si>
  <si>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</si>
  <si>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</si>
  <si>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</si>
  <si>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</si>
  <si>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</si>
  <si>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</si>
  <si>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</si>
  <si>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</si>
  <si>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</si>
  <si>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</si>
  <si>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</si>
  <si>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</si>
  <si>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</si>
  <si>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</si>
  <si>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</si>
  <si>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</si>
  <si>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</si>
  <si>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</si>
  <si>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</si>
  <si>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</si>
  <si>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</si>
  <si>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</si>
  <si>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</si>
  <si>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</si>
  <si>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</si>
  <si>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</si>
  <si>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</si>
  <si>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</si>
  <si>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</si>
  <si>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</si>
  <si>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</si>
  <si>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</si>
  <si>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</si>
  <si>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</si>
  <si>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</si>
  <si>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</si>
  <si>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</si>
  <si>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</si>
  <si>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</si>
  <si>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</si>
  <si>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</si>
  <si>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</si>
  <si>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</si>
  <si>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</si>
  <si>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</si>
  <si>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</si>
  <si>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</si>
  <si>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</si>
  <si>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</si>
  <si>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</si>
  <si>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</si>
  <si>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</si>
  <si>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</si>
  <si>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</si>
  <si>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</si>
  <si>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</si>
  <si>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</si>
  <si>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</si>
  <si>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</si>
  <si>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</si>
  <si>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</si>
  <si>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</si>
  <si>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</si>
  <si>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</si>
  <si>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</si>
  <si>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</si>
  <si>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</si>
  <si>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</si>
  <si>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</si>
  <si>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</si>
  <si>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</si>
  <si>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</si>
  <si>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</si>
  <si>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</si>
  <si>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</si>
  <si>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</si>
  <si>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</si>
  <si>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</si>
  <si>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</si>
  <si>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</si>
  <si>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</si>
  <si>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</si>
  <si>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</si>
  <si>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</si>
  <si>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</si>
  <si>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</si>
  <si>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</si>
  <si>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</si>
  <si>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</si>
  <si>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</si>
  <si>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</si>
  <si>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</si>
  <si>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</si>
  <si>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</si>
  <si>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</si>
  <si>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</si>
  <si>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</si>
  <si>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</si>
  <si>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</si>
  <si>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</si>
  <si>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</si>
  <si>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</si>
  <si>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</si>
  <si>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</si>
  <si>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</si>
  <si>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</si>
  <si>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</si>
  <si>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</si>
  <si>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</si>
  <si>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</si>
  <si>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</si>
  <si>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</si>
  <si>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</si>
  <si>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</si>
  <si>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</si>
  <si>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</si>
  <si>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</si>
  <si>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</si>
  <si>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</si>
  <si>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</si>
  <si>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</si>
  <si>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</si>
  <si>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</si>
  <si>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</si>
  <si>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</si>
  <si>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</si>
  <si>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</si>
  <si>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</si>
  <si>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</si>
  <si>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</si>
  <si>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</si>
  <si>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</si>
  <si>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</si>
  <si>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</si>
  <si>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</si>
  <si>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</si>
  <si>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</si>
  <si>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</si>
  <si>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</si>
  <si>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</si>
  <si>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</si>
  <si>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</si>
  <si>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</si>
  <si>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</si>
  <si>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</si>
  <si>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</si>
  <si>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</si>
  <si>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</si>
  <si>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</si>
  <si>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</si>
  <si>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</si>
  <si>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</si>
  <si>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</si>
  <si>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</si>
  <si>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</si>
  <si>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</si>
  <si>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</si>
  <si>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</si>
  <si>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</si>
  <si>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</si>
  <si>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</si>
  <si>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</si>
  <si>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</si>
  <si>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</si>
  <si>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</si>
  <si>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</si>
  <si>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</si>
  <si>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</si>
  <si>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</si>
  <si>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</si>
  <si>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</si>
  <si>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</si>
  <si>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</si>
  <si>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</si>
  <si>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</si>
  <si>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</si>
  <si>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</si>
  <si>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</si>
  <si>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</si>
  <si>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</si>
  <si>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</si>
  <si>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</si>
  <si>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</si>
  <si>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</si>
  <si>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</si>
  <si>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</si>
  <si>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</si>
  <si>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</si>
  <si>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</si>
  <si>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</si>
  <si>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</si>
  <si>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</si>
  <si>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</si>
  <si>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</si>
  <si>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</si>
  <si>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</si>
  <si>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</si>
  <si>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</si>
  <si>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</si>
  <si>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</si>
  <si>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</si>
  <si>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</si>
  <si>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</si>
  <si>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</si>
  <si>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</si>
  <si>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</si>
  <si>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</si>
  <si>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</si>
  <si>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</si>
  <si>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</si>
  <si>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</si>
  <si>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한밭대학교 국제교류센터 신축공사</t>
    <phoneticPr fontId="2" type="noConversion"/>
  </si>
  <si>
    <t>대전시</t>
  </si>
  <si>
    <t>기초공사, 골재비및운반비,작업부산물,품질시험비, 기타공사</t>
    <phoneticPr fontId="2" type="noConversion"/>
  </si>
  <si>
    <t>바닥난방공사,기타공사</t>
    <phoneticPr fontId="2" type="noConversion"/>
  </si>
  <si>
    <t>옥외보안등설비공사</t>
    <phoneticPr fontId="2" type="noConversion"/>
  </si>
  <si>
    <t>사급자재비, 운반비,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</si>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</sst>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9558.93</v>
      </c>
      <c r="D7" s="36">
        <f>+C7/3.3058</f>
        <v>2891.5633129650919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841100</v>
      </c>
      <c r="E25" s="59">
        <f t="shared" si="0"/>
        <v>2780500</v>
      </c>
    </row>
    <row r="26" spans="1:5" x14ac:dyDescent="0.3">
      <c r="B26" s="2">
        <v>3</v>
      </c>
      <c r="C26" s="35" t="s">
        <v>95</v>
      </c>
      <c r="D26" s="45">
        <f>+D66</f>
        <v>26050</v>
      </c>
      <c r="E26" s="59">
        <f t="shared" si="0"/>
        <v>86110</v>
      </c>
    </row>
    <row r="27" spans="1:5" x14ac:dyDescent="0.3">
      <c r="B27" s="2">
        <v>4</v>
      </c>
      <c r="C27" s="35" t="s">
        <v>96</v>
      </c>
      <c r="D27" s="45">
        <f>+D95</f>
        <v>164220</v>
      </c>
      <c r="E27" s="59">
        <f t="shared" si="0"/>
        <v>542870</v>
      </c>
    </row>
    <row r="28" spans="1:5" x14ac:dyDescent="0.3">
      <c r="B28" s="2">
        <v>5</v>
      </c>
      <c r="C28" s="35" t="s">
        <v>97</v>
      </c>
      <c r="D28" s="45">
        <f>+D119</f>
        <v>182430</v>
      </c>
      <c r="E28" s="59">
        <f t="shared" si="0"/>
        <v>603070</v>
      </c>
    </row>
    <row r="29" spans="1:5" x14ac:dyDescent="0.3">
      <c r="B29" s="2">
        <v>6</v>
      </c>
      <c r="C29" s="35" t="s">
        <v>98</v>
      </c>
      <c r="D29" s="45">
        <f>+D133</f>
        <v>72740</v>
      </c>
      <c r="E29" s="59">
        <f t="shared" si="0"/>
        <v>240460</v>
      </c>
    </row>
    <row r="30" spans="1:5" x14ac:dyDescent="0.3">
      <c r="B30" s="2">
        <v>7</v>
      </c>
      <c r="C30" s="35" t="s">
        <v>99</v>
      </c>
      <c r="D30" s="45">
        <f>+D146</f>
        <v>60980</v>
      </c>
      <c r="E30" s="59">
        <f t="shared" si="0"/>
        <v>201580</v>
      </c>
    </row>
    <row r="31" spans="1:5" x14ac:dyDescent="0.3">
      <c r="B31" s="2">
        <v>8</v>
      </c>
      <c r="C31" s="35" t="s">
        <v>100</v>
      </c>
      <c r="D31" s="45">
        <f>+D154</f>
        <v>13270</v>
      </c>
      <c r="E31" s="59">
        <f t="shared" si="0"/>
        <v>43860</v>
      </c>
    </row>
    <row r="32" spans="1:5" x14ac:dyDescent="0.3">
      <c r="B32" s="2">
        <v>9</v>
      </c>
      <c r="C32" s="35" t="s">
        <v>101</v>
      </c>
      <c r="D32" s="45">
        <f>+D161</f>
        <v>16090</v>
      </c>
      <c r="E32" s="59">
        <f t="shared" si="0"/>
        <v>53190</v>
      </c>
    </row>
    <row r="33" spans="1:7" x14ac:dyDescent="0.3">
      <c r="B33" s="2">
        <v>10</v>
      </c>
      <c r="C33" s="35" t="s">
        <v>154</v>
      </c>
      <c r="D33" s="53">
        <f>TRUNC(SUM(D24:D32)*0.275,-1)</f>
        <v>378640</v>
      </c>
      <c r="E33" s="60">
        <f t="shared" si="0"/>
        <v>1251700</v>
      </c>
    </row>
    <row r="34" spans="1:7" x14ac:dyDescent="0.3">
      <c r="C34" s="35" t="s">
        <v>112</v>
      </c>
      <c r="D34" s="44">
        <f>SUM(D24:D33)</f>
        <v>1755520</v>
      </c>
      <c r="E34" s="44">
        <f>SUM(E24:E33)</f>
        <v>5803340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TRUNC(78184,-1)</f>
        <v>78180</v>
      </c>
      <c r="E40" s="62">
        <f t="shared" ref="E40:E59" si="1">TRUNC(+D40*3.3058,-1)</f>
        <v>258440</v>
      </c>
    </row>
    <row r="41" spans="1:7" x14ac:dyDescent="0.3">
      <c r="A41" s="2">
        <v>2</v>
      </c>
      <c r="C41" s="38" t="s">
        <v>13</v>
      </c>
      <c r="D41" s="42">
        <f>TRUNC(167671,-1)</f>
        <v>167670</v>
      </c>
      <c r="E41" s="63">
        <f t="shared" si="1"/>
        <v>554280</v>
      </c>
    </row>
    <row r="42" spans="1:7" x14ac:dyDescent="0.3">
      <c r="A42" s="2">
        <v>3</v>
      </c>
      <c r="C42" s="38" t="s">
        <v>14</v>
      </c>
      <c r="D42" s="42">
        <f>TRUNC(1124,-1)</f>
        <v>1120</v>
      </c>
      <c r="E42" s="63">
        <f t="shared" si="1"/>
        <v>3700</v>
      </c>
    </row>
    <row r="43" spans="1:7" x14ac:dyDescent="0.3">
      <c r="A43" s="2">
        <v>4</v>
      </c>
      <c r="C43" s="38" t="s">
        <v>16</v>
      </c>
      <c r="D43" s="42">
        <f>TRUNC(15362,-1)</f>
        <v>15360</v>
      </c>
      <c r="E43" s="63">
        <f t="shared" si="1"/>
        <v>50770</v>
      </c>
    </row>
    <row r="44" spans="1:7" x14ac:dyDescent="0.3">
      <c r="A44" s="2">
        <v>5</v>
      </c>
      <c r="C44" s="38" t="s">
        <v>17</v>
      </c>
      <c r="D44" s="42">
        <f>TRUNC(25048,-1)</f>
        <v>25040</v>
      </c>
      <c r="E44" s="63">
        <f t="shared" si="1"/>
        <v>82770</v>
      </c>
    </row>
    <row r="45" spans="1:7" x14ac:dyDescent="0.3">
      <c r="A45" s="2">
        <v>6</v>
      </c>
      <c r="C45" s="38" t="s">
        <v>18</v>
      </c>
      <c r="D45" s="42">
        <f>TRUNC(13003,-1)</f>
        <v>13000</v>
      </c>
      <c r="E45" s="63">
        <f t="shared" si="1"/>
        <v>42970</v>
      </c>
    </row>
    <row r="46" spans="1:7" x14ac:dyDescent="0.3">
      <c r="A46" s="2">
        <v>7</v>
      </c>
      <c r="C46" s="38" t="s">
        <v>19</v>
      </c>
      <c r="D46" s="42">
        <f>TRUNC(3199,-1)</f>
        <v>3190</v>
      </c>
      <c r="E46" s="63">
        <f t="shared" si="1"/>
        <v>10540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TRUNC(78634,-1)</f>
        <v>78630</v>
      </c>
      <c r="E48" s="63">
        <f t="shared" si="1"/>
        <v>259930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TRUNC(17173,-1)</f>
        <v>17170</v>
      </c>
      <c r="E49" s="63">
        <f t="shared" si="1"/>
        <v>56760</v>
      </c>
    </row>
    <row r="50" spans="1:7" x14ac:dyDescent="0.3">
      <c r="A50" s="2">
        <v>11</v>
      </c>
      <c r="C50" s="38" t="s">
        <v>155</v>
      </c>
      <c r="D50" s="42">
        <f>TRUNC(104875,-1)</f>
        <v>104870</v>
      </c>
      <c r="E50" s="63">
        <f t="shared" si="1"/>
        <v>346670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TRUNC(15407,-1)</f>
        <v>15400</v>
      </c>
      <c r="E52" s="63">
        <f t="shared" si="1"/>
        <v>50900</v>
      </c>
    </row>
    <row r="53" spans="1:7" x14ac:dyDescent="0.3">
      <c r="A53" s="2">
        <v>14</v>
      </c>
      <c r="C53" s="38" t="s">
        <v>25</v>
      </c>
      <c r="D53" s="42">
        <f>TRUNC(93356,-1)</f>
        <v>93350</v>
      </c>
      <c r="E53" s="63">
        <f t="shared" si="1"/>
        <v>308590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TRUNC(12851+4511-516+388+19099,-1)</f>
        <v>36330</v>
      </c>
      <c r="E58" s="63">
        <f t="shared" si="1"/>
        <v>120090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TRUNC(191793,-1)</f>
        <v>191790</v>
      </c>
      <c r="E59" s="64">
        <f t="shared" si="1"/>
        <v>634010</v>
      </c>
    </row>
    <row r="60" spans="1:7" x14ac:dyDescent="0.3">
      <c r="A60" s="2">
        <v>21</v>
      </c>
      <c r="C60" s="27" t="s">
        <v>112</v>
      </c>
      <c r="D60" s="39">
        <f>SUM(D40:D59)</f>
        <v>841100</v>
      </c>
      <c r="E60" s="39">
        <f>SUM(E40:E59)</f>
        <v>2780420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TRUNC(9621,-1)</f>
        <v>9620</v>
      </c>
      <c r="E63" s="62">
        <f>TRUNC(+D63*3.3058,-1)</f>
        <v>31800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TRUNC(16439,-1)</f>
        <v>16430</v>
      </c>
      <c r="E65" s="64">
        <f>TRUNC(+D65*3.3058,-1)</f>
        <v>54310</v>
      </c>
    </row>
    <row r="66" spans="1:7" x14ac:dyDescent="0.3">
      <c r="A66" s="2">
        <v>4</v>
      </c>
      <c r="C66" s="27" t="s">
        <v>112</v>
      </c>
      <c r="D66" s="39">
        <f>SUM(D63:D65)</f>
        <v>26050</v>
      </c>
      <c r="E66" s="65">
        <f>SUM(E63:E65)</f>
        <v>86110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9500</v>
      </c>
      <c r="E69" s="62">
        <f t="shared" ref="E69:E94" si="2">TRUNC(+D69*3.3058,-1)</f>
        <v>31400</v>
      </c>
    </row>
    <row r="70" spans="1:7" ht="16.5" customHeight="1" x14ac:dyDescent="0.3">
      <c r="A70" s="2">
        <v>2</v>
      </c>
      <c r="C70" s="38" t="s">
        <v>31</v>
      </c>
      <c r="D70" s="42">
        <f>TRUNC(1714,-1)</f>
        <v>1710</v>
      </c>
      <c r="E70" s="63">
        <f t="shared" si="2"/>
        <v>5650</v>
      </c>
    </row>
    <row r="71" spans="1:7" x14ac:dyDescent="0.3">
      <c r="A71" s="2">
        <v>3</v>
      </c>
      <c r="C71" s="38" t="s">
        <v>32</v>
      </c>
      <c r="D71" s="42">
        <f>TRUNC(2353,-1)</f>
        <v>2350</v>
      </c>
      <c r="E71" s="63">
        <f t="shared" si="2"/>
        <v>7760</v>
      </c>
    </row>
    <row r="72" spans="1:7" x14ac:dyDescent="0.3">
      <c r="A72" s="2">
        <v>4</v>
      </c>
      <c r="C72" s="38" t="s">
        <v>33</v>
      </c>
      <c r="D72" s="42">
        <f>TRUNC(5558,-1)</f>
        <v>5550</v>
      </c>
      <c r="E72" s="63">
        <f t="shared" si="2"/>
        <v>18340</v>
      </c>
    </row>
    <row r="73" spans="1:7" x14ac:dyDescent="0.3">
      <c r="A73" s="2">
        <v>5</v>
      </c>
      <c r="C73" s="38" t="s">
        <v>34</v>
      </c>
      <c r="D73" s="42">
        <f>TRUNC(10994,-1)</f>
        <v>10990</v>
      </c>
      <c r="E73" s="63">
        <f t="shared" si="2"/>
        <v>36330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TRUNC(106,-1)</f>
        <v>100</v>
      </c>
      <c r="E75" s="63">
        <f t="shared" si="2"/>
        <v>330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TRUNC(8088,-1)</f>
        <v>8080</v>
      </c>
      <c r="E89" s="63">
        <f t="shared" si="2"/>
        <v>26710</v>
      </c>
    </row>
    <row r="90" spans="1:7" x14ac:dyDescent="0.3">
      <c r="A90" s="2">
        <v>22</v>
      </c>
      <c r="C90" s="38" t="s">
        <v>36</v>
      </c>
      <c r="D90" s="42">
        <v>1630</v>
      </c>
      <c r="E90" s="63">
        <f t="shared" si="2"/>
        <v>5380</v>
      </c>
    </row>
    <row r="91" spans="1:7" x14ac:dyDescent="0.3">
      <c r="A91" s="2">
        <v>23</v>
      </c>
      <c r="C91" s="38" t="s">
        <v>37</v>
      </c>
      <c r="D91" s="42">
        <f>TRUNC(6732,-1)</f>
        <v>6730</v>
      </c>
      <c r="E91" s="63">
        <f t="shared" si="2"/>
        <v>22240</v>
      </c>
    </row>
    <row r="92" spans="1:7" x14ac:dyDescent="0.3">
      <c r="A92" s="2">
        <v>24</v>
      </c>
      <c r="C92" s="38" t="s">
        <v>38</v>
      </c>
      <c r="D92" s="42">
        <f>TRUNC(5516,-1)</f>
        <v>5510</v>
      </c>
      <c r="E92" s="63">
        <f t="shared" si="2"/>
        <v>18210</v>
      </c>
    </row>
    <row r="93" spans="1:7" x14ac:dyDescent="0.3">
      <c r="A93" s="2">
        <v>25</v>
      </c>
      <c r="C93" s="38" t="s">
        <v>148</v>
      </c>
      <c r="D93" s="42">
        <f>TRUNC(106613,-1)</f>
        <v>106610</v>
      </c>
      <c r="E93" s="63">
        <f t="shared" si="2"/>
        <v>352430</v>
      </c>
    </row>
    <row r="94" spans="1:7" ht="17.25" thickBot="1" x14ac:dyDescent="0.35">
      <c r="A94" s="2">
        <v>26</v>
      </c>
      <c r="C94" s="38" t="s">
        <v>47</v>
      </c>
      <c r="D94" s="43">
        <f>TRUNC(3877+1588,-1)</f>
        <v>5460</v>
      </c>
      <c r="E94" s="64">
        <f t="shared" si="2"/>
        <v>18040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164220</v>
      </c>
      <c r="E95" s="39">
        <f>SUM(E69:E94)</f>
        <v>542820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TRUNC(9722,-1)</f>
        <v>9720</v>
      </c>
      <c r="E98" s="62">
        <f t="shared" ref="E98:E118" si="3">TRUNC(+D98*3.3058,-1)</f>
        <v>32130</v>
      </c>
    </row>
    <row r="99" spans="1:7" x14ac:dyDescent="0.3">
      <c r="A99" s="2">
        <v>2</v>
      </c>
      <c r="C99" s="38" t="s">
        <v>40</v>
      </c>
      <c r="D99" s="42">
        <f>TRUNC(7043,-1)</f>
        <v>7040</v>
      </c>
      <c r="E99" s="63">
        <f t="shared" si="3"/>
        <v>23270</v>
      </c>
    </row>
    <row r="100" spans="1:7" x14ac:dyDescent="0.3">
      <c r="A100" s="2">
        <v>3</v>
      </c>
      <c r="C100" s="38" t="s">
        <v>41</v>
      </c>
      <c r="D100" s="42">
        <f>TRUNC(30108,-1)</f>
        <v>30100</v>
      </c>
      <c r="E100" s="63">
        <f t="shared" si="3"/>
        <v>99500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TRUNC(11481,-1)</f>
        <v>11480</v>
      </c>
      <c r="E102" s="63">
        <f t="shared" si="3"/>
        <v>37950</v>
      </c>
    </row>
    <row r="103" spans="1:7" x14ac:dyDescent="0.3">
      <c r="A103" s="2">
        <v>6</v>
      </c>
      <c r="C103" s="38" t="s">
        <v>44</v>
      </c>
      <c r="D103" s="42">
        <f>TRUNC(5328,-1)</f>
        <v>5320</v>
      </c>
      <c r="E103" s="63">
        <f t="shared" si="3"/>
        <v>17580</v>
      </c>
    </row>
    <row r="104" spans="1:7" x14ac:dyDescent="0.3">
      <c r="A104" s="2">
        <v>7</v>
      </c>
      <c r="C104" s="38" t="s">
        <v>45</v>
      </c>
      <c r="D104" s="42">
        <f>TRUNC(2204,-1)</f>
        <v>2200</v>
      </c>
      <c r="E104" s="63">
        <f t="shared" si="3"/>
        <v>7270</v>
      </c>
    </row>
    <row r="105" spans="1:7" x14ac:dyDescent="0.3">
      <c r="A105" s="2">
        <v>8</v>
      </c>
      <c r="C105" s="38" t="s">
        <v>46</v>
      </c>
      <c r="D105" s="42">
        <f>TRUNC(9824,-1)</f>
        <v>9820</v>
      </c>
      <c r="E105" s="63">
        <f t="shared" si="3"/>
        <v>32460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TRUNC(1547,-1)</f>
        <v>1540</v>
      </c>
      <c r="E114" s="63">
        <f t="shared" si="3"/>
        <v>5090</v>
      </c>
      <c r="F114" s="44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TRUNC(3872,-1)</f>
        <v>3870</v>
      </c>
      <c r="E116" s="63">
        <f t="shared" si="3"/>
        <v>12790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TRUNC(99883,-1)</f>
        <v>99880</v>
      </c>
      <c r="E117" s="63">
        <f t="shared" si="3"/>
        <v>330180</v>
      </c>
    </row>
    <row r="118" spans="1:7" ht="17.25" thickBot="1" x14ac:dyDescent="0.35">
      <c r="A118" s="2">
        <v>21</v>
      </c>
      <c r="C118" s="38" t="s">
        <v>47</v>
      </c>
      <c r="D118" s="43">
        <f>TRUNC(1465,-1)</f>
        <v>1460</v>
      </c>
      <c r="E118" s="64">
        <f t="shared" si="3"/>
        <v>4820</v>
      </c>
    </row>
    <row r="119" spans="1:7" x14ac:dyDescent="0.3">
      <c r="A119" s="2">
        <v>22</v>
      </c>
      <c r="C119" s="27" t="s">
        <v>112</v>
      </c>
      <c r="D119" s="39">
        <f>SUM(D98:D118)</f>
        <v>182430</v>
      </c>
      <c r="E119" s="39">
        <f>SUM(E98:E118)</f>
        <v>603040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TRUNC(4894,-1)</f>
        <v>4890</v>
      </c>
      <c r="E122" s="62">
        <f t="shared" ref="E122:E132" si="4">TRUNC(+D122*3.3058,-1)</f>
        <v>16160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TRUNC(1732,-1)</f>
        <v>1730</v>
      </c>
      <c r="E124" s="63">
        <f t="shared" si="4"/>
        <v>5710</v>
      </c>
    </row>
    <row r="125" spans="1:7" x14ac:dyDescent="0.3">
      <c r="A125" s="2">
        <v>4</v>
      </c>
      <c r="C125" s="38" t="s">
        <v>138</v>
      </c>
      <c r="D125" s="42">
        <f>TRUNC(4031,-1)</f>
        <v>4030</v>
      </c>
      <c r="E125" s="63">
        <f t="shared" si="4"/>
        <v>13320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TRUNC(5293,-1)</f>
        <v>5290</v>
      </c>
      <c r="E128" s="63">
        <f t="shared" si="4"/>
        <v>17480</v>
      </c>
    </row>
    <row r="129" spans="1:7" x14ac:dyDescent="0.3">
      <c r="A129" s="2">
        <v>8</v>
      </c>
      <c r="C129" s="38" t="s">
        <v>126</v>
      </c>
      <c r="D129" s="42">
        <f>TRUNC(17223,-1)</f>
        <v>17220</v>
      </c>
      <c r="E129" s="63">
        <f t="shared" si="4"/>
        <v>56920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TRUNC(38796,-1)</f>
        <v>38790</v>
      </c>
      <c r="E131" s="63">
        <f t="shared" si="4"/>
        <v>128230</v>
      </c>
    </row>
    <row r="132" spans="1:7" ht="18" thickBot="1" x14ac:dyDescent="0.35">
      <c r="A132" s="2">
        <v>11</v>
      </c>
      <c r="C132" s="38" t="s">
        <v>47</v>
      </c>
      <c r="D132" s="43">
        <f>TRUNC(792,-1)</f>
        <v>790</v>
      </c>
      <c r="E132" s="64">
        <f t="shared" si="4"/>
        <v>2610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72740</v>
      </c>
      <c r="E133" s="39">
        <f>SUM(E122:E132)</f>
        <v>240430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TRUNC(239+2082,-1)</f>
        <v>2320</v>
      </c>
      <c r="E137" s="63">
        <f t="shared" si="5"/>
        <v>7660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TRUNC(4046,-1)</f>
        <v>4040</v>
      </c>
      <c r="E140" s="63">
        <f t="shared" si="5"/>
        <v>13350</v>
      </c>
    </row>
    <row r="141" spans="1:7" x14ac:dyDescent="0.3">
      <c r="A141" s="2">
        <v>6</v>
      </c>
      <c r="C141" s="38" t="s">
        <v>59</v>
      </c>
      <c r="D141" s="42">
        <v>30790</v>
      </c>
      <c r="E141" s="63">
        <f t="shared" si="5"/>
        <v>101780</v>
      </c>
    </row>
    <row r="142" spans="1:7" x14ac:dyDescent="0.3">
      <c r="A142" s="2">
        <v>7</v>
      </c>
      <c r="C142" s="38" t="s">
        <v>58</v>
      </c>
      <c r="D142" s="42">
        <f>TRUNC(5146,-1)</f>
        <v>5140</v>
      </c>
      <c r="E142" s="63">
        <f t="shared" si="5"/>
        <v>16990</v>
      </c>
    </row>
    <row r="143" spans="1:7" x14ac:dyDescent="0.3">
      <c r="A143" s="2">
        <v>8</v>
      </c>
      <c r="C143" s="38" t="s">
        <v>62</v>
      </c>
      <c r="D143" s="42">
        <v>2520</v>
      </c>
      <c r="E143" s="63">
        <f t="shared" si="5"/>
        <v>8330</v>
      </c>
    </row>
    <row r="144" spans="1:7" x14ac:dyDescent="0.3">
      <c r="A144" s="2">
        <v>9</v>
      </c>
      <c r="C144" s="38" t="s">
        <v>63</v>
      </c>
      <c r="D144" s="42">
        <v>16170</v>
      </c>
      <c r="E144" s="63">
        <f t="shared" si="5"/>
        <v>53450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60980</v>
      </c>
      <c r="E146" s="39">
        <f>SUM(E136:E145)</f>
        <v>201560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TRUNC(1884+1373,-1)</f>
        <v>3250</v>
      </c>
      <c r="E149" s="62">
        <f>TRUNC(+D149*3.3058,-1)</f>
        <v>10740</v>
      </c>
    </row>
    <row r="150" spans="1:7" x14ac:dyDescent="0.3">
      <c r="A150" s="2">
        <v>2</v>
      </c>
      <c r="C150" s="38" t="s">
        <v>49</v>
      </c>
      <c r="D150" s="42">
        <f>TRUNC(3674,-1)</f>
        <v>3670</v>
      </c>
      <c r="E150" s="63">
        <f>TRUNC(+D150*3.3058,-1)</f>
        <v>12130</v>
      </c>
    </row>
    <row r="151" spans="1:7" x14ac:dyDescent="0.3">
      <c r="A151" s="2">
        <v>3</v>
      </c>
      <c r="C151" s="38" t="s">
        <v>50</v>
      </c>
      <c r="D151" s="42">
        <f>TRUNC(4501,-1)</f>
        <v>4500</v>
      </c>
      <c r="E151" s="63">
        <f>TRUNC(+D151*3.3058,-1)</f>
        <v>14870</v>
      </c>
    </row>
    <row r="152" spans="1:7" x14ac:dyDescent="0.3">
      <c r="A152" s="2">
        <v>4</v>
      </c>
      <c r="C152" s="38" t="s">
        <v>47</v>
      </c>
      <c r="D152" s="42">
        <f>TRUNC(507+106+1244,-1)</f>
        <v>1850</v>
      </c>
      <c r="E152" s="63">
        <f>TRUNC(+D152*3.3058,-1)</f>
        <v>6110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13270</v>
      </c>
      <c r="E154" s="39">
        <f>SUM(E149:E153)</f>
        <v>43850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TRUNC(7301,-1)</f>
        <v>7300</v>
      </c>
      <c r="E157" s="62">
        <f>TRUNC(+D157*3.3058,-1)</f>
        <v>24130</v>
      </c>
    </row>
    <row r="158" spans="1:7" x14ac:dyDescent="0.3">
      <c r="A158" s="2">
        <v>2</v>
      </c>
      <c r="C158" s="38" t="s">
        <v>52</v>
      </c>
      <c r="D158" s="42">
        <f>TRUNC(5042,-1)</f>
        <v>5040</v>
      </c>
      <c r="E158" s="63">
        <f>TRUNC(+D158*3.3058,-1)</f>
        <v>16660</v>
      </c>
    </row>
    <row r="159" spans="1:7" x14ac:dyDescent="0.3">
      <c r="A159" s="2">
        <v>3</v>
      </c>
      <c r="C159" s="38" t="s">
        <v>47</v>
      </c>
      <c r="D159" s="42">
        <f>TRUNC(3755,-1)</f>
        <v>3750</v>
      </c>
      <c r="E159" s="63">
        <f>TRUNC(+D159*3.3058,-1)</f>
        <v>12390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16090</v>
      </c>
      <c r="E161" s="39">
        <f>SUM(E157:E160)</f>
        <v>53180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2020-12-07T09:56:48Z</dcterms:modified>
</cp:coreProperties>
</file>