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9" i="4"/>
  <c r="D144" i="4"/>
  <c r="D143" i="4"/>
  <c r="D141" i="4"/>
  <c r="D140" i="4"/>
  <c r="D139" i="4"/>
  <c r="D137" i="4"/>
  <c r="D132" i="4"/>
  <c r="D131" i="4"/>
  <c r="D130" i="4"/>
  <c r="D128" i="4"/>
  <c r="D125" i="4"/>
  <c r="D124" i="4" l="1"/>
  <c r="D122" i="4"/>
  <c r="D118" i="4"/>
  <c r="D117" i="4"/>
  <c r="D116" i="4"/>
  <c r="D114" i="4"/>
  <c r="D105" i="4"/>
  <c r="D104" i="4"/>
  <c r="D100" i="4"/>
  <c r="D99" i="4"/>
  <c r="D94" i="4"/>
  <c r="D92" i="4"/>
  <c r="D91" i="4"/>
  <c r="D89" i="4"/>
  <c r="D76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<sst xmlns="http://schemas.openxmlformats.org/spreadsheetml/2006/main" count="395" uniqueCount="269">
  <si>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</si>
  <si>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</si>
  <si>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</si>
  <si>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</si>
  <si>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</si>
  <si>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</si>
  <si>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</si>
  <si>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</si>
  <si>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</si>
  <si>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</si>
  <si>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</si>
  <si>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</si>
  <si>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</si>
  <si>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</si>
  <si>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</si>
  <si>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</si>
  <si>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</si>
  <si>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</si>
  <si>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</si>
  <si>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</si>
  <si>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</si>
  <si>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</si>
  <si>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</si>
  <si>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</si>
  <si>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</si>
  <si>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</si>
  <si>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</si>
  <si>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</si>
  <si>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</si>
  <si>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</si>
  <si>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</si>
  <si>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</si>
  <si>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</si>
  <si>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</si>
  <si>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</si>
  <si>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</si>
  <si>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</si>
  <si>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</si>
  <si>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</si>
  <si>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</si>
  <si>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</si>
  <si>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</si>
  <si>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</si>
  <si>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</si>
  <si>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</si>
  <si>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</si>
  <si>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</si>
  <si>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</si>
  <si>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</si>
  <si>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</si>
  <si>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</si>
  <si>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</si>
  <si>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</si>
  <si>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</si>
  <si>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</si>
  <si>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</si>
  <si>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</si>
  <si>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</si>
  <si>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</si>
  <si>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</si>
  <si>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</si>
  <si>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</si>
  <si>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</si>
  <si>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</si>
  <si>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</si>
  <si>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</si>
  <si>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</si>
  <si>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</si>
  <si>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</si>
  <si>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</si>
  <si>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</si>
  <si>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</si>
  <si>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</si>
  <si>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</si>
  <si>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</si>
  <si>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</si>
  <si>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</si>
  <si>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</si>
  <si>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</si>
  <si>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</si>
  <si>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</si>
  <si>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</si>
  <si>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</si>
  <si>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</si>
  <si>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</si>
  <si>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</si>
  <si>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</si>
  <si>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</si>
  <si>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</si>
  <si>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</si>
  <si>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</si>
  <si>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</si>
  <si>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</si>
  <si>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</si>
  <si>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</si>
  <si>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</si>
  <si>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</si>
  <si>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</si>
  <si>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</si>
  <si>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</si>
  <si>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</si>
  <si>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</si>
  <si>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</si>
  <si>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</si>
  <si>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</si>
  <si>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</si>
  <si>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</si>
  <si>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</si>
  <si>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</si>
  <si>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</si>
  <si>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</si>
  <si>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</si>
  <si>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</si>
  <si>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</si>
  <si>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</si>
  <si>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</si>
  <si>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</si>
  <si>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</si>
  <si>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</si>
  <si>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</si>
  <si>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</si>
  <si>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</si>
  <si>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</si>
  <si>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</si>
  <si>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</si>
  <si>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</si>
  <si>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</si>
  <si>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</si>
  <si>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</si>
  <si>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</si>
  <si>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</si>
  <si>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</si>
  <si>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</si>
  <si>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</si>
  <si>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</si>
  <si>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</si>
  <si>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</si>
  <si>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</si>
  <si>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</si>
  <si>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</si>
  <si>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</si>
  <si>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</si>
  <si>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</si>
  <si>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</si>
  <si>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</si>
  <si>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</si>
  <si>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</si>
  <si>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</si>
  <si>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</si>
  <si>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</si>
  <si>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</si>
  <si>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</si>
  <si>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</si>
  <si>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</si>
  <si>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</si>
  <si>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</si>
  <si>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</si>
  <si>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</si>
  <si>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</si>
  <si>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</si>
  <si>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</si>
  <si>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</si>
  <si>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</si>
  <si>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</si>
  <si>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</si>
  <si>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</si>
  <si>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</si>
  <si>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</si>
  <si>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</si>
  <si>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</si>
  <si>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</si>
  <si>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</si>
  <si>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</si>
  <si>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</si>
  <si>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</si>
  <si>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</si>
  <si>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</si>
  <si>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</si>
  <si>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</si>
  <si>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</si>
  <si>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</si>
  <si>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</si>
  <si>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</si>
  <si>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</si>
  <si>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</si>
  <si>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</si>
  <si>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</si>
  <si>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</si>
  <si>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</si>
  <si>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</si>
  <si>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</si>
  <si>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</si>
  <si>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</si>
  <si>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</si>
  <si>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</si>
  <si>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</si>
  <si>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</si>
  <si>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</si>
  <si>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</si>
  <si>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</si>
  <si>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</si>
  <si>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</si>
  <si>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</si>
  <si>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</si>
  <si>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</si>
  <si>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</si>
  <si>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</si>
  <si>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</si>
  <si>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</si>
  <si>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</si>
  <si>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</si>
  <si>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</si>
  <si>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</si>
  <si>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</si>
  <si>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</si>
  <si>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</si>
  <si>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</si>
  <si>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</si>
  <si>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</si>
  <si>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</si>
  <si>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</si>
  <si>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</si>
  <si>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</si>
  <si>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</si>
  <si>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</si>
  <si>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</si>
  <si>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</si>
  <si>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</si>
  <si>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</si>
  <si>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</si>
  <si>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</si>
  <si>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</si>
  <si>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</si>
  <si>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</si>
  <si>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</si>
  <si>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</si>
  <si>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</si>
  <si>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</si>
  <si>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</si>
  <si>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</si>
  <si>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</si>
  <si>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</si>
  <si>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</si>
  <si>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</si>
  <si>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</si>
  <si>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</si>
  <si>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</si>
  <si>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</si>
  <si>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</si>
  <si>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</si>
  <si>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</si>
  <si>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목감어울림센터 건립공사(건축,토목,조경,기계)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</si>
  <si>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</si>
  <si>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</si>
  <si>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폐기물처리비,골재비및운반비,작업부산물,품질시험비,기타공사</t>
    <phoneticPr fontId="2" type="noConversion"/>
  </si>
  <si>
    <t>난방배관공사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</si>
  <si>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</si>
  <si>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</si>
  <si>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</si>
  <si>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</si>
  <si>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</si>
  <si>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</si>
  <si>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포장공사,기타공사</t>
    <phoneticPr fontId="2" type="noConversion"/>
  </si>
  <si>
    <t>기타공사</t>
    <phoneticPr fontId="2" type="noConversion"/>
  </si>
  <si>
    <t>CCTV설비공사,주차관제설비공사</t>
    <phoneticPr fontId="2" type="noConversion"/>
  </si>
  <si>
    <t>지붕및홈통공사 포함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</si>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</sst>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238</v>
      </c>
    </row>
    <row r="7" spans="1:4" ht="17.25" thickBot="1" x14ac:dyDescent="0.35">
      <c r="C7" s="37">
        <v>6092.34</v>
      </c>
      <c r="D7" s="36">
        <f>+C7/3.3058</f>
        <v>1842.9245568394942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731680</v>
      </c>
      <c r="E25" s="59">
        <f t="shared" si="0"/>
        <v>2418780</v>
      </c>
    </row>
    <row r="26" spans="1:5" x14ac:dyDescent="0.3">
      <c r="B26" s="2">
        <v>3</v>
      </c>
      <c r="C26" s="35" t="s">
        <v>95</v>
      </c>
      <c r="D26" s="45">
        <f>+D66</f>
        <v>67410</v>
      </c>
      <c r="E26" s="59">
        <f t="shared" si="0"/>
        <v>222840</v>
      </c>
    </row>
    <row r="27" spans="1:5" x14ac:dyDescent="0.3">
      <c r="B27" s="2">
        <v>4</v>
      </c>
      <c r="C27" s="35" t="s">
        <v>96</v>
      </c>
      <c r="D27" s="45">
        <f>+D95</f>
        <v>225600</v>
      </c>
      <c r="E27" s="59">
        <f t="shared" si="0"/>
        <v>745780</v>
      </c>
    </row>
    <row r="28" spans="1:5" x14ac:dyDescent="0.3">
      <c r="B28" s="2">
        <v>5</v>
      </c>
      <c r="C28" s="35" t="s">
        <v>97</v>
      </c>
      <c r="D28" s="45">
        <f>+D119</f>
        <v>156060</v>
      </c>
      <c r="E28" s="59">
        <f t="shared" si="0"/>
        <v>515900</v>
      </c>
    </row>
    <row r="29" spans="1:5" x14ac:dyDescent="0.3">
      <c r="B29" s="2">
        <v>6</v>
      </c>
      <c r="C29" s="35" t="s">
        <v>98</v>
      </c>
      <c r="D29" s="45">
        <f>+D133</f>
        <v>59130</v>
      </c>
      <c r="E29" s="59">
        <f t="shared" si="0"/>
        <v>195470</v>
      </c>
    </row>
    <row r="30" spans="1:5" x14ac:dyDescent="0.3">
      <c r="B30" s="2">
        <v>7</v>
      </c>
      <c r="C30" s="35" t="s">
        <v>99</v>
      </c>
      <c r="D30" s="45">
        <f>+D146</f>
        <v>75350</v>
      </c>
      <c r="E30" s="59">
        <f t="shared" si="0"/>
        <v>249090</v>
      </c>
    </row>
    <row r="31" spans="1:5" x14ac:dyDescent="0.3">
      <c r="B31" s="2">
        <v>8</v>
      </c>
      <c r="C31" s="35" t="s">
        <v>100</v>
      </c>
      <c r="D31" s="45">
        <f>+D154</f>
        <v>16360</v>
      </c>
      <c r="E31" s="59">
        <f t="shared" si="0"/>
        <v>54080</v>
      </c>
    </row>
    <row r="32" spans="1:5" x14ac:dyDescent="0.3">
      <c r="B32" s="2">
        <v>9</v>
      </c>
      <c r="C32" s="35" t="s">
        <v>101</v>
      </c>
      <c r="D32" s="45">
        <f>+D161</f>
        <v>24210</v>
      </c>
      <c r="E32" s="59">
        <f t="shared" si="0"/>
        <v>80030</v>
      </c>
    </row>
    <row r="33" spans="1:7" x14ac:dyDescent="0.3">
      <c r="B33" s="2">
        <v>10</v>
      </c>
      <c r="C33" s="35" t="s">
        <v>154</v>
      </c>
      <c r="D33" s="53">
        <f>TRUNC(SUM(D24:D32)*0.275,-1)</f>
        <v>372840</v>
      </c>
      <c r="E33" s="60">
        <f t="shared" si="0"/>
        <v>1232530</v>
      </c>
    </row>
    <row r="34" spans="1:7" x14ac:dyDescent="0.3">
      <c r="C34" s="35" t="s">
        <v>112</v>
      </c>
      <c r="D34" s="44">
        <f>SUM(D24:D33)</f>
        <v>1728640</v>
      </c>
      <c r="E34" s="44">
        <f>SUM(E24:E33)</f>
        <v>5714500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236</v>
      </c>
      <c r="E39" s="57" t="s">
        <v>237</v>
      </c>
      <c r="G39" s="55"/>
    </row>
    <row r="40" spans="1:7" x14ac:dyDescent="0.3">
      <c r="A40" s="2">
        <v>1</v>
      </c>
      <c r="C40" s="38" t="s">
        <v>15</v>
      </c>
      <c r="D40" s="40">
        <f>TRUNC(49515,-1)</f>
        <v>49510</v>
      </c>
      <c r="E40" s="62">
        <f t="shared" ref="E40:E59" si="1">TRUNC(+D40*3.3058,-1)</f>
        <v>163670</v>
      </c>
    </row>
    <row r="41" spans="1:7" x14ac:dyDescent="0.3">
      <c r="A41" s="2">
        <v>2</v>
      </c>
      <c r="C41" s="38" t="s">
        <v>13</v>
      </c>
      <c r="D41" s="42">
        <f>TRUNC(153561,-1)</f>
        <v>153560</v>
      </c>
      <c r="E41" s="63">
        <f t="shared" si="1"/>
        <v>507630</v>
      </c>
    </row>
    <row r="42" spans="1:7" x14ac:dyDescent="0.3">
      <c r="A42" s="2">
        <v>3</v>
      </c>
      <c r="C42" s="38" t="s">
        <v>14</v>
      </c>
      <c r="D42" s="42">
        <f>TRUNC(15881,-1)</f>
        <v>15880</v>
      </c>
      <c r="E42" s="63">
        <f t="shared" si="1"/>
        <v>52490</v>
      </c>
    </row>
    <row r="43" spans="1:7" x14ac:dyDescent="0.3">
      <c r="A43" s="2">
        <v>4</v>
      </c>
      <c r="C43" s="38" t="s">
        <v>16</v>
      </c>
      <c r="D43" s="42">
        <f>TRUNC(12454,-1)</f>
        <v>12450</v>
      </c>
      <c r="E43" s="63">
        <f t="shared" si="1"/>
        <v>41150</v>
      </c>
    </row>
    <row r="44" spans="1:7" x14ac:dyDescent="0.3">
      <c r="A44" s="2">
        <v>5</v>
      </c>
      <c r="C44" s="38" t="s">
        <v>17</v>
      </c>
      <c r="D44" s="42">
        <f>TRUNC(24442,-1)</f>
        <v>24440</v>
      </c>
      <c r="E44" s="63">
        <f t="shared" si="1"/>
        <v>80790</v>
      </c>
    </row>
    <row r="45" spans="1:7" x14ac:dyDescent="0.3">
      <c r="A45" s="2">
        <v>6</v>
      </c>
      <c r="C45" s="38" t="s">
        <v>18</v>
      </c>
      <c r="D45" s="42">
        <f>TRUNC(7634,-1)</f>
        <v>7630</v>
      </c>
      <c r="E45" s="63">
        <f t="shared" si="1"/>
        <v>25220</v>
      </c>
    </row>
    <row r="46" spans="1:7" x14ac:dyDescent="0.3">
      <c r="A46" s="2">
        <v>7</v>
      </c>
      <c r="C46" s="38" t="s">
        <v>19</v>
      </c>
      <c r="D46" s="42">
        <f>TRUNC(24151,-1)</f>
        <v>24150</v>
      </c>
      <c r="E46" s="63">
        <f t="shared" si="1"/>
        <v>79830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TRUNC(24823,-1)</f>
        <v>24820</v>
      </c>
      <c r="E48" s="63">
        <f t="shared" si="1"/>
        <v>82040</v>
      </c>
      <c r="F48" s="2" t="s">
        <v>265</v>
      </c>
    </row>
    <row r="49" spans="1:7" x14ac:dyDescent="0.3">
      <c r="A49" s="2">
        <v>10</v>
      </c>
      <c r="C49" s="38" t="s">
        <v>22</v>
      </c>
      <c r="D49" s="42">
        <f>TRUNC(17054,-1)</f>
        <v>17050</v>
      </c>
      <c r="E49" s="63">
        <f t="shared" si="1"/>
        <v>56360</v>
      </c>
    </row>
    <row r="50" spans="1:7" x14ac:dyDescent="0.3">
      <c r="A50" s="2">
        <v>11</v>
      </c>
      <c r="C50" s="38" t="s">
        <v>155</v>
      </c>
      <c r="D50" s="42">
        <f>TRUNC(61684,-1)</f>
        <v>61680</v>
      </c>
      <c r="E50" s="63">
        <f t="shared" si="1"/>
        <v>203900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TRUNC(14931,-1)</f>
        <v>14930</v>
      </c>
      <c r="E52" s="63">
        <f t="shared" si="1"/>
        <v>49350</v>
      </c>
    </row>
    <row r="53" spans="1:7" x14ac:dyDescent="0.3">
      <c r="A53" s="2">
        <v>14</v>
      </c>
      <c r="C53" s="38" t="s">
        <v>25</v>
      </c>
      <c r="D53" s="42">
        <f>TRUNC(91581,-1)</f>
        <v>91580</v>
      </c>
      <c r="E53" s="63">
        <f t="shared" si="1"/>
        <v>302740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TRUNC(58+4266-894+784+7283,-1)</f>
        <v>11490</v>
      </c>
      <c r="E58" s="63">
        <f t="shared" si="1"/>
        <v>37980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TRUNC(222514,-1)</f>
        <v>222510</v>
      </c>
      <c r="E59" s="64">
        <f t="shared" si="1"/>
        <v>735570</v>
      </c>
    </row>
    <row r="60" spans="1:7" x14ac:dyDescent="0.3">
      <c r="A60" s="2">
        <v>21</v>
      </c>
      <c r="C60" s="27" t="s">
        <v>112</v>
      </c>
      <c r="D60" s="39">
        <f>SUM(D40:D59)</f>
        <v>731680</v>
      </c>
      <c r="E60" s="39">
        <f>SUM(E40:E59)</f>
        <v>2418720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TRUNC(16756,-1)</f>
        <v>16750</v>
      </c>
      <c r="E63" s="62">
        <f>TRUNC(+D63*3.3058,-1)</f>
        <v>55370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TRUNC(50663,-1)</f>
        <v>50660</v>
      </c>
      <c r="E65" s="64">
        <f>TRUNC(+D65*3.3058,-1)</f>
        <v>167470</v>
      </c>
    </row>
    <row r="66" spans="1:7" x14ac:dyDescent="0.3">
      <c r="A66" s="2">
        <v>4</v>
      </c>
      <c r="C66" s="27" t="s">
        <v>112</v>
      </c>
      <c r="D66" s="39">
        <f>SUM(D63:D65)</f>
        <v>67410</v>
      </c>
      <c r="E66" s="65">
        <f>SUM(E63:E65)</f>
        <v>222840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TRUNC(11294,-1)</f>
        <v>11290</v>
      </c>
      <c r="E69" s="62">
        <f t="shared" ref="E69:E94" si="2">TRUNC(+D69*3.3058,-1)</f>
        <v>37320</v>
      </c>
    </row>
    <row r="70" spans="1:7" ht="16.5" customHeight="1" x14ac:dyDescent="0.3">
      <c r="A70" s="2">
        <v>2</v>
      </c>
      <c r="C70" s="38" t="s">
        <v>31</v>
      </c>
      <c r="D70" s="42">
        <f>TRUNC(331,-1)</f>
        <v>330</v>
      </c>
      <c r="E70" s="63">
        <f t="shared" si="2"/>
        <v>1090</v>
      </c>
    </row>
    <row r="71" spans="1:7" x14ac:dyDescent="0.3">
      <c r="A71" s="2">
        <v>3</v>
      </c>
      <c r="C71" s="38" t="s">
        <v>32</v>
      </c>
      <c r="D71" s="42">
        <f>TRUNC(7581,-1)</f>
        <v>7580</v>
      </c>
      <c r="E71" s="63">
        <f t="shared" si="2"/>
        <v>25050</v>
      </c>
    </row>
    <row r="72" spans="1:7" x14ac:dyDescent="0.3">
      <c r="A72" s="2">
        <v>4</v>
      </c>
      <c r="C72" s="38" t="s">
        <v>33</v>
      </c>
      <c r="D72" s="42">
        <f>TRUNC(2167,-1)</f>
        <v>2160</v>
      </c>
      <c r="E72" s="63">
        <f t="shared" si="2"/>
        <v>7140</v>
      </c>
    </row>
    <row r="73" spans="1:7" x14ac:dyDescent="0.3">
      <c r="A73" s="2">
        <v>5</v>
      </c>
      <c r="C73" s="38" t="s">
        <v>34</v>
      </c>
      <c r="D73" s="42">
        <f>TRUNC(11477,-1)</f>
        <v>11470</v>
      </c>
      <c r="E73" s="63">
        <f t="shared" si="2"/>
        <v>37910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TRUNC(419,-1)</f>
        <v>410</v>
      </c>
      <c r="E75" s="63">
        <f t="shared" si="2"/>
        <v>1350</v>
      </c>
    </row>
    <row r="76" spans="1:7" x14ac:dyDescent="0.3">
      <c r="A76" s="2">
        <v>8</v>
      </c>
      <c r="C76" s="38" t="s">
        <v>119</v>
      </c>
      <c r="D76" s="42">
        <f>TRUNC(90235,-1)</f>
        <v>90230</v>
      </c>
      <c r="E76" s="63">
        <f t="shared" si="2"/>
        <v>298280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TRUNC(10554,-1)</f>
        <v>10550</v>
      </c>
      <c r="E89" s="63">
        <f t="shared" si="2"/>
        <v>34870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TRUNC(6979,-1)</f>
        <v>6970</v>
      </c>
      <c r="E91" s="63">
        <f t="shared" si="2"/>
        <v>23040</v>
      </c>
    </row>
    <row r="92" spans="1:7" x14ac:dyDescent="0.3">
      <c r="A92" s="2">
        <v>24</v>
      </c>
      <c r="C92" s="38" t="s">
        <v>38</v>
      </c>
      <c r="D92" s="42">
        <f>TRUNC(7058,-1)</f>
        <v>7050</v>
      </c>
      <c r="E92" s="63">
        <f t="shared" si="2"/>
        <v>23300</v>
      </c>
    </row>
    <row r="93" spans="1:7" x14ac:dyDescent="0.3">
      <c r="A93" s="2">
        <v>25</v>
      </c>
      <c r="C93" s="38" t="s">
        <v>148</v>
      </c>
      <c r="D93" s="42">
        <v>71410</v>
      </c>
      <c r="E93" s="63">
        <f t="shared" si="2"/>
        <v>236060</v>
      </c>
    </row>
    <row r="94" spans="1:7" ht="17.25" thickBot="1" x14ac:dyDescent="0.35">
      <c r="A94" s="2">
        <v>26</v>
      </c>
      <c r="C94" s="38" t="s">
        <v>47</v>
      </c>
      <c r="D94" s="43">
        <f>TRUNC(6157,-1)</f>
        <v>6150</v>
      </c>
      <c r="E94" s="64">
        <f t="shared" si="2"/>
        <v>20330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225600</v>
      </c>
      <c r="E95" s="39">
        <f>SUM(E69:E94)</f>
        <v>745740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6760</v>
      </c>
      <c r="E98" s="62">
        <f t="shared" ref="E98:E118" si="3">TRUNC(+D98*3.3058,-1)</f>
        <v>22340</v>
      </c>
    </row>
    <row r="99" spans="1:7" x14ac:dyDescent="0.3">
      <c r="A99" s="2">
        <v>2</v>
      </c>
      <c r="C99" s="38" t="s">
        <v>40</v>
      </c>
      <c r="D99" s="42">
        <f>TRUNC(14148,-1)</f>
        <v>14140</v>
      </c>
      <c r="E99" s="63">
        <f t="shared" si="3"/>
        <v>46740</v>
      </c>
    </row>
    <row r="100" spans="1:7" x14ac:dyDescent="0.3">
      <c r="A100" s="2">
        <v>3</v>
      </c>
      <c r="C100" s="38" t="s">
        <v>41</v>
      </c>
      <c r="D100" s="42">
        <f>TRUNC(29638,-1)</f>
        <v>29630</v>
      </c>
      <c r="E100" s="63">
        <f t="shared" si="3"/>
        <v>97950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10040</v>
      </c>
      <c r="E102" s="63">
        <f t="shared" si="3"/>
        <v>33190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TRUNC(5508,-1)</f>
        <v>5500</v>
      </c>
      <c r="E104" s="63">
        <f t="shared" si="3"/>
        <v>18180</v>
      </c>
    </row>
    <row r="105" spans="1:7" x14ac:dyDescent="0.3">
      <c r="A105" s="2">
        <v>8</v>
      </c>
      <c r="C105" s="38" t="s">
        <v>46</v>
      </c>
      <c r="D105" s="42">
        <f>TRUNC(2667,-1)</f>
        <v>2660</v>
      </c>
      <c r="E105" s="63">
        <f t="shared" si="3"/>
        <v>8790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TRUNC(1438,-1)</f>
        <v>1430</v>
      </c>
      <c r="E114" s="63">
        <f t="shared" si="3"/>
        <v>4720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TRUNC(5757,-1)</f>
        <v>5750</v>
      </c>
      <c r="E116" s="63">
        <f t="shared" si="3"/>
        <v>19000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TRUNC(78014,-1)</f>
        <v>78010</v>
      </c>
      <c r="E117" s="63">
        <f t="shared" si="3"/>
        <v>257880</v>
      </c>
    </row>
    <row r="118" spans="1:7" ht="17.25" thickBot="1" x14ac:dyDescent="0.35">
      <c r="A118" s="2">
        <v>21</v>
      </c>
      <c r="C118" s="38" t="s">
        <v>47</v>
      </c>
      <c r="D118" s="43">
        <f>TRUNC(1364+778,-1)</f>
        <v>2140</v>
      </c>
      <c r="E118" s="64">
        <f t="shared" si="3"/>
        <v>7070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156060</v>
      </c>
      <c r="E119" s="39">
        <f>SUM(E98:E118)</f>
        <v>515860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TRUNC(5914,-1)</f>
        <v>5910</v>
      </c>
      <c r="E122" s="62">
        <f t="shared" ref="E122:E132" si="4">TRUNC(+D122*3.3058,-1)</f>
        <v>19530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TRUNC(2934,-1)</f>
        <v>2930</v>
      </c>
      <c r="E124" s="63">
        <f t="shared" si="4"/>
        <v>9680</v>
      </c>
    </row>
    <row r="125" spans="1:7" x14ac:dyDescent="0.3">
      <c r="A125" s="2">
        <v>4</v>
      </c>
      <c r="C125" s="38" t="s">
        <v>138</v>
      </c>
      <c r="D125" s="42">
        <f>TRUNC(5997,-1)</f>
        <v>5990</v>
      </c>
      <c r="E125" s="63">
        <f t="shared" si="4"/>
        <v>19800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TRUNC(4979,-1)</f>
        <v>4970</v>
      </c>
      <c r="E128" s="63">
        <f t="shared" si="4"/>
        <v>16420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TRUNC(19781,-1)</f>
        <v>19780</v>
      </c>
      <c r="E130" s="63">
        <f t="shared" si="4"/>
        <v>65380</v>
      </c>
    </row>
    <row r="131" spans="1:7" x14ac:dyDescent="0.3">
      <c r="A131" s="2">
        <v>10</v>
      </c>
      <c r="C131" s="38" t="s">
        <v>148</v>
      </c>
      <c r="D131" s="42">
        <f>TRUNC(15658,-1)</f>
        <v>15650</v>
      </c>
      <c r="E131" s="63">
        <f t="shared" si="4"/>
        <v>51730</v>
      </c>
    </row>
    <row r="132" spans="1:7" ht="18" thickBot="1" x14ac:dyDescent="0.35">
      <c r="A132" s="2">
        <v>11</v>
      </c>
      <c r="C132" s="38" t="s">
        <v>47</v>
      </c>
      <c r="D132" s="43">
        <f>TRUNC(3181+720,-1)</f>
        <v>3900</v>
      </c>
      <c r="E132" s="64">
        <f t="shared" si="4"/>
        <v>12890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59130</v>
      </c>
      <c r="E133" s="39">
        <f>SUM(E122:E132)</f>
        <v>195430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TRUNC(293+5765+926,-1)</f>
        <v>6980</v>
      </c>
      <c r="E137" s="63">
        <f t="shared" si="5"/>
        <v>23070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TRUNC(4185,-1)</f>
        <v>4180</v>
      </c>
      <c r="E139" s="63">
        <f t="shared" si="5"/>
        <v>13810</v>
      </c>
    </row>
    <row r="140" spans="1:7" x14ac:dyDescent="0.3">
      <c r="A140" s="2">
        <v>5</v>
      </c>
      <c r="C140" s="38" t="s">
        <v>57</v>
      </c>
      <c r="D140" s="42">
        <f>TRUNC(2365,-1)</f>
        <v>2360</v>
      </c>
      <c r="E140" s="63">
        <f t="shared" si="5"/>
        <v>7800</v>
      </c>
    </row>
    <row r="141" spans="1:7" x14ac:dyDescent="0.3">
      <c r="A141" s="2">
        <v>6</v>
      </c>
      <c r="C141" s="38" t="s">
        <v>59</v>
      </c>
      <c r="D141" s="42">
        <f>TRUNC(29262,-1)</f>
        <v>29260</v>
      </c>
      <c r="E141" s="63">
        <f t="shared" si="5"/>
        <v>96720</v>
      </c>
    </row>
    <row r="142" spans="1:7" x14ac:dyDescent="0.3">
      <c r="A142" s="2">
        <v>7</v>
      </c>
      <c r="C142" s="38" t="s">
        <v>58</v>
      </c>
      <c r="D142" s="42">
        <v>7030</v>
      </c>
      <c r="E142" s="63">
        <f t="shared" si="5"/>
        <v>23230</v>
      </c>
    </row>
    <row r="143" spans="1:7" x14ac:dyDescent="0.3">
      <c r="A143" s="2">
        <v>8</v>
      </c>
      <c r="C143" s="38" t="s">
        <v>62</v>
      </c>
      <c r="D143" s="42">
        <f>TRUNC(5698,-1)</f>
        <v>5690</v>
      </c>
      <c r="E143" s="63">
        <f t="shared" si="5"/>
        <v>18810</v>
      </c>
    </row>
    <row r="144" spans="1:7" x14ac:dyDescent="0.3">
      <c r="A144" s="2">
        <v>9</v>
      </c>
      <c r="C144" s="38" t="s">
        <v>63</v>
      </c>
      <c r="D144" s="42">
        <f>TRUNC(19859,-1)</f>
        <v>19850</v>
      </c>
      <c r="E144" s="63">
        <f t="shared" si="5"/>
        <v>65620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75350</v>
      </c>
      <c r="E146" s="39">
        <f>SUM(E136:E145)</f>
        <v>249060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TRUNC(5258+1505,-1)</f>
        <v>6760</v>
      </c>
      <c r="E149" s="62">
        <f>TRUNC(+D149*3.3058,-1)</f>
        <v>22340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TRUNC(1173,-1)</f>
        <v>1170</v>
      </c>
      <c r="E150" s="63">
        <f>TRUNC(+D150*3.3058,-1)</f>
        <v>3860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TRUNC(1756+456+423,-1)</f>
        <v>2630</v>
      </c>
      <c r="E152" s="63">
        <f>TRUNC(+D152*3.3058,-1)</f>
        <v>8690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TRUNC(5802,-1)</f>
        <v>5800</v>
      </c>
      <c r="E153" s="64">
        <f>TRUNC(+D153*3.3058,-1)</f>
        <v>19170</v>
      </c>
    </row>
    <row r="154" spans="1:7" x14ac:dyDescent="0.3">
      <c r="A154" s="2">
        <v>6</v>
      </c>
      <c r="C154" s="27" t="s">
        <v>112</v>
      </c>
      <c r="D154" s="39">
        <f>SUM(D149:D153)</f>
        <v>16360</v>
      </c>
      <c r="E154" s="39">
        <f>SUM(E149:E153)</f>
        <v>54060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TRUNC(9309,-1)</f>
        <v>9300</v>
      </c>
      <c r="E157" s="62">
        <f>TRUNC(+D157*3.3058,-1)</f>
        <v>30740</v>
      </c>
    </row>
    <row r="158" spans="1:7" x14ac:dyDescent="0.3">
      <c r="A158" s="2">
        <v>2</v>
      </c>
      <c r="C158" s="38" t="s">
        <v>52</v>
      </c>
      <c r="D158" s="42">
        <f>TRUNC(4741,-1)</f>
        <v>4740</v>
      </c>
      <c r="E158" s="63">
        <f>TRUNC(+D158*3.3058,-1)</f>
        <v>15660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TRUNC(3354+2,-1)</f>
        <v>3350</v>
      </c>
      <c r="E159" s="63">
        <f>TRUNC(+D159*3.3058,-1)</f>
        <v>11070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TRUNC(6827,-1)</f>
        <v>6820</v>
      </c>
      <c r="E160" s="64">
        <f>TRUNC(+D160*3.3058,-1)</f>
        <v>22540</v>
      </c>
    </row>
    <row r="161" spans="1:5" x14ac:dyDescent="0.3">
      <c r="A161" s="2">
        <v>5</v>
      </c>
      <c r="C161" s="27" t="s">
        <v>112</v>
      </c>
      <c r="D161" s="39">
        <f>SUM(D157:D160)</f>
        <v>24210</v>
      </c>
      <c r="E161" s="39">
        <f>SUM(E157:E160)</f>
        <v>80010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2020-12-08T04:34:01Z</dcterms:modified>
</cp:coreProperties>
</file>