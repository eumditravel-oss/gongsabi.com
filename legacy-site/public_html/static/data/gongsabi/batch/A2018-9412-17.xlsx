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117" i="4"/>
  <c r="D131" i="4"/>
  <c r="D159" i="4"/>
  <c r="D158" i="4"/>
  <c r="D157" i="4"/>
  <c r="D152" i="4"/>
  <c r="D150" i="4"/>
  <c r="D137" i="4"/>
  <c r="D144" i="4"/>
  <c r="D143" i="4"/>
  <c r="D139" i="4"/>
  <c r="D141" i="4"/>
  <c r="D142" i="4"/>
  <c r="D140" i="4"/>
  <c r="D128" i="4"/>
  <c r="D132" i="4"/>
  <c r="D124" i="4"/>
  <c r="D125" i="4"/>
  <c r="D130" i="4"/>
  <c r="D105" i="4"/>
  <c r="D104" i="4"/>
  <c r="D103" i="4"/>
  <c r="D102" i="4"/>
  <c r="D101" i="4"/>
  <c r="D118" i="4"/>
  <c r="D100" i="4"/>
  <c r="D99" i="4"/>
  <c r="D98" i="4"/>
  <c r="D114" i="4"/>
  <c r="D116" i="4"/>
  <c r="D9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<sst xmlns="http://schemas.openxmlformats.org/spreadsheetml/2006/main" count="393" uniqueCount="268">
  <si>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</si>
  <si>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</si>
  <si>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</si>
  <si>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</si>
  <si>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</si>
  <si>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</si>
  <si>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</si>
  <si>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</si>
  <si>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</si>
  <si>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</si>
  <si>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</si>
  <si>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</si>
  <si>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</si>
  <si>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</si>
  <si>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</si>
  <si>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</si>
  <si>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</si>
  <si>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</si>
  <si>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</si>
  <si>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</si>
  <si>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</si>
  <si>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</si>
  <si>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</si>
  <si>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</si>
  <si>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</si>
  <si>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</si>
  <si>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</si>
  <si>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</si>
  <si>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</si>
  <si>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</si>
  <si>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</si>
  <si>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</si>
  <si>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</si>
  <si>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</si>
  <si>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</si>
  <si>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</si>
  <si>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</si>
  <si>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</si>
  <si>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</si>
  <si>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</si>
  <si>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</si>
  <si>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</si>
  <si>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</si>
  <si>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</si>
  <si>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</si>
  <si>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</si>
  <si>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</si>
  <si>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</si>
  <si>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</si>
  <si>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</si>
  <si>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</si>
  <si>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</si>
  <si>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</si>
  <si>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</si>
  <si>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</si>
  <si>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</si>
  <si>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</si>
  <si>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</si>
  <si>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</si>
  <si>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</si>
  <si>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</si>
  <si>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</si>
  <si>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</si>
  <si>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</si>
  <si>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</si>
  <si>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</si>
  <si>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</si>
  <si>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</si>
  <si>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</si>
  <si>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</si>
  <si>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</si>
  <si>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</si>
  <si>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</si>
  <si>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</si>
  <si>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</si>
  <si>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</si>
  <si>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</si>
  <si>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</si>
  <si>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</si>
  <si>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</si>
  <si>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</si>
  <si>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</si>
  <si>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</si>
  <si>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</si>
  <si>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</si>
  <si>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</si>
  <si>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</si>
  <si>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</si>
  <si>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</si>
  <si>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</si>
  <si>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</si>
  <si>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</si>
  <si>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</si>
  <si>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</si>
  <si>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</si>
  <si>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</si>
  <si>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</si>
  <si>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</si>
  <si>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</si>
  <si>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</si>
  <si>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</si>
  <si>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</si>
  <si>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</si>
  <si>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</si>
  <si>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</si>
  <si>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</si>
  <si>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</si>
  <si>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</si>
  <si>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</si>
  <si>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</si>
  <si>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</si>
  <si>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</si>
  <si>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</si>
  <si>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</si>
  <si>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</si>
  <si>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</si>
  <si>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</si>
  <si>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</si>
  <si>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</si>
  <si>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</si>
  <si>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</si>
  <si>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</si>
  <si>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</si>
  <si>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</si>
  <si>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</si>
  <si>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</si>
  <si>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</si>
  <si>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</si>
  <si>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</si>
  <si>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</si>
  <si>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</si>
  <si>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</si>
  <si>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</si>
  <si>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</si>
  <si>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</si>
  <si>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</si>
  <si>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</si>
  <si>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</si>
  <si>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</si>
  <si>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</si>
  <si>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</si>
  <si>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</si>
  <si>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</si>
  <si>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</si>
  <si>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</si>
  <si>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</si>
  <si>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</si>
  <si>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</si>
  <si>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</si>
  <si>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</si>
  <si>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</si>
  <si>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</si>
  <si>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</si>
  <si>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</si>
  <si>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</si>
  <si>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</si>
  <si>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</si>
  <si>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</si>
  <si>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</si>
  <si>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</si>
  <si>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</si>
  <si>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</si>
  <si>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</si>
  <si>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</si>
  <si>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</si>
  <si>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</si>
  <si>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</si>
  <si>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</si>
  <si>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</si>
  <si>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</si>
  <si>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</si>
  <si>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</si>
  <si>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</si>
  <si>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</si>
  <si>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</si>
  <si>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</si>
  <si>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</si>
  <si>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</si>
  <si>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</si>
  <si>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</si>
  <si>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</si>
  <si>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</si>
  <si>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</si>
  <si>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</si>
  <si>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</si>
  <si>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</si>
  <si>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</si>
  <si>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</si>
  <si>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</si>
  <si>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</si>
  <si>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</si>
  <si>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</si>
  <si>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</si>
  <si>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</si>
  <si>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</si>
  <si>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</si>
  <si>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</si>
  <si>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</si>
  <si>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</si>
  <si>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</si>
  <si>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</si>
  <si>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</si>
  <si>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</si>
  <si>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</si>
  <si>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</si>
  <si>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</si>
  <si>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</si>
  <si>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</si>
  <si>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</si>
  <si>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</si>
  <si>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</si>
  <si>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</si>
  <si>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</si>
  <si>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</si>
  <si>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</si>
  <si>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</si>
  <si>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</si>
  <si>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</si>
  <si>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</si>
  <si>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</si>
  <si>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</si>
  <si>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</si>
  <si>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</si>
  <si>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</si>
  <si>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</si>
  <si>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</si>
  <si>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</si>
  <si>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</si>
  <si>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</si>
  <si>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</si>
  <si>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</si>
  <si>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</si>
  <si>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</si>
  <si>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</si>
  <si>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</si>
  <si>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</si>
  <si>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</si>
  <si>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</si>
  <si>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</si>
  <si>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</si>
  <si>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</si>
  <si>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</si>
  <si>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</si>
  <si>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</si>
  <si>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</si>
  <si>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</si>
  <si>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</si>
  <si>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</si>
  <si>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경산공설시장 시설현대화사업 건립공사</t>
    <phoneticPr fontId="2" type="noConversion"/>
  </si>
  <si>
    <t>판매</t>
  </si>
  <si>
    <t>경상도</t>
  </si>
  <si>
    <t>난방배관공사,기타공사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</si>
  <si>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</si>
  <si>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</si>
  <si>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</si>
  <si>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기초공사,골재비및운반비,작업부산물,품질시험비,기타공사</t>
    <phoneticPr fontId="2" type="noConversion"/>
  </si>
  <si>
    <t>전기인입 및 수변전 설비공사</t>
    <phoneticPr fontId="2" type="noConversion"/>
  </si>
  <si>
    <t xml:space="preserve">원격검침 설비공사,기타공사 </t>
    <phoneticPr fontId="2" type="noConversion"/>
  </si>
  <si>
    <t>CCTV설비공사,기타공사</t>
    <phoneticPr fontId="2" type="noConversion"/>
  </si>
  <si>
    <t>옥외소화배관공사,펌프실배관공사,기타공사</t>
    <phoneticPr fontId="2" type="noConversion"/>
  </si>
  <si>
    <t>상수도공사,사급자재비,기타공사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</si>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</sst>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13175.44</v>
      </c>
      <c r="D7" s="36">
        <f>+C7/3.3058</f>
        <v>3985.5526650130073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1043460</v>
      </c>
      <c r="E25" s="59">
        <f t="shared" si="0"/>
        <v>3449470</v>
      </c>
    </row>
    <row r="26" spans="1:5" x14ac:dyDescent="0.3">
      <c r="B26" s="2">
        <v>3</v>
      </c>
      <c r="C26" s="35" t="s">
        <v>95</v>
      </c>
      <c r="D26" s="45">
        <f>+D66</f>
        <v>2990</v>
      </c>
      <c r="E26" s="59">
        <f t="shared" si="0"/>
        <v>9880</v>
      </c>
    </row>
    <row r="27" spans="1:5" x14ac:dyDescent="0.3">
      <c r="B27" s="2">
        <v>4</v>
      </c>
      <c r="C27" s="35" t="s">
        <v>96</v>
      </c>
      <c r="D27" s="45">
        <f>+D95</f>
        <v>11420</v>
      </c>
      <c r="E27" s="59">
        <f t="shared" si="0"/>
        <v>37750</v>
      </c>
    </row>
    <row r="28" spans="1:5" x14ac:dyDescent="0.3">
      <c r="B28" s="2">
        <v>5</v>
      </c>
      <c r="C28" s="35" t="s">
        <v>97</v>
      </c>
      <c r="D28" s="45">
        <f>+D119</f>
        <v>105910</v>
      </c>
      <c r="E28" s="59">
        <f t="shared" si="0"/>
        <v>350110</v>
      </c>
    </row>
    <row r="29" spans="1:5" x14ac:dyDescent="0.3">
      <c r="B29" s="2">
        <v>6</v>
      </c>
      <c r="C29" s="35" t="s">
        <v>98</v>
      </c>
      <c r="D29" s="45">
        <f>+D133</f>
        <v>69970</v>
      </c>
      <c r="E29" s="59">
        <f t="shared" si="0"/>
        <v>231300</v>
      </c>
    </row>
    <row r="30" spans="1:5" x14ac:dyDescent="0.3">
      <c r="B30" s="2">
        <v>7</v>
      </c>
      <c r="C30" s="35" t="s">
        <v>99</v>
      </c>
      <c r="D30" s="45">
        <f>+D146</f>
        <v>29710</v>
      </c>
      <c r="E30" s="59">
        <f t="shared" si="0"/>
        <v>98210</v>
      </c>
    </row>
    <row r="31" spans="1:5" x14ac:dyDescent="0.3">
      <c r="B31" s="2">
        <v>8</v>
      </c>
      <c r="C31" s="35" t="s">
        <v>100</v>
      </c>
      <c r="D31" s="45">
        <f>+D154</f>
        <v>11260</v>
      </c>
      <c r="E31" s="59">
        <f t="shared" si="0"/>
        <v>37220</v>
      </c>
    </row>
    <row r="32" spans="1:5" x14ac:dyDescent="0.3">
      <c r="B32" s="2">
        <v>9</v>
      </c>
      <c r="C32" s="35" t="s">
        <v>101</v>
      </c>
      <c r="D32" s="45">
        <f>+D161</f>
        <v>37870</v>
      </c>
      <c r="E32" s="59">
        <f t="shared" si="0"/>
        <v>125190</v>
      </c>
    </row>
    <row r="33" spans="1:7" x14ac:dyDescent="0.3">
      <c r="B33" s="2">
        <v>10</v>
      </c>
      <c r="C33" s="35" t="s">
        <v>154</v>
      </c>
      <c r="D33" s="53">
        <f>TRUNC(SUM(D24:D32)*0.275,-1)</f>
        <v>360960</v>
      </c>
      <c r="E33" s="60">
        <f t="shared" si="0"/>
        <v>1193260</v>
      </c>
    </row>
    <row r="34" spans="1:7" x14ac:dyDescent="0.3">
      <c r="C34" s="35" t="s">
        <v>112</v>
      </c>
      <c r="D34" s="44">
        <f>SUM(D24:D33)</f>
        <v>1673550</v>
      </c>
      <c r="E34" s="44">
        <f>SUM(E24:E33)</f>
        <v>5532390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TRUNC(24016,-1)</f>
        <v>24010</v>
      </c>
      <c r="E40" s="62">
        <f t="shared" ref="E40:E59" si="1">TRUNC(+D40*3.3058,-1)</f>
        <v>79370</v>
      </c>
    </row>
    <row r="41" spans="1:7" x14ac:dyDescent="0.3">
      <c r="A41" s="2">
        <v>2</v>
      </c>
      <c r="C41" s="38" t="s">
        <v>13</v>
      </c>
      <c r="D41" s="42">
        <f>TRUNC(53317,-1)</f>
        <v>53310</v>
      </c>
      <c r="E41" s="63">
        <f t="shared" si="1"/>
        <v>176230</v>
      </c>
    </row>
    <row r="42" spans="1:7" x14ac:dyDescent="0.3">
      <c r="A42" s="2">
        <v>3</v>
      </c>
      <c r="C42" s="38" t="s">
        <v>14</v>
      </c>
      <c r="D42" s="42">
        <f>TRUNC(36544,-1)</f>
        <v>36540</v>
      </c>
      <c r="E42" s="63">
        <f t="shared" si="1"/>
        <v>120790</v>
      </c>
    </row>
    <row r="43" spans="1:7" x14ac:dyDescent="0.3">
      <c r="A43" s="2">
        <v>4</v>
      </c>
      <c r="C43" s="38" t="s">
        <v>16</v>
      </c>
      <c r="D43" s="42">
        <f>TRUNC(4455,-1)</f>
        <v>4450</v>
      </c>
      <c r="E43" s="63">
        <f t="shared" si="1"/>
        <v>14710</v>
      </c>
    </row>
    <row r="44" spans="1:7" x14ac:dyDescent="0.3">
      <c r="A44" s="2">
        <v>5</v>
      </c>
      <c r="C44" s="38" t="s">
        <v>17</v>
      </c>
      <c r="D44" s="42">
        <f>TRUNC(22311,-1)</f>
        <v>22310</v>
      </c>
      <c r="E44" s="63">
        <f t="shared" si="1"/>
        <v>73750</v>
      </c>
    </row>
    <row r="45" spans="1:7" x14ac:dyDescent="0.3">
      <c r="A45" s="2">
        <v>6</v>
      </c>
      <c r="C45" s="38" t="s">
        <v>18</v>
      </c>
      <c r="D45" s="42">
        <f>TRUNC(10240,-1)</f>
        <v>10240</v>
      </c>
      <c r="E45" s="63">
        <f t="shared" si="1"/>
        <v>33850</v>
      </c>
    </row>
    <row r="46" spans="1:7" x14ac:dyDescent="0.3">
      <c r="A46" s="2">
        <v>7</v>
      </c>
      <c r="C46" s="38" t="s">
        <v>19</v>
      </c>
      <c r="D46" s="42">
        <f>TRUNC(2591,-1)</f>
        <v>2590</v>
      </c>
      <c r="E46" s="63">
        <f t="shared" si="1"/>
        <v>8560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TRUNC(11027,-1)</f>
        <v>11020</v>
      </c>
      <c r="E48" s="63">
        <f t="shared" si="1"/>
        <v>36420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TRUNC(6211,-1)</f>
        <v>6210</v>
      </c>
      <c r="E49" s="63">
        <f t="shared" si="1"/>
        <v>20520</v>
      </c>
    </row>
    <row r="50" spans="1:7" x14ac:dyDescent="0.3">
      <c r="A50" s="2">
        <v>11</v>
      </c>
      <c r="C50" s="38" t="s">
        <v>155</v>
      </c>
      <c r="D50" s="42">
        <f>TRUNC(13504,-1)</f>
        <v>13500</v>
      </c>
      <c r="E50" s="63">
        <f t="shared" si="1"/>
        <v>44620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TRUNC(5835,-1)</f>
        <v>5830</v>
      </c>
      <c r="E52" s="63">
        <f t="shared" si="1"/>
        <v>19270</v>
      </c>
    </row>
    <row r="53" spans="1:7" x14ac:dyDescent="0.3">
      <c r="A53" s="2">
        <v>14</v>
      </c>
      <c r="C53" s="38" t="s">
        <v>25</v>
      </c>
      <c r="D53" s="42">
        <f>TRUNC(25155,-1)</f>
        <v>25150</v>
      </c>
      <c r="E53" s="63">
        <f t="shared" si="1"/>
        <v>83140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TRUNC(5382+1877-699+452+19175,-1)</f>
        <v>26180</v>
      </c>
      <c r="E58" s="63">
        <f t="shared" si="1"/>
        <v>86540</v>
      </c>
      <c r="F58" s="2" t="s">
        <v>255</v>
      </c>
    </row>
    <row r="59" spans="1:7" ht="17.25" thickBot="1" x14ac:dyDescent="0.35">
      <c r="A59" s="2">
        <v>20</v>
      </c>
      <c r="C59" s="38" t="s">
        <v>148</v>
      </c>
      <c r="D59" s="43">
        <f>TRUNC(802128,-1)</f>
        <v>802120</v>
      </c>
      <c r="E59" s="64">
        <f t="shared" si="1"/>
        <v>2651640</v>
      </c>
    </row>
    <row r="60" spans="1:7" x14ac:dyDescent="0.3">
      <c r="A60" s="2">
        <v>21</v>
      </c>
      <c r="C60" s="27" t="s">
        <v>112</v>
      </c>
      <c r="D60" s="39">
        <f>SUM(D40:D59)</f>
        <v>1043460</v>
      </c>
      <c r="E60" s="39">
        <f>SUM(E40:E59)</f>
        <v>3449410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TRUNC(2995,-1)</f>
        <v>2990</v>
      </c>
      <c r="E63" s="62">
        <f>TRUNC(+D63*3.3058,-1)</f>
        <v>9880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2990</v>
      </c>
      <c r="E66" s="65">
        <f>SUM(E63:E65)</f>
        <v>9880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TRUNC(1020,-1)</f>
        <v>1020</v>
      </c>
      <c r="E69" s="62">
        <f t="shared" ref="E69:E94" si="2">TRUNC(+D69*3.3058,-1)</f>
        <v>3370</v>
      </c>
    </row>
    <row r="70" spans="1:7" ht="16.5" customHeight="1" x14ac:dyDescent="0.3">
      <c r="A70" s="2">
        <v>2</v>
      </c>
      <c r="C70" s="38" t="s">
        <v>31</v>
      </c>
      <c r="D70" s="42">
        <f>TRUNC(148,-1)</f>
        <v>140</v>
      </c>
      <c r="E70" s="63">
        <f t="shared" si="2"/>
        <v>460</v>
      </c>
    </row>
    <row r="71" spans="1:7" x14ac:dyDescent="0.3">
      <c r="A71" s="2">
        <v>3</v>
      </c>
      <c r="C71" s="38" t="s">
        <v>32</v>
      </c>
      <c r="D71" s="42">
        <f>TRUNC(844,-1)</f>
        <v>840</v>
      </c>
      <c r="E71" s="63">
        <f t="shared" si="2"/>
        <v>2770</v>
      </c>
    </row>
    <row r="72" spans="1:7" x14ac:dyDescent="0.3">
      <c r="A72" s="2">
        <v>4</v>
      </c>
      <c r="C72" s="38" t="s">
        <v>33</v>
      </c>
      <c r="D72" s="42">
        <f>TRUNC(1091,-1)</f>
        <v>1090</v>
      </c>
      <c r="E72" s="63">
        <f t="shared" si="2"/>
        <v>3600</v>
      </c>
    </row>
    <row r="73" spans="1:7" x14ac:dyDescent="0.3">
      <c r="A73" s="2">
        <v>5</v>
      </c>
      <c r="C73" s="38" t="s">
        <v>34</v>
      </c>
      <c r="D73" s="42">
        <f>TRUNC(2054,-1)</f>
        <v>2050</v>
      </c>
      <c r="E73" s="63">
        <f t="shared" si="2"/>
        <v>6770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TRUNC(2646,-1)</f>
        <v>2640</v>
      </c>
      <c r="E89" s="63">
        <f t="shared" si="2"/>
        <v>8720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TRUNC(1240,-1)</f>
        <v>1240</v>
      </c>
      <c r="E91" s="63">
        <f t="shared" si="2"/>
        <v>4090</v>
      </c>
    </row>
    <row r="92" spans="1:7" x14ac:dyDescent="0.3">
      <c r="A92" s="2">
        <v>24</v>
      </c>
      <c r="C92" s="38" t="s">
        <v>38</v>
      </c>
      <c r="D92" s="42">
        <f>TRUNC(891,-1)</f>
        <v>890</v>
      </c>
      <c r="E92" s="63">
        <f t="shared" si="2"/>
        <v>2940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TRUNC(85+1434,-1)</f>
        <v>1510</v>
      </c>
      <c r="E94" s="64">
        <f t="shared" si="2"/>
        <v>4990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11420</v>
      </c>
      <c r="E95" s="39">
        <f>SUM(E69:E94)</f>
        <v>37710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TRUNC(7224,-1)</f>
        <v>7220</v>
      </c>
      <c r="E98" s="62">
        <f t="shared" ref="E98:E118" si="3">TRUNC(+D98*3.3058,-1)</f>
        <v>23860</v>
      </c>
    </row>
    <row r="99" spans="1:7" x14ac:dyDescent="0.3">
      <c r="A99" s="2">
        <v>2</v>
      </c>
      <c r="C99" s="38" t="s">
        <v>40</v>
      </c>
      <c r="D99" s="42">
        <f>TRUNC(896,-1)</f>
        <v>890</v>
      </c>
      <c r="E99" s="63">
        <f t="shared" si="3"/>
        <v>2940</v>
      </c>
    </row>
    <row r="100" spans="1:7" x14ac:dyDescent="0.3">
      <c r="A100" s="2">
        <v>3</v>
      </c>
      <c r="C100" s="38" t="s">
        <v>41</v>
      </c>
      <c r="D100" s="42">
        <f>TRUNC(13411,-1)</f>
        <v>13410</v>
      </c>
      <c r="E100" s="63">
        <f t="shared" si="3"/>
        <v>44330</v>
      </c>
    </row>
    <row r="101" spans="1:7" x14ac:dyDescent="0.3">
      <c r="A101" s="2">
        <v>4</v>
      </c>
      <c r="C101" s="38" t="s">
        <v>42</v>
      </c>
      <c r="D101" s="42">
        <f>TRUNC(84,-1)</f>
        <v>80</v>
      </c>
      <c r="E101" s="63">
        <f t="shared" si="3"/>
        <v>260</v>
      </c>
    </row>
    <row r="102" spans="1:7" x14ac:dyDescent="0.3">
      <c r="A102" s="2">
        <v>5</v>
      </c>
      <c r="C102" s="38" t="s">
        <v>43</v>
      </c>
      <c r="D102" s="42">
        <f>TRUNC(4299,-1)</f>
        <v>4290</v>
      </c>
      <c r="E102" s="63">
        <f t="shared" si="3"/>
        <v>14180</v>
      </c>
    </row>
    <row r="103" spans="1:7" x14ac:dyDescent="0.3">
      <c r="A103" s="2">
        <v>6</v>
      </c>
      <c r="C103" s="38" t="s">
        <v>44</v>
      </c>
      <c r="D103" s="42">
        <f>TRUNC(1047,-1)</f>
        <v>1040</v>
      </c>
      <c r="E103" s="63">
        <f t="shared" si="3"/>
        <v>3430</v>
      </c>
    </row>
    <row r="104" spans="1:7" x14ac:dyDescent="0.3">
      <c r="A104" s="2">
        <v>7</v>
      </c>
      <c r="C104" s="38" t="s">
        <v>45</v>
      </c>
      <c r="D104" s="42">
        <f>TRUNC(3524,-1)</f>
        <v>3520</v>
      </c>
      <c r="E104" s="63">
        <f t="shared" si="3"/>
        <v>11630</v>
      </c>
    </row>
    <row r="105" spans="1:7" x14ac:dyDescent="0.3">
      <c r="A105" s="2">
        <v>8</v>
      </c>
      <c r="C105" s="38" t="s">
        <v>46</v>
      </c>
      <c r="D105" s="42">
        <f>TRUNC(8211,-1)</f>
        <v>8210</v>
      </c>
      <c r="E105" s="63">
        <f t="shared" si="3"/>
        <v>27140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TRUNC(197,-1)</f>
        <v>190</v>
      </c>
      <c r="E114" s="63">
        <f t="shared" si="3"/>
        <v>620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TRUNC(903,-1)</f>
        <v>900</v>
      </c>
      <c r="E116" s="63">
        <f t="shared" si="3"/>
        <v>2970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TRUNC(52997,-1)</f>
        <v>52990</v>
      </c>
      <c r="E117" s="63">
        <f t="shared" si="3"/>
        <v>175170</v>
      </c>
    </row>
    <row r="118" spans="1:7" ht="17.25" thickBot="1" x14ac:dyDescent="0.35">
      <c r="A118" s="2">
        <v>21</v>
      </c>
      <c r="C118" s="38" t="s">
        <v>47</v>
      </c>
      <c r="D118" s="43">
        <f>TRUNC(1687+11489,-1)</f>
        <v>13170</v>
      </c>
      <c r="E118" s="64">
        <f t="shared" si="3"/>
        <v>43530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105910</v>
      </c>
      <c r="E119" s="39">
        <f>SUM(E98:E118)</f>
        <v>350060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TRUNC(326,-1)</f>
        <v>320</v>
      </c>
      <c r="E124" s="63">
        <f t="shared" si="4"/>
        <v>1050</v>
      </c>
    </row>
    <row r="125" spans="1:7" x14ac:dyDescent="0.3">
      <c r="A125" s="2">
        <v>4</v>
      </c>
      <c r="C125" s="38" t="s">
        <v>138</v>
      </c>
      <c r="D125" s="42">
        <f>TRUNC(3213,-1)</f>
        <v>3210</v>
      </c>
      <c r="E125" s="63">
        <f t="shared" si="4"/>
        <v>10610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TRUNC(375,-1)</f>
        <v>370</v>
      </c>
      <c r="E128" s="63">
        <f t="shared" si="4"/>
        <v>1220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TRUNC(5145,-1)</f>
        <v>5140</v>
      </c>
      <c r="E130" s="63">
        <f t="shared" si="4"/>
        <v>16990</v>
      </c>
    </row>
    <row r="131" spans="1:7" x14ac:dyDescent="0.3">
      <c r="A131" s="2">
        <v>10</v>
      </c>
      <c r="C131" s="38" t="s">
        <v>148</v>
      </c>
      <c r="D131" s="42">
        <f>TRUNC(57781,-1)</f>
        <v>57780</v>
      </c>
      <c r="E131" s="63">
        <f t="shared" si="4"/>
        <v>191000</v>
      </c>
    </row>
    <row r="132" spans="1:7" ht="18" thickBot="1" x14ac:dyDescent="0.35">
      <c r="A132" s="2">
        <v>11</v>
      </c>
      <c r="C132" s="38" t="s">
        <v>47</v>
      </c>
      <c r="D132" s="43">
        <f>TRUNC(2691+464,-1)</f>
        <v>3150</v>
      </c>
      <c r="E132" s="64">
        <f t="shared" si="4"/>
        <v>10410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69970</v>
      </c>
      <c r="E133" s="39">
        <f>SUM(E122:E132)</f>
        <v>231280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TRUNC(2416+3816+3875,-1)</f>
        <v>10100</v>
      </c>
      <c r="E137" s="63">
        <f t="shared" si="5"/>
        <v>33380</v>
      </c>
      <c r="F137" s="2" t="s">
        <v>259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TRUNC(488,-1)</f>
        <v>480</v>
      </c>
      <c r="E139" s="63">
        <f t="shared" si="5"/>
        <v>1580</v>
      </c>
    </row>
    <row r="140" spans="1:7" x14ac:dyDescent="0.3">
      <c r="A140" s="2">
        <v>5</v>
      </c>
      <c r="C140" s="38" t="s">
        <v>57</v>
      </c>
      <c r="D140" s="42">
        <f>TRUNC(2216,-1)</f>
        <v>2210</v>
      </c>
      <c r="E140" s="63">
        <f t="shared" si="5"/>
        <v>7300</v>
      </c>
    </row>
    <row r="141" spans="1:7" x14ac:dyDescent="0.3">
      <c r="A141" s="2">
        <v>6</v>
      </c>
      <c r="C141" s="38" t="s">
        <v>59</v>
      </c>
      <c r="D141" s="42">
        <f>TRUNC(8594,-1)</f>
        <v>8590</v>
      </c>
      <c r="E141" s="63">
        <f t="shared" si="5"/>
        <v>28390</v>
      </c>
    </row>
    <row r="142" spans="1:7" x14ac:dyDescent="0.3">
      <c r="A142" s="2">
        <v>7</v>
      </c>
      <c r="C142" s="38" t="s">
        <v>58</v>
      </c>
      <c r="D142" s="42">
        <f>TRUNC(1207,-1)</f>
        <v>1200</v>
      </c>
      <c r="E142" s="63">
        <f t="shared" si="5"/>
        <v>3960</v>
      </c>
    </row>
    <row r="143" spans="1:7" x14ac:dyDescent="0.3">
      <c r="A143" s="2">
        <v>8</v>
      </c>
      <c r="C143" s="38" t="s">
        <v>62</v>
      </c>
      <c r="D143" s="42">
        <f>TRUNC(5077,-1)</f>
        <v>5070</v>
      </c>
      <c r="E143" s="63">
        <f t="shared" si="5"/>
        <v>16760</v>
      </c>
    </row>
    <row r="144" spans="1:7" x14ac:dyDescent="0.3">
      <c r="A144" s="2">
        <v>9</v>
      </c>
      <c r="C144" s="38" t="s">
        <v>63</v>
      </c>
      <c r="D144" s="42">
        <f>TRUNC(2069,-1)</f>
        <v>2060</v>
      </c>
      <c r="E144" s="63">
        <f t="shared" si="5"/>
        <v>6800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29710</v>
      </c>
      <c r="E146" s="39">
        <f>SUM(E136:E145)</f>
        <v>98170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TRUNC(791,-1)</f>
        <v>790</v>
      </c>
      <c r="E150" s="63">
        <f>TRUNC(+D150*3.3058,-1)</f>
        <v>2610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TRUNC(4424+5508+539,-1)</f>
        <v>10470</v>
      </c>
      <c r="E152" s="63">
        <f>TRUNC(+D152*3.3058,-1)</f>
        <v>34610</v>
      </c>
      <c r="F152" s="2" t="s">
        <v>260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11260</v>
      </c>
      <c r="E154" s="39">
        <f>SUM(E149:E153)</f>
        <v>37220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TRUNC(579,-1)</f>
        <v>570</v>
      </c>
      <c r="E157" s="62">
        <f>TRUNC(+D157*3.3058,-1)</f>
        <v>1880</v>
      </c>
    </row>
    <row r="158" spans="1:7" x14ac:dyDescent="0.3">
      <c r="A158" s="2">
        <v>2</v>
      </c>
      <c r="C158" s="38" t="s">
        <v>52</v>
      </c>
      <c r="D158" s="42">
        <f>TRUNC(6098,-1)</f>
        <v>6090</v>
      </c>
      <c r="E158" s="63">
        <f>TRUNC(+D158*3.3058,-1)</f>
        <v>20130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TRUNC(29401+1809,-1)</f>
        <v>31210</v>
      </c>
      <c r="E159" s="63">
        <f>TRUNC(+D159*3.3058,-1)</f>
        <v>103170</v>
      </c>
      <c r="F159" s="2" t="s">
        <v>262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37870</v>
      </c>
      <c r="E161" s="39">
        <f>SUM(E157:E160)</f>
        <v>125180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2020-12-08T02:33:59Z</dcterms:modified>
</cp:coreProperties>
</file>