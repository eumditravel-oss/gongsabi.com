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37" i="4"/>
  <c r="D144" i="4"/>
  <c r="D143" i="4"/>
  <c r="D139" i="4"/>
  <c r="D142" i="4"/>
  <c r="D140" i="4"/>
  <c r="D128" i="4"/>
  <c r="D127" i="4"/>
  <c r="D132" i="4"/>
  <c r="D125" i="4"/>
  <c r="D124" i="4"/>
  <c r="D122" i="4"/>
  <c r="D130" i="4"/>
  <c r="D126" i="4"/>
  <c r="D105" i="4"/>
  <c r="D104" i="4"/>
  <c r="D103" i="4"/>
  <c r="D102" i="4"/>
  <c r="D100" i="4"/>
  <c r="D118" i="4"/>
  <c r="D99" i="4"/>
  <c r="D98" i="4"/>
  <c r="D114" i="4"/>
  <c r="D116" i="4"/>
  <c r="D94" i="4"/>
  <c r="D76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2" i="4"/>
  <c r="D151" i="4"/>
  <c r="D150" i="4"/>
  <c r="D149" i="4"/>
  <c r="D159" i="4"/>
  <c r="D158" i="4"/>
  <c r="D15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133" i="4"/>
  <c r="E119" i="4"/>
  <c r="E95" i="4"/>
  <c r="E60" i="4"/>
  <c r="E154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<sst xmlns="http://schemas.openxmlformats.org/spreadsheetml/2006/main" count="395" uniqueCount="270">
  <si>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</si>
  <si>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</si>
  <si>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</si>
  <si>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</si>
  <si>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</si>
  <si>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</si>
  <si>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</si>
  <si>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</si>
  <si>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</si>
  <si>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</si>
  <si>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</si>
  <si>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</si>
  <si>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</si>
  <si>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</si>
  <si>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</si>
  <si>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</si>
  <si>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</si>
  <si>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</si>
  <si>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</si>
  <si>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</si>
  <si>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</si>
  <si>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</si>
  <si>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</si>
  <si>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</si>
  <si>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</si>
  <si>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</si>
  <si>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</si>
  <si>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</si>
  <si>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</si>
  <si>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</si>
  <si>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</si>
  <si>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</si>
  <si>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</si>
  <si>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</si>
  <si>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</si>
  <si>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</si>
  <si>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</si>
  <si>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</si>
  <si>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</si>
  <si>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</si>
  <si>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</si>
  <si>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</si>
  <si>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</si>
  <si>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</si>
  <si>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</si>
  <si>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</si>
  <si>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</si>
  <si>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</si>
  <si>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</si>
  <si>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</si>
  <si>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</si>
  <si>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</si>
  <si>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</si>
  <si>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</si>
  <si>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</si>
  <si>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</si>
  <si>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</si>
  <si>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</si>
  <si>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</si>
  <si>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</si>
  <si>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</si>
  <si>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</si>
  <si>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</si>
  <si>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</si>
  <si>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</si>
  <si>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</si>
  <si>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</si>
  <si>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</si>
  <si>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</si>
  <si>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</si>
  <si>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</si>
  <si>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</si>
  <si>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</si>
  <si>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</si>
  <si>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</si>
  <si>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</si>
  <si>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</si>
  <si>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</si>
  <si>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</si>
  <si>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</si>
  <si>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</si>
  <si>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</si>
  <si>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</si>
  <si>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</si>
  <si>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</si>
  <si>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</si>
  <si>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</si>
  <si>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</si>
  <si>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</si>
  <si>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</si>
  <si>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</si>
  <si>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</si>
  <si>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</si>
  <si>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</si>
  <si>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</si>
  <si>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</si>
  <si>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</si>
  <si>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</si>
  <si>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</si>
  <si>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</si>
  <si>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</si>
  <si>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</si>
  <si>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</si>
  <si>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</si>
  <si>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</si>
  <si>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</si>
  <si>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</si>
  <si>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</si>
  <si>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</si>
  <si>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</si>
  <si>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</si>
  <si>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</si>
  <si>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</si>
  <si>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</si>
  <si>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</si>
  <si>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</si>
  <si>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</si>
  <si>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</si>
  <si>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</si>
  <si>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</si>
  <si>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</si>
  <si>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</si>
  <si>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</si>
  <si>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</si>
  <si>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</si>
  <si>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</si>
  <si>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</si>
  <si>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</si>
  <si>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</si>
  <si>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</si>
  <si>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</si>
  <si>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</si>
  <si>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</si>
  <si>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</si>
  <si>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</si>
  <si>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</si>
  <si>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</si>
  <si>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</si>
  <si>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</si>
  <si>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</si>
  <si>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</si>
  <si>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</si>
  <si>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</si>
  <si>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</si>
  <si>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</si>
  <si>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</si>
  <si>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</si>
  <si>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</si>
  <si>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</si>
  <si>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</si>
  <si>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</si>
  <si>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</si>
  <si>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</si>
  <si>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</si>
  <si>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</si>
  <si>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</si>
  <si>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</si>
  <si>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</si>
  <si>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</si>
  <si>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</si>
  <si>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</si>
  <si>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</si>
  <si>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</si>
  <si>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</si>
  <si>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</si>
  <si>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</si>
  <si>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</si>
  <si>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</si>
  <si>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</si>
  <si>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</si>
  <si>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</si>
  <si>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</si>
  <si>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</si>
  <si>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</si>
  <si>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</si>
  <si>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</si>
  <si>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</si>
  <si>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</si>
  <si>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</si>
  <si>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</si>
  <si>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</si>
  <si>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</si>
  <si>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</si>
  <si>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</si>
  <si>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</si>
  <si>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</si>
  <si>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</si>
  <si>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</si>
  <si>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</si>
  <si>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</si>
  <si>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</si>
  <si>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</si>
  <si>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</si>
  <si>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</si>
  <si>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</si>
  <si>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</si>
  <si>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</si>
  <si>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</si>
  <si>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</si>
  <si>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</si>
  <si>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</si>
  <si>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</si>
  <si>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</si>
  <si>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</si>
  <si>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</si>
  <si>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</si>
  <si>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</si>
  <si>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</si>
  <si>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</si>
  <si>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</si>
  <si>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</si>
  <si>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</si>
  <si>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</si>
  <si>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</si>
  <si>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</si>
  <si>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</si>
  <si>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</si>
  <si>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</si>
  <si>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</si>
  <si>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</si>
  <si>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</si>
  <si>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</si>
  <si>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</si>
  <si>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</si>
  <si>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</si>
  <si>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</si>
  <si>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</si>
  <si>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</si>
  <si>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</si>
  <si>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</si>
  <si>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</si>
  <si>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</si>
  <si>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</si>
  <si>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</si>
  <si>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</si>
  <si>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</si>
  <si>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</si>
  <si>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</si>
  <si>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</si>
  <si>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</si>
  <si>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</si>
  <si>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</si>
  <si>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</si>
  <si>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</si>
  <si>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</si>
  <si>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</si>
  <si>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</si>
  <si>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</si>
  <si>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낙동강물환경연구소 청사 신축공사</t>
    <phoneticPr fontId="2" type="noConversion"/>
  </si>
  <si>
    <t>대구시</t>
  </si>
  <si>
    <t>교육연구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</si>
  <si>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</si>
  <si>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</si>
  <si>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</si>
  <si>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</si>
  <si>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공조배관공사,우수처리시설공사,기타공사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</si>
  <si>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</si>
  <si>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</si>
  <si>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</si>
  <si>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</si>
  <si>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옥외소화배관공사,기타공사</t>
    <phoneticPr fontId="2" type="noConversion"/>
  </si>
  <si>
    <t>우수공사</t>
    <phoneticPr fontId="2" type="noConversion"/>
  </si>
  <si>
    <t>기타공사</t>
    <phoneticPr fontId="2" type="noConversion"/>
  </si>
  <si>
    <t>포장공사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</si>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</sst>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4697.67</v>
      </c>
      <c r="D7" s="36">
        <f>+C7/3.3058</f>
        <v>1421.0387803254885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933910</v>
      </c>
      <c r="E25" s="59">
        <f t="shared" si="0"/>
        <v>3087310</v>
      </c>
    </row>
    <row r="26" spans="1:5" x14ac:dyDescent="0.3">
      <c r="B26" s="2">
        <v>3</v>
      </c>
      <c r="C26" s="35" t="s">
        <v>95</v>
      </c>
      <c r="D26" s="45">
        <f>+D66</f>
        <v>7050</v>
      </c>
      <c r="E26" s="59">
        <f t="shared" si="0"/>
        <v>23300</v>
      </c>
    </row>
    <row r="27" spans="1:5" x14ac:dyDescent="0.3">
      <c r="B27" s="2">
        <v>4</v>
      </c>
      <c r="C27" s="35" t="s">
        <v>96</v>
      </c>
      <c r="D27" s="45">
        <f>+D95</f>
        <v>423520</v>
      </c>
      <c r="E27" s="59">
        <f t="shared" si="0"/>
        <v>1400070</v>
      </c>
    </row>
    <row r="28" spans="1:5" x14ac:dyDescent="0.3">
      <c r="B28" s="2">
        <v>5</v>
      </c>
      <c r="C28" s="35" t="s">
        <v>97</v>
      </c>
      <c r="D28" s="45">
        <f>+D119</f>
        <v>275390</v>
      </c>
      <c r="E28" s="59">
        <f t="shared" si="0"/>
        <v>910380</v>
      </c>
    </row>
    <row r="29" spans="1:5" x14ac:dyDescent="0.3">
      <c r="B29" s="2">
        <v>6</v>
      </c>
      <c r="C29" s="35" t="s">
        <v>98</v>
      </c>
      <c r="D29" s="45">
        <f>+D133</f>
        <v>99250</v>
      </c>
      <c r="E29" s="59">
        <f t="shared" si="0"/>
        <v>328100</v>
      </c>
    </row>
    <row r="30" spans="1:5" x14ac:dyDescent="0.3">
      <c r="B30" s="2">
        <v>7</v>
      </c>
      <c r="C30" s="35" t="s">
        <v>99</v>
      </c>
      <c r="D30" s="45">
        <f>+D146</f>
        <v>36540</v>
      </c>
      <c r="E30" s="59">
        <f t="shared" si="0"/>
        <v>120790</v>
      </c>
    </row>
    <row r="31" spans="1:5" x14ac:dyDescent="0.3">
      <c r="B31" s="2">
        <v>8</v>
      </c>
      <c r="C31" s="35" t="s">
        <v>100</v>
      </c>
      <c r="D31" s="45">
        <f>+D154</f>
        <v>71950</v>
      </c>
      <c r="E31" s="59">
        <f t="shared" si="0"/>
        <v>237850</v>
      </c>
    </row>
    <row r="32" spans="1:5" x14ac:dyDescent="0.3">
      <c r="B32" s="2">
        <v>9</v>
      </c>
      <c r="C32" s="35" t="s">
        <v>101</v>
      </c>
      <c r="D32" s="45">
        <f>+D161</f>
        <v>32830</v>
      </c>
      <c r="E32" s="59">
        <f t="shared" si="0"/>
        <v>108520</v>
      </c>
    </row>
    <row r="33" spans="1:7" x14ac:dyDescent="0.3">
      <c r="B33" s="2">
        <v>10</v>
      </c>
      <c r="C33" s="35" t="s">
        <v>154</v>
      </c>
      <c r="D33" s="53">
        <f>TRUNC(SUM(D24:D32)*0.275,-1)</f>
        <v>517120</v>
      </c>
      <c r="E33" s="60">
        <f t="shared" si="0"/>
        <v>1709490</v>
      </c>
    </row>
    <row r="34" spans="1:7" x14ac:dyDescent="0.3">
      <c r="C34" s="35" t="s">
        <v>112</v>
      </c>
      <c r="D34" s="44">
        <f>SUM(D24:D33)</f>
        <v>2397560</v>
      </c>
      <c r="E34" s="44">
        <f>SUM(E24:E33)</f>
        <v>7925810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TRUNC(57911,-1)</f>
        <v>57910</v>
      </c>
      <c r="E40" s="62">
        <f t="shared" ref="E40:E59" si="1">TRUNC(+D40*3.3058,-1)</f>
        <v>191430</v>
      </c>
    </row>
    <row r="41" spans="1:7" x14ac:dyDescent="0.3">
      <c r="A41" s="2">
        <v>2</v>
      </c>
      <c r="C41" s="38" t="s">
        <v>13</v>
      </c>
      <c r="D41" s="42">
        <f>TRUNC(172759,-1)</f>
        <v>172750</v>
      </c>
      <c r="E41" s="63">
        <f t="shared" si="1"/>
        <v>571070</v>
      </c>
    </row>
    <row r="42" spans="1:7" x14ac:dyDescent="0.3">
      <c r="A42" s="2">
        <v>3</v>
      </c>
      <c r="C42" s="38" t="s">
        <v>14</v>
      </c>
      <c r="D42" s="42">
        <f>TRUNC(8840,-1)</f>
        <v>8840</v>
      </c>
      <c r="E42" s="63">
        <f t="shared" si="1"/>
        <v>29220</v>
      </c>
    </row>
    <row r="43" spans="1:7" x14ac:dyDescent="0.3">
      <c r="A43" s="2">
        <v>4</v>
      </c>
      <c r="C43" s="38" t="s">
        <v>16</v>
      </c>
      <c r="D43" s="42">
        <f>TRUNC(16357,-1)</f>
        <v>16350</v>
      </c>
      <c r="E43" s="63">
        <f t="shared" si="1"/>
        <v>54040</v>
      </c>
    </row>
    <row r="44" spans="1:7" x14ac:dyDescent="0.3">
      <c r="A44" s="2">
        <v>5</v>
      </c>
      <c r="C44" s="38" t="s">
        <v>17</v>
      </c>
      <c r="D44" s="42">
        <f>TRUNC(33747,-1)</f>
        <v>33740</v>
      </c>
      <c r="E44" s="63">
        <f t="shared" si="1"/>
        <v>111530</v>
      </c>
    </row>
    <row r="45" spans="1:7" x14ac:dyDescent="0.3">
      <c r="A45" s="2">
        <v>6</v>
      </c>
      <c r="C45" s="38" t="s">
        <v>18</v>
      </c>
      <c r="D45" s="42">
        <f>TRUNC(6586,-1)</f>
        <v>6580</v>
      </c>
      <c r="E45" s="63">
        <f t="shared" si="1"/>
        <v>21750</v>
      </c>
    </row>
    <row r="46" spans="1:7" x14ac:dyDescent="0.3">
      <c r="A46" s="2">
        <v>7</v>
      </c>
      <c r="C46" s="38" t="s">
        <v>19</v>
      </c>
      <c r="D46" s="42">
        <f>TRUNC(61371,-1)</f>
        <v>61370</v>
      </c>
      <c r="E46" s="63">
        <f t="shared" si="1"/>
        <v>202870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TRUNC(37257,-1)</f>
        <v>37250</v>
      </c>
      <c r="E48" s="63">
        <f t="shared" si="1"/>
        <v>123140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TRUNC(14468,-1)</f>
        <v>14460</v>
      </c>
      <c r="E49" s="63">
        <f t="shared" si="1"/>
        <v>47800</v>
      </c>
    </row>
    <row r="50" spans="1:7" x14ac:dyDescent="0.3">
      <c r="A50" s="2">
        <v>11</v>
      </c>
      <c r="C50" s="38" t="s">
        <v>155</v>
      </c>
      <c r="D50" s="42">
        <f>TRUNC(58476,-1)</f>
        <v>58470</v>
      </c>
      <c r="E50" s="63">
        <f t="shared" si="1"/>
        <v>193290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TRUNC(17786,-1)</f>
        <v>17780</v>
      </c>
      <c r="E52" s="63">
        <f t="shared" si="1"/>
        <v>58770</v>
      </c>
    </row>
    <row r="53" spans="1:7" x14ac:dyDescent="0.3">
      <c r="A53" s="2">
        <v>14</v>
      </c>
      <c r="C53" s="38" t="s">
        <v>25</v>
      </c>
      <c r="D53" s="42">
        <f>TRUNC(82609,-1)</f>
        <v>82600</v>
      </c>
      <c r="E53" s="63">
        <f t="shared" si="1"/>
        <v>273050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TRUNC(25189+13871-925+1804+8177,-1)</f>
        <v>48110</v>
      </c>
      <c r="E58" s="63">
        <f t="shared" si="1"/>
        <v>159040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TRUNC(317703,-1)</f>
        <v>317700</v>
      </c>
      <c r="E59" s="64">
        <f t="shared" si="1"/>
        <v>1050250</v>
      </c>
    </row>
    <row r="60" spans="1:7" x14ac:dyDescent="0.3">
      <c r="A60" s="2">
        <v>21</v>
      </c>
      <c r="C60" s="27" t="s">
        <v>112</v>
      </c>
      <c r="D60" s="39">
        <f>SUM(D40:D59)</f>
        <v>933910</v>
      </c>
      <c r="E60" s="39">
        <f>SUM(E40:E59)</f>
        <v>3087250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TRUNC(7054,-1)</f>
        <v>7050</v>
      </c>
      <c r="E63" s="62">
        <f>TRUNC(+D63*3.3058,-1)</f>
        <v>23300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7050</v>
      </c>
      <c r="E66" s="65">
        <f>SUM(E63:E65)</f>
        <v>23300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TRUNC(20501,-1)</f>
        <v>20500</v>
      </c>
      <c r="E69" s="62">
        <f t="shared" ref="E69:E94" si="2">TRUNC(+D69*3.3058,-1)</f>
        <v>67760</v>
      </c>
    </row>
    <row r="70" spans="1:7" ht="16.5" customHeight="1" x14ac:dyDescent="0.3">
      <c r="A70" s="2">
        <v>2</v>
      </c>
      <c r="C70" s="38" t="s">
        <v>31</v>
      </c>
      <c r="D70" s="42">
        <f>TRUNC(1011,-1)</f>
        <v>1010</v>
      </c>
      <c r="E70" s="63">
        <f t="shared" si="2"/>
        <v>3330</v>
      </c>
    </row>
    <row r="71" spans="1:7" x14ac:dyDescent="0.3">
      <c r="A71" s="2">
        <v>3</v>
      </c>
      <c r="C71" s="38" t="s">
        <v>32</v>
      </c>
      <c r="D71" s="42">
        <f>TRUNC(6327,-1)</f>
        <v>6320</v>
      </c>
      <c r="E71" s="63">
        <f t="shared" si="2"/>
        <v>20890</v>
      </c>
    </row>
    <row r="72" spans="1:7" x14ac:dyDescent="0.3">
      <c r="A72" s="2">
        <v>4</v>
      </c>
      <c r="C72" s="38" t="s">
        <v>33</v>
      </c>
      <c r="D72" s="42">
        <f>TRUNC(14142,-1)</f>
        <v>14140</v>
      </c>
      <c r="E72" s="63">
        <f t="shared" si="2"/>
        <v>46740</v>
      </c>
    </row>
    <row r="73" spans="1:7" x14ac:dyDescent="0.3">
      <c r="A73" s="2">
        <v>5</v>
      </c>
      <c r="C73" s="38" t="s">
        <v>34</v>
      </c>
      <c r="D73" s="42">
        <f>TRUNC(11914,-1)</f>
        <v>11910</v>
      </c>
      <c r="E73" s="63">
        <f t="shared" si="2"/>
        <v>39370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TRUNC(16683,-1)</f>
        <v>16680</v>
      </c>
      <c r="E76" s="63">
        <f t="shared" si="2"/>
        <v>55140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TRUNC(11609,-1)</f>
        <v>11600</v>
      </c>
      <c r="E89" s="63">
        <f t="shared" si="2"/>
        <v>38340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TRUNC(59521,-1)</f>
        <v>59520</v>
      </c>
      <c r="E91" s="63">
        <f t="shared" si="2"/>
        <v>196760</v>
      </c>
    </row>
    <row r="92" spans="1:7" x14ac:dyDescent="0.3">
      <c r="A92" s="2">
        <v>24</v>
      </c>
      <c r="C92" s="38" t="s">
        <v>38</v>
      </c>
      <c r="D92" s="42">
        <f>TRUNC(6693,-1)</f>
        <v>6690</v>
      </c>
      <c r="E92" s="63">
        <f t="shared" si="2"/>
        <v>22110</v>
      </c>
    </row>
    <row r="93" spans="1:7" x14ac:dyDescent="0.3">
      <c r="A93" s="2">
        <v>25</v>
      </c>
      <c r="C93" s="38" t="s">
        <v>148</v>
      </c>
      <c r="D93" s="42">
        <f>TRUNC(242903,-1)</f>
        <v>242900</v>
      </c>
      <c r="E93" s="63">
        <f t="shared" si="2"/>
        <v>802970</v>
      </c>
    </row>
    <row r="94" spans="1:7" ht="17.25" thickBot="1" x14ac:dyDescent="0.35">
      <c r="A94" s="2">
        <v>26</v>
      </c>
      <c r="C94" s="38" t="s">
        <v>47</v>
      </c>
      <c r="D94" s="43">
        <f>TRUNC(2621+457+20532+8645,-1)</f>
        <v>32250</v>
      </c>
      <c r="E94" s="64">
        <f t="shared" si="2"/>
        <v>106610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423520</v>
      </c>
      <c r="E95" s="39">
        <f>SUM(E69:E94)</f>
        <v>1400020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TRUNC(22272,-1)</f>
        <v>22270</v>
      </c>
      <c r="E98" s="62">
        <f t="shared" ref="E98:E118" si="3">TRUNC(+D98*3.3058,-1)</f>
        <v>73620</v>
      </c>
    </row>
    <row r="99" spans="1:7" x14ac:dyDescent="0.3">
      <c r="A99" s="2">
        <v>2</v>
      </c>
      <c r="C99" s="38" t="s">
        <v>40</v>
      </c>
      <c r="D99" s="42">
        <f>TRUNC(17059,-1)</f>
        <v>17050</v>
      </c>
      <c r="E99" s="63">
        <f t="shared" si="3"/>
        <v>56360</v>
      </c>
    </row>
    <row r="100" spans="1:7" x14ac:dyDescent="0.3">
      <c r="A100" s="2">
        <v>3</v>
      </c>
      <c r="C100" s="38" t="s">
        <v>41</v>
      </c>
      <c r="D100" s="42">
        <f>TRUNC(32817,-1)</f>
        <v>32810</v>
      </c>
      <c r="E100" s="63">
        <f t="shared" si="3"/>
        <v>108460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TRUNC(43298,-1)</f>
        <v>43290</v>
      </c>
      <c r="E102" s="63">
        <f t="shared" si="3"/>
        <v>143100</v>
      </c>
    </row>
    <row r="103" spans="1:7" x14ac:dyDescent="0.3">
      <c r="A103" s="2">
        <v>6</v>
      </c>
      <c r="C103" s="38" t="s">
        <v>44</v>
      </c>
      <c r="D103" s="42">
        <f>TRUNC(7009,-1)</f>
        <v>7000</v>
      </c>
      <c r="E103" s="63">
        <f t="shared" si="3"/>
        <v>23140</v>
      </c>
    </row>
    <row r="104" spans="1:7" x14ac:dyDescent="0.3">
      <c r="A104" s="2">
        <v>7</v>
      </c>
      <c r="C104" s="38" t="s">
        <v>45</v>
      </c>
      <c r="D104" s="42">
        <f>TRUNC(13625,-1)</f>
        <v>13620</v>
      </c>
      <c r="E104" s="63">
        <f t="shared" si="3"/>
        <v>45020</v>
      </c>
    </row>
    <row r="105" spans="1:7" x14ac:dyDescent="0.3">
      <c r="A105" s="2">
        <v>8</v>
      </c>
      <c r="C105" s="38" t="s">
        <v>46</v>
      </c>
      <c r="D105" s="42">
        <f>TRUNC(12856,-1)</f>
        <v>12850</v>
      </c>
      <c r="E105" s="63">
        <f t="shared" si="3"/>
        <v>42470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TRUNC(6624,-1)</f>
        <v>6620</v>
      </c>
      <c r="E114" s="63">
        <f t="shared" si="3"/>
        <v>21880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TRUNC(3799,-1)</f>
        <v>3790</v>
      </c>
      <c r="E116" s="63">
        <f t="shared" si="3"/>
        <v>12520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TRUNC(113049,-1)</f>
        <v>113040</v>
      </c>
      <c r="E117" s="63">
        <f t="shared" si="3"/>
        <v>373680</v>
      </c>
    </row>
    <row r="118" spans="1:7" ht="17.25" thickBot="1" x14ac:dyDescent="0.35">
      <c r="A118" s="2">
        <v>21</v>
      </c>
      <c r="C118" s="38" t="s">
        <v>47</v>
      </c>
      <c r="D118" s="43">
        <f>TRUNC(2536+518,-1)</f>
        <v>3050</v>
      </c>
      <c r="E118" s="64">
        <f t="shared" si="3"/>
        <v>10080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275390</v>
      </c>
      <c r="E119" s="39">
        <f>SUM(E98:E118)</f>
        <v>910330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TRUNC(2511,-1)</f>
        <v>2510</v>
      </c>
      <c r="E122" s="62">
        <f t="shared" ref="E122:E132" si="4">TRUNC(+D122*3.3058,-1)</f>
        <v>8290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TRUNC(2988,-1)</f>
        <v>2980</v>
      </c>
      <c r="E124" s="63">
        <f t="shared" si="4"/>
        <v>9850</v>
      </c>
    </row>
    <row r="125" spans="1:7" x14ac:dyDescent="0.3">
      <c r="A125" s="2">
        <v>4</v>
      </c>
      <c r="C125" s="38" t="s">
        <v>138</v>
      </c>
      <c r="D125" s="42">
        <f>TRUNC(6703,-1)</f>
        <v>6700</v>
      </c>
      <c r="E125" s="63">
        <f t="shared" si="4"/>
        <v>22140</v>
      </c>
    </row>
    <row r="126" spans="1:7" x14ac:dyDescent="0.3">
      <c r="A126" s="2">
        <v>5</v>
      </c>
      <c r="C126" s="38" t="s">
        <v>53</v>
      </c>
      <c r="D126" s="42">
        <f>TRUNC(4838,-1)</f>
        <v>4830</v>
      </c>
      <c r="E126" s="63">
        <f t="shared" si="4"/>
        <v>15960</v>
      </c>
    </row>
    <row r="127" spans="1:7" x14ac:dyDescent="0.3">
      <c r="A127" s="2">
        <v>6</v>
      </c>
      <c r="C127" s="38" t="s">
        <v>56</v>
      </c>
      <c r="D127" s="42">
        <f>TRUNC(4397,-1)</f>
        <v>4390</v>
      </c>
      <c r="E127" s="63">
        <f t="shared" si="4"/>
        <v>14510</v>
      </c>
    </row>
    <row r="128" spans="1:7" x14ac:dyDescent="0.3">
      <c r="A128" s="2">
        <v>7</v>
      </c>
      <c r="C128" s="38" t="s">
        <v>46</v>
      </c>
      <c r="D128" s="42">
        <f>TRUNC(6360,-1)</f>
        <v>6360</v>
      </c>
      <c r="E128" s="63">
        <f t="shared" si="4"/>
        <v>21020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TRUNC(43142,-1)</f>
        <v>43140</v>
      </c>
      <c r="E130" s="63">
        <f t="shared" si="4"/>
        <v>142610</v>
      </c>
    </row>
    <row r="131" spans="1:7" x14ac:dyDescent="0.3">
      <c r="A131" s="2">
        <v>10</v>
      </c>
      <c r="C131" s="38" t="s">
        <v>148</v>
      </c>
      <c r="D131" s="42">
        <f>TRUNC(25930,-1)</f>
        <v>25930</v>
      </c>
      <c r="E131" s="63">
        <f t="shared" si="4"/>
        <v>85710</v>
      </c>
    </row>
    <row r="132" spans="1:7" ht="18" thickBot="1" x14ac:dyDescent="0.35">
      <c r="A132" s="2">
        <v>11</v>
      </c>
      <c r="C132" s="38" t="s">
        <v>47</v>
      </c>
      <c r="D132" s="43">
        <f>TRUNC(1332+1084,-1)</f>
        <v>2410</v>
      </c>
      <c r="E132" s="64">
        <f t="shared" si="4"/>
        <v>7960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99250</v>
      </c>
      <c r="E133" s="39">
        <f>SUM(E122:E132)</f>
        <v>328050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TRUNC(2023+523,-1)</f>
        <v>2540</v>
      </c>
      <c r="E137" s="63">
        <f t="shared" si="5"/>
        <v>8390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TRUNC(1454,-1)</f>
        <v>1450</v>
      </c>
      <c r="E139" s="63">
        <f t="shared" si="5"/>
        <v>4790</v>
      </c>
    </row>
    <row r="140" spans="1:7" x14ac:dyDescent="0.3">
      <c r="A140" s="2">
        <v>5</v>
      </c>
      <c r="C140" s="38" t="s">
        <v>57</v>
      </c>
      <c r="D140" s="42">
        <f>TRUNC(2909,-1)</f>
        <v>2900</v>
      </c>
      <c r="E140" s="63">
        <f t="shared" si="5"/>
        <v>9580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TRUNC(9509,-1)</f>
        <v>9500</v>
      </c>
      <c r="E142" s="63">
        <f t="shared" si="5"/>
        <v>31400</v>
      </c>
    </row>
    <row r="143" spans="1:7" x14ac:dyDescent="0.3">
      <c r="A143" s="2">
        <v>8</v>
      </c>
      <c r="C143" s="38" t="s">
        <v>62</v>
      </c>
      <c r="D143" s="42">
        <f>TRUNC(10443,-1)</f>
        <v>10440</v>
      </c>
      <c r="E143" s="63">
        <f t="shared" si="5"/>
        <v>34510</v>
      </c>
    </row>
    <row r="144" spans="1:7" x14ac:dyDescent="0.3">
      <c r="A144" s="2">
        <v>9</v>
      </c>
      <c r="C144" s="38" t="s">
        <v>63</v>
      </c>
      <c r="D144" s="42">
        <f>TRUNC(9711,-1)</f>
        <v>9710</v>
      </c>
      <c r="E144" s="63">
        <f t="shared" si="5"/>
        <v>32090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36540</v>
      </c>
      <c r="E146" s="39">
        <f>SUM(E136:E145)</f>
        <v>120760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TRUNC(18519,-1)</f>
        <v>18510</v>
      </c>
      <c r="E149" s="62">
        <f>TRUNC(+D149*3.3058,-1)</f>
        <v>61190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TRUNC(25718,-1)</f>
        <v>25710</v>
      </c>
      <c r="E150" s="63">
        <f>TRUNC(+D150*3.3058,-1)</f>
        <v>84990</v>
      </c>
    </row>
    <row r="151" spans="1:7" x14ac:dyDescent="0.3">
      <c r="A151" s="2">
        <v>3</v>
      </c>
      <c r="C151" s="38" t="s">
        <v>50</v>
      </c>
      <c r="D151" s="42">
        <f>TRUNC(10185,-1)</f>
        <v>10180</v>
      </c>
      <c r="E151" s="63">
        <f>TRUNC(+D151*3.3058,-1)</f>
        <v>33650</v>
      </c>
    </row>
    <row r="152" spans="1:7" x14ac:dyDescent="0.3">
      <c r="A152" s="2">
        <v>4</v>
      </c>
      <c r="C152" s="38" t="s">
        <v>47</v>
      </c>
      <c r="D152" s="42">
        <f>TRUNC(2290,-1)</f>
        <v>2290</v>
      </c>
      <c r="E152" s="63">
        <f>TRUNC(+D152*3.3058,-1)</f>
        <v>7570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TRUNC(15268,-1)</f>
        <v>15260</v>
      </c>
      <c r="E153" s="64">
        <f>TRUNC(+D153*3.3058,-1)</f>
        <v>50440</v>
      </c>
    </row>
    <row r="154" spans="1:7" x14ac:dyDescent="0.3">
      <c r="A154" s="2">
        <v>6</v>
      </c>
      <c r="C154" s="27" t="s">
        <v>112</v>
      </c>
      <c r="D154" s="39">
        <f>SUM(D149:D153)</f>
        <v>71950</v>
      </c>
      <c r="E154" s="39">
        <f>SUM(E149:E153)</f>
        <v>237840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TRUNC(26689,-1)</f>
        <v>26680</v>
      </c>
      <c r="E157" s="62">
        <f>TRUNC(+D157*3.3058,-1)</f>
        <v>88190</v>
      </c>
    </row>
    <row r="158" spans="1:7" x14ac:dyDescent="0.3">
      <c r="A158" s="2">
        <v>2</v>
      </c>
      <c r="C158" s="38" t="s">
        <v>52</v>
      </c>
      <c r="D158" s="42">
        <f>TRUNC(5926,-1)</f>
        <v>5920</v>
      </c>
      <c r="E158" s="63">
        <f>TRUNC(+D158*3.3058,-1)</f>
        <v>19570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TRUNC(236,-1)</f>
        <v>230</v>
      </c>
      <c r="E159" s="63">
        <f>TRUNC(+D159*3.3058,-1)</f>
        <v>760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32830</v>
      </c>
      <c r="E161" s="39">
        <f>SUM(E157:E160)</f>
        <v>108520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2020-12-08T02:16:54Z</dcterms:modified>
</cp:coreProperties>
</file>