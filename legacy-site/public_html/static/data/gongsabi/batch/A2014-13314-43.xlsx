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7" i="4" l="1"/>
  <c r="D118" i="4"/>
  <c r="D94" i="4"/>
  <c r="D132" i="4" l="1"/>
  <c r="D128" i="4"/>
  <c r="D127" i="4"/>
  <c r="D124" i="4"/>
  <c r="D125" i="4"/>
  <c r="D122" i="4"/>
  <c r="D126" i="4"/>
  <c r="D105" i="4"/>
  <c r="D104" i="4"/>
  <c r="D102" i="4"/>
  <c r="D101" i="4"/>
  <c r="D100" i="4"/>
  <c r="D99" i="4"/>
  <c r="D98" i="4"/>
  <c r="D115" i="4"/>
  <c r="D86" i="4"/>
  <c r="D75" i="4"/>
  <c r="D85" i="4"/>
  <c r="D92" i="4"/>
  <c r="D78" i="4"/>
  <c r="D72" i="4"/>
  <c r="D71" i="4"/>
  <c r="D70" i="4"/>
  <c r="D69" i="4"/>
  <c r="D58" i="4"/>
  <c r="D41" i="4"/>
  <c r="D45" i="4"/>
  <c r="D42" i="4"/>
  <c r="D50" i="4"/>
  <c r="D55" i="4"/>
  <c r="D43" i="4"/>
  <c r="D51" i="4"/>
  <c r="D53" i="4"/>
  <c r="D46" i="4"/>
  <c r="D44" i="4"/>
  <c r="D49" i="4"/>
  <c r="D47" i="4"/>
  <c r="D52" i="4"/>
  <c r="D48" i="4"/>
  <c r="D37" i="4"/>
  <c r="D40" i="4"/>
  <c r="D159" i="4"/>
  <c r="D152" i="4"/>
  <c r="D137" i="4"/>
  <c r="D136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19" i="4"/>
  <c r="E95" i="4"/>
  <c r="E60" i="4"/>
  <c r="E154" i="4"/>
  <c r="E146" i="4"/>
  <c r="D161" i="4"/>
  <c r="D154" i="4"/>
  <c r="D31" i="4" s="1"/>
  <c r="E31" i="4" s="1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<sst xmlns="http://schemas.openxmlformats.org/spreadsheetml/2006/main" count="390" uniqueCount="265">
  <si>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</si>
  <si>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</si>
  <si>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</si>
  <si>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</si>
  <si>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</si>
  <si>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</si>
  <si>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</si>
  <si>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</si>
  <si>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</si>
  <si>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</si>
  <si>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</si>
  <si>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</si>
  <si>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</si>
  <si>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</si>
  <si>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</si>
  <si>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</si>
  <si>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</si>
  <si>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</si>
  <si>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</si>
  <si>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</si>
  <si>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</si>
  <si>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</si>
  <si>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</si>
  <si>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</si>
  <si>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</si>
  <si>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</si>
  <si>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</si>
  <si>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</si>
  <si>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</si>
  <si>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</si>
  <si>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</si>
  <si>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</si>
  <si>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</si>
  <si>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</si>
  <si>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</si>
  <si>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</si>
  <si>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</si>
  <si>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</si>
  <si>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</si>
  <si>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</si>
  <si>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</si>
  <si>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</si>
  <si>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</si>
  <si>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</si>
  <si>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</si>
  <si>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</si>
  <si>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</si>
  <si>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</si>
  <si>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</si>
  <si>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</si>
  <si>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</si>
  <si>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</si>
  <si>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</si>
  <si>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</si>
  <si>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</si>
  <si>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</si>
  <si>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</si>
  <si>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</si>
  <si>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</si>
  <si>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</si>
  <si>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</si>
  <si>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</si>
  <si>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</si>
  <si>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</si>
  <si>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</si>
  <si>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</si>
  <si>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</si>
  <si>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</si>
  <si>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</si>
  <si>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</si>
  <si>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</si>
  <si>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</si>
  <si>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</si>
  <si>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</si>
  <si>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</si>
  <si>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</si>
  <si>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</si>
  <si>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</si>
  <si>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</si>
  <si>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</si>
  <si>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</si>
  <si>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</si>
  <si>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</si>
  <si>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</si>
  <si>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</si>
  <si>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</si>
  <si>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</si>
  <si>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</si>
  <si>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</si>
  <si>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</si>
  <si>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</si>
  <si>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</si>
  <si>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</si>
  <si>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</si>
  <si>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</si>
  <si>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</si>
  <si>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</si>
  <si>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</si>
  <si>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</si>
  <si>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</si>
  <si>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</si>
  <si>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</si>
  <si>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</si>
  <si>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</si>
  <si>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</si>
  <si>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</si>
  <si>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</si>
  <si>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</si>
  <si>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</si>
  <si>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</si>
  <si>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</si>
  <si>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</si>
  <si>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</si>
  <si>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</si>
  <si>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</si>
  <si>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</si>
  <si>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</si>
  <si>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</si>
  <si>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</si>
  <si>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</si>
  <si>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</si>
  <si>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</si>
  <si>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</si>
  <si>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</si>
  <si>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</si>
  <si>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</si>
  <si>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</si>
  <si>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</si>
  <si>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</si>
  <si>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</si>
  <si>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</si>
  <si>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</si>
  <si>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</si>
  <si>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</si>
  <si>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</si>
  <si>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</si>
  <si>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</si>
  <si>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</si>
  <si>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</si>
  <si>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</si>
  <si>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</si>
  <si>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</si>
  <si>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</si>
  <si>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</si>
  <si>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</si>
  <si>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</si>
  <si>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</si>
  <si>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</si>
  <si>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</si>
  <si>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</si>
  <si>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</si>
  <si>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</si>
  <si>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</si>
  <si>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</si>
  <si>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</si>
  <si>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</si>
  <si>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</si>
  <si>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</si>
  <si>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</si>
  <si>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</si>
  <si>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</si>
  <si>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</si>
  <si>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</si>
  <si>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</si>
  <si>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</si>
  <si>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</si>
  <si>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</si>
  <si>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</si>
  <si>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</si>
  <si>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</si>
  <si>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</si>
  <si>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</si>
  <si>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</si>
  <si>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</si>
  <si>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</si>
  <si>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</si>
  <si>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</si>
  <si>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</si>
  <si>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</si>
  <si>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</si>
  <si>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</si>
  <si>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</si>
  <si>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</si>
  <si>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</si>
  <si>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</si>
  <si>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</si>
  <si>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</si>
  <si>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</si>
  <si>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</si>
  <si>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</si>
  <si>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</si>
  <si>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</si>
  <si>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</si>
  <si>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</si>
  <si>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</si>
  <si>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</si>
  <si>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</si>
  <si>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</si>
  <si>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</si>
  <si>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</si>
  <si>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</si>
  <si>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</si>
  <si>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</si>
  <si>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</si>
  <si>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</si>
  <si>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</si>
  <si>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</si>
  <si>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</si>
  <si>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</si>
  <si>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</si>
  <si>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</si>
  <si>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</si>
  <si>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</si>
  <si>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</si>
  <si>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</si>
  <si>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</si>
  <si>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</si>
  <si>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</si>
  <si>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</si>
  <si>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</si>
  <si>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</si>
  <si>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</si>
  <si>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</si>
  <si>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</si>
  <si>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</si>
  <si>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</si>
  <si>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</si>
  <si>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</si>
  <si>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</si>
  <si>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</si>
  <si>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</si>
  <si>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</si>
  <si>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</si>
  <si>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</si>
  <si>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</si>
  <si>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</si>
  <si>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</si>
  <si>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</si>
  <si>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</si>
  <si>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</si>
  <si>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</si>
  <si>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</si>
  <si>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</si>
  <si>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</si>
  <si>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</si>
  <si>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</si>
  <si>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</si>
  <si>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</si>
  <si>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000000공단 00지사 신축공사</t>
    <phoneticPr fontId="2" type="noConversion"/>
  </si>
  <si>
    <t>업무</t>
  </si>
  <si>
    <t>제주도</t>
  </si>
  <si>
    <t>기계 소화설비공사</t>
    <phoneticPr fontId="2" type="noConversion"/>
  </si>
  <si>
    <t>전기 소방공사</t>
    <phoneticPr fontId="2" type="noConversion"/>
  </si>
  <si>
    <t>부대토목공사(흙막이공사 포함)</t>
    <phoneticPr fontId="2" type="noConversion"/>
  </si>
  <si>
    <t>부대조경공사</t>
    <phoneticPr fontId="2" type="noConversion"/>
  </si>
  <si>
    <t>골재및운반공사,기타공사,작업부산물,품질관리비</t>
    <phoneticPr fontId="2" type="noConversion"/>
  </si>
  <si>
    <t>위생설비공사</t>
    <phoneticPr fontId="2" type="noConversion"/>
  </si>
  <si>
    <t>정보통신설비공사,CCTV설비공사,주차관제설비공사</t>
    <phoneticPr fontId="2" type="noConversion"/>
  </si>
  <si>
    <t>전기바닥난방공사,난방배관공사,우수처리시설공사</t>
    <phoneticPr fontId="2" type="noConversion"/>
  </si>
  <si>
    <t>부대장치설비공사,태양광설비공사,가설사무소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</si>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</sst>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5478</v>
      </c>
      <c r="D7" s="36">
        <f>+C7/3.3058</f>
        <v>1657.087543106056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14910</v>
      </c>
      <c r="E24" s="58">
        <f t="shared" ref="E24:E33" si="0">TRUNC(+D24*3.3058,-1)</f>
        <v>49280</v>
      </c>
    </row>
    <row r="25" spans="1:5" x14ac:dyDescent="0.3">
      <c r="B25" s="2">
        <v>2</v>
      </c>
      <c r="C25" s="35" t="s">
        <v>111</v>
      </c>
      <c r="D25" s="45">
        <f>+D60</f>
        <v>542690</v>
      </c>
      <c r="E25" s="59">
        <f t="shared" si="0"/>
        <v>1794020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73820</v>
      </c>
      <c r="E27" s="59">
        <f t="shared" si="0"/>
        <v>244030</v>
      </c>
    </row>
    <row r="28" spans="1:5" x14ac:dyDescent="0.3">
      <c r="B28" s="2">
        <v>5</v>
      </c>
      <c r="C28" s="35" t="s">
        <v>97</v>
      </c>
      <c r="D28" s="45">
        <f>+D119</f>
        <v>74090</v>
      </c>
      <c r="E28" s="59">
        <f t="shared" si="0"/>
        <v>244920</v>
      </c>
    </row>
    <row r="29" spans="1:5" x14ac:dyDescent="0.3">
      <c r="B29" s="2">
        <v>6</v>
      </c>
      <c r="C29" s="35" t="s">
        <v>98</v>
      </c>
      <c r="D29" s="45">
        <f>+D133</f>
        <v>86300</v>
      </c>
      <c r="E29" s="59">
        <f t="shared" si="0"/>
        <v>285290</v>
      </c>
    </row>
    <row r="30" spans="1:5" x14ac:dyDescent="0.3">
      <c r="B30" s="2">
        <v>7</v>
      </c>
      <c r="C30" s="35" t="s">
        <v>99</v>
      </c>
      <c r="D30" s="45">
        <f>+D146</f>
        <v>31040</v>
      </c>
      <c r="E30" s="59">
        <f t="shared" si="0"/>
        <v>102610</v>
      </c>
    </row>
    <row r="31" spans="1:5" x14ac:dyDescent="0.3">
      <c r="B31" s="2">
        <v>8</v>
      </c>
      <c r="C31" s="35" t="s">
        <v>100</v>
      </c>
      <c r="D31" s="45">
        <f>+D154</f>
        <v>152370</v>
      </c>
      <c r="E31" s="59">
        <f t="shared" si="0"/>
        <v>503700</v>
      </c>
    </row>
    <row r="32" spans="1:5" x14ac:dyDescent="0.3">
      <c r="B32" s="2">
        <v>9</v>
      </c>
      <c r="C32" s="35" t="s">
        <v>101</v>
      </c>
      <c r="D32" s="45">
        <f>+D161</f>
        <v>47520</v>
      </c>
      <c r="E32" s="59">
        <f t="shared" si="0"/>
        <v>157090</v>
      </c>
    </row>
    <row r="33" spans="1:7" x14ac:dyDescent="0.3">
      <c r="B33" s="2">
        <v>10</v>
      </c>
      <c r="C33" s="35" t="s">
        <v>154</v>
      </c>
      <c r="D33" s="53">
        <f>TRUNC(SUM(D24:D32)*0.275,-1)</f>
        <v>281250</v>
      </c>
      <c r="E33" s="60">
        <f t="shared" si="0"/>
        <v>929750</v>
      </c>
    </row>
    <row r="34" spans="1:7" x14ac:dyDescent="0.3">
      <c r="C34" s="35" t="s">
        <v>112</v>
      </c>
      <c r="D34" s="44">
        <f>SUM(D24:D33)</f>
        <v>1303990</v>
      </c>
      <c r="E34" s="44">
        <f>SUM(E24:E33)</f>
        <v>4310690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TRUNC(14916,-1)</f>
        <v>14910</v>
      </c>
      <c r="E37" s="61">
        <f>TRUNC(+D37*3.3058,-1)</f>
        <v>49280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TRUNC(52831,-1)</f>
        <v>52830</v>
      </c>
      <c r="E40" s="62">
        <f t="shared" ref="E40:E59" si="1">TRUNC(+D40*3.3058,-1)</f>
        <v>174640</v>
      </c>
    </row>
    <row r="41" spans="1:7" x14ac:dyDescent="0.3">
      <c r="A41" s="2">
        <v>2</v>
      </c>
      <c r="C41" s="38" t="s">
        <v>13</v>
      </c>
      <c r="D41" s="42">
        <f>TRUNC(107651,-1)</f>
        <v>107650</v>
      </c>
      <c r="E41" s="63">
        <f t="shared" si="1"/>
        <v>355860</v>
      </c>
    </row>
    <row r="42" spans="1:7" x14ac:dyDescent="0.3">
      <c r="A42" s="2">
        <v>3</v>
      </c>
      <c r="C42" s="38" t="s">
        <v>14</v>
      </c>
      <c r="D42" s="42">
        <f>TRUNC(1218,-1)</f>
        <v>1210</v>
      </c>
      <c r="E42" s="63">
        <f t="shared" si="1"/>
        <v>4000</v>
      </c>
    </row>
    <row r="43" spans="1:7" x14ac:dyDescent="0.3">
      <c r="A43" s="2">
        <v>4</v>
      </c>
      <c r="C43" s="38" t="s">
        <v>16</v>
      </c>
      <c r="D43" s="42">
        <f>TRUNC(17869,-1)</f>
        <v>17860</v>
      </c>
      <c r="E43" s="63">
        <f t="shared" si="1"/>
        <v>59040</v>
      </c>
    </row>
    <row r="44" spans="1:7" x14ac:dyDescent="0.3">
      <c r="A44" s="2">
        <v>5</v>
      </c>
      <c r="C44" s="38" t="s">
        <v>17</v>
      </c>
      <c r="D44" s="42">
        <f>TRUNC(32790,-1)</f>
        <v>32790</v>
      </c>
      <c r="E44" s="63">
        <f t="shared" si="1"/>
        <v>108390</v>
      </c>
    </row>
    <row r="45" spans="1:7" x14ac:dyDescent="0.3">
      <c r="A45" s="2">
        <v>6</v>
      </c>
      <c r="C45" s="38" t="s">
        <v>18</v>
      </c>
      <c r="D45" s="42">
        <f>TRUNC(16969,-1)</f>
        <v>16960</v>
      </c>
      <c r="E45" s="63">
        <f t="shared" si="1"/>
        <v>56060</v>
      </c>
    </row>
    <row r="46" spans="1:7" x14ac:dyDescent="0.3">
      <c r="A46" s="2">
        <v>7</v>
      </c>
      <c r="C46" s="38" t="s">
        <v>19</v>
      </c>
      <c r="D46" s="42">
        <f>TRUNC(37292,-1)</f>
        <v>37290</v>
      </c>
      <c r="E46" s="63">
        <f t="shared" si="1"/>
        <v>123270</v>
      </c>
    </row>
    <row r="47" spans="1:7" x14ac:dyDescent="0.3">
      <c r="A47" s="2">
        <v>8</v>
      </c>
      <c r="C47" s="38" t="s">
        <v>20</v>
      </c>
      <c r="D47" s="42">
        <f>TRUNC(8551,-1)</f>
        <v>8550</v>
      </c>
      <c r="E47" s="63">
        <f t="shared" si="1"/>
        <v>28260</v>
      </c>
    </row>
    <row r="48" spans="1:7" x14ac:dyDescent="0.3">
      <c r="A48" s="2">
        <v>9</v>
      </c>
      <c r="C48" s="38" t="s">
        <v>21</v>
      </c>
      <c r="D48" s="42">
        <f>TRUNC(69849,-1)</f>
        <v>69840</v>
      </c>
      <c r="E48" s="63">
        <f t="shared" si="1"/>
        <v>230870</v>
      </c>
    </row>
    <row r="49" spans="1:7" x14ac:dyDescent="0.3">
      <c r="A49" s="2">
        <v>10</v>
      </c>
      <c r="C49" s="38" t="s">
        <v>22</v>
      </c>
      <c r="D49" s="42">
        <f>TRUNC(15184,-1)</f>
        <v>15180</v>
      </c>
      <c r="E49" s="63">
        <f t="shared" si="1"/>
        <v>50180</v>
      </c>
    </row>
    <row r="50" spans="1:7" x14ac:dyDescent="0.3">
      <c r="A50" s="2">
        <v>11</v>
      </c>
      <c r="C50" s="38" t="s">
        <v>155</v>
      </c>
      <c r="D50" s="42">
        <f>TRUNC(26896,-1)</f>
        <v>26890</v>
      </c>
      <c r="E50" s="63">
        <f t="shared" si="1"/>
        <v>88890</v>
      </c>
    </row>
    <row r="51" spans="1:7" x14ac:dyDescent="0.3">
      <c r="A51" s="2">
        <v>12</v>
      </c>
      <c r="C51" s="38" t="s">
        <v>23</v>
      </c>
      <c r="D51" s="42">
        <f>TRUNC(37131,-1)</f>
        <v>37130</v>
      </c>
      <c r="E51" s="63">
        <f t="shared" si="1"/>
        <v>122740</v>
      </c>
    </row>
    <row r="52" spans="1:7" x14ac:dyDescent="0.3">
      <c r="A52" s="2">
        <v>13</v>
      </c>
      <c r="C52" s="38" t="s">
        <v>24</v>
      </c>
      <c r="D52" s="42">
        <f>TRUNC(14089,-1)</f>
        <v>14080</v>
      </c>
      <c r="E52" s="63">
        <f t="shared" si="1"/>
        <v>46540</v>
      </c>
    </row>
    <row r="53" spans="1:7" x14ac:dyDescent="0.3">
      <c r="A53" s="2">
        <v>14</v>
      </c>
      <c r="C53" s="38" t="s">
        <v>25</v>
      </c>
      <c r="D53" s="42">
        <f>TRUNC(72723,-1)</f>
        <v>72720</v>
      </c>
      <c r="E53" s="63">
        <f t="shared" si="1"/>
        <v>240390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TRUNC(912,-1)</f>
        <v>910</v>
      </c>
      <c r="E55" s="63">
        <f t="shared" si="1"/>
        <v>3000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TRUNC(11977+17065-924+2684,-1)</f>
        <v>30800</v>
      </c>
      <c r="E58" s="63">
        <f t="shared" si="1"/>
        <v>101810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542690</v>
      </c>
      <c r="E60" s="39">
        <f>SUM(E40:E59)</f>
        <v>1793940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TRUNC(6982,-1)</f>
        <v>6980</v>
      </c>
      <c r="E69" s="62">
        <f t="shared" ref="E69:E94" si="2">TRUNC(+D69*3.3058,-1)</f>
        <v>23070</v>
      </c>
    </row>
    <row r="70" spans="1:7" ht="16.5" customHeight="1" x14ac:dyDescent="0.3">
      <c r="A70" s="2">
        <v>2</v>
      </c>
      <c r="C70" s="38" t="s">
        <v>31</v>
      </c>
      <c r="D70" s="42">
        <f>TRUNC(196,-1)</f>
        <v>190</v>
      </c>
      <c r="E70" s="63">
        <f t="shared" si="2"/>
        <v>620</v>
      </c>
    </row>
    <row r="71" spans="1:7" x14ac:dyDescent="0.3">
      <c r="A71" s="2">
        <v>3</v>
      </c>
      <c r="C71" s="38" t="s">
        <v>32</v>
      </c>
      <c r="D71" s="42">
        <f>TRUNC(5255,-1)</f>
        <v>5250</v>
      </c>
      <c r="E71" s="63">
        <f t="shared" si="2"/>
        <v>17350</v>
      </c>
    </row>
    <row r="72" spans="1:7" x14ac:dyDescent="0.3">
      <c r="A72" s="2">
        <v>4</v>
      </c>
      <c r="C72" s="38" t="s">
        <v>33</v>
      </c>
      <c r="D72" s="42">
        <f>TRUNC(3371,-1)</f>
        <v>3370</v>
      </c>
      <c r="E72" s="63">
        <f t="shared" si="2"/>
        <v>11140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TRUNC(2642,-1)</f>
        <v>2640</v>
      </c>
      <c r="E75" s="63">
        <f t="shared" si="2"/>
        <v>8720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TRUNC(14870,-1)</f>
        <v>14870</v>
      </c>
      <c r="E78" s="63">
        <f t="shared" si="2"/>
        <v>49150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TRUNC(386,-1)</f>
        <v>380</v>
      </c>
      <c r="E85" s="63">
        <f t="shared" si="2"/>
        <v>1250</v>
      </c>
    </row>
    <row r="86" spans="1:7" x14ac:dyDescent="0.3">
      <c r="A86" s="2">
        <v>18</v>
      </c>
      <c r="C86" s="38" t="s">
        <v>141</v>
      </c>
      <c r="D86" s="42">
        <f>TRUNC(662,-1)</f>
        <v>660</v>
      </c>
      <c r="E86" s="63">
        <f t="shared" si="2"/>
        <v>2180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TRUNC(34735,-1)</f>
        <v>34730</v>
      </c>
      <c r="E92" s="63">
        <f t="shared" si="2"/>
        <v>114810</v>
      </c>
      <c r="F92" s="2" t="s">
        <v>256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TRUNC(1190+1087+2474,-1)</f>
        <v>4750</v>
      </c>
      <c r="E94" s="64">
        <f t="shared" si="2"/>
        <v>15700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73820</v>
      </c>
      <c r="E95" s="39">
        <f>SUM(E69:E94)</f>
        <v>243990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TRUNC(8869,-1)</f>
        <v>8860</v>
      </c>
      <c r="E98" s="62">
        <f t="shared" ref="E98:E118" si="3">TRUNC(+D98*3.3058,-1)</f>
        <v>29280</v>
      </c>
    </row>
    <row r="99" spans="1:7" x14ac:dyDescent="0.3">
      <c r="A99" s="2">
        <v>2</v>
      </c>
      <c r="C99" s="38" t="s">
        <v>40</v>
      </c>
      <c r="D99" s="42">
        <f>TRUNC(4625,-1)</f>
        <v>4620</v>
      </c>
      <c r="E99" s="63">
        <f t="shared" si="3"/>
        <v>15270</v>
      </c>
    </row>
    <row r="100" spans="1:7" x14ac:dyDescent="0.3">
      <c r="A100" s="2">
        <v>3</v>
      </c>
      <c r="C100" s="38" t="s">
        <v>41</v>
      </c>
      <c r="D100" s="42">
        <f>TRUNC(24230,-1)</f>
        <v>24230</v>
      </c>
      <c r="E100" s="63">
        <f t="shared" si="3"/>
        <v>80090</v>
      </c>
    </row>
    <row r="101" spans="1:7" x14ac:dyDescent="0.3">
      <c r="A101" s="2">
        <v>4</v>
      </c>
      <c r="C101" s="38" t="s">
        <v>42</v>
      </c>
      <c r="D101" s="42">
        <f>TRUNC(976,-1)</f>
        <v>970</v>
      </c>
      <c r="E101" s="63">
        <f t="shared" si="3"/>
        <v>3200</v>
      </c>
    </row>
    <row r="102" spans="1:7" x14ac:dyDescent="0.3">
      <c r="A102" s="2">
        <v>5</v>
      </c>
      <c r="C102" s="38" t="s">
        <v>43</v>
      </c>
      <c r="D102" s="42">
        <f>TRUNC(11312,-1)</f>
        <v>11310</v>
      </c>
      <c r="E102" s="63">
        <f t="shared" si="3"/>
        <v>37380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TRUNC(12784,-1)</f>
        <v>12780</v>
      </c>
      <c r="E104" s="63">
        <f t="shared" si="3"/>
        <v>42240</v>
      </c>
    </row>
    <row r="105" spans="1:7" x14ac:dyDescent="0.3">
      <c r="A105" s="2">
        <v>8</v>
      </c>
      <c r="C105" s="38" t="s">
        <v>46</v>
      </c>
      <c r="D105" s="42">
        <f>TRUNC(1859,-1)</f>
        <v>1850</v>
      </c>
      <c r="E105" s="63">
        <f t="shared" si="3"/>
        <v>6110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f>TRUNC(1247,-1)</f>
        <v>1240</v>
      </c>
      <c r="E107" s="63">
        <f t="shared" si="3"/>
        <v>4090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TRUNC(4834,-1)</f>
        <v>4830</v>
      </c>
      <c r="E115" s="63">
        <f t="shared" si="3"/>
        <v>15960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TRUNC(1475+1044+890,-1)</f>
        <v>3400</v>
      </c>
      <c r="E118" s="64">
        <f t="shared" si="3"/>
        <v>11230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74090</v>
      </c>
      <c r="E119" s="39">
        <f>SUM(E98:E118)</f>
        <v>244850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TRUNC(3512,-1)</f>
        <v>3510</v>
      </c>
      <c r="E122" s="62">
        <f t="shared" ref="E122:E132" si="4">TRUNC(+D122*3.3058,-1)</f>
        <v>11600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TRUNC(1446,-1)</f>
        <v>1440</v>
      </c>
      <c r="E124" s="63">
        <f t="shared" si="4"/>
        <v>4760</v>
      </c>
    </row>
    <row r="125" spans="1:7" x14ac:dyDescent="0.3">
      <c r="A125" s="2">
        <v>4</v>
      </c>
      <c r="C125" s="38" t="s">
        <v>138</v>
      </c>
      <c r="D125" s="42">
        <f>TRUNC(4720,-1)</f>
        <v>4720</v>
      </c>
      <c r="E125" s="63">
        <f t="shared" si="4"/>
        <v>15600</v>
      </c>
    </row>
    <row r="126" spans="1:7" x14ac:dyDescent="0.3">
      <c r="A126" s="2">
        <v>5</v>
      </c>
      <c r="C126" s="38" t="s">
        <v>53</v>
      </c>
      <c r="D126" s="42">
        <f>TRUNC(1375,-1)</f>
        <v>1370</v>
      </c>
      <c r="E126" s="63">
        <f t="shared" si="4"/>
        <v>4520</v>
      </c>
    </row>
    <row r="127" spans="1:7" x14ac:dyDescent="0.3">
      <c r="A127" s="2">
        <v>6</v>
      </c>
      <c r="C127" s="38" t="s">
        <v>56</v>
      </c>
      <c r="D127" s="42">
        <f>TRUNC(4450,-1)</f>
        <v>4450</v>
      </c>
      <c r="E127" s="63">
        <f t="shared" si="4"/>
        <v>14710</v>
      </c>
    </row>
    <row r="128" spans="1:7" x14ac:dyDescent="0.3">
      <c r="A128" s="2">
        <v>7</v>
      </c>
      <c r="C128" s="38" t="s">
        <v>46</v>
      </c>
      <c r="D128" s="42">
        <f>TRUNC(1474,-1)</f>
        <v>1470</v>
      </c>
      <c r="E128" s="63">
        <f t="shared" si="4"/>
        <v>4850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TRUNC(61089+2669+5586,-1)</f>
        <v>69340</v>
      </c>
      <c r="E132" s="64">
        <f t="shared" si="4"/>
        <v>229220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86300</v>
      </c>
      <c r="E133" s="39">
        <f>SUM(E122:E132)</f>
        <v>285260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TRUNC(17006,-1)</f>
        <v>17000</v>
      </c>
      <c r="E136" s="62">
        <f t="shared" ref="E136:E145" si="5">TRUNC(+D136*3.3058,-1)</f>
        <v>56190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TRUNC(14046,-1)</f>
        <v>14040</v>
      </c>
      <c r="E137" s="63">
        <f t="shared" si="5"/>
        <v>46410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31040</v>
      </c>
      <c r="E146" s="39">
        <f>SUM(E136:E145)</f>
        <v>102600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TRUNC(152372,-1)</f>
        <v>152370</v>
      </c>
      <c r="E152" s="63">
        <f>TRUNC(+D152*3.3058,-1)</f>
        <v>503700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152370</v>
      </c>
      <c r="E154" s="39">
        <f>SUM(E149:E153)</f>
        <v>503700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TRUNC(47525,-1)</f>
        <v>47520</v>
      </c>
      <c r="E159" s="63">
        <f>TRUNC(+D159*3.3058,-1)</f>
        <v>157090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47520</v>
      </c>
      <c r="E161" s="39">
        <f>SUM(E157:E160)</f>
        <v>157090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2020-12-07T09:48:58Z</dcterms:modified>
</cp:coreProperties>
</file>