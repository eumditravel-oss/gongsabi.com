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4" i="4"/>
  <c r="D143" i="4"/>
  <c r="D141" i="4"/>
  <c r="D139" i="4"/>
  <c r="D137" i="4"/>
  <c r="D132" i="4"/>
  <c r="D131" i="4"/>
  <c r="D130" i="4"/>
  <c r="D128" i="4"/>
  <c r="D126" i="4"/>
  <c r="D125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95" i="4"/>
  <c r="E161" i="4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<sst xmlns="http://schemas.openxmlformats.org/spreadsheetml/2006/main" count="392" uniqueCount="269">
  <si>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</si>
  <si>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</si>
  <si>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</si>
  <si>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</si>
  <si>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</si>
  <si>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</si>
  <si>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</si>
  <si>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</si>
  <si>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</si>
  <si>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</si>
  <si>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</si>
  <si>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</si>
  <si>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</si>
  <si>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</si>
  <si>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</si>
  <si>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</si>
  <si>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</si>
  <si>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</si>
  <si>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</si>
  <si>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</si>
  <si>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</si>
  <si>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</si>
  <si>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</si>
  <si>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</si>
  <si>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</si>
  <si>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</si>
  <si>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</si>
  <si>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</si>
  <si>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</si>
  <si>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</si>
  <si>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</si>
  <si>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</si>
  <si>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</si>
  <si>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</si>
  <si>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</si>
  <si>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</si>
  <si>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</si>
  <si>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</si>
  <si>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</si>
  <si>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</si>
  <si>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</si>
  <si>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</si>
  <si>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</si>
  <si>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</si>
  <si>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</si>
  <si>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</si>
  <si>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</si>
  <si>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</si>
  <si>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</si>
  <si>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</si>
  <si>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</si>
  <si>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</si>
  <si>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</si>
  <si>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</si>
  <si>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</si>
  <si>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</si>
  <si>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</si>
  <si>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</si>
  <si>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</si>
  <si>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</si>
  <si>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</si>
  <si>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</si>
  <si>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</si>
  <si>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</si>
  <si>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</si>
  <si>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</si>
  <si>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</si>
  <si>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</si>
  <si>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</si>
  <si>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</si>
  <si>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</si>
  <si>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</si>
  <si>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</si>
  <si>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</si>
  <si>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</si>
  <si>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</si>
  <si>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</si>
  <si>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</si>
  <si>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</si>
  <si>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</si>
  <si>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</si>
  <si>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</si>
  <si>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</si>
  <si>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</si>
  <si>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</si>
  <si>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</si>
  <si>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</si>
  <si>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</si>
  <si>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</si>
  <si>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</si>
  <si>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</si>
  <si>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</si>
  <si>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</si>
  <si>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</si>
  <si>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</si>
  <si>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</si>
  <si>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</si>
  <si>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</si>
  <si>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</si>
  <si>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</si>
  <si>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</si>
  <si>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</si>
  <si>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</si>
  <si>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</si>
  <si>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</si>
  <si>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</si>
  <si>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</si>
  <si>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</si>
  <si>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</si>
  <si>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</si>
  <si>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</si>
  <si>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</si>
  <si>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</si>
  <si>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</si>
  <si>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</si>
  <si>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</si>
  <si>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</si>
  <si>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</si>
  <si>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</si>
  <si>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</si>
  <si>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</si>
  <si>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</si>
  <si>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</si>
  <si>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</si>
  <si>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</si>
  <si>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</si>
  <si>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</si>
  <si>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</si>
  <si>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</si>
  <si>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</si>
  <si>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</si>
  <si>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</si>
  <si>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</si>
  <si>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</si>
  <si>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</si>
  <si>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</si>
  <si>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</si>
  <si>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</si>
  <si>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</si>
  <si>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</si>
  <si>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</si>
  <si>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</si>
  <si>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</si>
  <si>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</si>
  <si>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</si>
  <si>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</si>
  <si>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</si>
  <si>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</si>
  <si>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</si>
  <si>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</si>
  <si>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</si>
  <si>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</si>
  <si>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</si>
  <si>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</si>
  <si>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</si>
  <si>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</si>
  <si>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</si>
  <si>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</si>
  <si>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</si>
  <si>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</si>
  <si>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</si>
  <si>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</si>
  <si>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</si>
  <si>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</si>
  <si>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</si>
  <si>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</si>
  <si>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</si>
  <si>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</si>
  <si>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</si>
  <si>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</si>
  <si>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</si>
  <si>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</si>
  <si>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</si>
  <si>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</si>
  <si>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</si>
  <si>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</si>
  <si>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</si>
  <si>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</si>
  <si>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</si>
  <si>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</si>
  <si>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</si>
  <si>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</si>
  <si>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</si>
  <si>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</si>
  <si>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</si>
  <si>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</si>
  <si>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</si>
  <si>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</si>
  <si>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</si>
  <si>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</si>
  <si>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</si>
  <si>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</si>
  <si>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</si>
  <si>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</si>
  <si>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</si>
  <si>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</si>
  <si>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</si>
  <si>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</si>
  <si>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</si>
  <si>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</si>
  <si>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</si>
  <si>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</si>
  <si>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</si>
  <si>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</si>
  <si>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</si>
  <si>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</si>
  <si>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</si>
  <si>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</si>
  <si>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</si>
  <si>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</si>
  <si>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</si>
  <si>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</si>
  <si>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</si>
  <si>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</si>
  <si>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</si>
  <si>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</si>
  <si>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</si>
  <si>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</si>
  <si>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</si>
  <si>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</si>
  <si>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</si>
  <si>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</si>
  <si>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</si>
  <si>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</si>
  <si>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</si>
  <si>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</si>
  <si>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</si>
  <si>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</si>
  <si>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</si>
  <si>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</si>
  <si>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</si>
  <si>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</si>
  <si>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</si>
  <si>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</si>
  <si>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</si>
  <si>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</si>
  <si>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</si>
  <si>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</si>
  <si>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</si>
  <si>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</si>
  <si>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</si>
  <si>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</si>
  <si>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</si>
  <si>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</si>
  <si>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</si>
  <si>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</si>
  <si>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</si>
  <si>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</si>
  <si>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</si>
  <si>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</si>
  <si>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</si>
  <si>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</si>
  <si>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</si>
  <si>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</si>
  <si>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</si>
  <si>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</si>
  <si>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</si>
  <si>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</si>
  <si>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</si>
  <si>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</si>
  <si>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 xml:space="preserve"> 가칭)인덕초등학교 교사 신축공사</t>
    <phoneticPr fontId="2" type="noConversion"/>
  </si>
  <si>
    <t>경상도</t>
  </si>
  <si>
    <t>기초공사, 골재비및운반비, 기타공사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</si>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</sst>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13620.71</v>
      </c>
      <c r="D7" s="36">
        <f>+C7/3.3058</f>
        <v>4120.2462338919468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820230</v>
      </c>
      <c r="E25" s="59">
        <f t="shared" si="0"/>
        <v>2711510</v>
      </c>
    </row>
    <row r="26" spans="1:5" x14ac:dyDescent="0.3">
      <c r="B26" s="2">
        <v>3</v>
      </c>
      <c r="C26" s="35" t="s">
        <v>95</v>
      </c>
      <c r="D26" s="45">
        <f>+D66</f>
        <v>2300</v>
      </c>
      <c r="E26" s="59">
        <f t="shared" si="0"/>
        <v>7600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174500</v>
      </c>
      <c r="E28" s="59">
        <f t="shared" si="0"/>
        <v>576860</v>
      </c>
    </row>
    <row r="29" spans="1:5" x14ac:dyDescent="0.3">
      <c r="B29" s="2">
        <v>6</v>
      </c>
      <c r="C29" s="35" t="s">
        <v>98</v>
      </c>
      <c r="D29" s="45">
        <f>+D133</f>
        <v>54640</v>
      </c>
      <c r="E29" s="59">
        <f t="shared" si="0"/>
        <v>180620</v>
      </c>
    </row>
    <row r="30" spans="1:5" x14ac:dyDescent="0.3">
      <c r="B30" s="2">
        <v>7</v>
      </c>
      <c r="C30" s="35" t="s">
        <v>99</v>
      </c>
      <c r="D30" s="45">
        <f>+D146</f>
        <v>44060</v>
      </c>
      <c r="E30" s="59">
        <f t="shared" si="0"/>
        <v>145650</v>
      </c>
    </row>
    <row r="31" spans="1:5" x14ac:dyDescent="0.3">
      <c r="B31" s="2">
        <v>8</v>
      </c>
      <c r="C31" s="35" t="s">
        <v>100</v>
      </c>
      <c r="D31" s="45">
        <f>+D154</f>
        <v>37170</v>
      </c>
      <c r="E31" s="59">
        <f t="shared" si="0"/>
        <v>122870</v>
      </c>
    </row>
    <row r="32" spans="1:5" x14ac:dyDescent="0.3">
      <c r="B32" s="2">
        <v>9</v>
      </c>
      <c r="C32" s="35" t="s">
        <v>101</v>
      </c>
      <c r="D32" s="45">
        <f>+D161</f>
        <v>13760</v>
      </c>
      <c r="E32" s="59">
        <f t="shared" si="0"/>
        <v>45480</v>
      </c>
    </row>
    <row r="33" spans="1:7" x14ac:dyDescent="0.3">
      <c r="B33" s="2">
        <v>10</v>
      </c>
      <c r="C33" s="35" t="s">
        <v>154</v>
      </c>
      <c r="D33" s="53">
        <f>TRUNC(SUM(D24:D32)*0.275,-1)</f>
        <v>315330</v>
      </c>
      <c r="E33" s="60">
        <f t="shared" si="0"/>
        <v>1042410</v>
      </c>
    </row>
    <row r="34" spans="1:7" x14ac:dyDescent="0.3">
      <c r="C34" s="35" t="s">
        <v>112</v>
      </c>
      <c r="D34" s="44">
        <f>SUM(D24:D33)</f>
        <v>1461990</v>
      </c>
      <c r="E34" s="44">
        <f>SUM(E24:E33)</f>
        <v>4833000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256</v>
      </c>
      <c r="C39" s="56" t="s">
        <v>257</v>
      </c>
      <c r="D39" s="57" t="s">
        <v>258</v>
      </c>
      <c r="E39" s="57" t="s">
        <v>259</v>
      </c>
      <c r="G39" s="55"/>
    </row>
    <row r="40" spans="1:7" x14ac:dyDescent="0.3">
      <c r="A40" s="2">
        <v>1</v>
      </c>
      <c r="C40" s="38" t="s">
        <v>15</v>
      </c>
      <c r="D40" s="40">
        <f>TRUNC(25188,-1)</f>
        <v>25180</v>
      </c>
      <c r="E40" s="62">
        <f t="shared" ref="E40:E59" si="1">TRUNC(+D40*3.3058,-1)</f>
        <v>83240</v>
      </c>
    </row>
    <row r="41" spans="1:7" x14ac:dyDescent="0.3">
      <c r="A41" s="2">
        <v>2</v>
      </c>
      <c r="C41" s="38" t="s">
        <v>13</v>
      </c>
      <c r="D41" s="42">
        <f>TRUNC(113561,-1)</f>
        <v>113560</v>
      </c>
      <c r="E41" s="63">
        <f t="shared" si="1"/>
        <v>375400</v>
      </c>
    </row>
    <row r="42" spans="1:7" x14ac:dyDescent="0.3">
      <c r="A42" s="2">
        <v>3</v>
      </c>
      <c r="C42" s="38" t="s">
        <v>14</v>
      </c>
      <c r="D42" s="42">
        <f>TRUNC(6029,-1)</f>
        <v>6020</v>
      </c>
      <c r="E42" s="63">
        <f t="shared" si="1"/>
        <v>19900</v>
      </c>
    </row>
    <row r="43" spans="1:7" x14ac:dyDescent="0.3">
      <c r="A43" s="2">
        <v>4</v>
      </c>
      <c r="C43" s="38" t="s">
        <v>16</v>
      </c>
      <c r="D43" s="42">
        <f>TRUNC(23293,-1)</f>
        <v>23290</v>
      </c>
      <c r="E43" s="63">
        <f t="shared" si="1"/>
        <v>76990</v>
      </c>
    </row>
    <row r="44" spans="1:7" x14ac:dyDescent="0.3">
      <c r="A44" s="2">
        <v>5</v>
      </c>
      <c r="C44" s="38" t="s">
        <v>17</v>
      </c>
      <c r="D44" s="42">
        <f>TRUNC(13254,-1)</f>
        <v>13250</v>
      </c>
      <c r="E44" s="63">
        <f t="shared" si="1"/>
        <v>43800</v>
      </c>
    </row>
    <row r="45" spans="1:7" x14ac:dyDescent="0.3">
      <c r="A45" s="2">
        <v>6</v>
      </c>
      <c r="C45" s="38" t="s">
        <v>18</v>
      </c>
      <c r="D45" s="42">
        <f>TRUNC(32873,-1)</f>
        <v>32870</v>
      </c>
      <c r="E45" s="63">
        <f t="shared" si="1"/>
        <v>108660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TRUNC(30557,-1)</f>
        <v>30550</v>
      </c>
      <c r="E48" s="63">
        <f t="shared" si="1"/>
        <v>100990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TRUNC(11167,-1)</f>
        <v>11160</v>
      </c>
      <c r="E49" s="63">
        <f t="shared" si="1"/>
        <v>36890</v>
      </c>
    </row>
    <row r="50" spans="1:7" x14ac:dyDescent="0.3">
      <c r="A50" s="2">
        <v>11</v>
      </c>
      <c r="C50" s="38" t="s">
        <v>155</v>
      </c>
      <c r="D50" s="42">
        <f>TRUNC(43508,-1)</f>
        <v>43500</v>
      </c>
      <c r="E50" s="63">
        <f t="shared" si="1"/>
        <v>143800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TRUNC(11385,-1)</f>
        <v>11380</v>
      </c>
      <c r="E52" s="63">
        <f t="shared" si="1"/>
        <v>37620</v>
      </c>
    </row>
    <row r="53" spans="1:7" x14ac:dyDescent="0.3">
      <c r="A53" s="2">
        <v>14</v>
      </c>
      <c r="C53" s="38" t="s">
        <v>25</v>
      </c>
      <c r="D53" s="42">
        <f>TRUNC(81601,-1)</f>
        <v>81600</v>
      </c>
      <c r="E53" s="63">
        <f t="shared" si="1"/>
        <v>269750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TRUNC(18121+4132+26593,-1)</f>
        <v>48840</v>
      </c>
      <c r="E58" s="63">
        <f t="shared" si="1"/>
        <v>161450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TRUNC(379039,-1)</f>
        <v>379030</v>
      </c>
      <c r="E59" s="64">
        <f t="shared" si="1"/>
        <v>1252990</v>
      </c>
    </row>
    <row r="60" spans="1:7" x14ac:dyDescent="0.3">
      <c r="A60" s="2">
        <v>21</v>
      </c>
      <c r="C60" s="27" t="s">
        <v>112</v>
      </c>
      <c r="D60" s="39">
        <f>SUM(D40:D59)</f>
        <v>820230</v>
      </c>
      <c r="E60" s="39">
        <f>SUM(E40:E59)</f>
        <v>2711480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TRUNC(2305,-1)</f>
        <v>2300</v>
      </c>
      <c r="E63" s="62">
        <f>TRUNC(+D63*3.3058,-1)</f>
        <v>7600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2300</v>
      </c>
      <c r="E66" s="65">
        <f>SUM(E63:E65)</f>
        <v>7600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TRUNC(6948,-1)</f>
        <v>6940</v>
      </c>
      <c r="E98" s="62">
        <f t="shared" ref="E98:E118" si="3">TRUNC(+D98*3.3058,-1)</f>
        <v>22940</v>
      </c>
    </row>
    <row r="99" spans="1:7" x14ac:dyDescent="0.3">
      <c r="A99" s="2">
        <v>2</v>
      </c>
      <c r="C99" s="38" t="s">
        <v>40</v>
      </c>
      <c r="D99" s="42">
        <f>TRUNC(3052,-1)</f>
        <v>3050</v>
      </c>
      <c r="E99" s="63">
        <f t="shared" si="3"/>
        <v>10080</v>
      </c>
    </row>
    <row r="100" spans="1:7" x14ac:dyDescent="0.3">
      <c r="A100" s="2">
        <v>3</v>
      </c>
      <c r="C100" s="38" t="s">
        <v>41</v>
      </c>
      <c r="D100" s="42">
        <f>TRUNC(23824,-1)</f>
        <v>23820</v>
      </c>
      <c r="E100" s="63">
        <f t="shared" si="3"/>
        <v>78740</v>
      </c>
    </row>
    <row r="101" spans="1:7" x14ac:dyDescent="0.3">
      <c r="A101" s="2">
        <v>4</v>
      </c>
      <c r="C101" s="38" t="s">
        <v>42</v>
      </c>
      <c r="D101" s="42">
        <f>TRUNC(2893,-1)</f>
        <v>2890</v>
      </c>
      <c r="E101" s="63">
        <f t="shared" si="3"/>
        <v>9550</v>
      </c>
    </row>
    <row r="102" spans="1:7" x14ac:dyDescent="0.3">
      <c r="A102" s="2">
        <v>5</v>
      </c>
      <c r="C102" s="38" t="s">
        <v>43</v>
      </c>
      <c r="D102" s="42">
        <f>TRUNC(9493,-1)</f>
        <v>9490</v>
      </c>
      <c r="E102" s="63">
        <f t="shared" si="3"/>
        <v>31370</v>
      </c>
    </row>
    <row r="103" spans="1:7" x14ac:dyDescent="0.3">
      <c r="A103" s="2">
        <v>6</v>
      </c>
      <c r="C103" s="38" t="s">
        <v>44</v>
      </c>
      <c r="D103" s="42">
        <f>TRUNC(4902,-1)</f>
        <v>4900</v>
      </c>
      <c r="E103" s="63">
        <f t="shared" si="3"/>
        <v>16190</v>
      </c>
    </row>
    <row r="104" spans="1:7" x14ac:dyDescent="0.3">
      <c r="A104" s="2">
        <v>7</v>
      </c>
      <c r="C104" s="38" t="s">
        <v>45</v>
      </c>
      <c r="D104" s="42">
        <f>TRUNC(1245,-1)</f>
        <v>1240</v>
      </c>
      <c r="E104" s="63">
        <f t="shared" si="3"/>
        <v>4090</v>
      </c>
    </row>
    <row r="105" spans="1:7" x14ac:dyDescent="0.3">
      <c r="A105" s="2">
        <v>8</v>
      </c>
      <c r="C105" s="38" t="s">
        <v>46</v>
      </c>
      <c r="D105" s="42">
        <f>TRUNC(5487,-1)</f>
        <v>5480</v>
      </c>
      <c r="E105" s="63">
        <f t="shared" si="3"/>
        <v>18110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TRUNC(5007,-1)</f>
        <v>5000</v>
      </c>
      <c r="E114" s="63">
        <f t="shared" si="3"/>
        <v>16520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TRUNC(1466,-1)</f>
        <v>1460</v>
      </c>
      <c r="E116" s="63">
        <f t="shared" si="3"/>
        <v>4820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TRUNC(106774,-1)</f>
        <v>106770</v>
      </c>
      <c r="E117" s="63">
        <f t="shared" si="3"/>
        <v>352960</v>
      </c>
    </row>
    <row r="118" spans="1:7" ht="17.25" thickBot="1" x14ac:dyDescent="0.35">
      <c r="A118" s="2">
        <v>21</v>
      </c>
      <c r="C118" s="38" t="s">
        <v>47</v>
      </c>
      <c r="D118" s="43">
        <f>TRUNC(3461,-1)</f>
        <v>3460</v>
      </c>
      <c r="E118" s="64">
        <f t="shared" si="3"/>
        <v>11430</v>
      </c>
    </row>
    <row r="119" spans="1:7" x14ac:dyDescent="0.3">
      <c r="A119" s="2">
        <v>22</v>
      </c>
      <c r="C119" s="27" t="s">
        <v>112</v>
      </c>
      <c r="D119" s="39">
        <f>SUM(D98:D118)</f>
        <v>174500</v>
      </c>
      <c r="E119" s="39">
        <f>SUM(E98:E118)</f>
        <v>576800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TRUNC(2046,-1)</f>
        <v>2040</v>
      </c>
      <c r="E122" s="62">
        <f t="shared" ref="E122:E132" si="4">TRUNC(+D122*3.3058,-1)</f>
        <v>6740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TRUNC(5655,-1)</f>
        <v>5650</v>
      </c>
      <c r="E125" s="63">
        <f t="shared" si="4"/>
        <v>18670</v>
      </c>
    </row>
    <row r="126" spans="1:7" x14ac:dyDescent="0.3">
      <c r="A126" s="2">
        <v>5</v>
      </c>
      <c r="C126" s="38" t="s">
        <v>53</v>
      </c>
      <c r="D126" s="42">
        <f>TRUNC(1359,-1)</f>
        <v>1350</v>
      </c>
      <c r="E126" s="63">
        <f t="shared" si="4"/>
        <v>4460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TRUNC(3874,-1)</f>
        <v>3870</v>
      </c>
      <c r="E128" s="63">
        <f t="shared" si="4"/>
        <v>12790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TRUNC(9173,-1)</f>
        <v>9170</v>
      </c>
      <c r="E130" s="63">
        <f t="shared" si="4"/>
        <v>30310</v>
      </c>
    </row>
    <row r="131" spans="1:7" x14ac:dyDescent="0.3">
      <c r="A131" s="2">
        <v>10</v>
      </c>
      <c r="C131" s="38" t="s">
        <v>148</v>
      </c>
      <c r="D131" s="42">
        <f>TRUNC(29049,-1)</f>
        <v>29040</v>
      </c>
      <c r="E131" s="63">
        <f t="shared" si="4"/>
        <v>96000</v>
      </c>
    </row>
    <row r="132" spans="1:7" ht="18" thickBot="1" x14ac:dyDescent="0.35">
      <c r="A132" s="2">
        <v>11</v>
      </c>
      <c r="C132" s="38" t="s">
        <v>47</v>
      </c>
      <c r="D132" s="43">
        <f>TRUNC(1754+1772,-1)</f>
        <v>3520</v>
      </c>
      <c r="E132" s="64">
        <f t="shared" si="4"/>
        <v>11630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54640</v>
      </c>
      <c r="E133" s="39">
        <f>SUM(E122:E132)</f>
        <v>180600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TRUNC(8799+4426+6123,-1)</f>
        <v>19340</v>
      </c>
      <c r="E137" s="63">
        <f t="shared" si="5"/>
        <v>63930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TRUNC(2731,-1)</f>
        <v>2730</v>
      </c>
      <c r="E139" s="63">
        <f t="shared" si="5"/>
        <v>9020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TRUNC(11778,-1)</f>
        <v>11770</v>
      </c>
      <c r="E141" s="63">
        <f t="shared" si="5"/>
        <v>38900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TRUNC(9142,-1)</f>
        <v>9140</v>
      </c>
      <c r="E143" s="63">
        <f t="shared" si="5"/>
        <v>30210</v>
      </c>
    </row>
    <row r="144" spans="1:7" x14ac:dyDescent="0.3">
      <c r="A144" s="2">
        <v>9</v>
      </c>
      <c r="C144" s="38" t="s">
        <v>63</v>
      </c>
      <c r="D144" s="42">
        <f>TRUNC(1082,-1)</f>
        <v>1080</v>
      </c>
      <c r="E144" s="63">
        <f t="shared" si="5"/>
        <v>3570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44060</v>
      </c>
      <c r="E146" s="39">
        <f>SUM(E136:E145)</f>
        <v>145630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6099+611</f>
        <v>6710</v>
      </c>
      <c r="E149" s="62">
        <f>TRUNC(+D149*3.3058,-1)</f>
        <v>22180</v>
      </c>
    </row>
    <row r="150" spans="1:7" x14ac:dyDescent="0.3">
      <c r="A150" s="2">
        <v>2</v>
      </c>
      <c r="C150" s="38" t="s">
        <v>49</v>
      </c>
      <c r="D150" s="42">
        <f>TRUNC(9838,-1)</f>
        <v>9830</v>
      </c>
      <c r="E150" s="63">
        <f>TRUNC(+D150*3.3058,-1)</f>
        <v>32490</v>
      </c>
    </row>
    <row r="151" spans="1:7" x14ac:dyDescent="0.3">
      <c r="A151" s="2">
        <v>3</v>
      </c>
      <c r="C151" s="38" t="s">
        <v>50</v>
      </c>
      <c r="D151" s="42">
        <f>TRUNC(18363,-1)</f>
        <v>18360</v>
      </c>
      <c r="E151" s="63">
        <f>TRUNC(+D151*3.3058,-1)</f>
        <v>60690</v>
      </c>
    </row>
    <row r="152" spans="1:7" x14ac:dyDescent="0.3">
      <c r="A152" s="2">
        <v>4</v>
      </c>
      <c r="C152" s="38" t="s">
        <v>47</v>
      </c>
      <c r="D152" s="42">
        <f>TRUNC(139+2133,-1)</f>
        <v>2270</v>
      </c>
      <c r="E152" s="63">
        <f>TRUNC(+D152*3.3058,-1)</f>
        <v>7500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37170</v>
      </c>
      <c r="E154" s="39">
        <f>SUM(E149:E153)</f>
        <v>122860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9420</v>
      </c>
      <c r="E157" s="62">
        <f>TRUNC(+D157*3.3058,-1)</f>
        <v>31140</v>
      </c>
    </row>
    <row r="158" spans="1:7" x14ac:dyDescent="0.3">
      <c r="A158" s="2">
        <v>2</v>
      </c>
      <c r="C158" s="38" t="s">
        <v>52</v>
      </c>
      <c r="D158" s="42">
        <f>TRUNC(2478,-1)</f>
        <v>2470</v>
      </c>
      <c r="E158" s="63">
        <f>TRUNC(+D158*3.3058,-1)</f>
        <v>8160</v>
      </c>
    </row>
    <row r="159" spans="1:7" x14ac:dyDescent="0.3">
      <c r="A159" s="2">
        <v>3</v>
      </c>
      <c r="C159" s="38" t="s">
        <v>47</v>
      </c>
      <c r="D159" s="42">
        <f>TRUNC(1879,-1)</f>
        <v>1870</v>
      </c>
      <c r="E159" s="63">
        <f>TRUNC(+D159*3.3058,-1)</f>
        <v>6180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13760</v>
      </c>
      <c r="E161" s="39">
        <f>SUM(E157:E160)</f>
        <v>45480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2020-12-08T01:56:59Z</dcterms:modified>
</cp:coreProperties>
</file>