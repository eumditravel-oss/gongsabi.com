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9" i="4" l="1"/>
  <c r="D93" i="4"/>
  <c r="D117" i="4"/>
  <c r="D131" i="4"/>
  <c r="D153" i="4"/>
  <c r="D160" i="4"/>
  <c r="D159" i="4"/>
  <c r="D158" i="4"/>
  <c r="D157" i="4"/>
  <c r="D152" i="4"/>
  <c r="D151" i="4"/>
  <c r="D150" i="4"/>
  <c r="D149" i="4"/>
  <c r="D144" i="4"/>
  <c r="D143" i="4"/>
  <c r="D139" i="4"/>
  <c r="D141" i="4"/>
  <c r="D142" i="4"/>
  <c r="D137" i="4"/>
  <c r="D140" i="4"/>
  <c r="D128" i="4"/>
  <c r="D132" i="4"/>
  <c r="D124" i="4"/>
  <c r="D125" i="4"/>
  <c r="D130" i="4"/>
  <c r="D126" i="4"/>
  <c r="D118" i="4"/>
  <c r="D105" i="4"/>
  <c r="D104" i="4"/>
  <c r="D103" i="4"/>
  <c r="D102" i="4"/>
  <c r="D100" i="4"/>
  <c r="D99" i="4"/>
  <c r="D114" i="4"/>
  <c r="D98" i="4"/>
  <c r="D94" i="4"/>
  <c r="D92" i="4"/>
  <c r="D91" i="4"/>
  <c r="D89" i="4"/>
  <c r="D73" i="4"/>
  <c r="D72" i="4"/>
  <c r="D71" i="4"/>
  <c r="D69" i="4"/>
  <c r="D63" i="4"/>
  <c r="D58" i="4"/>
  <c r="D53" i="4"/>
  <c r="D52" i="4"/>
  <c r="D50" i="4"/>
  <c r="D49" i="4"/>
  <c r="D48" i="4"/>
  <c r="D46" i="4"/>
  <c r="D45" i="4"/>
  <c r="D44" i="4"/>
  <c r="D43" i="4"/>
  <c r="D41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<sst xmlns="http://schemas.openxmlformats.org/spreadsheetml/2006/main" count="393" uniqueCount="268">
  <si>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</si>
  <si>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</si>
  <si>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</si>
  <si>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</si>
  <si>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</si>
  <si>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</si>
  <si>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</si>
  <si>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</si>
  <si>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</si>
  <si>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</si>
  <si>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</si>
  <si>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</si>
  <si>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</si>
  <si>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</si>
  <si>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</si>
  <si>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</si>
  <si>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</si>
  <si>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</si>
  <si>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</si>
  <si>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</si>
  <si>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</si>
  <si>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</si>
  <si>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</si>
  <si>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</si>
  <si>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</si>
  <si>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</si>
  <si>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</si>
  <si>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</si>
  <si>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</si>
  <si>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</si>
  <si>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</si>
  <si>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</si>
  <si>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</si>
  <si>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</si>
  <si>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</si>
  <si>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</si>
  <si>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</si>
  <si>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</si>
  <si>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</si>
  <si>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</si>
  <si>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</si>
  <si>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</si>
  <si>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</si>
  <si>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</si>
  <si>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</si>
  <si>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</si>
  <si>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</si>
  <si>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</si>
  <si>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</si>
  <si>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</si>
  <si>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</si>
  <si>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</si>
  <si>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</si>
  <si>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</si>
  <si>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</si>
  <si>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</si>
  <si>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</si>
  <si>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</si>
  <si>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</si>
  <si>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</si>
  <si>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</si>
  <si>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</si>
  <si>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</si>
  <si>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</si>
  <si>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</si>
  <si>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</si>
  <si>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</si>
  <si>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</si>
  <si>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</si>
  <si>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</si>
  <si>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</si>
  <si>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</si>
  <si>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</si>
  <si>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</si>
  <si>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</si>
  <si>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</si>
  <si>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</si>
  <si>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</si>
  <si>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</si>
  <si>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</si>
  <si>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</si>
  <si>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</si>
  <si>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</si>
  <si>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</si>
  <si>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</si>
  <si>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</si>
  <si>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</si>
  <si>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</si>
  <si>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</si>
  <si>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</si>
  <si>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</si>
  <si>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</si>
  <si>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</si>
  <si>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</si>
  <si>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</si>
  <si>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</si>
  <si>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</si>
  <si>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</si>
  <si>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</si>
  <si>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</si>
  <si>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</si>
  <si>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</si>
  <si>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</si>
  <si>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</si>
  <si>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</si>
  <si>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</si>
  <si>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</si>
  <si>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</si>
  <si>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</si>
  <si>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</si>
  <si>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</si>
  <si>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</si>
  <si>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</si>
  <si>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</si>
  <si>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</si>
  <si>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</si>
  <si>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</si>
  <si>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</si>
  <si>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</si>
  <si>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</si>
  <si>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</si>
  <si>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</si>
  <si>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</si>
  <si>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</si>
  <si>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</si>
  <si>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</si>
  <si>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</si>
  <si>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</si>
  <si>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</si>
  <si>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</si>
  <si>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</si>
  <si>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</si>
  <si>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</si>
  <si>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</si>
  <si>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</si>
  <si>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</si>
  <si>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</si>
  <si>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</si>
  <si>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</si>
  <si>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</si>
  <si>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</si>
  <si>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</si>
  <si>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</si>
  <si>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</si>
  <si>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</si>
  <si>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</si>
  <si>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</si>
  <si>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</si>
  <si>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</si>
  <si>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</si>
  <si>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</si>
  <si>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</si>
  <si>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</si>
  <si>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</si>
  <si>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</si>
  <si>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</si>
  <si>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</si>
  <si>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</si>
  <si>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</si>
  <si>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</si>
  <si>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</si>
  <si>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</si>
  <si>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</si>
  <si>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</si>
  <si>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</si>
  <si>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</si>
  <si>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</si>
  <si>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</si>
  <si>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</si>
  <si>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</si>
  <si>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</si>
  <si>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</si>
  <si>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</si>
  <si>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</si>
  <si>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</si>
  <si>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</si>
  <si>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</si>
  <si>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</si>
  <si>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</si>
  <si>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</si>
  <si>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</si>
  <si>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</si>
  <si>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</si>
  <si>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</si>
  <si>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</si>
  <si>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</si>
  <si>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</si>
  <si>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</si>
  <si>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</si>
  <si>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</si>
  <si>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</si>
  <si>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</si>
  <si>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</si>
  <si>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</si>
  <si>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</si>
  <si>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</si>
  <si>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</si>
  <si>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</si>
  <si>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</si>
  <si>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</si>
  <si>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</si>
  <si>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</si>
  <si>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</si>
  <si>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</si>
  <si>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</si>
  <si>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</si>
  <si>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</si>
  <si>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</si>
  <si>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</si>
  <si>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</si>
  <si>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</si>
  <si>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</si>
  <si>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</si>
  <si>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</si>
  <si>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</si>
  <si>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</si>
  <si>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</si>
  <si>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</si>
  <si>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</si>
  <si>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</si>
  <si>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</si>
  <si>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</si>
  <si>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</si>
  <si>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</si>
  <si>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</si>
  <si>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</si>
  <si>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</si>
  <si>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</si>
  <si>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</si>
  <si>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</si>
  <si>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</si>
  <si>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</si>
  <si>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</si>
  <si>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</si>
  <si>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</si>
  <si>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</si>
  <si>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</si>
  <si>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</si>
  <si>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</si>
  <si>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</si>
  <si>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</si>
  <si>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</si>
  <si>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</si>
  <si>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</si>
  <si>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</si>
  <si>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</si>
  <si>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</si>
  <si>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</si>
  <si>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새빛숲유치원 신축공사</t>
    <phoneticPr fontId="2" type="noConversion"/>
  </si>
  <si>
    <t>교육연구</t>
  </si>
  <si>
    <t>세종시</t>
  </si>
  <si>
    <t>기초공사,폐기물처리비,골재비및운반비,작업부산물,기타공사</t>
    <phoneticPr fontId="2" type="noConversion"/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</si>
  <si>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</si>
  <si>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</si>
  <si>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</si>
  <si>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공조배관공사,난방배관공사,기타공사</t>
    <phoneticPr fontId="2" type="noConversion"/>
  </si>
  <si>
    <t xml:space="preserve">기타공사 </t>
    <phoneticPr fontId="2" type="noConversion"/>
  </si>
  <si>
    <t>CCTV설비공사</t>
    <phoneticPr fontId="2" type="noConversion"/>
  </si>
  <si>
    <t>옥외소화배관공사,기타공사</t>
    <phoneticPr fontId="2" type="noConversion"/>
  </si>
  <si>
    <t>우수공사,오수공사</t>
    <phoneticPr fontId="2" type="noConversion"/>
  </si>
  <si>
    <t>사급자재비,기타공사</t>
    <phoneticPr fontId="2" type="noConversion"/>
  </si>
  <si>
    <t>포장공사,기타공사</t>
    <phoneticPr fontId="2" type="noConversion"/>
  </si>
  <si>
    <t>조경시설물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</si>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</sst>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265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2697.74</v>
      </c>
      <c r="D7" s="36">
        <f>+C7/3.3058</f>
        <v>816.06267771795024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266</v>
      </c>
    </row>
    <row r="19" spans="1:5" x14ac:dyDescent="0.3">
      <c r="A19" s="2">
        <v>9</v>
      </c>
      <c r="B19" s="2" t="s">
        <v>267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870320</v>
      </c>
      <c r="E25" s="59">
        <f t="shared" si="0"/>
        <v>2877100</v>
      </c>
    </row>
    <row r="26" spans="1:5" x14ac:dyDescent="0.3">
      <c r="B26" s="2">
        <v>3</v>
      </c>
      <c r="C26" s="35" t="s">
        <v>95</v>
      </c>
      <c r="D26" s="45">
        <f>+D66</f>
        <v>15660</v>
      </c>
      <c r="E26" s="59">
        <f t="shared" si="0"/>
        <v>51760</v>
      </c>
    </row>
    <row r="27" spans="1:5" x14ac:dyDescent="0.3">
      <c r="B27" s="2">
        <v>4</v>
      </c>
      <c r="C27" s="35" t="s">
        <v>96</v>
      </c>
      <c r="D27" s="45">
        <f>+D95</f>
        <v>341580</v>
      </c>
      <c r="E27" s="59">
        <f t="shared" si="0"/>
        <v>1129190</v>
      </c>
    </row>
    <row r="28" spans="1:5" x14ac:dyDescent="0.3">
      <c r="B28" s="2">
        <v>5</v>
      </c>
      <c r="C28" s="35" t="s">
        <v>97</v>
      </c>
      <c r="D28" s="45">
        <f>+D119</f>
        <v>170790</v>
      </c>
      <c r="E28" s="59">
        <f t="shared" si="0"/>
        <v>564590</v>
      </c>
    </row>
    <row r="29" spans="1:5" x14ac:dyDescent="0.3">
      <c r="B29" s="2">
        <v>6</v>
      </c>
      <c r="C29" s="35" t="s">
        <v>98</v>
      </c>
      <c r="D29" s="45">
        <f>+D133</f>
        <v>59390</v>
      </c>
      <c r="E29" s="59">
        <f t="shared" si="0"/>
        <v>196330</v>
      </c>
    </row>
    <row r="30" spans="1:5" x14ac:dyDescent="0.3">
      <c r="B30" s="2">
        <v>7</v>
      </c>
      <c r="C30" s="35" t="s">
        <v>99</v>
      </c>
      <c r="D30" s="45">
        <f>+D146</f>
        <v>91470</v>
      </c>
      <c r="E30" s="59">
        <f t="shared" si="0"/>
        <v>302380</v>
      </c>
    </row>
    <row r="31" spans="1:5" x14ac:dyDescent="0.3">
      <c r="B31" s="2">
        <v>8</v>
      </c>
      <c r="C31" s="35" t="s">
        <v>100</v>
      </c>
      <c r="D31" s="45">
        <f>+D154</f>
        <v>65690</v>
      </c>
      <c r="E31" s="59">
        <f t="shared" si="0"/>
        <v>217150</v>
      </c>
    </row>
    <row r="32" spans="1:5" x14ac:dyDescent="0.3">
      <c r="B32" s="2">
        <v>9</v>
      </c>
      <c r="C32" s="35" t="s">
        <v>101</v>
      </c>
      <c r="D32" s="45">
        <f>+D161</f>
        <v>67210</v>
      </c>
      <c r="E32" s="59">
        <f t="shared" si="0"/>
        <v>222180</v>
      </c>
    </row>
    <row r="33" spans="1:7" x14ac:dyDescent="0.3">
      <c r="B33" s="2">
        <v>10</v>
      </c>
      <c r="C33" s="35" t="s">
        <v>154</v>
      </c>
      <c r="D33" s="53">
        <f>TRUNC(SUM(D24:D32)*0.275,-1)</f>
        <v>462580</v>
      </c>
      <c r="E33" s="60">
        <f t="shared" si="0"/>
        <v>1529190</v>
      </c>
    </row>
    <row r="34" spans="1:7" x14ac:dyDescent="0.3">
      <c r="C34" s="35" t="s">
        <v>112</v>
      </c>
      <c r="D34" s="44">
        <f>SUM(D24:D33)</f>
        <v>2144690</v>
      </c>
      <c r="E34" s="44">
        <f>SUM(E24:E33)</f>
        <v>7089870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263</v>
      </c>
      <c r="E39" s="67" t="s">
        <v>264</v>
      </c>
      <c r="G39" s="68"/>
    </row>
    <row r="40" spans="1:7" x14ac:dyDescent="0.3">
      <c r="A40" s="2">
        <v>1</v>
      </c>
      <c r="C40" s="38" t="s">
        <v>15</v>
      </c>
      <c r="D40" s="40">
        <f>TRUNC(60367,-1)</f>
        <v>60360</v>
      </c>
      <c r="E40" s="62">
        <f t="shared" ref="E40:E59" si="1">TRUNC(+D40*3.3058,-1)</f>
        <v>199530</v>
      </c>
    </row>
    <row r="41" spans="1:7" x14ac:dyDescent="0.3">
      <c r="A41" s="2">
        <v>2</v>
      </c>
      <c r="C41" s="38" t="s">
        <v>13</v>
      </c>
      <c r="D41" s="42">
        <f>TRUNC(194615,-1)</f>
        <v>194610</v>
      </c>
      <c r="E41" s="63">
        <f t="shared" si="1"/>
        <v>643340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TRUNC(29357,-1)</f>
        <v>29350</v>
      </c>
      <c r="E43" s="63">
        <f t="shared" si="1"/>
        <v>97020</v>
      </c>
    </row>
    <row r="44" spans="1:7" x14ac:dyDescent="0.3">
      <c r="A44" s="2">
        <v>5</v>
      </c>
      <c r="C44" s="38" t="s">
        <v>17</v>
      </c>
      <c r="D44" s="42">
        <f>TRUNC(38726,-1)</f>
        <v>38720</v>
      </c>
      <c r="E44" s="63">
        <f t="shared" si="1"/>
        <v>128000</v>
      </c>
    </row>
    <row r="45" spans="1:7" x14ac:dyDescent="0.3">
      <c r="A45" s="2">
        <v>6</v>
      </c>
      <c r="C45" s="38" t="s">
        <v>18</v>
      </c>
      <c r="D45" s="42">
        <f>TRUNC(18098,-1)</f>
        <v>18090</v>
      </c>
      <c r="E45" s="63">
        <f t="shared" si="1"/>
        <v>59800</v>
      </c>
    </row>
    <row r="46" spans="1:7" x14ac:dyDescent="0.3">
      <c r="A46" s="2">
        <v>7</v>
      </c>
      <c r="C46" s="38" t="s">
        <v>19</v>
      </c>
      <c r="D46" s="42">
        <f>TRUNC(35097,-1)</f>
        <v>35090</v>
      </c>
      <c r="E46" s="63">
        <f t="shared" si="1"/>
        <v>116000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TRUNC(50997,-1)</f>
        <v>50990</v>
      </c>
      <c r="E48" s="63">
        <f t="shared" si="1"/>
        <v>168560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TRUNC(27854,-1)</f>
        <v>27850</v>
      </c>
      <c r="E49" s="63">
        <f t="shared" si="1"/>
        <v>92060</v>
      </c>
    </row>
    <row r="50" spans="1:7" x14ac:dyDescent="0.3">
      <c r="A50" s="2">
        <v>11</v>
      </c>
      <c r="C50" s="38" t="s">
        <v>155</v>
      </c>
      <c r="D50" s="42">
        <f>TRUNC(55711,-1)</f>
        <v>55710</v>
      </c>
      <c r="E50" s="63">
        <f t="shared" si="1"/>
        <v>184160</v>
      </c>
      <c r="F50" s="2" t="s">
        <v>253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TRUNC(17761,-1)</f>
        <v>17760</v>
      </c>
      <c r="E52" s="63">
        <f t="shared" si="1"/>
        <v>58710</v>
      </c>
    </row>
    <row r="53" spans="1:7" x14ac:dyDescent="0.3">
      <c r="A53" s="2">
        <v>14</v>
      </c>
      <c r="C53" s="38" t="s">
        <v>25</v>
      </c>
      <c r="D53" s="42">
        <f>TRUNC(129557,-1)</f>
        <v>129550</v>
      </c>
      <c r="E53" s="63">
        <f t="shared" si="1"/>
        <v>428260</v>
      </c>
      <c r="F53" s="2" t="s">
        <v>254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TRUNC(22742+1261+9397-941+3312,-1)</f>
        <v>35770</v>
      </c>
      <c r="E58" s="63">
        <f t="shared" si="1"/>
        <v>118240</v>
      </c>
      <c r="F58" s="2" t="s">
        <v>251</v>
      </c>
    </row>
    <row r="59" spans="1:7" ht="17.25" thickBot="1" x14ac:dyDescent="0.35">
      <c r="A59" s="2">
        <v>20</v>
      </c>
      <c r="C59" s="38" t="s">
        <v>148</v>
      </c>
      <c r="D59" s="43">
        <f>TRUNC(176470,-1)</f>
        <v>176470</v>
      </c>
      <c r="E59" s="64">
        <f t="shared" si="1"/>
        <v>583370</v>
      </c>
    </row>
    <row r="60" spans="1:7" x14ac:dyDescent="0.3">
      <c r="A60" s="2">
        <v>21</v>
      </c>
      <c r="C60" s="27" t="s">
        <v>112</v>
      </c>
      <c r="D60" s="39">
        <f>SUM(D40:D59)</f>
        <v>870320</v>
      </c>
      <c r="E60" s="39">
        <f>SUM(E40:E59)</f>
        <v>2877050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TRUNC(15669,-1)</f>
        <v>15660</v>
      </c>
      <c r="E63" s="62">
        <f>TRUNC(+D63*3.3058,-1)</f>
        <v>51760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15660</v>
      </c>
      <c r="E66" s="65">
        <f>SUM(E63:E65)</f>
        <v>51760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TRUNC(44396,-1)</f>
        <v>44390</v>
      </c>
      <c r="E69" s="62">
        <f t="shared" ref="E69:E94" si="2">TRUNC(+D69*3.3058,-1)</f>
        <v>146740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f>TRUNC(6115,-1)</f>
        <v>6110</v>
      </c>
      <c r="E71" s="63">
        <f t="shared" si="2"/>
        <v>20190</v>
      </c>
    </row>
    <row r="72" spans="1:7" x14ac:dyDescent="0.3">
      <c r="A72" s="2">
        <v>4</v>
      </c>
      <c r="C72" s="38" t="s">
        <v>33</v>
      </c>
      <c r="D72" s="42">
        <f>TRUNC(9631,-1)</f>
        <v>9630</v>
      </c>
      <c r="E72" s="63">
        <f t="shared" si="2"/>
        <v>31830</v>
      </c>
    </row>
    <row r="73" spans="1:7" x14ac:dyDescent="0.3">
      <c r="A73" s="2">
        <v>5</v>
      </c>
      <c r="C73" s="38" t="s">
        <v>34</v>
      </c>
      <c r="D73" s="42">
        <f>TRUNC(15938,-1)</f>
        <v>15930</v>
      </c>
      <c r="E73" s="63">
        <f t="shared" si="2"/>
        <v>52660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TRUNC(45360,-1)</f>
        <v>45360</v>
      </c>
      <c r="E89" s="63">
        <f t="shared" si="2"/>
        <v>149950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TRUNC(7889,-1)</f>
        <v>7880</v>
      </c>
      <c r="E91" s="63">
        <f t="shared" si="2"/>
        <v>26040</v>
      </c>
    </row>
    <row r="92" spans="1:7" x14ac:dyDescent="0.3">
      <c r="A92" s="2">
        <v>24</v>
      </c>
      <c r="C92" s="38" t="s">
        <v>38</v>
      </c>
      <c r="D92" s="42">
        <f>TRUNC(14442,-1)</f>
        <v>14440</v>
      </c>
      <c r="E92" s="63">
        <f t="shared" si="2"/>
        <v>47730</v>
      </c>
    </row>
    <row r="93" spans="1:7" x14ac:dyDescent="0.3">
      <c r="A93" s="2">
        <v>25</v>
      </c>
      <c r="C93" s="38" t="s">
        <v>148</v>
      </c>
      <c r="D93" s="42">
        <f>TRUNC(147549,-1)</f>
        <v>147540</v>
      </c>
      <c r="E93" s="63">
        <f t="shared" si="2"/>
        <v>487730</v>
      </c>
    </row>
    <row r="94" spans="1:7" ht="17.25" thickBot="1" x14ac:dyDescent="0.35">
      <c r="A94" s="2">
        <v>26</v>
      </c>
      <c r="C94" s="38" t="s">
        <v>47</v>
      </c>
      <c r="D94" s="43">
        <f>TRUNC(326+44825+5152,-1)</f>
        <v>50300</v>
      </c>
      <c r="E94" s="64">
        <f t="shared" si="2"/>
        <v>166280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341580</v>
      </c>
      <c r="E95" s="39">
        <f>SUM(E69:E94)</f>
        <v>1129150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TRUNC(28210,-1)</f>
        <v>28210</v>
      </c>
      <c r="E98" s="62">
        <f t="shared" ref="E98:E118" si="3">TRUNC(+D98*3.3058,-1)</f>
        <v>93250</v>
      </c>
    </row>
    <row r="99" spans="1:7" x14ac:dyDescent="0.3">
      <c r="A99" s="2">
        <v>2</v>
      </c>
      <c r="C99" s="38" t="s">
        <v>40</v>
      </c>
      <c r="D99" s="42">
        <f>TRUNC(5023,-1)</f>
        <v>5020</v>
      </c>
      <c r="E99" s="63">
        <f t="shared" si="3"/>
        <v>16590</v>
      </c>
    </row>
    <row r="100" spans="1:7" x14ac:dyDescent="0.3">
      <c r="A100" s="2">
        <v>3</v>
      </c>
      <c r="C100" s="38" t="s">
        <v>41</v>
      </c>
      <c r="D100" s="42">
        <f>TRUNC(26125,-1)</f>
        <v>26120</v>
      </c>
      <c r="E100" s="63">
        <f t="shared" si="3"/>
        <v>86340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TRUNC(20520,-1)</f>
        <v>20520</v>
      </c>
      <c r="E102" s="63">
        <f t="shared" si="3"/>
        <v>67830</v>
      </c>
    </row>
    <row r="103" spans="1:7" x14ac:dyDescent="0.3">
      <c r="A103" s="2">
        <v>6</v>
      </c>
      <c r="C103" s="38" t="s">
        <v>44</v>
      </c>
      <c r="D103" s="42">
        <f>TRUNC(6351,-1)</f>
        <v>6350</v>
      </c>
      <c r="E103" s="63">
        <f t="shared" si="3"/>
        <v>20990</v>
      </c>
    </row>
    <row r="104" spans="1:7" x14ac:dyDescent="0.3">
      <c r="A104" s="2">
        <v>7</v>
      </c>
      <c r="C104" s="38" t="s">
        <v>45</v>
      </c>
      <c r="D104" s="42">
        <f>TRUNC(11569,-1)</f>
        <v>11560</v>
      </c>
      <c r="E104" s="63">
        <f t="shared" si="3"/>
        <v>38210</v>
      </c>
    </row>
    <row r="105" spans="1:7" x14ac:dyDescent="0.3">
      <c r="A105" s="2">
        <v>8</v>
      </c>
      <c r="C105" s="38" t="s">
        <v>46</v>
      </c>
      <c r="D105" s="42">
        <f>TRUNC(569,-1)</f>
        <v>560</v>
      </c>
      <c r="E105" s="63">
        <f t="shared" si="3"/>
        <v>1850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TRUNC(5912,-1)</f>
        <v>5910</v>
      </c>
      <c r="E114" s="63">
        <f t="shared" si="3"/>
        <v>19530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TRUNC(65547,-1)</f>
        <v>65540</v>
      </c>
      <c r="E117" s="63">
        <f t="shared" si="3"/>
        <v>216660</v>
      </c>
    </row>
    <row r="118" spans="1:7" ht="17.25" thickBot="1" x14ac:dyDescent="0.35">
      <c r="A118" s="2">
        <v>21</v>
      </c>
      <c r="C118" s="38" t="s">
        <v>47</v>
      </c>
      <c r="D118" s="43">
        <f>TRUNC(1003,-1)</f>
        <v>1000</v>
      </c>
      <c r="E118" s="64">
        <f t="shared" si="3"/>
        <v>3300</v>
      </c>
      <c r="F118" s="2" t="s">
        <v>256</v>
      </c>
    </row>
    <row r="119" spans="1:7" x14ac:dyDescent="0.3">
      <c r="A119" s="2">
        <v>22</v>
      </c>
      <c r="C119" s="27" t="s">
        <v>112</v>
      </c>
      <c r="D119" s="39">
        <f>SUM(D98:D118)</f>
        <v>170790</v>
      </c>
      <c r="E119" s="39">
        <f>SUM(E98:E118)</f>
        <v>564550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4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TRUNC(929,-1)</f>
        <v>920</v>
      </c>
      <c r="E124" s="63">
        <f t="shared" si="4"/>
        <v>3040</v>
      </c>
    </row>
    <row r="125" spans="1:7" x14ac:dyDescent="0.3">
      <c r="A125" s="2">
        <v>4</v>
      </c>
      <c r="C125" s="38" t="s">
        <v>138</v>
      </c>
      <c r="D125" s="42">
        <f>TRUNC(9147,-1)</f>
        <v>9140</v>
      </c>
      <c r="E125" s="63">
        <f t="shared" si="4"/>
        <v>30210</v>
      </c>
    </row>
    <row r="126" spans="1:7" x14ac:dyDescent="0.3">
      <c r="A126" s="2">
        <v>5</v>
      </c>
      <c r="C126" s="38" t="s">
        <v>53</v>
      </c>
      <c r="D126" s="42">
        <f>TRUNC(4560,-1)</f>
        <v>4560</v>
      </c>
      <c r="E126" s="63">
        <f t="shared" si="4"/>
        <v>15070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TRUNC(293,-1)</f>
        <v>290</v>
      </c>
      <c r="E128" s="63">
        <f t="shared" si="4"/>
        <v>950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TRUNC(30000,-1)</f>
        <v>30000</v>
      </c>
      <c r="E130" s="63">
        <f t="shared" si="4"/>
        <v>99170</v>
      </c>
    </row>
    <row r="131" spans="1:7" x14ac:dyDescent="0.3">
      <c r="A131" s="2">
        <v>10</v>
      </c>
      <c r="C131" s="38" t="s">
        <v>148</v>
      </c>
      <c r="D131" s="42">
        <f>TRUNC(7310,-1)</f>
        <v>7310</v>
      </c>
      <c r="E131" s="63">
        <f t="shared" si="4"/>
        <v>24160</v>
      </c>
    </row>
    <row r="132" spans="1:7" ht="18" thickBot="1" x14ac:dyDescent="0.35">
      <c r="A132" s="2">
        <v>11</v>
      </c>
      <c r="C132" s="38" t="s">
        <v>47</v>
      </c>
      <c r="D132" s="43">
        <f>TRUNC(7172,-1)</f>
        <v>7170</v>
      </c>
      <c r="E132" s="64">
        <f t="shared" si="4"/>
        <v>23700</v>
      </c>
      <c r="F132" s="54" t="s">
        <v>257</v>
      </c>
    </row>
    <row r="133" spans="1:7" x14ac:dyDescent="0.3">
      <c r="A133" s="2">
        <v>12</v>
      </c>
      <c r="C133" s="27" t="s">
        <v>112</v>
      </c>
      <c r="D133" s="39">
        <f>SUM(D122:D132)</f>
        <v>59390</v>
      </c>
      <c r="E133" s="39">
        <f>SUM(E122:E132)</f>
        <v>196300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TRUNC(898+11146,-1)</f>
        <v>12040</v>
      </c>
      <c r="E137" s="63">
        <f t="shared" si="5"/>
        <v>39800</v>
      </c>
      <c r="F137" s="2" t="s">
        <v>258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TRUNC(5444,-1)</f>
        <v>5440</v>
      </c>
      <c r="E139" s="63">
        <f t="shared" si="5"/>
        <v>17980</v>
      </c>
    </row>
    <row r="140" spans="1:7" x14ac:dyDescent="0.3">
      <c r="A140" s="2">
        <v>5</v>
      </c>
      <c r="C140" s="38" t="s">
        <v>57</v>
      </c>
      <c r="D140" s="42">
        <f>TRUNC(14448,-1)</f>
        <v>14440</v>
      </c>
      <c r="E140" s="63">
        <f t="shared" si="5"/>
        <v>47730</v>
      </c>
    </row>
    <row r="141" spans="1:7" x14ac:dyDescent="0.3">
      <c r="A141" s="2">
        <v>6</v>
      </c>
      <c r="C141" s="38" t="s">
        <v>59</v>
      </c>
      <c r="D141" s="42">
        <f>TRUNC(23548,-1)</f>
        <v>23540</v>
      </c>
      <c r="E141" s="63">
        <f t="shared" si="5"/>
        <v>77810</v>
      </c>
    </row>
    <row r="142" spans="1:7" x14ac:dyDescent="0.3">
      <c r="A142" s="2">
        <v>7</v>
      </c>
      <c r="C142" s="38" t="s">
        <v>58</v>
      </c>
      <c r="D142" s="42">
        <f>TRUNC(18579,-1)</f>
        <v>18570</v>
      </c>
      <c r="E142" s="63">
        <f t="shared" si="5"/>
        <v>61380</v>
      </c>
    </row>
    <row r="143" spans="1:7" x14ac:dyDescent="0.3">
      <c r="A143" s="2">
        <v>8</v>
      </c>
      <c r="C143" s="38" t="s">
        <v>62</v>
      </c>
      <c r="D143" s="42">
        <f>TRUNC(10919,-1)</f>
        <v>10910</v>
      </c>
      <c r="E143" s="63">
        <f t="shared" si="5"/>
        <v>36060</v>
      </c>
    </row>
    <row r="144" spans="1:7" x14ac:dyDescent="0.3">
      <c r="A144" s="2">
        <v>9</v>
      </c>
      <c r="C144" s="38" t="s">
        <v>63</v>
      </c>
      <c r="D144" s="42">
        <f>TRUNC(6530,-1)</f>
        <v>6530</v>
      </c>
      <c r="E144" s="63">
        <f t="shared" si="5"/>
        <v>21580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91470</v>
      </c>
      <c r="E146" s="39">
        <f>SUM(E136:E145)</f>
        <v>302340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TRUNC(19517+6514,-1)</f>
        <v>26030</v>
      </c>
      <c r="E149" s="62">
        <f>TRUNC(+D149*3.3058,-1)</f>
        <v>86040</v>
      </c>
      <c r="F149" s="2" t="s">
        <v>259</v>
      </c>
    </row>
    <row r="150" spans="1:7" x14ac:dyDescent="0.3">
      <c r="A150" s="2">
        <v>2</v>
      </c>
      <c r="C150" s="38" t="s">
        <v>49</v>
      </c>
      <c r="D150" s="42">
        <f>TRUNC(10281,-1)</f>
        <v>10280</v>
      </c>
      <c r="E150" s="63">
        <f>TRUNC(+D150*3.3058,-1)</f>
        <v>33980</v>
      </c>
    </row>
    <row r="151" spans="1:7" x14ac:dyDescent="0.3">
      <c r="A151" s="2">
        <v>3</v>
      </c>
      <c r="C151" s="38" t="s">
        <v>50</v>
      </c>
      <c r="D151" s="42">
        <f>TRUNC(4089,-1)</f>
        <v>4080</v>
      </c>
      <c r="E151" s="63">
        <f>TRUNC(+D151*3.3058,-1)</f>
        <v>13480</v>
      </c>
    </row>
    <row r="152" spans="1:7" x14ac:dyDescent="0.3">
      <c r="A152" s="2">
        <v>4</v>
      </c>
      <c r="C152" s="38" t="s">
        <v>47</v>
      </c>
      <c r="D152" s="42">
        <f>TRUNC(12724+962,-1)</f>
        <v>13680</v>
      </c>
      <c r="E152" s="63">
        <f>TRUNC(+D152*3.3058,-1)</f>
        <v>45220</v>
      </c>
      <c r="F152" s="2" t="s">
        <v>260</v>
      </c>
    </row>
    <row r="153" spans="1:7" ht="17.25" thickBot="1" x14ac:dyDescent="0.35">
      <c r="A153" s="2">
        <v>5</v>
      </c>
      <c r="C153" s="38" t="s">
        <v>148</v>
      </c>
      <c r="D153" s="43">
        <f>TRUNC(11629,-1)</f>
        <v>11620</v>
      </c>
      <c r="E153" s="64">
        <f>TRUNC(+D153*3.3058,-1)</f>
        <v>38410</v>
      </c>
    </row>
    <row r="154" spans="1:7" x14ac:dyDescent="0.3">
      <c r="A154" s="2">
        <v>6</v>
      </c>
      <c r="C154" s="27" t="s">
        <v>112</v>
      </c>
      <c r="D154" s="39">
        <f>SUM(D149:D153)</f>
        <v>65690</v>
      </c>
      <c r="E154" s="39">
        <f>SUM(E149:E153)</f>
        <v>217130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TRUNC(31640,-1)</f>
        <v>31640</v>
      </c>
      <c r="E157" s="62">
        <f>TRUNC(+D157*3.3058,-1)</f>
        <v>104590</v>
      </c>
    </row>
    <row r="158" spans="1:7" x14ac:dyDescent="0.3">
      <c r="A158" s="2">
        <v>2</v>
      </c>
      <c r="C158" s="38" t="s">
        <v>52</v>
      </c>
      <c r="D158" s="42">
        <f>TRUNC(20247,-1)</f>
        <v>20240</v>
      </c>
      <c r="E158" s="63">
        <f>TRUNC(+D158*3.3058,-1)</f>
        <v>66900</v>
      </c>
      <c r="F158" s="2" t="s">
        <v>262</v>
      </c>
    </row>
    <row r="159" spans="1:7" x14ac:dyDescent="0.3">
      <c r="A159" s="2">
        <v>3</v>
      </c>
      <c r="C159" s="38" t="s">
        <v>47</v>
      </c>
      <c r="D159" s="42">
        <f>TRUNC(7303+588,-1)</f>
        <v>7890</v>
      </c>
      <c r="E159" s="63">
        <f>TRUNC(+D159*3.3058,-1)</f>
        <v>26080</v>
      </c>
      <c r="F159" s="2" t="s">
        <v>261</v>
      </c>
    </row>
    <row r="160" spans="1:7" ht="17.25" thickBot="1" x14ac:dyDescent="0.35">
      <c r="A160" s="2">
        <v>4</v>
      </c>
      <c r="C160" s="38" t="s">
        <v>148</v>
      </c>
      <c r="D160" s="43">
        <f>TRUNC(7447,-1)</f>
        <v>7440</v>
      </c>
      <c r="E160" s="64">
        <f>TRUNC(+D160*3.3058,-1)</f>
        <v>24590</v>
      </c>
    </row>
    <row r="161" spans="1:5" x14ac:dyDescent="0.3">
      <c r="A161" s="2">
        <v>5</v>
      </c>
      <c r="C161" s="27" t="s">
        <v>112</v>
      </c>
      <c r="D161" s="39">
        <f>SUM(D157:D160)</f>
        <v>67210</v>
      </c>
      <c r="E161" s="39">
        <f>SUM(E157:E160)</f>
        <v>222160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2020-12-08T02:16:45Z</dcterms:modified>
</cp:coreProperties>
</file>