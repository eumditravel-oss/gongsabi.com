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5" i="4" l="1"/>
  <c r="D118" i="4"/>
  <c r="E153" i="4" l="1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4" i="4"/>
  <c r="E123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4" i="4"/>
  <c r="E57" i="4"/>
  <c r="E56" i="4"/>
  <c r="E54" i="4"/>
  <c r="E146" i="4" l="1"/>
  <c r="D59" i="4"/>
  <c r="E59" i="4" s="1"/>
  <c r="D160" i="4" l="1"/>
  <c r="E160" i="4" s="1"/>
  <c r="D159" i="4"/>
  <c r="E159" i="4" s="1"/>
  <c r="D158" i="4"/>
  <c r="E158" i="4" s="1"/>
  <c r="D157" i="4"/>
  <c r="D152" i="4"/>
  <c r="E152" i="4" s="1"/>
  <c r="D151" i="4"/>
  <c r="E151" i="4" s="1"/>
  <c r="D150" i="4"/>
  <c r="E150" i="4" s="1"/>
  <c r="D149" i="4"/>
  <c r="D146" i="4"/>
  <c r="D30" i="4" s="1"/>
  <c r="E30" i="4" s="1"/>
  <c r="D132" i="4"/>
  <c r="E132" i="4" s="1"/>
  <c r="D131" i="4"/>
  <c r="E131" i="4" s="1"/>
  <c r="D125" i="4"/>
  <c r="E125" i="4" s="1"/>
  <c r="D122" i="4"/>
  <c r="D117" i="4"/>
  <c r="E117" i="4" s="1"/>
  <c r="D104" i="4"/>
  <c r="E104" i="4" s="1"/>
  <c r="D102" i="4"/>
  <c r="E102" i="4" s="1"/>
  <c r="D100" i="4"/>
  <c r="E100" i="4" s="1"/>
  <c r="D99" i="4"/>
  <c r="E99" i="4" s="1"/>
  <c r="D98" i="4"/>
  <c r="D94" i="4"/>
  <c r="E94" i="4" s="1"/>
  <c r="D93" i="4"/>
  <c r="D65" i="4"/>
  <c r="E65" i="4" s="1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24" i="4"/>
  <c r="E24" i="4" s="1"/>
  <c r="D7" i="4"/>
  <c r="D154" i="4" l="1"/>
  <c r="D31" i="4" s="1"/>
  <c r="E31" i="4" s="1"/>
  <c r="E149" i="4"/>
  <c r="D161" i="4"/>
  <c r="D32" i="4" s="1"/>
  <c r="E32" i="4" s="1"/>
  <c r="E157" i="4"/>
  <c r="E161" i="4" s="1"/>
  <c r="E60" i="4"/>
  <c r="D66" i="4"/>
  <c r="D26" i="4" s="1"/>
  <c r="E26" i="4" s="1"/>
  <c r="E63" i="4"/>
  <c r="E66" i="4" s="1"/>
  <c r="D119" i="4"/>
  <c r="D28" i="4" s="1"/>
  <c r="E28" i="4" s="1"/>
  <c r="E98" i="4"/>
  <c r="E119" i="4" s="1"/>
  <c r="E154" i="4"/>
  <c r="D95" i="4"/>
  <c r="D27" i="4" s="1"/>
  <c r="E27" i="4" s="1"/>
  <c r="E93" i="4"/>
  <c r="E95" i="4" s="1"/>
  <c r="D133" i="4"/>
  <c r="D29" i="4" s="1"/>
  <c r="E29" i="4" s="1"/>
  <c r="E122" i="4"/>
  <c r="E133" i="4" s="1"/>
  <c r="D60" i="4"/>
  <c r="D25" i="4" s="1"/>
  <c r="E25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s="1"/>
  <c r="E33" i="4" l="1"/>
  <c r="E34" i="4" s="1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<sst xmlns="http://schemas.openxmlformats.org/spreadsheetml/2006/main" count="389" uniqueCount="263">
  <si>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</si>
  <si>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</si>
  <si>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</si>
  <si>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</si>
  <si>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</si>
  <si>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</si>
  <si>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</si>
  <si>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</si>
  <si>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</si>
  <si>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</si>
  <si>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</si>
  <si>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</si>
  <si>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</si>
  <si>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</si>
  <si>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</si>
  <si>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</si>
  <si>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</si>
  <si>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</si>
  <si>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</si>
  <si>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</si>
  <si>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</si>
  <si>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</si>
  <si>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</si>
  <si>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</si>
  <si>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</si>
  <si>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</si>
  <si>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</si>
  <si>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</si>
  <si>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</si>
  <si>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</si>
  <si>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</si>
  <si>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</si>
  <si>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</si>
  <si>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</si>
  <si>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</si>
  <si>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</si>
  <si>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</si>
  <si>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</si>
  <si>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</si>
  <si>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</si>
  <si>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</si>
  <si>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</si>
  <si>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</si>
  <si>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</si>
  <si>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</si>
  <si>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</si>
  <si>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</si>
  <si>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</si>
  <si>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</si>
  <si>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</si>
  <si>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</si>
  <si>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</si>
  <si>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</si>
  <si>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</si>
  <si>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</si>
  <si>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</si>
  <si>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</si>
  <si>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</si>
  <si>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</si>
  <si>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</si>
  <si>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</si>
  <si>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</si>
  <si>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</si>
  <si>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</si>
  <si>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</si>
  <si>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</si>
  <si>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</si>
  <si>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</si>
  <si>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</si>
  <si>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</si>
  <si>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</si>
  <si>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</si>
  <si>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</si>
  <si>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</si>
  <si>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</si>
  <si>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</si>
  <si>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</si>
  <si>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</si>
  <si>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</si>
  <si>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</si>
  <si>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</si>
  <si>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</si>
  <si>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</si>
  <si>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</si>
  <si>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</si>
  <si>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</si>
  <si>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</si>
  <si>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</si>
  <si>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</si>
  <si>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</si>
  <si>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</si>
  <si>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</si>
  <si>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</si>
  <si>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</si>
  <si>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</si>
  <si>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</si>
  <si>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</si>
  <si>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</si>
  <si>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</si>
  <si>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</si>
  <si>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</si>
  <si>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</si>
  <si>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</si>
  <si>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</si>
  <si>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</si>
  <si>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</si>
  <si>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</si>
  <si>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</si>
  <si>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</si>
  <si>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</si>
  <si>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</si>
  <si>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</si>
  <si>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</si>
  <si>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</si>
  <si>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</si>
  <si>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</si>
  <si>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</si>
  <si>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</si>
  <si>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</si>
  <si>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</si>
  <si>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</si>
  <si>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</si>
  <si>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</si>
  <si>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</si>
  <si>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</si>
  <si>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</si>
  <si>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</si>
  <si>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</si>
  <si>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</si>
  <si>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</si>
  <si>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</si>
  <si>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</si>
  <si>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</si>
  <si>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</si>
  <si>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</si>
  <si>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</si>
  <si>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</si>
  <si>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</si>
  <si>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</si>
  <si>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</si>
  <si>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</si>
  <si>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</si>
  <si>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</si>
  <si>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</si>
  <si>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</si>
  <si>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</si>
  <si>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</si>
  <si>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</si>
  <si>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</si>
  <si>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</si>
  <si>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</si>
  <si>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</si>
  <si>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</si>
  <si>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</si>
  <si>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</si>
  <si>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</si>
  <si>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</si>
  <si>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</si>
  <si>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</si>
  <si>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</si>
  <si>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</si>
  <si>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</si>
  <si>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</si>
  <si>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</si>
  <si>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</si>
  <si>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</si>
  <si>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</si>
  <si>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</si>
  <si>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</si>
  <si>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</si>
  <si>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</si>
  <si>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</si>
  <si>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</si>
  <si>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</si>
  <si>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</si>
  <si>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</si>
  <si>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</si>
  <si>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</si>
  <si>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</si>
  <si>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</si>
  <si>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</si>
  <si>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</si>
  <si>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</si>
  <si>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</si>
  <si>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</si>
  <si>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</si>
  <si>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</si>
  <si>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</si>
  <si>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</si>
  <si>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</si>
  <si>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</si>
  <si>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</si>
  <si>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</si>
  <si>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</si>
  <si>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</si>
  <si>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</si>
  <si>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</si>
  <si>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</si>
  <si>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</si>
  <si>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</si>
  <si>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</si>
  <si>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</si>
  <si>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</si>
  <si>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</si>
  <si>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</si>
  <si>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</si>
  <si>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</si>
  <si>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</si>
  <si>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</si>
  <si>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</si>
  <si>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</si>
  <si>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</si>
  <si>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</si>
  <si>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</si>
  <si>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</si>
  <si>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</si>
  <si>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</si>
  <si>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</si>
  <si>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</si>
  <si>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</si>
  <si>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</si>
  <si>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</si>
  <si>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</si>
  <si>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</si>
  <si>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</si>
  <si>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</si>
  <si>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</si>
  <si>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</si>
  <si>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</si>
  <si>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</si>
  <si>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</si>
  <si>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</si>
  <si>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</si>
  <si>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</si>
  <si>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</si>
  <si>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</si>
  <si>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지정공사,철제칸막이공사,잡공사및외벽패널공사,철거공사,골재비,운반비,정화조공사</t>
    <phoneticPr fontId="2" type="noConversion"/>
  </si>
  <si>
    <t>토목 배수공, 상수공, 시설물공, 철거공,자재공</t>
    <phoneticPr fontId="2" type="noConversion"/>
  </si>
  <si>
    <t>수목이식공사, 조경구조물공사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</si>
  <si>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</si>
  <si>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</si>
  <si>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인터폰설비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</si>
  <si>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</si>
  <si>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</si>
  <si>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</si>
  <si>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</si>
  <si>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</si>
  <si>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</si>
  <si>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</si>
  <si>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</si>
  <si>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</si>
  <si>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</si>
  <si>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</si>
  <si>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00해양경찰서 청사 신축공사</t>
  </si>
  <si>
    <t>전라도</t>
  </si>
  <si>
    <t>평</t>
    <phoneticPr fontId="2" type="noConversion"/>
  </si>
  <si>
    <t>전기실설비공사</t>
    <phoneticPr fontId="2" type="noConversion"/>
  </si>
  <si>
    <t>강전트레이설비공사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</si>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</sst>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255</v>
      </c>
    </row>
    <row r="7" spans="1:4" ht="17.25" thickBot="1" x14ac:dyDescent="0.35">
      <c r="C7" s="37">
        <v>8523</v>
      </c>
      <c r="D7" s="36">
        <f>+C7/3.3058</f>
        <v>2578.1958981184584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242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15220</v>
      </c>
      <c r="E24" s="60">
        <f t="shared" ref="E24:E33" si="0">TRUNC(+D24*3.3058,-1)</f>
        <v>50310</v>
      </c>
    </row>
    <row r="25" spans="1:5" x14ac:dyDescent="0.3">
      <c r="B25" s="2">
        <v>2</v>
      </c>
      <c r="C25" s="35" t="s">
        <v>111</v>
      </c>
      <c r="D25" s="45">
        <f>+D60</f>
        <v>597580</v>
      </c>
      <c r="E25" s="61">
        <f t="shared" si="0"/>
        <v>1975470</v>
      </c>
    </row>
    <row r="26" spans="1:5" x14ac:dyDescent="0.3">
      <c r="B26" s="2">
        <v>3</v>
      </c>
      <c r="C26" s="35" t="s">
        <v>95</v>
      </c>
      <c r="D26" s="57">
        <f>+D66</f>
        <v>39510</v>
      </c>
      <c r="E26" s="61">
        <f t="shared" si="0"/>
        <v>130610</v>
      </c>
    </row>
    <row r="27" spans="1:5" x14ac:dyDescent="0.3">
      <c r="B27" s="2">
        <v>4</v>
      </c>
      <c r="C27" s="35" t="s">
        <v>96</v>
      </c>
      <c r="D27" s="57">
        <f>+D95</f>
        <v>254300</v>
      </c>
      <c r="E27" s="61">
        <f t="shared" si="0"/>
        <v>840660</v>
      </c>
    </row>
    <row r="28" spans="1:5" x14ac:dyDescent="0.3">
      <c r="B28" s="2">
        <v>5</v>
      </c>
      <c r="C28" s="35" t="s">
        <v>97</v>
      </c>
      <c r="D28" s="57">
        <f>+D119</f>
        <v>118560</v>
      </c>
      <c r="E28" s="61">
        <f t="shared" si="0"/>
        <v>391930</v>
      </c>
    </row>
    <row r="29" spans="1:5" x14ac:dyDescent="0.3">
      <c r="B29" s="2">
        <v>6</v>
      </c>
      <c r="C29" s="35" t="s">
        <v>98</v>
      </c>
      <c r="D29" s="57">
        <f>+D133</f>
        <v>101380</v>
      </c>
      <c r="E29" s="61">
        <f t="shared" si="0"/>
        <v>335140</v>
      </c>
    </row>
    <row r="30" spans="1:5" x14ac:dyDescent="0.3">
      <c r="B30" s="2">
        <v>7</v>
      </c>
      <c r="C30" s="35" t="s">
        <v>99</v>
      </c>
      <c r="D30" s="57">
        <f>+D146</f>
        <v>0</v>
      </c>
      <c r="E30" s="61">
        <f t="shared" si="0"/>
        <v>0</v>
      </c>
    </row>
    <row r="31" spans="1:5" x14ac:dyDescent="0.3">
      <c r="B31" s="2">
        <v>8</v>
      </c>
      <c r="C31" s="35" t="s">
        <v>100</v>
      </c>
      <c r="D31" s="57">
        <f>+D154</f>
        <v>33140</v>
      </c>
      <c r="E31" s="61">
        <f t="shared" si="0"/>
        <v>109550</v>
      </c>
    </row>
    <row r="32" spans="1:5" x14ac:dyDescent="0.3">
      <c r="B32" s="2">
        <v>9</v>
      </c>
      <c r="C32" s="35" t="s">
        <v>101</v>
      </c>
      <c r="D32" s="57">
        <f>+D161</f>
        <v>141540</v>
      </c>
      <c r="E32" s="61">
        <f t="shared" si="0"/>
        <v>467900</v>
      </c>
    </row>
    <row r="33" spans="1:7" x14ac:dyDescent="0.3">
      <c r="B33" s="2">
        <v>10</v>
      </c>
      <c r="C33" s="35" t="s">
        <v>154</v>
      </c>
      <c r="D33" s="58">
        <f>TRUNC(SUM(D24:D32)*0.275,-1)</f>
        <v>357830</v>
      </c>
      <c r="E33" s="62">
        <f t="shared" si="0"/>
        <v>1182910</v>
      </c>
    </row>
    <row r="34" spans="1:7" x14ac:dyDescent="0.3">
      <c r="C34" s="35" t="s">
        <v>112</v>
      </c>
      <c r="D34" s="44">
        <f>SUM(D24:D33)</f>
        <v>1659060</v>
      </c>
      <c r="E34" s="44">
        <f>SUM(E24:E33)</f>
        <v>5484480</v>
      </c>
    </row>
    <row r="35" spans="1:7" s="55" customFormat="1" x14ac:dyDescent="0.3">
      <c r="C35" s="56"/>
      <c r="D35" s="56"/>
      <c r="E35" s="56"/>
      <c r="G35" s="54"/>
    </row>
    <row r="36" spans="1:7" s="55" customFormat="1" ht="17.25" thickBot="1" x14ac:dyDescent="0.35">
      <c r="B36" s="55" t="s">
        <v>12</v>
      </c>
      <c r="C36" s="55" t="s">
        <v>243</v>
      </c>
      <c r="D36" s="56" t="s">
        <v>242</v>
      </c>
      <c r="E36" s="56" t="s">
        <v>153</v>
      </c>
      <c r="G36" s="54"/>
    </row>
    <row r="37" spans="1:7" ht="17.25" thickBot="1" x14ac:dyDescent="0.35">
      <c r="C37" s="38" t="s">
        <v>143</v>
      </c>
      <c r="D37" s="52">
        <f>TRUNC(15225.3658336267,-1)</f>
        <v>15220</v>
      </c>
      <c r="E37" s="63">
        <f>TRUNC(+D37*3.3058,-1)</f>
        <v>50310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247</v>
      </c>
      <c r="D39" s="68" t="s">
        <v>258</v>
      </c>
      <c r="E39" s="68" t="s">
        <v>259</v>
      </c>
      <c r="G39" s="69"/>
    </row>
    <row r="40" spans="1:7" x14ac:dyDescent="0.3">
      <c r="A40" s="2">
        <v>1</v>
      </c>
      <c r="C40" s="38" t="s">
        <v>15</v>
      </c>
      <c r="D40" s="40">
        <f>TRUNC(38124.1160389534,-1)</f>
        <v>38120</v>
      </c>
      <c r="E40" s="64">
        <f t="shared" ref="E40:E59" si="1">TRUNC(+D40*3.3058,-1)</f>
        <v>126010</v>
      </c>
    </row>
    <row r="41" spans="1:7" x14ac:dyDescent="0.3">
      <c r="A41" s="2">
        <v>2</v>
      </c>
      <c r="C41" s="38" t="s">
        <v>13</v>
      </c>
      <c r="D41" s="42">
        <f>TRUNC(119485.828698815,-1)</f>
        <v>119480</v>
      </c>
      <c r="E41" s="65">
        <f t="shared" si="1"/>
        <v>394970</v>
      </c>
    </row>
    <row r="42" spans="1:7" x14ac:dyDescent="0.3">
      <c r="A42" s="2">
        <v>3</v>
      </c>
      <c r="C42" s="38" t="s">
        <v>14</v>
      </c>
      <c r="D42" s="42">
        <f>TRUNC(10839.9419218585,-1)</f>
        <v>10830</v>
      </c>
      <c r="E42" s="65">
        <f t="shared" si="1"/>
        <v>35800</v>
      </c>
    </row>
    <row r="43" spans="1:7" x14ac:dyDescent="0.3">
      <c r="A43" s="2">
        <v>4</v>
      </c>
      <c r="C43" s="38" t="s">
        <v>16</v>
      </c>
      <c r="D43" s="42">
        <f>TRUNC(21063.0431772849,-1)</f>
        <v>21060</v>
      </c>
      <c r="E43" s="65">
        <f t="shared" si="1"/>
        <v>69620</v>
      </c>
    </row>
    <row r="44" spans="1:7" x14ac:dyDescent="0.3">
      <c r="A44" s="2">
        <v>5</v>
      </c>
      <c r="C44" s="38" t="s">
        <v>17</v>
      </c>
      <c r="D44" s="42">
        <f>TRUNC(24564.297782471,-1)</f>
        <v>24560</v>
      </c>
      <c r="E44" s="65">
        <f t="shared" si="1"/>
        <v>81190</v>
      </c>
    </row>
    <row r="45" spans="1:7" x14ac:dyDescent="0.3">
      <c r="A45" s="2">
        <v>6</v>
      </c>
      <c r="C45" s="38" t="s">
        <v>18</v>
      </c>
      <c r="D45" s="42">
        <f>TRUNC(5707.39422738472,-1)</f>
        <v>5700</v>
      </c>
      <c r="E45" s="65">
        <f t="shared" si="1"/>
        <v>18840</v>
      </c>
    </row>
    <row r="46" spans="1:7" x14ac:dyDescent="0.3">
      <c r="A46" s="2">
        <v>7</v>
      </c>
      <c r="C46" s="38" t="s">
        <v>19</v>
      </c>
      <c r="D46" s="42">
        <f>TRUNC(80306.9949548281,-1)</f>
        <v>80300</v>
      </c>
      <c r="E46" s="65">
        <f t="shared" si="1"/>
        <v>265450</v>
      </c>
    </row>
    <row r="47" spans="1:7" x14ac:dyDescent="0.3">
      <c r="A47" s="2">
        <v>8</v>
      </c>
      <c r="C47" s="38" t="s">
        <v>20</v>
      </c>
      <c r="D47" s="42">
        <f>TRUNC(981.989088349173,-1)</f>
        <v>980</v>
      </c>
      <c r="E47" s="65">
        <f t="shared" si="1"/>
        <v>3230</v>
      </c>
    </row>
    <row r="48" spans="1:7" x14ac:dyDescent="0.3">
      <c r="A48" s="2">
        <v>9</v>
      </c>
      <c r="C48" s="38" t="s">
        <v>21</v>
      </c>
      <c r="D48" s="42">
        <f>TRUNC(31498.2385310337,-1)</f>
        <v>31490</v>
      </c>
      <c r="E48" s="65">
        <f t="shared" si="1"/>
        <v>104090</v>
      </c>
    </row>
    <row r="49" spans="1:7" x14ac:dyDescent="0.3">
      <c r="A49" s="2">
        <v>10</v>
      </c>
      <c r="C49" s="38" t="s">
        <v>22</v>
      </c>
      <c r="D49" s="42">
        <f>TRUNC(26055.5043998592,-1)</f>
        <v>26050</v>
      </c>
      <c r="E49" s="65">
        <f t="shared" si="1"/>
        <v>86110</v>
      </c>
    </row>
    <row r="50" spans="1:7" x14ac:dyDescent="0.3">
      <c r="A50" s="2">
        <v>11</v>
      </c>
      <c r="C50" s="38" t="s">
        <v>155</v>
      </c>
      <c r="D50" s="42">
        <f>TRUNC(26055.5043998592,-1)</f>
        <v>26050</v>
      </c>
      <c r="E50" s="65">
        <f t="shared" si="1"/>
        <v>86110</v>
      </c>
    </row>
    <row r="51" spans="1:7" x14ac:dyDescent="0.3">
      <c r="A51" s="2">
        <v>12</v>
      </c>
      <c r="C51" s="38" t="s">
        <v>23</v>
      </c>
      <c r="D51" s="42">
        <f>TRUNC(5900.84113575032,-1)</f>
        <v>5900</v>
      </c>
      <c r="E51" s="65">
        <f t="shared" si="1"/>
        <v>19500</v>
      </c>
    </row>
    <row r="52" spans="1:7" x14ac:dyDescent="0.3">
      <c r="A52" s="2">
        <v>13</v>
      </c>
      <c r="C52" s="38" t="s">
        <v>24</v>
      </c>
      <c r="D52" s="42">
        <f>TRUNC(8281.37803590285,-1)</f>
        <v>8280</v>
      </c>
      <c r="E52" s="65">
        <f t="shared" si="1"/>
        <v>27370</v>
      </c>
    </row>
    <row r="53" spans="1:7" x14ac:dyDescent="0.3">
      <c r="A53" s="2">
        <v>14</v>
      </c>
      <c r="C53" s="38" t="s">
        <v>25</v>
      </c>
      <c r="D53" s="42">
        <f>TRUNC(33505.7175877039,-1)</f>
        <v>33500</v>
      </c>
      <c r="E53" s="65">
        <f t="shared" si="1"/>
        <v>110740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TRUNC(968.990144315382,-1)</f>
        <v>960</v>
      </c>
      <c r="E55" s="65">
        <f t="shared" si="1"/>
        <v>3170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TRUNC(4670.18655403027+279.686378035903+2709.37463334507+2395.24181626188+21733.0519770034+708.195471078259+15675.690249912-558.18373812038,-1)</f>
        <v>47610</v>
      </c>
      <c r="E58" s="65">
        <f t="shared" si="1"/>
        <v>157380</v>
      </c>
      <c r="F58" s="2" t="s">
        <v>236</v>
      </c>
    </row>
    <row r="59" spans="1:7" ht="17.25" thickBot="1" x14ac:dyDescent="0.35">
      <c r="A59" s="2">
        <v>20</v>
      </c>
      <c r="C59" s="38" t="s">
        <v>148</v>
      </c>
      <c r="D59" s="43">
        <f>TRUNC(116715.827760178,-1)</f>
        <v>116710</v>
      </c>
      <c r="E59" s="66">
        <f t="shared" si="1"/>
        <v>385810</v>
      </c>
    </row>
    <row r="60" spans="1:7" x14ac:dyDescent="0.3">
      <c r="A60" s="2">
        <v>21</v>
      </c>
      <c r="C60" s="27" t="s">
        <v>112</v>
      </c>
      <c r="D60" s="39">
        <f>SUM(D40:D59)</f>
        <v>597580</v>
      </c>
      <c r="E60" s="39">
        <f>SUM(E40:E59)</f>
        <v>1975390</v>
      </c>
    </row>
    <row r="61" spans="1:7" s="55" customFormat="1" x14ac:dyDescent="0.3">
      <c r="C61" s="56"/>
      <c r="D61" s="56"/>
      <c r="E61" s="56"/>
      <c r="G61" s="54"/>
    </row>
    <row r="62" spans="1:7" s="55" customFormat="1" ht="17.25" thickBot="1" x14ac:dyDescent="0.35">
      <c r="B62" s="55" t="s">
        <v>244</v>
      </c>
      <c r="C62" s="55" t="s">
        <v>245</v>
      </c>
      <c r="D62" s="56" t="s">
        <v>242</v>
      </c>
      <c r="E62" s="56" t="s">
        <v>153</v>
      </c>
      <c r="G62" s="54"/>
    </row>
    <row r="63" spans="1:7" x14ac:dyDescent="0.3">
      <c r="A63" s="2">
        <v>1</v>
      </c>
      <c r="C63" s="38" t="s">
        <v>27</v>
      </c>
      <c r="D63" s="40">
        <f>TRUNC(4557.11040713364,-1)</f>
        <v>4550</v>
      </c>
      <c r="E63" s="64">
        <f>TRUNC(+D63*3.3058,-1)</f>
        <v>15040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TRUNC(34963.1801009034,-1)</f>
        <v>34960</v>
      </c>
      <c r="E65" s="66">
        <f>TRUNC(+D65*3.3058,-1)</f>
        <v>115570</v>
      </c>
    </row>
    <row r="66" spans="1:7" x14ac:dyDescent="0.3">
      <c r="A66" s="2">
        <v>4</v>
      </c>
      <c r="C66" s="27" t="s">
        <v>112</v>
      </c>
      <c r="D66" s="59">
        <f>SUM(D63:D65)</f>
        <v>39510</v>
      </c>
      <c r="E66" s="59">
        <f>SUM(E63:E65)</f>
        <v>130610</v>
      </c>
    </row>
    <row r="67" spans="1:7" s="55" customFormat="1" x14ac:dyDescent="0.3">
      <c r="C67" s="56"/>
      <c r="D67" s="56"/>
      <c r="E67" s="56"/>
      <c r="G67" s="54"/>
    </row>
    <row r="68" spans="1:7" s="55" customFormat="1" ht="17.25" thickBot="1" x14ac:dyDescent="0.35">
      <c r="B68" s="55" t="s">
        <v>246</v>
      </c>
      <c r="C68" s="55" t="s">
        <v>247</v>
      </c>
      <c r="D68" s="56" t="s">
        <v>242</v>
      </c>
      <c r="E68" s="56" t="s">
        <v>153</v>
      </c>
      <c r="G68" s="54"/>
    </row>
    <row r="69" spans="1:7" x14ac:dyDescent="0.3">
      <c r="A69" s="2">
        <v>1</v>
      </c>
      <c r="C69" s="38" t="s">
        <v>30</v>
      </c>
      <c r="D69" s="40">
        <v>0</v>
      </c>
      <c r="E69" s="64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5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5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5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5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5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5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5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5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5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TRUNC(160998.474715476,-1)</f>
        <v>160990</v>
      </c>
      <c r="E93" s="65">
        <f t="shared" si="2"/>
        <v>532200</v>
      </c>
    </row>
    <row r="94" spans="1:7" ht="17.25" thickBot="1" x14ac:dyDescent="0.35">
      <c r="A94" s="2">
        <v>26</v>
      </c>
      <c r="C94" s="38" t="s">
        <v>47</v>
      </c>
      <c r="D94" s="43">
        <f>TRUNC(64979.7225155462+19915.2692713833+1660.66326410888+6754.55496890766,-1)</f>
        <v>93310</v>
      </c>
      <c r="E94" s="66">
        <f t="shared" si="2"/>
        <v>308460</v>
      </c>
      <c r="F94" s="2" t="s">
        <v>239</v>
      </c>
    </row>
    <row r="95" spans="1:7" x14ac:dyDescent="0.3">
      <c r="A95" s="2">
        <v>27</v>
      </c>
      <c r="C95" s="27" t="s">
        <v>112</v>
      </c>
      <c r="D95" s="39">
        <f>SUM(D69:D94)</f>
        <v>254300</v>
      </c>
      <c r="E95" s="39">
        <f>SUM(E69:E94)</f>
        <v>840660</v>
      </c>
    </row>
    <row r="96" spans="1:7" s="55" customFormat="1" x14ac:dyDescent="0.3">
      <c r="C96" s="56"/>
      <c r="D96" s="56"/>
      <c r="E96" s="56"/>
      <c r="G96" s="54"/>
    </row>
    <row r="97" spans="1:7" s="55" customFormat="1" ht="17.25" thickBot="1" x14ac:dyDescent="0.35">
      <c r="B97" s="55" t="s">
        <v>248</v>
      </c>
      <c r="C97" s="55" t="s">
        <v>247</v>
      </c>
      <c r="D97" s="56" t="s">
        <v>242</v>
      </c>
      <c r="E97" s="56" t="s">
        <v>153</v>
      </c>
      <c r="G97" s="54"/>
    </row>
    <row r="98" spans="1:7" x14ac:dyDescent="0.3">
      <c r="A98" s="2">
        <v>1</v>
      </c>
      <c r="C98" s="38" t="s">
        <v>39</v>
      </c>
      <c r="D98" s="40">
        <f>TRUNC(8014.19453244163,-1)</f>
        <v>8010</v>
      </c>
      <c r="E98" s="64">
        <f t="shared" ref="E98:E118" si="3">TRUNC(+D98*3.3058,-1)</f>
        <v>26470</v>
      </c>
    </row>
    <row r="99" spans="1:7" x14ac:dyDescent="0.3">
      <c r="A99" s="2">
        <v>2</v>
      </c>
      <c r="C99" s="38" t="s">
        <v>40</v>
      </c>
      <c r="D99" s="42">
        <f>TRUNC(6133.20145488678,-1)</f>
        <v>6130</v>
      </c>
      <c r="E99" s="65">
        <f t="shared" si="3"/>
        <v>20260</v>
      </c>
    </row>
    <row r="100" spans="1:7" x14ac:dyDescent="0.3">
      <c r="A100" s="2">
        <v>3</v>
      </c>
      <c r="C100" s="38" t="s">
        <v>41</v>
      </c>
      <c r="D100" s="42">
        <f>TRUNC(22508.6078845477,-1)</f>
        <v>22500</v>
      </c>
      <c r="E100" s="65">
        <f t="shared" si="3"/>
        <v>74380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TRUNC(7458.1758770386,-1)</f>
        <v>7450</v>
      </c>
      <c r="E102" s="65">
        <f t="shared" si="3"/>
        <v>24620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TRUNC(2436.70620673472,-1)</f>
        <v>2430</v>
      </c>
      <c r="E104" s="65">
        <f t="shared" si="3"/>
        <v>8030</v>
      </c>
      <c r="F104" s="2" t="s">
        <v>240</v>
      </c>
    </row>
    <row r="105" spans="1:7" x14ac:dyDescent="0.3">
      <c r="A105" s="2">
        <v>8</v>
      </c>
      <c r="C105" s="38" t="s">
        <v>46</v>
      </c>
      <c r="D105" s="42">
        <f>TRUNC(189.158394931362,-1)</f>
        <v>180</v>
      </c>
      <c r="E105" s="65">
        <f t="shared" si="3"/>
        <v>590</v>
      </c>
      <c r="F105" s="2" t="s">
        <v>257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5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5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5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TRUNC(29387.4492549572+36214.5500410654,-1)</f>
        <v>65600</v>
      </c>
      <c r="E117" s="65">
        <f t="shared" si="3"/>
        <v>216860</v>
      </c>
    </row>
    <row r="118" spans="1:7" ht="17.25" thickBot="1" x14ac:dyDescent="0.35">
      <c r="A118" s="2">
        <v>21</v>
      </c>
      <c r="C118" s="38" t="s">
        <v>47</v>
      </c>
      <c r="D118" s="43">
        <f>TRUNC(6267.28170831867,-1)</f>
        <v>6260</v>
      </c>
      <c r="E118" s="66">
        <f t="shared" si="3"/>
        <v>20690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118560</v>
      </c>
      <c r="E119" s="39">
        <f>SUM(E98:E118)</f>
        <v>391900</v>
      </c>
    </row>
    <row r="120" spans="1:7" s="55" customFormat="1" x14ac:dyDescent="0.3">
      <c r="C120" s="56"/>
      <c r="D120" s="56"/>
      <c r="E120" s="56"/>
      <c r="G120" s="54"/>
    </row>
    <row r="121" spans="1:7" s="55" customFormat="1" ht="17.25" thickBot="1" x14ac:dyDescent="0.35">
      <c r="B121" s="55" t="s">
        <v>249</v>
      </c>
      <c r="C121" s="55" t="s">
        <v>247</v>
      </c>
      <c r="D121" s="56" t="s">
        <v>242</v>
      </c>
      <c r="E121" s="56" t="s">
        <v>153</v>
      </c>
      <c r="G121" s="54"/>
    </row>
    <row r="122" spans="1:7" x14ac:dyDescent="0.3">
      <c r="A122" s="2">
        <v>1</v>
      </c>
      <c r="C122" s="38" t="s">
        <v>55</v>
      </c>
      <c r="D122" s="40">
        <f>TRUNC(3250.75853572686,-1)</f>
        <v>3250</v>
      </c>
      <c r="E122" s="64">
        <f t="shared" ref="E122:E132" si="4">TRUNC(+D122*3.3058,-1)</f>
        <v>10740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TRUNC(5702.95001759944,-1)</f>
        <v>5700</v>
      </c>
      <c r="E125" s="65">
        <f t="shared" si="4"/>
        <v>18840</v>
      </c>
    </row>
    <row r="126" spans="1:7" x14ac:dyDescent="0.3">
      <c r="A126" s="2">
        <v>5</v>
      </c>
      <c r="C126" s="38" t="s">
        <v>53</v>
      </c>
      <c r="D126" s="42">
        <v>0</v>
      </c>
      <c r="E126" s="65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5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5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TRUNC(19815.6013140913+49125.9720755602,-1)</f>
        <v>68940</v>
      </c>
      <c r="E131" s="65">
        <f t="shared" si="4"/>
        <v>227900</v>
      </c>
    </row>
    <row r="132" spans="1:7" ht="18" thickBot="1" x14ac:dyDescent="0.35">
      <c r="A132" s="2">
        <v>11</v>
      </c>
      <c r="C132" s="38" t="s">
        <v>47</v>
      </c>
      <c r="D132" s="43">
        <f>TRUNC(13673.2771324651+1634.30904611052+6395.68285814854+1790.63404904376,-1)</f>
        <v>23490</v>
      </c>
      <c r="E132" s="66">
        <f t="shared" si="4"/>
        <v>77650</v>
      </c>
      <c r="F132" s="53" t="s">
        <v>241</v>
      </c>
    </row>
    <row r="133" spans="1:7" x14ac:dyDescent="0.3">
      <c r="A133" s="2">
        <v>12</v>
      </c>
      <c r="C133" s="27" t="s">
        <v>112</v>
      </c>
      <c r="D133" s="39">
        <f>SUM(D122:D132)</f>
        <v>101380</v>
      </c>
      <c r="E133" s="39">
        <f>SUM(E122:E132)</f>
        <v>335130</v>
      </c>
    </row>
    <row r="134" spans="1:7" s="55" customFormat="1" x14ac:dyDescent="0.3">
      <c r="C134" s="56"/>
      <c r="D134" s="56"/>
      <c r="E134" s="56"/>
      <c r="G134" s="54"/>
    </row>
    <row r="135" spans="1:7" s="55" customFormat="1" ht="17.25" thickBot="1" x14ac:dyDescent="0.35">
      <c r="B135" s="55" t="s">
        <v>250</v>
      </c>
      <c r="C135" s="55" t="s">
        <v>247</v>
      </c>
      <c r="D135" s="56" t="s">
        <v>242</v>
      </c>
      <c r="E135" s="56" t="s">
        <v>153</v>
      </c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5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5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5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5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G147" s="54"/>
    </row>
    <row r="148" spans="1:7" s="55" customFormat="1" ht="17.25" thickBot="1" x14ac:dyDescent="0.35">
      <c r="B148" s="55" t="s">
        <v>251</v>
      </c>
      <c r="C148" s="55" t="s">
        <v>247</v>
      </c>
      <c r="D148" s="56" t="s">
        <v>242</v>
      </c>
      <c r="E148" s="56" t="s">
        <v>153</v>
      </c>
      <c r="G148" s="54"/>
    </row>
    <row r="149" spans="1:7" x14ac:dyDescent="0.3">
      <c r="A149" s="2">
        <v>1</v>
      </c>
      <c r="C149" s="38" t="s">
        <v>48</v>
      </c>
      <c r="D149" s="40">
        <f>TRUNC(7599.34882083773+1395.72720872932,-1)</f>
        <v>8990</v>
      </c>
      <c r="E149" s="64">
        <f>TRUNC(+D149*3.3058,-1)</f>
        <v>29710</v>
      </c>
    </row>
    <row r="150" spans="1:7" x14ac:dyDescent="0.3">
      <c r="A150" s="2">
        <v>2</v>
      </c>
      <c r="C150" s="38" t="s">
        <v>49</v>
      </c>
      <c r="D150" s="42">
        <f>TRUNC(15438.5466385076,-1)</f>
        <v>15430</v>
      </c>
      <c r="E150" s="65">
        <f>TRUNC(+D150*3.3058,-1)</f>
        <v>51000</v>
      </c>
    </row>
    <row r="151" spans="1:7" x14ac:dyDescent="0.3">
      <c r="A151" s="2">
        <v>3</v>
      </c>
      <c r="C151" s="38" t="s">
        <v>50</v>
      </c>
      <c r="D151" s="42">
        <f>TRUNC(49.7553678282295,-1)</f>
        <v>40</v>
      </c>
      <c r="E151" s="65">
        <f>TRUNC(+D151*3.3058,-1)</f>
        <v>130</v>
      </c>
    </row>
    <row r="152" spans="1:7" x14ac:dyDescent="0.3">
      <c r="A152" s="2">
        <v>4</v>
      </c>
      <c r="C152" s="38" t="s">
        <v>47</v>
      </c>
      <c r="D152" s="42">
        <f>TRUNC(352.231960577262+8248.62454534788+86.0190073917635,-1)</f>
        <v>8680</v>
      </c>
      <c r="E152" s="65">
        <f>TRUNC(+D152*3.3058,-1)</f>
        <v>28690</v>
      </c>
      <c r="F152" s="2" t="s">
        <v>237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33140</v>
      </c>
      <c r="E154" s="39">
        <f>SUM(E149:E153)</f>
        <v>109530</v>
      </c>
    </row>
    <row r="155" spans="1:7" s="55" customFormat="1" x14ac:dyDescent="0.3">
      <c r="C155" s="56"/>
      <c r="D155" s="56"/>
      <c r="E155" s="56"/>
      <c r="G155" s="54"/>
    </row>
    <row r="156" spans="1:7" s="55" customFormat="1" ht="17.25" thickBot="1" x14ac:dyDescent="0.35">
      <c r="B156" s="55" t="s">
        <v>252</v>
      </c>
      <c r="C156" s="55" t="s">
        <v>247</v>
      </c>
      <c r="D156" s="56" t="s">
        <v>242</v>
      </c>
      <c r="E156" s="56" t="s">
        <v>153</v>
      </c>
      <c r="G156" s="54"/>
    </row>
    <row r="157" spans="1:7" x14ac:dyDescent="0.3">
      <c r="A157" s="2">
        <v>1</v>
      </c>
      <c r="C157" s="38" t="s">
        <v>51</v>
      </c>
      <c r="D157" s="40">
        <f>TRUNC(10250.8619030858,-1)</f>
        <v>10250</v>
      </c>
      <c r="E157" s="64">
        <f>TRUNC(+D157*3.3058,-1)</f>
        <v>33880</v>
      </c>
    </row>
    <row r="158" spans="1:7" x14ac:dyDescent="0.3">
      <c r="A158" s="2">
        <v>2</v>
      </c>
      <c r="C158" s="38" t="s">
        <v>52</v>
      </c>
      <c r="D158" s="42">
        <f>TRUNC(1512.61246040127,-1)</f>
        <v>1510</v>
      </c>
      <c r="E158" s="65">
        <f>TRUNC(+D158*3.3058,-1)</f>
        <v>4990</v>
      </c>
    </row>
    <row r="159" spans="1:7" x14ac:dyDescent="0.3">
      <c r="A159" s="2">
        <v>3</v>
      </c>
      <c r="C159" s="38" t="s">
        <v>47</v>
      </c>
      <c r="D159" s="42">
        <f>TRUNC(13073.0316789863+5.24768274081896,-1)</f>
        <v>13070</v>
      </c>
      <c r="E159" s="65">
        <f>TRUNC(+D159*3.3058,-1)</f>
        <v>43200</v>
      </c>
      <c r="F159" s="2" t="s">
        <v>238</v>
      </c>
    </row>
    <row r="160" spans="1:7" ht="17.25" thickBot="1" x14ac:dyDescent="0.35">
      <c r="A160" s="2">
        <v>4</v>
      </c>
      <c r="C160" s="38" t="s">
        <v>148</v>
      </c>
      <c r="D160" s="43">
        <f>TRUNC(116715.827760178,-1)</f>
        <v>116710</v>
      </c>
      <c r="E160" s="66">
        <f>TRUNC(+D160*3.3058,-1)</f>
        <v>385810</v>
      </c>
    </row>
    <row r="161" spans="1:5" x14ac:dyDescent="0.3">
      <c r="A161" s="2">
        <v>5</v>
      </c>
      <c r="C161" s="27" t="s">
        <v>112</v>
      </c>
      <c r="D161" s="39">
        <f>SUM(D157:D160)</f>
        <v>141540</v>
      </c>
      <c r="E161" s="39">
        <f>SUM(E157:E160)</f>
        <v>467880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2020-12-07T09:23:20Z</dcterms:modified>
</cp:coreProperties>
</file>