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54" i="4" s="1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24" i="4"/>
  <c r="E119" i="4" l="1"/>
  <c r="E146" i="4"/>
  <c r="E133" i="4"/>
  <c r="E95" i="4"/>
  <c r="D161" i="4"/>
  <c r="D32" i="4" s="1"/>
  <c r="E32" i="4" s="1"/>
  <c r="D154" i="4"/>
  <c r="D31" i="4" s="1"/>
  <c r="E31" i="4" s="1"/>
  <c r="D146" i="4"/>
  <c r="D133" i="4"/>
  <c r="D119" i="4"/>
  <c r="D28" i="4" s="1"/>
  <c r="E28" i="4" s="1"/>
  <c r="D95" i="4"/>
  <c r="D27" i="4" s="1"/>
  <c r="E27" i="4" s="1"/>
  <c r="D66" i="4"/>
  <c r="D60" i="4"/>
  <c r="D30" i="4"/>
  <c r="E30" i="4" s="1"/>
  <c r="D29" i="4"/>
  <c r="E29" i="4" s="1"/>
  <c r="D26" i="4"/>
  <c r="E26" i="4" s="1"/>
  <c r="D25" i="4"/>
  <c r="E25" i="4" s="1"/>
  <c r="D7" i="4"/>
  <c r="E34" i="4" l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<sst xmlns="http://schemas.openxmlformats.org/spreadsheetml/2006/main" count="383" uniqueCount="259">
  <si>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</si>
  <si>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</si>
  <si>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</si>
  <si>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</si>
  <si>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</si>
  <si>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</si>
  <si>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</si>
  <si>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</si>
  <si>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</si>
  <si>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</si>
  <si>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</si>
  <si>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</si>
  <si>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</si>
  <si>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</si>
  <si>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</si>
  <si>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</si>
  <si>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</si>
  <si>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</si>
  <si>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</si>
  <si>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</si>
  <si>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</si>
  <si>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</si>
  <si>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</si>
  <si>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</si>
  <si>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</si>
  <si>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</si>
  <si>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</si>
  <si>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</si>
  <si>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</si>
  <si>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</si>
  <si>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</si>
  <si>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</si>
  <si>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</si>
  <si>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</si>
  <si>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</si>
  <si>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</si>
  <si>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</si>
  <si>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</si>
  <si>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</si>
  <si>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</si>
  <si>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</si>
  <si>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</si>
  <si>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</si>
  <si>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</si>
  <si>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</si>
  <si>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</si>
  <si>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</si>
  <si>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</si>
  <si>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</si>
  <si>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</si>
  <si>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</si>
  <si>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</si>
  <si>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</si>
  <si>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</si>
  <si>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</si>
  <si>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</si>
  <si>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</si>
  <si>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</si>
  <si>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</si>
  <si>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</si>
  <si>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</si>
  <si>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</si>
  <si>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</si>
  <si>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</si>
  <si>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</si>
  <si>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</si>
  <si>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</si>
  <si>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</si>
  <si>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</si>
  <si>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</si>
  <si>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</si>
  <si>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</si>
  <si>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</si>
  <si>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</si>
  <si>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</si>
  <si>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</si>
  <si>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</si>
  <si>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</si>
  <si>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</si>
  <si>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</si>
  <si>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</si>
  <si>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</si>
  <si>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</si>
  <si>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</si>
  <si>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</si>
  <si>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</si>
  <si>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</si>
  <si>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</si>
  <si>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</si>
  <si>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</si>
  <si>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</si>
  <si>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</si>
  <si>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</si>
  <si>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</si>
  <si>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</si>
  <si>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</si>
  <si>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</si>
  <si>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</si>
  <si>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</si>
  <si>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</si>
  <si>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</si>
  <si>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</si>
  <si>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</si>
  <si>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</si>
  <si>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</si>
  <si>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</si>
  <si>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</si>
  <si>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</si>
  <si>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</si>
  <si>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</si>
  <si>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</si>
  <si>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</si>
  <si>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</si>
  <si>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</si>
  <si>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</si>
  <si>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</si>
  <si>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</si>
  <si>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</si>
  <si>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</si>
  <si>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</si>
  <si>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</si>
  <si>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</si>
  <si>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</si>
  <si>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</si>
  <si>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</si>
  <si>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</si>
  <si>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</si>
  <si>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</si>
  <si>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</si>
  <si>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</si>
  <si>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</si>
  <si>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</si>
  <si>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</si>
  <si>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</si>
  <si>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</si>
  <si>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</si>
  <si>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</si>
  <si>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</si>
  <si>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</si>
  <si>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</si>
  <si>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</si>
  <si>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</si>
  <si>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</si>
  <si>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</si>
  <si>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</si>
  <si>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</si>
  <si>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</si>
  <si>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</si>
  <si>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</si>
  <si>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</si>
  <si>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</si>
  <si>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</si>
  <si>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</si>
  <si>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</si>
  <si>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</si>
  <si>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</si>
  <si>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</si>
  <si>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</si>
  <si>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</si>
  <si>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</si>
  <si>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</si>
  <si>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</si>
  <si>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</si>
  <si>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</si>
  <si>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</si>
  <si>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</si>
  <si>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</si>
  <si>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</si>
  <si>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</si>
  <si>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</si>
  <si>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</si>
  <si>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</si>
  <si>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</si>
  <si>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</si>
  <si>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</si>
  <si>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</si>
  <si>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</si>
  <si>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</si>
  <si>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</si>
  <si>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</si>
  <si>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</si>
  <si>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</si>
  <si>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</si>
  <si>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</si>
  <si>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</si>
  <si>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</si>
  <si>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</si>
  <si>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</si>
  <si>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</si>
  <si>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</si>
  <si>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</si>
  <si>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</si>
  <si>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</si>
  <si>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</si>
  <si>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</si>
  <si>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</si>
  <si>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</si>
  <si>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</si>
  <si>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</si>
  <si>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</si>
  <si>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</si>
  <si>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</si>
  <si>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</si>
  <si>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</si>
  <si>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</si>
  <si>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</si>
  <si>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</si>
  <si>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</si>
  <si>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</si>
  <si>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</si>
  <si>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</si>
  <si>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</si>
  <si>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</si>
  <si>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</si>
  <si>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</si>
  <si>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</si>
  <si>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</si>
  <si>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</si>
  <si>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</si>
  <si>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</si>
  <si>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</si>
  <si>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</si>
  <si>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</si>
  <si>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</si>
  <si>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</si>
  <si>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</si>
  <si>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</si>
  <si>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</si>
  <si>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</si>
  <si>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</si>
  <si>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</si>
  <si>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</si>
  <si>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</si>
  <si>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</si>
  <si>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</si>
  <si>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</si>
  <si>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</si>
  <si>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</si>
  <si>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</si>
  <si>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</si>
  <si>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</si>
  <si>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</si>
  <si>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</si>
  <si>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</si>
  <si>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</si>
  <si>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</si>
  <si>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</si>
  <si>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</si>
  <si>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평</t>
    <phoneticPr fontId="2" type="noConversion"/>
  </si>
  <si>
    <t>서울</t>
  </si>
  <si>
    <t>마감공사</t>
    <phoneticPr fontId="2" type="noConversion"/>
  </si>
  <si>
    <t>전등전열설비</t>
    <phoneticPr fontId="2" type="noConversion"/>
  </si>
  <si>
    <t>서울시 소재 00청사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</si>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</sst>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22" sqref="E22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2343</v>
      </c>
      <c r="D7" s="36">
        <f>+C7/3.3058</f>
        <v>708.75431060560231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236</v>
      </c>
    </row>
    <row r="24" spans="1:5" x14ac:dyDescent="0.3">
      <c r="B24" s="2">
        <v>1</v>
      </c>
      <c r="C24" s="35" t="s">
        <v>110</v>
      </c>
      <c r="D24" s="41"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747870</v>
      </c>
      <c r="E25" s="59">
        <f t="shared" si="0"/>
        <v>2472300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292950</v>
      </c>
      <c r="E27" s="59">
        <f t="shared" si="0"/>
        <v>968430</v>
      </c>
    </row>
    <row r="28" spans="1:5" x14ac:dyDescent="0.3">
      <c r="B28" s="2">
        <v>5</v>
      </c>
      <c r="C28" s="35" t="s">
        <v>97</v>
      </c>
      <c r="D28" s="45">
        <f>+D119</f>
        <v>120170</v>
      </c>
      <c r="E28" s="59">
        <f t="shared" si="0"/>
        <v>397250</v>
      </c>
    </row>
    <row r="29" spans="1:5" x14ac:dyDescent="0.3">
      <c r="B29" s="2">
        <v>6</v>
      </c>
      <c r="C29" s="35" t="s">
        <v>98</v>
      </c>
      <c r="D29" s="45">
        <f>+D133</f>
        <v>57140</v>
      </c>
      <c r="E29" s="59">
        <f t="shared" si="0"/>
        <v>188890</v>
      </c>
    </row>
    <row r="30" spans="1:5" x14ac:dyDescent="0.3">
      <c r="B30" s="2">
        <v>7</v>
      </c>
      <c r="C30" s="35" t="s">
        <v>99</v>
      </c>
      <c r="D30" s="45">
        <f>+D146</f>
        <v>29650</v>
      </c>
      <c r="E30" s="59">
        <f t="shared" si="0"/>
        <v>98010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309490</v>
      </c>
      <c r="E33" s="60">
        <f t="shared" si="0"/>
        <v>1023110</v>
      </c>
    </row>
    <row r="34" spans="1:7" x14ac:dyDescent="0.3">
      <c r="C34" s="35" t="s">
        <v>112</v>
      </c>
      <c r="D34" s="44">
        <f>SUM(D24:D33)</f>
        <v>1557270</v>
      </c>
      <c r="E34" s="44">
        <f>SUM(E24:E33)</f>
        <v>5147990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235</v>
      </c>
      <c r="E36" s="56" t="s">
        <v>236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254</v>
      </c>
      <c r="E39" s="66" t="s">
        <v>255</v>
      </c>
      <c r="G39" s="67"/>
    </row>
    <row r="40" spans="1:7" x14ac:dyDescent="0.3">
      <c r="A40" s="2">
        <v>1</v>
      </c>
      <c r="C40" s="38" t="s">
        <v>15</v>
      </c>
      <c r="D40" s="40">
        <v>36480</v>
      </c>
      <c r="E40" s="62">
        <f t="shared" ref="E40:E59" si="1">TRUNC(+D40*3.3058,-1)</f>
        <v>120590</v>
      </c>
    </row>
    <row r="41" spans="1:7" x14ac:dyDescent="0.3">
      <c r="A41" s="2">
        <v>2</v>
      </c>
      <c r="C41" s="38" t="s">
        <v>13</v>
      </c>
      <c r="D41" s="42">
        <v>326650</v>
      </c>
      <c r="E41" s="63">
        <f t="shared" si="1"/>
        <v>1079830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384740</v>
      </c>
      <c r="E58" s="63">
        <f t="shared" si="1"/>
        <v>1271870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747870</v>
      </c>
      <c r="E60" s="39">
        <f>SUM(E40:E59)</f>
        <v>2472290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253</v>
      </c>
      <c r="E62" s="56" t="s">
        <v>236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253</v>
      </c>
      <c r="E68" s="56" t="s">
        <v>236</v>
      </c>
      <c r="F68" s="54"/>
      <c r="G68" s="54"/>
    </row>
    <row r="69" spans="1:7" x14ac:dyDescent="0.3">
      <c r="A69" s="2">
        <v>1</v>
      </c>
      <c r="C69" s="38" t="s">
        <v>30</v>
      </c>
      <c r="D69" s="40">
        <v>24780</v>
      </c>
      <c r="E69" s="62">
        <f>TRUNC(+D69*3.3058,-1)</f>
        <v>81910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3640</v>
      </c>
      <c r="E74" s="63">
        <f>TRUNC(+D74*3.3058,-1)</f>
        <v>12030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18490</v>
      </c>
      <c r="E84" s="63">
        <f>TRUNC(+D84*3.3058,-1)</f>
        <v>61120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2760</v>
      </c>
      <c r="E90" s="63">
        <f>TRUNC(+D90*3.3058,-1)</f>
        <v>9120</v>
      </c>
    </row>
    <row r="91" spans="1:7" x14ac:dyDescent="0.3">
      <c r="A91" s="2">
        <v>23</v>
      </c>
      <c r="C91" s="38" t="s">
        <v>37</v>
      </c>
      <c r="D91" s="42">
        <v>2250</v>
      </c>
      <c r="E91" s="63">
        <f>TRUNC(+D91*3.3058,-1)</f>
        <v>7430</v>
      </c>
    </row>
    <row r="92" spans="1:7" x14ac:dyDescent="0.3">
      <c r="A92" s="2">
        <v>24</v>
      </c>
      <c r="C92" s="38" t="s">
        <v>38</v>
      </c>
      <c r="D92" s="42">
        <v>34820</v>
      </c>
      <c r="E92" s="63">
        <f>TRUNC(+D92*3.3058,-1)</f>
        <v>115100</v>
      </c>
    </row>
    <row r="93" spans="1:7" x14ac:dyDescent="0.3">
      <c r="A93" s="2">
        <v>25</v>
      </c>
      <c r="C93" s="38" t="s">
        <v>148</v>
      </c>
      <c r="D93" s="42">
        <v>206210</v>
      </c>
      <c r="E93" s="63">
        <f>TRUNC(+D93*3.3058,-1)</f>
        <v>681680</v>
      </c>
    </row>
    <row r="94" spans="1:7" ht="17.25" thickBot="1" x14ac:dyDescent="0.35">
      <c r="A94" s="2">
        <v>26</v>
      </c>
      <c r="C94" s="38" t="s">
        <v>47</v>
      </c>
      <c r="D94" s="43"/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292950</v>
      </c>
      <c r="E95" s="39">
        <f>SUM(E69:E94)</f>
        <v>968390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253</v>
      </c>
      <c r="E97" s="56" t="s">
        <v>236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36040</v>
      </c>
      <c r="E100" s="63">
        <f t="shared" si="4"/>
        <v>119140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20950</v>
      </c>
      <c r="E116" s="63">
        <f t="shared" si="4"/>
        <v>69250</v>
      </c>
    </row>
    <row r="117" spans="1:7" x14ac:dyDescent="0.3">
      <c r="A117" s="2">
        <v>20</v>
      </c>
      <c r="C117" s="38" t="s">
        <v>148</v>
      </c>
      <c r="D117" s="42">
        <v>59190</v>
      </c>
      <c r="E117" s="63">
        <f t="shared" si="4"/>
        <v>195670</v>
      </c>
    </row>
    <row r="118" spans="1:7" ht="17.25" thickBot="1" x14ac:dyDescent="0.35">
      <c r="A118" s="2">
        <v>21</v>
      </c>
      <c r="C118" s="38" t="s">
        <v>47</v>
      </c>
      <c r="D118" s="43">
        <v>3990</v>
      </c>
      <c r="E118" s="64">
        <f t="shared" si="4"/>
        <v>13190</v>
      </c>
    </row>
    <row r="119" spans="1:7" x14ac:dyDescent="0.3">
      <c r="A119" s="2">
        <v>22</v>
      </c>
      <c r="C119" s="27" t="s">
        <v>112</v>
      </c>
      <c r="D119" s="39">
        <f>SUM(D98:D118)</f>
        <v>120170</v>
      </c>
      <c r="E119" s="39">
        <f>SUM(E98:E118)</f>
        <v>397250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253</v>
      </c>
      <c r="E121" s="56" t="s">
        <v>236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5940</v>
      </c>
      <c r="E125" s="63">
        <f t="shared" si="5"/>
        <v>19630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1280</v>
      </c>
      <c r="E128" s="63">
        <f t="shared" si="5"/>
        <v>4230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15190</v>
      </c>
      <c r="E130" s="63">
        <f t="shared" si="5"/>
        <v>50210</v>
      </c>
    </row>
    <row r="131" spans="1:7" x14ac:dyDescent="0.3">
      <c r="A131" s="2">
        <v>10</v>
      </c>
      <c r="C131" s="38" t="s">
        <v>148</v>
      </c>
      <c r="D131" s="42">
        <v>34730</v>
      </c>
      <c r="E131" s="63">
        <f t="shared" si="5"/>
        <v>114810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57140</v>
      </c>
      <c r="E133" s="39">
        <f>SUM(E122:E132)</f>
        <v>188880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253</v>
      </c>
      <c r="E135" s="56" t="s">
        <v>236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16600</v>
      </c>
      <c r="E136" s="62">
        <f t="shared" ref="E136:E145" si="6">TRUNC(+D136*3.3058,-1)</f>
        <v>54870</v>
      </c>
    </row>
    <row r="137" spans="1:7" x14ac:dyDescent="0.3">
      <c r="A137" s="2">
        <v>2</v>
      </c>
      <c r="C137" s="38" t="s">
        <v>47</v>
      </c>
      <c r="D137" s="42">
        <v>13050</v>
      </c>
      <c r="E137" s="63">
        <f t="shared" si="6"/>
        <v>43140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29650</v>
      </c>
      <c r="E146" s="39">
        <f>SUM(E136:E145)</f>
        <v>98010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253</v>
      </c>
      <c r="E148" s="56" t="s">
        <v>236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253</v>
      </c>
      <c r="E156" s="56" t="s">
        <v>236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2020-12-07T08:48:50Z</dcterms:modified>
</cp:coreProperties>
</file>