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3" i="4"/>
  <c r="E151" i="4"/>
  <c r="E149" i="4"/>
  <c r="E145" i="4"/>
  <c r="E142" i="4"/>
  <c r="E141" i="4"/>
  <c r="E140" i="4"/>
  <c r="E139" i="4"/>
  <c r="E138" i="4"/>
  <c r="E129" i="4"/>
  <c r="E127" i="4"/>
  <c r="E123" i="4"/>
  <c r="E116" i="4"/>
  <c r="E112" i="4"/>
  <c r="E111" i="4"/>
  <c r="E110" i="4"/>
  <c r="E109" i="4"/>
  <c r="E108" i="4"/>
  <c r="E106" i="4"/>
  <c r="E103" i="4"/>
  <c r="E101" i="4"/>
  <c r="E92" i="4"/>
  <c r="E91" i="4"/>
  <c r="E89" i="4"/>
  <c r="E88" i="4"/>
  <c r="E87" i="4"/>
  <c r="E86" i="4"/>
  <c r="E85" i="4"/>
  <c r="E84" i="4"/>
  <c r="E83" i="4"/>
  <c r="E82" i="4"/>
  <c r="E80" i="4"/>
  <c r="E78" i="4"/>
  <c r="E77" i="4"/>
  <c r="E74" i="4"/>
  <c r="E73" i="4"/>
  <c r="E64" i="4"/>
  <c r="E57" i="4"/>
  <c r="E56" i="4"/>
  <c r="E54" i="4"/>
  <c r="D159" i="4" l="1"/>
  <c r="E159" i="4" s="1"/>
  <c r="D158" i="4"/>
  <c r="E158" i="4" s="1"/>
  <c r="D157" i="4"/>
  <c r="E157" i="4" s="1"/>
  <c r="D152" i="4"/>
  <c r="E152" i="4" s="1"/>
  <c r="D150" i="4"/>
  <c r="E150" i="4" s="1"/>
  <c r="E154" i="4" s="1"/>
  <c r="D144" i="4"/>
  <c r="E144" i="4" s="1"/>
  <c r="D143" i="4"/>
  <c r="E143" i="4" s="1"/>
  <c r="D137" i="4"/>
  <c r="E137" i="4" s="1"/>
  <c r="D136" i="4"/>
  <c r="E136" i="4" s="1"/>
  <c r="E146" i="4" s="1"/>
  <c r="D132" i="4"/>
  <c r="E132" i="4" s="1"/>
  <c r="D131" i="4"/>
  <c r="E131" i="4" s="1"/>
  <c r="D130" i="4"/>
  <c r="E130" i="4" s="1"/>
  <c r="D128" i="4"/>
  <c r="E128" i="4" s="1"/>
  <c r="D126" i="4"/>
  <c r="E126" i="4" s="1"/>
  <c r="D125" i="4"/>
  <c r="E125" i="4" s="1"/>
  <c r="D124" i="4"/>
  <c r="E124" i="4" s="1"/>
  <c r="D122" i="4"/>
  <c r="E122" i="4" s="1"/>
  <c r="D118" i="4"/>
  <c r="E118" i="4" s="1"/>
  <c r="D117" i="4"/>
  <c r="E117" i="4" s="1"/>
  <c r="D115" i="4"/>
  <c r="E115" i="4" s="1"/>
  <c r="D114" i="4"/>
  <c r="E114" i="4" s="1"/>
  <c r="D113" i="4"/>
  <c r="E113" i="4" s="1"/>
  <c r="D107" i="4"/>
  <c r="E107" i="4" s="1"/>
  <c r="D105" i="4"/>
  <c r="E105" i="4" s="1"/>
  <c r="D104" i="4"/>
  <c r="E104" i="4" s="1"/>
  <c r="D102" i="4"/>
  <c r="E102" i="4" s="1"/>
  <c r="D100" i="4"/>
  <c r="E100" i="4" s="1"/>
  <c r="D99" i="4"/>
  <c r="E99" i="4" s="1"/>
  <c r="D98" i="4"/>
  <c r="E98" i="4" s="1"/>
  <c r="D94" i="4"/>
  <c r="E94" i="4" s="1"/>
  <c r="D93" i="4"/>
  <c r="E93" i="4" s="1"/>
  <c r="D90" i="4"/>
  <c r="E90" i="4" s="1"/>
  <c r="D81" i="4"/>
  <c r="E81" i="4" s="1"/>
  <c r="D79" i="4"/>
  <c r="E79" i="4" s="1"/>
  <c r="D76" i="4"/>
  <c r="E76" i="4" s="1"/>
  <c r="D75" i="4"/>
  <c r="E75" i="4" s="1"/>
  <c r="D72" i="4"/>
  <c r="E72" i="4" s="1"/>
  <c r="D71" i="4"/>
  <c r="E71" i="4" s="1"/>
  <c r="D70" i="4"/>
  <c r="E70" i="4" s="1"/>
  <c r="D69" i="4"/>
  <c r="E69" i="4" s="1"/>
  <c r="D65" i="4"/>
  <c r="E65" i="4" s="1"/>
  <c r="D63" i="4"/>
  <c r="E63" i="4" s="1"/>
  <c r="E66" i="4" s="1"/>
  <c r="D59" i="4"/>
  <c r="E59" i="4" s="1"/>
  <c r="D58" i="4"/>
  <c r="E58" i="4" s="1"/>
  <c r="D55" i="4"/>
  <c r="E55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7" i="4"/>
  <c r="E47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E40" i="4" s="1"/>
  <c r="D37" i="4"/>
  <c r="E37" i="4" s="1"/>
  <c r="D154" i="4"/>
  <c r="D31" i="4" s="1"/>
  <c r="E31" i="4" s="1"/>
  <c r="D95" i="4"/>
  <c r="D27" i="4" s="1"/>
  <c r="E27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119" i="4" l="1"/>
  <c r="D28" i="4" s="1"/>
  <c r="E28" i="4" s="1"/>
  <c r="D161" i="4"/>
  <c r="D32" i="4" s="1"/>
  <c r="E32" i="4" s="1"/>
  <c r="E119" i="4"/>
  <c r="D60" i="4"/>
  <c r="D25" i="4" s="1"/>
  <c r="D133" i="4"/>
  <c r="D29" i="4" s="1"/>
  <c r="E29" i="4" s="1"/>
  <c r="E95" i="4"/>
  <c r="E133" i="4"/>
  <c r="D66" i="4"/>
  <c r="D26" i="4" s="1"/>
  <c r="E26" i="4" s="1"/>
  <c r="D146" i="4"/>
  <c r="D30" i="4" s="1"/>
  <c r="E30" i="4" s="1"/>
  <c r="E60" i="4"/>
  <c r="E161" i="4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<sst xmlns="http://schemas.openxmlformats.org/spreadsheetml/2006/main" count="396" uniqueCount="270">
  <si>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</si>
  <si>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</si>
  <si>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</si>
  <si>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</si>
  <si>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</si>
  <si>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</si>
  <si>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</si>
  <si>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</si>
  <si>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</si>
  <si>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</si>
  <si>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</si>
  <si>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</si>
  <si>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</si>
  <si>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</si>
  <si>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</si>
  <si>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</si>
  <si>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</si>
  <si>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</si>
  <si>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</si>
  <si>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</si>
  <si>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</si>
  <si>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</si>
  <si>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</si>
  <si>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</si>
  <si>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</si>
  <si>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</si>
  <si>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</si>
  <si>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</si>
  <si>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</si>
  <si>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</si>
  <si>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</si>
  <si>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</si>
  <si>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</si>
  <si>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</si>
  <si>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</si>
  <si>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</si>
  <si>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</si>
  <si>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</si>
  <si>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</si>
  <si>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</si>
  <si>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</si>
  <si>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</si>
  <si>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</si>
  <si>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</si>
  <si>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</si>
  <si>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</si>
  <si>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</si>
  <si>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</si>
  <si>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</si>
  <si>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</si>
  <si>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</si>
  <si>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</si>
  <si>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</si>
  <si>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</si>
  <si>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</si>
  <si>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</si>
  <si>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</si>
  <si>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</si>
  <si>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</si>
  <si>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</si>
  <si>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</si>
  <si>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</si>
  <si>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</si>
  <si>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</si>
  <si>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</si>
  <si>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</si>
  <si>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</si>
  <si>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</si>
  <si>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</si>
  <si>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</si>
  <si>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</si>
  <si>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</si>
  <si>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</si>
  <si>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</si>
  <si>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</si>
  <si>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</si>
  <si>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</si>
  <si>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</si>
  <si>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</si>
  <si>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</si>
  <si>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</si>
  <si>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</si>
  <si>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</si>
  <si>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</si>
  <si>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</si>
  <si>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</si>
  <si>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</si>
  <si>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</si>
  <si>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</si>
  <si>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</si>
  <si>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</si>
  <si>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</si>
  <si>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</si>
  <si>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</si>
  <si>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</si>
  <si>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</si>
  <si>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</si>
  <si>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</si>
  <si>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</si>
  <si>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</si>
  <si>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</si>
  <si>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</si>
  <si>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</si>
  <si>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</si>
  <si>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</si>
  <si>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</si>
  <si>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</si>
  <si>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</si>
  <si>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</si>
  <si>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</si>
  <si>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</si>
  <si>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</si>
  <si>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</si>
  <si>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</si>
  <si>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</si>
  <si>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</si>
  <si>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</si>
  <si>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</si>
  <si>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</si>
  <si>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</si>
  <si>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</si>
  <si>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</si>
  <si>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</si>
  <si>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</si>
  <si>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</si>
  <si>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</si>
  <si>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</si>
  <si>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</si>
  <si>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</si>
  <si>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</si>
  <si>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</si>
  <si>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</si>
  <si>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</si>
  <si>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</si>
  <si>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</si>
  <si>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</si>
  <si>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</si>
  <si>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</si>
  <si>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</si>
  <si>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</si>
  <si>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</si>
  <si>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</si>
  <si>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</si>
  <si>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</si>
  <si>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</si>
  <si>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</si>
  <si>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</si>
  <si>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</si>
  <si>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</si>
  <si>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</si>
  <si>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</si>
  <si>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</si>
  <si>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</si>
  <si>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</si>
  <si>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</si>
  <si>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</si>
  <si>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</si>
  <si>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</si>
  <si>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</si>
  <si>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</si>
  <si>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</si>
  <si>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</si>
  <si>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</si>
  <si>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</si>
  <si>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</si>
  <si>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</si>
  <si>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</si>
  <si>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</si>
  <si>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</si>
  <si>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</si>
  <si>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</si>
  <si>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</si>
  <si>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</si>
  <si>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</si>
  <si>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</si>
  <si>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</si>
  <si>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</si>
  <si>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</si>
  <si>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</si>
  <si>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</si>
  <si>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</si>
  <si>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</si>
  <si>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</si>
  <si>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</si>
  <si>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</si>
  <si>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</si>
  <si>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</si>
  <si>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</si>
  <si>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</si>
  <si>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</si>
  <si>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</si>
  <si>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</si>
  <si>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</si>
  <si>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</si>
  <si>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</si>
  <si>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</si>
  <si>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</si>
  <si>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</si>
  <si>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</si>
  <si>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</si>
  <si>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</si>
  <si>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</si>
  <si>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</si>
  <si>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</si>
  <si>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</si>
  <si>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</si>
  <si>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</si>
  <si>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</si>
  <si>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</si>
  <si>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</si>
  <si>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</si>
  <si>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</si>
  <si>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</si>
  <si>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</si>
  <si>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</si>
  <si>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</si>
  <si>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</si>
  <si>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</si>
  <si>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</si>
  <si>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</si>
  <si>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</si>
  <si>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</si>
  <si>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</si>
  <si>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</si>
  <si>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</si>
  <si>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</si>
  <si>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</si>
  <si>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</si>
  <si>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</si>
  <si>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</si>
  <si>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</si>
  <si>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</si>
  <si>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</si>
  <si>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</si>
  <si>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</si>
  <si>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업무</t>
  </si>
  <si>
    <t>환기덕트설치공사</t>
  </si>
  <si>
    <t>원/ m2</t>
    <phoneticPr fontId="2" type="noConversion"/>
  </si>
  <si>
    <t>원 /평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</si>
  <si>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</si>
  <si>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</si>
  <si>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</si>
  <si>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</si>
  <si>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</si>
  <si>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</si>
  <si>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</si>
  <si>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</si>
  <si>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</si>
  <si>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</si>
  <si>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</si>
  <si>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</si>
  <si>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서울00경찰서 신축공사</t>
  </si>
  <si>
    <t>서울</t>
  </si>
  <si>
    <t>토및지정공사,기타공사,골재대및운반비,작업부산물,철거공사</t>
    <phoneticPr fontId="2" type="noConversion"/>
  </si>
  <si>
    <t>방진설치공사</t>
  </si>
  <si>
    <t>지열냉난방공사</t>
  </si>
  <si>
    <t>공조배관공사,위생배관공사,HEAT TRACING SYSTEM</t>
  </si>
  <si>
    <t>옥외방송설비</t>
  </si>
  <si>
    <t>포장공</t>
  </si>
  <si>
    <t>토목 배수공사,철거공사,운반비,사급자재비,작업부산물,계측관리비</t>
    <phoneticPr fontId="2" type="noConversion"/>
  </si>
  <si>
    <t>SNOW MELTING 설비공사,신호등설비공사,옥외외등설비공사,주차관제설비공사</t>
    <phoneticPr fontId="2" type="noConversion"/>
  </si>
  <si>
    <t>기계 무선통신보조설비공사</t>
    <phoneticPr fontId="2" type="noConversion"/>
  </si>
  <si>
    <t>CCTV 설비공사,무선통신,비상벨설비</t>
    <phoneticPr fontId="2" type="noConversion"/>
  </si>
  <si>
    <t>도급자설치</t>
    <phoneticPr fontId="2" type="noConversion"/>
  </si>
  <si>
    <t>관급자설치</t>
    <phoneticPr fontId="2" type="noConversion"/>
  </si>
  <si>
    <t>도급자설치, 관급자설치</t>
    <phoneticPr fontId="2" type="noConversion"/>
  </si>
  <si>
    <t>원 /평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</si>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</sst>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267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149</v>
      </c>
      <c r="AB14" s="28">
        <v>10</v>
      </c>
      <c r="AC14" s="29" t="s">
        <v>149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145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146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147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149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149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251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235</v>
      </c>
    </row>
    <row r="6" spans="1:4" ht="27" customHeight="1" thickBot="1" x14ac:dyDescent="0.35">
      <c r="A6" s="2">
        <v>3</v>
      </c>
      <c r="B6" s="2" t="s">
        <v>151</v>
      </c>
      <c r="C6" s="2" t="s">
        <v>104</v>
      </c>
      <c r="D6" s="35" t="s">
        <v>239</v>
      </c>
    </row>
    <row r="7" spans="1:4" ht="17.25" thickBot="1" x14ac:dyDescent="0.35">
      <c r="C7" s="37">
        <v>13222</v>
      </c>
      <c r="D7" s="36">
        <f>+C7/3.3058</f>
        <v>3999.6370016334927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252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180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150</v>
      </c>
    </row>
    <row r="17" spans="1:5" x14ac:dyDescent="0.3">
      <c r="A17" s="2">
        <v>8</v>
      </c>
      <c r="B17" s="2" t="s">
        <v>268</v>
      </c>
    </row>
    <row r="19" spans="1:5" x14ac:dyDescent="0.3">
      <c r="A19" s="2">
        <v>9</v>
      </c>
      <c r="B19" s="2" t="s">
        <v>269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240</v>
      </c>
      <c r="E23" s="35" t="s">
        <v>266</v>
      </c>
    </row>
    <row r="24" spans="1:5" x14ac:dyDescent="0.3">
      <c r="B24" s="2">
        <v>1</v>
      </c>
      <c r="C24" s="35" t="s">
        <v>110</v>
      </c>
      <c r="D24" s="41">
        <f>+D37</f>
        <v>2270</v>
      </c>
      <c r="E24" s="58">
        <f t="shared" ref="E24:E33" si="0">TRUNC(+D24*3.3058,-1)</f>
        <v>7500</v>
      </c>
    </row>
    <row r="25" spans="1:5" x14ac:dyDescent="0.3">
      <c r="B25" s="2">
        <v>2</v>
      </c>
      <c r="C25" s="35" t="s">
        <v>111</v>
      </c>
      <c r="D25" s="45">
        <f>+D60</f>
        <v>464720</v>
      </c>
      <c r="E25" s="59">
        <f t="shared" si="0"/>
        <v>1536270</v>
      </c>
    </row>
    <row r="26" spans="1:5" x14ac:dyDescent="0.3">
      <c r="B26" s="2">
        <v>3</v>
      </c>
      <c r="C26" s="35" t="s">
        <v>95</v>
      </c>
      <c r="D26" s="45">
        <f>+D66</f>
        <v>61660</v>
      </c>
      <c r="E26" s="59">
        <f t="shared" si="0"/>
        <v>203830</v>
      </c>
    </row>
    <row r="27" spans="1:5" x14ac:dyDescent="0.3">
      <c r="B27" s="2">
        <v>4</v>
      </c>
      <c r="C27" s="35" t="s">
        <v>96</v>
      </c>
      <c r="D27" s="45">
        <f>+D95</f>
        <v>147500</v>
      </c>
      <c r="E27" s="59">
        <f t="shared" si="0"/>
        <v>487600</v>
      </c>
    </row>
    <row r="28" spans="1:5" x14ac:dyDescent="0.3">
      <c r="B28" s="2">
        <v>5</v>
      </c>
      <c r="C28" s="35" t="s">
        <v>97</v>
      </c>
      <c r="D28" s="45">
        <f>+D119</f>
        <v>68730</v>
      </c>
      <c r="E28" s="59">
        <f t="shared" si="0"/>
        <v>227200</v>
      </c>
    </row>
    <row r="29" spans="1:5" x14ac:dyDescent="0.3">
      <c r="B29" s="2">
        <v>6</v>
      </c>
      <c r="C29" s="35" t="s">
        <v>98</v>
      </c>
      <c r="D29" s="45">
        <f>+D133</f>
        <v>80440</v>
      </c>
      <c r="E29" s="59">
        <f t="shared" si="0"/>
        <v>265910</v>
      </c>
    </row>
    <row r="30" spans="1:5" x14ac:dyDescent="0.3">
      <c r="B30" s="2">
        <v>7</v>
      </c>
      <c r="C30" s="35" t="s">
        <v>99</v>
      </c>
      <c r="D30" s="45">
        <f>+D146</f>
        <v>27630</v>
      </c>
      <c r="E30" s="59">
        <f t="shared" si="0"/>
        <v>91330</v>
      </c>
    </row>
    <row r="31" spans="1:5" x14ac:dyDescent="0.3">
      <c r="B31" s="2">
        <v>8</v>
      </c>
      <c r="C31" s="35" t="s">
        <v>100</v>
      </c>
      <c r="D31" s="45">
        <f>+D154</f>
        <v>15150</v>
      </c>
      <c r="E31" s="59">
        <f t="shared" si="0"/>
        <v>50080</v>
      </c>
    </row>
    <row r="32" spans="1:5" x14ac:dyDescent="0.3">
      <c r="B32" s="2">
        <v>9</v>
      </c>
      <c r="C32" s="35" t="s">
        <v>101</v>
      </c>
      <c r="D32" s="45">
        <f>+D161</f>
        <v>14490</v>
      </c>
      <c r="E32" s="59">
        <f t="shared" si="0"/>
        <v>47900</v>
      </c>
    </row>
    <row r="33" spans="1:7" x14ac:dyDescent="0.3">
      <c r="B33" s="2">
        <v>10</v>
      </c>
      <c r="C33" s="35" t="s">
        <v>154</v>
      </c>
      <c r="D33" s="53">
        <f>TRUNC(SUM(D24:D32)*0.275,-1)</f>
        <v>242710</v>
      </c>
      <c r="E33" s="60">
        <f t="shared" si="0"/>
        <v>802350</v>
      </c>
    </row>
    <row r="34" spans="1:7" x14ac:dyDescent="0.3">
      <c r="C34" s="35" t="s">
        <v>112</v>
      </c>
      <c r="D34" s="44">
        <f>SUM(D24:D33)</f>
        <v>1125300</v>
      </c>
      <c r="E34" s="44">
        <f>SUM(E24:E33)</f>
        <v>3719970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241</v>
      </c>
      <c r="D36" s="57" t="s">
        <v>237</v>
      </c>
      <c r="E36" s="57" t="s">
        <v>266</v>
      </c>
      <c r="G36" s="55"/>
    </row>
    <row r="37" spans="1:7" ht="17.25" thickBot="1" x14ac:dyDescent="0.35">
      <c r="C37" s="38" t="s">
        <v>143</v>
      </c>
      <c r="D37" s="52">
        <f>TRUNC(2278.58289214945,-1)</f>
        <v>2270</v>
      </c>
      <c r="E37" s="61">
        <f>TRUNC(+D37*3.3058,-1)</f>
        <v>7500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144</v>
      </c>
      <c r="C39" s="56" t="s">
        <v>113</v>
      </c>
      <c r="D39" s="57" t="s">
        <v>237</v>
      </c>
      <c r="E39" s="57" t="s">
        <v>238</v>
      </c>
      <c r="G39" s="55"/>
    </row>
    <row r="40" spans="1:7" x14ac:dyDescent="0.3">
      <c r="A40" s="2">
        <v>1</v>
      </c>
      <c r="C40" s="38" t="s">
        <v>15</v>
      </c>
      <c r="D40" s="40">
        <f>TRUNC(30292.5108909393,-1)</f>
        <v>30290</v>
      </c>
      <c r="E40" s="62">
        <f t="shared" ref="E40:E59" si="1">TRUNC(+D40*3.3058,-1)</f>
        <v>100130</v>
      </c>
    </row>
    <row r="41" spans="1:7" x14ac:dyDescent="0.3">
      <c r="A41" s="2">
        <v>2</v>
      </c>
      <c r="C41" s="38" t="s">
        <v>13</v>
      </c>
      <c r="D41" s="42">
        <f>TRUNC(87005.3277113901,-1)</f>
        <v>87000</v>
      </c>
      <c r="E41" s="63">
        <f t="shared" si="1"/>
        <v>287600</v>
      </c>
    </row>
    <row r="42" spans="1:7" x14ac:dyDescent="0.3">
      <c r="A42" s="2">
        <v>3</v>
      </c>
      <c r="C42" s="38" t="s">
        <v>14</v>
      </c>
      <c r="D42" s="42">
        <f>TRUNC(28603.667675087,-1)</f>
        <v>28600</v>
      </c>
      <c r="E42" s="63">
        <f t="shared" si="1"/>
        <v>94540</v>
      </c>
    </row>
    <row r="43" spans="1:7" x14ac:dyDescent="0.3">
      <c r="A43" s="2">
        <v>4</v>
      </c>
      <c r="C43" s="38" t="s">
        <v>16</v>
      </c>
      <c r="D43" s="42">
        <f>TRUNC(11918.9717894418,-1)</f>
        <v>11910</v>
      </c>
      <c r="E43" s="63">
        <f t="shared" si="1"/>
        <v>39370</v>
      </c>
    </row>
    <row r="44" spans="1:7" x14ac:dyDescent="0.3">
      <c r="A44" s="2">
        <v>5</v>
      </c>
      <c r="C44" s="38" t="s">
        <v>17</v>
      </c>
      <c r="D44" s="42">
        <f>TRUNC(19902.1412040538,-1)</f>
        <v>19900</v>
      </c>
      <c r="E44" s="63">
        <f t="shared" si="1"/>
        <v>65780</v>
      </c>
    </row>
    <row r="45" spans="1:7" x14ac:dyDescent="0.3">
      <c r="A45" s="2">
        <v>6</v>
      </c>
      <c r="C45" s="38" t="s">
        <v>18</v>
      </c>
      <c r="D45" s="42">
        <f>TRUNC(3278.78747541976,-1)</f>
        <v>3270</v>
      </c>
      <c r="E45" s="63">
        <f t="shared" si="1"/>
        <v>10800</v>
      </c>
    </row>
    <row r="46" spans="1:7" x14ac:dyDescent="0.3">
      <c r="A46" s="2">
        <v>7</v>
      </c>
      <c r="C46" s="38" t="s">
        <v>19</v>
      </c>
      <c r="D46" s="42">
        <f>TRUNC(47589.8571320526,-1)</f>
        <v>47580</v>
      </c>
      <c r="E46" s="63">
        <f t="shared" si="1"/>
        <v>157280</v>
      </c>
    </row>
    <row r="47" spans="1:7" x14ac:dyDescent="0.3">
      <c r="A47" s="2">
        <v>8</v>
      </c>
      <c r="C47" s="38" t="s">
        <v>20</v>
      </c>
      <c r="D47" s="42">
        <f>TRUNC(428.640825896234,-1)</f>
        <v>420</v>
      </c>
      <c r="E47" s="63">
        <f t="shared" si="1"/>
        <v>1380</v>
      </c>
    </row>
    <row r="48" spans="1:7" x14ac:dyDescent="0.3">
      <c r="A48" s="2">
        <v>9</v>
      </c>
      <c r="C48" s="38" t="s">
        <v>21</v>
      </c>
      <c r="D48" s="42">
        <f>TRUNC(23467.5076387838,-1)</f>
        <v>23460</v>
      </c>
      <c r="E48" s="63">
        <f t="shared" si="1"/>
        <v>77550</v>
      </c>
    </row>
    <row r="49" spans="1:7" x14ac:dyDescent="0.3">
      <c r="A49" s="2">
        <v>10</v>
      </c>
      <c r="C49" s="38" t="s">
        <v>22</v>
      </c>
      <c r="D49" s="42">
        <f>TRUNC(21000.0333535017,-1)</f>
        <v>21000</v>
      </c>
      <c r="E49" s="63">
        <f t="shared" si="1"/>
        <v>69420</v>
      </c>
    </row>
    <row r="50" spans="1:7" x14ac:dyDescent="0.3">
      <c r="A50" s="2">
        <v>11</v>
      </c>
      <c r="C50" s="38" t="s">
        <v>155</v>
      </c>
      <c r="D50" s="42">
        <f>TRUNC(25930.1538345182,-1)</f>
        <v>25930</v>
      </c>
      <c r="E50" s="63">
        <f t="shared" si="1"/>
        <v>85710</v>
      </c>
    </row>
    <row r="51" spans="1:7" x14ac:dyDescent="0.3">
      <c r="A51" s="2">
        <v>12</v>
      </c>
      <c r="C51" s="38" t="s">
        <v>23</v>
      </c>
      <c r="D51" s="42">
        <f>TRUNC(4343.88322492815,-1)</f>
        <v>4340</v>
      </c>
      <c r="E51" s="63">
        <f t="shared" si="1"/>
        <v>14340</v>
      </c>
    </row>
    <row r="52" spans="1:7" x14ac:dyDescent="0.3">
      <c r="A52" s="2">
        <v>13</v>
      </c>
      <c r="C52" s="38" t="s">
        <v>24</v>
      </c>
      <c r="D52" s="42">
        <f>TRUNC(6139.09279987899,-1)</f>
        <v>6130</v>
      </c>
      <c r="E52" s="63">
        <f t="shared" si="1"/>
        <v>20260</v>
      </c>
    </row>
    <row r="53" spans="1:7" x14ac:dyDescent="0.3">
      <c r="A53" s="2">
        <v>14</v>
      </c>
      <c r="C53" s="38" t="s">
        <v>25</v>
      </c>
      <c r="D53" s="42">
        <f>TRUNC(34673.1666162457,-1)</f>
        <v>34670</v>
      </c>
      <c r="E53" s="63">
        <f t="shared" si="1"/>
        <v>114610</v>
      </c>
    </row>
    <row r="54" spans="1:7" x14ac:dyDescent="0.3">
      <c r="A54" s="2">
        <v>15</v>
      </c>
      <c r="C54" s="38" t="s">
        <v>148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145</v>
      </c>
      <c r="D55" s="42">
        <f>TRUNC(827.664196036908,-1)</f>
        <v>820</v>
      </c>
      <c r="E55" s="63">
        <f t="shared" si="1"/>
        <v>2710</v>
      </c>
    </row>
    <row r="56" spans="1:7" x14ac:dyDescent="0.3">
      <c r="A56" s="2">
        <v>17</v>
      </c>
      <c r="C56" s="38" t="s">
        <v>146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147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TRUNC(326.768416275904+12056.0990016639+3313.82340039328-3446.98230222357+8022.16215398578,-1)</f>
        <v>20270</v>
      </c>
      <c r="E58" s="63">
        <f t="shared" si="1"/>
        <v>67000</v>
      </c>
      <c r="F58" s="2" t="s">
        <v>253</v>
      </c>
    </row>
    <row r="59" spans="1:7" ht="17.25" thickBot="1" x14ac:dyDescent="0.35">
      <c r="A59" s="2">
        <v>20</v>
      </c>
      <c r="C59" s="38" t="s">
        <v>149</v>
      </c>
      <c r="D59" s="43">
        <f>TRUNC(99138.7082135834,-1)</f>
        <v>99130</v>
      </c>
      <c r="E59" s="64">
        <f t="shared" si="1"/>
        <v>327700</v>
      </c>
      <c r="F59" s="2" t="s">
        <v>263</v>
      </c>
    </row>
    <row r="60" spans="1:7" x14ac:dyDescent="0.3">
      <c r="A60" s="2">
        <v>21</v>
      </c>
      <c r="C60" s="27" t="s">
        <v>112</v>
      </c>
      <c r="D60" s="39">
        <f>SUM(D40:D59)</f>
        <v>464720</v>
      </c>
      <c r="E60" s="39">
        <f>SUM(E40:E59)</f>
        <v>1536180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242</v>
      </c>
      <c r="C62" s="56" t="s">
        <v>243</v>
      </c>
      <c r="D62" s="57" t="s">
        <v>240</v>
      </c>
      <c r="E62" s="57" t="s">
        <v>266</v>
      </c>
      <c r="G62" s="55"/>
    </row>
    <row r="63" spans="1:7" x14ac:dyDescent="0.3">
      <c r="A63" s="2">
        <v>1</v>
      </c>
      <c r="C63" s="38" t="s">
        <v>27</v>
      </c>
      <c r="D63" s="40">
        <f>TRUNC(20518.9390409923,-1)</f>
        <v>20510</v>
      </c>
      <c r="E63" s="62">
        <f>TRUNC(+D63*3.3058,-1)</f>
        <v>67800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TRUNC(41155.0335803963,-1)</f>
        <v>41150</v>
      </c>
      <c r="E65" s="64">
        <f>TRUNC(+D65*3.3058,-1)</f>
        <v>136030</v>
      </c>
    </row>
    <row r="66" spans="1:7" x14ac:dyDescent="0.3">
      <c r="A66" s="2">
        <v>4</v>
      </c>
      <c r="C66" s="27" t="s">
        <v>112</v>
      </c>
      <c r="D66" s="39">
        <f>SUM(D63:D65)</f>
        <v>61660</v>
      </c>
      <c r="E66" s="65">
        <f>SUM(E63:E65)</f>
        <v>203830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244</v>
      </c>
      <c r="C68" s="56" t="s">
        <v>245</v>
      </c>
      <c r="D68" s="57" t="s">
        <v>237</v>
      </c>
      <c r="E68" s="57" t="s">
        <v>266</v>
      </c>
      <c r="G68" s="55"/>
    </row>
    <row r="69" spans="1:7" x14ac:dyDescent="0.3">
      <c r="A69" s="2">
        <v>1</v>
      </c>
      <c r="C69" s="38" t="s">
        <v>30</v>
      </c>
      <c r="D69" s="40">
        <f>TRUNC(6211.8058538799,-1)</f>
        <v>6210</v>
      </c>
      <c r="E69" s="62">
        <f>TRUNC(+D69*3.3058,-1)</f>
        <v>20520</v>
      </c>
    </row>
    <row r="70" spans="1:7" ht="16.5" customHeight="1" x14ac:dyDescent="0.3">
      <c r="A70" s="2">
        <v>2</v>
      </c>
      <c r="C70" s="38" t="s">
        <v>31</v>
      </c>
      <c r="D70" s="42">
        <f>TRUNC(252.264029647557,-1)</f>
        <v>250</v>
      </c>
      <c r="E70" s="63">
        <f>TRUNC(+D70*3.3058,-1)</f>
        <v>820</v>
      </c>
    </row>
    <row r="71" spans="1:7" x14ac:dyDescent="0.3">
      <c r="A71" s="2">
        <v>3</v>
      </c>
      <c r="C71" s="38" t="s">
        <v>32</v>
      </c>
      <c r="D71" s="42">
        <f>TRUNC(6698.23407956436,-1)</f>
        <v>6690</v>
      </c>
      <c r="E71" s="63">
        <f t="shared" ref="E71:E73" si="2">TRUNC(+D71*3.3058,-1)</f>
        <v>22110</v>
      </c>
    </row>
    <row r="72" spans="1:7" x14ac:dyDescent="0.3">
      <c r="A72" s="2">
        <v>4</v>
      </c>
      <c r="C72" s="38" t="s">
        <v>33</v>
      </c>
      <c r="D72" s="42">
        <f>TRUNC(3203.7048857964,-1)</f>
        <v>3200</v>
      </c>
      <c r="E72" s="63">
        <f t="shared" si="2"/>
        <v>10570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>TRUNC(+D74*3.3058,-1)</f>
        <v>0</v>
      </c>
    </row>
    <row r="75" spans="1:7" x14ac:dyDescent="0.3">
      <c r="A75" s="2">
        <v>7</v>
      </c>
      <c r="C75" s="38" t="s">
        <v>140</v>
      </c>
      <c r="D75" s="42">
        <f>TRUNC(217.516260777492,-1)</f>
        <v>210</v>
      </c>
      <c r="E75" s="63">
        <f>TRUNC(+D75*3.3058,-1)</f>
        <v>690</v>
      </c>
      <c r="F75" s="2" t="s">
        <v>254</v>
      </c>
    </row>
    <row r="76" spans="1:7" x14ac:dyDescent="0.3">
      <c r="A76" s="2">
        <v>8</v>
      </c>
      <c r="C76" s="38" t="s">
        <v>119</v>
      </c>
      <c r="D76" s="42">
        <f>TRUNC(26004.740962033,-1)</f>
        <v>26000</v>
      </c>
      <c r="E76" s="63">
        <f t="shared" ref="E76:E89" si="3">TRUNC(+D76*3.3058,-1)</f>
        <v>85950</v>
      </c>
      <c r="F76" s="2" t="s">
        <v>255</v>
      </c>
    </row>
    <row r="77" spans="1:7" x14ac:dyDescent="0.3">
      <c r="A77" s="2">
        <v>9</v>
      </c>
      <c r="C77" s="38" t="s">
        <v>153</v>
      </c>
      <c r="D77" s="42">
        <v>0</v>
      </c>
      <c r="E77" s="63">
        <f t="shared" si="3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3"/>
        <v>0</v>
      </c>
    </row>
    <row r="79" spans="1:7" x14ac:dyDescent="0.3">
      <c r="A79" s="2">
        <v>11</v>
      </c>
      <c r="C79" s="38" t="s">
        <v>133</v>
      </c>
      <c r="D79" s="42">
        <f>TRUNC(11891.2291635154,-1)</f>
        <v>11890</v>
      </c>
      <c r="E79" s="63">
        <f t="shared" si="3"/>
        <v>39300</v>
      </c>
      <c r="F79" s="2" t="s">
        <v>236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3"/>
        <v>0</v>
      </c>
    </row>
    <row r="81" spans="1:7" x14ac:dyDescent="0.3">
      <c r="A81" s="2">
        <v>13</v>
      </c>
      <c r="C81" s="38" t="s">
        <v>121</v>
      </c>
      <c r="D81" s="42">
        <f>TRUNC(4638.81583724096,-1)</f>
        <v>4630</v>
      </c>
      <c r="E81" s="63">
        <f t="shared" si="3"/>
        <v>15300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3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3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>TRUNC(+D84*3.3058,-1)</f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3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3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3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3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3"/>
        <v>0</v>
      </c>
    </row>
    <row r="90" spans="1:7" x14ac:dyDescent="0.3">
      <c r="A90" s="2">
        <v>22</v>
      </c>
      <c r="C90" s="38" t="s">
        <v>36</v>
      </c>
      <c r="D90" s="42">
        <f>TRUNC(1022.52737861141,-1)</f>
        <v>1020</v>
      </c>
      <c r="E90" s="63">
        <f>TRUNC(+D90*3.3058,-1)</f>
        <v>3370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>TRUNC(+D91*3.3058,-1)</f>
        <v>0</v>
      </c>
    </row>
    <row r="92" spans="1:7" x14ac:dyDescent="0.3">
      <c r="A92" s="2">
        <v>24</v>
      </c>
      <c r="C92" s="38" t="s">
        <v>38</v>
      </c>
      <c r="D92" s="42">
        <v>0</v>
      </c>
      <c r="E92" s="63">
        <f>TRUNC(+D92*3.3058,-1)</f>
        <v>0</v>
      </c>
    </row>
    <row r="93" spans="1:7" x14ac:dyDescent="0.3">
      <c r="A93" s="2">
        <v>25</v>
      </c>
      <c r="C93" s="38" t="s">
        <v>149</v>
      </c>
      <c r="D93" s="42">
        <f>TRUNC(53483.8148540312,-1)</f>
        <v>53480</v>
      </c>
      <c r="E93" s="63">
        <f>TRUNC(+D93*3.3058,-1)</f>
        <v>176790</v>
      </c>
      <c r="F93" s="2" t="s">
        <v>264</v>
      </c>
    </row>
    <row r="94" spans="1:7" ht="17.25" thickBot="1" x14ac:dyDescent="0.35">
      <c r="A94" s="2">
        <v>26</v>
      </c>
      <c r="C94" s="38" t="s">
        <v>47</v>
      </c>
      <c r="D94" s="43">
        <f>TRUNC(14316.3422326426+18335.3494932688+1270.52533656028,-1)</f>
        <v>33920</v>
      </c>
      <c r="E94" s="64">
        <f>TRUNC(+D94*3.3058,-1)</f>
        <v>112130</v>
      </c>
      <c r="F94" s="2" t="s">
        <v>256</v>
      </c>
    </row>
    <row r="95" spans="1:7" x14ac:dyDescent="0.3">
      <c r="A95" s="2">
        <v>27</v>
      </c>
      <c r="C95" s="27" t="s">
        <v>112</v>
      </c>
      <c r="D95" s="39">
        <f>SUM(D69:D94)</f>
        <v>147500</v>
      </c>
      <c r="E95" s="39">
        <f>SUM(E69:E94)</f>
        <v>487550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246</v>
      </c>
      <c r="C97" s="56" t="s">
        <v>245</v>
      </c>
      <c r="D97" s="57" t="s">
        <v>237</v>
      </c>
      <c r="E97" s="57" t="s">
        <v>266</v>
      </c>
      <c r="G97" s="55"/>
    </row>
    <row r="98" spans="1:7" x14ac:dyDescent="0.3">
      <c r="A98" s="2">
        <v>1</v>
      </c>
      <c r="C98" s="38" t="s">
        <v>39</v>
      </c>
      <c r="D98" s="40">
        <f>TRUNC(4811.3501739525,-1)</f>
        <v>4810</v>
      </c>
      <c r="E98" s="62">
        <f t="shared" ref="E98:E118" si="4">TRUNC(+D98*3.3058,-1)</f>
        <v>15900</v>
      </c>
    </row>
    <row r="99" spans="1:7" x14ac:dyDescent="0.3">
      <c r="A99" s="2">
        <v>2</v>
      </c>
      <c r="C99" s="38" t="s">
        <v>40</v>
      </c>
      <c r="D99" s="42">
        <f>TRUNC(2230.83406443806+226.418998638633,-1)</f>
        <v>2450</v>
      </c>
      <c r="E99" s="63">
        <f t="shared" si="4"/>
        <v>8090</v>
      </c>
    </row>
    <row r="100" spans="1:7" x14ac:dyDescent="0.3">
      <c r="A100" s="2">
        <v>3</v>
      </c>
      <c r="C100" s="38" t="s">
        <v>41</v>
      </c>
      <c r="D100" s="42">
        <f>TRUNC(13359.9287551051,-1)</f>
        <v>13350</v>
      </c>
      <c r="E100" s="63">
        <f t="shared" si="4"/>
        <v>44130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4"/>
        <v>0</v>
      </c>
    </row>
    <row r="102" spans="1:7" x14ac:dyDescent="0.3">
      <c r="A102" s="2">
        <v>5</v>
      </c>
      <c r="C102" s="38" t="s">
        <v>43</v>
      </c>
      <c r="D102" s="42">
        <f>TRUNC(6988.15527151717,-1)</f>
        <v>6980</v>
      </c>
      <c r="E102" s="63">
        <f t="shared" si="4"/>
        <v>23070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4"/>
        <v>0</v>
      </c>
    </row>
    <row r="104" spans="1:7" x14ac:dyDescent="0.3">
      <c r="A104" s="2">
        <v>7</v>
      </c>
      <c r="C104" s="38" t="s">
        <v>45</v>
      </c>
      <c r="D104" s="42">
        <f>TRUNC(2726.00090757828,-1)</f>
        <v>2720</v>
      </c>
      <c r="E104" s="63">
        <f t="shared" si="4"/>
        <v>8990</v>
      </c>
    </row>
    <row r="105" spans="1:7" x14ac:dyDescent="0.3">
      <c r="A105" s="2">
        <v>8</v>
      </c>
      <c r="C105" s="38" t="s">
        <v>46</v>
      </c>
      <c r="D105" s="42">
        <f>TRUNC(1187.07540462865,-1)</f>
        <v>1180</v>
      </c>
      <c r="E105" s="63">
        <f t="shared" si="4"/>
        <v>3900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4"/>
        <v>0</v>
      </c>
    </row>
    <row r="107" spans="1:7" x14ac:dyDescent="0.3">
      <c r="A107" s="2">
        <v>10</v>
      </c>
      <c r="C107" s="38" t="s">
        <v>117</v>
      </c>
      <c r="D107" s="42">
        <f>TRUNC(1411.00968083497,-1)</f>
        <v>1410</v>
      </c>
      <c r="E107" s="63">
        <f t="shared" si="4"/>
        <v>4660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4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4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4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4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4"/>
        <v>0</v>
      </c>
    </row>
    <row r="113" spans="1:7" x14ac:dyDescent="0.3">
      <c r="A113" s="2">
        <v>16</v>
      </c>
      <c r="C113" s="38" t="s">
        <v>118</v>
      </c>
      <c r="D113" s="42">
        <f>TRUNC(1022.73907124489,-1)</f>
        <v>1020</v>
      </c>
      <c r="E113" s="63">
        <f t="shared" si="4"/>
        <v>3370</v>
      </c>
    </row>
    <row r="114" spans="1:7" x14ac:dyDescent="0.3">
      <c r="A114" s="2">
        <v>17</v>
      </c>
      <c r="C114" s="38" t="s">
        <v>130</v>
      </c>
      <c r="D114" s="42">
        <f>TRUNC(1559.24519739828,-1)</f>
        <v>1550</v>
      </c>
      <c r="E114" s="63">
        <f t="shared" si="4"/>
        <v>5120</v>
      </c>
    </row>
    <row r="115" spans="1:7" x14ac:dyDescent="0.3">
      <c r="A115" s="2">
        <v>18</v>
      </c>
      <c r="C115" s="38" t="s">
        <v>116</v>
      </c>
      <c r="D115" s="42">
        <f>TRUNC(2046.1996672213,-1)</f>
        <v>2040</v>
      </c>
      <c r="E115" s="63">
        <f t="shared" si="4"/>
        <v>6740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4"/>
        <v>0</v>
      </c>
    </row>
    <row r="117" spans="1:7" x14ac:dyDescent="0.3">
      <c r="A117" s="2">
        <v>20</v>
      </c>
      <c r="C117" s="38" t="s">
        <v>149</v>
      </c>
      <c r="D117" s="42">
        <f>TRUNC(20631.3719558312+8671.15413704432,-1)</f>
        <v>29300</v>
      </c>
      <c r="E117" s="63">
        <f t="shared" si="4"/>
        <v>96850</v>
      </c>
      <c r="F117" s="2" t="s">
        <v>265</v>
      </c>
    </row>
    <row r="118" spans="1:7" ht="17.25" thickBot="1" x14ac:dyDescent="0.35">
      <c r="A118" s="2">
        <v>21</v>
      </c>
      <c r="C118" s="38" t="s">
        <v>47</v>
      </c>
      <c r="D118" s="43">
        <f>TRUNC(29.2391468764181+568.664422931478+474.311677507185+850.645136893057,-1)</f>
        <v>1920</v>
      </c>
      <c r="E118" s="64">
        <f t="shared" si="4"/>
        <v>6340</v>
      </c>
      <c r="F118" s="2" t="s">
        <v>260</v>
      </c>
    </row>
    <row r="119" spans="1:7" x14ac:dyDescent="0.3">
      <c r="A119" s="2">
        <v>22</v>
      </c>
      <c r="C119" s="27" t="s">
        <v>112</v>
      </c>
      <c r="D119" s="39">
        <f>SUM(D98:D118)</f>
        <v>68730</v>
      </c>
      <c r="E119" s="39">
        <f>SUM(E98:E118)</f>
        <v>227160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247</v>
      </c>
      <c r="C121" s="56" t="s">
        <v>245</v>
      </c>
      <c r="D121" s="57" t="s">
        <v>237</v>
      </c>
      <c r="E121" s="57" t="s">
        <v>266</v>
      </c>
      <c r="G121" s="55"/>
    </row>
    <row r="122" spans="1:7" x14ac:dyDescent="0.3">
      <c r="A122" s="2">
        <v>1</v>
      </c>
      <c r="C122" s="38" t="s">
        <v>55</v>
      </c>
      <c r="D122" s="40">
        <f>TRUNC(1772.55105127817,-1)</f>
        <v>1770</v>
      </c>
      <c r="E122" s="62">
        <f t="shared" ref="E122:E132" si="5">TRUNC(+D122*3.3058,-1)</f>
        <v>5850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5"/>
        <v>0</v>
      </c>
    </row>
    <row r="124" spans="1:7" x14ac:dyDescent="0.3">
      <c r="A124" s="2">
        <v>3</v>
      </c>
      <c r="C124" s="38" t="s">
        <v>152</v>
      </c>
      <c r="D124" s="42">
        <f>TRUNC(1014.56663137196,-1)</f>
        <v>1010</v>
      </c>
      <c r="E124" s="63">
        <f t="shared" si="5"/>
        <v>3330</v>
      </c>
    </row>
    <row r="125" spans="1:7" x14ac:dyDescent="0.3">
      <c r="A125" s="2">
        <v>4</v>
      </c>
      <c r="C125" s="38" t="s">
        <v>138</v>
      </c>
      <c r="D125" s="42">
        <f>TRUNC(3056.06428679474,-1)</f>
        <v>3050</v>
      </c>
      <c r="E125" s="63">
        <f t="shared" si="5"/>
        <v>10080</v>
      </c>
    </row>
    <row r="126" spans="1:7" x14ac:dyDescent="0.3">
      <c r="A126" s="2">
        <v>5</v>
      </c>
      <c r="C126" s="38" t="s">
        <v>53</v>
      </c>
      <c r="D126" s="42">
        <f>TRUNC(195.838375434881,-1)</f>
        <v>190</v>
      </c>
      <c r="E126" s="63">
        <f t="shared" si="5"/>
        <v>620</v>
      </c>
      <c r="F126" s="2" t="s">
        <v>257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5"/>
        <v>0</v>
      </c>
    </row>
    <row r="128" spans="1:7" x14ac:dyDescent="0.3">
      <c r="A128" s="2">
        <v>7</v>
      </c>
      <c r="C128" s="38" t="s">
        <v>46</v>
      </c>
      <c r="D128" s="42">
        <f>TRUNC(2188.2726516412,-1)</f>
        <v>2180</v>
      </c>
      <c r="E128" s="63">
        <f t="shared" si="5"/>
        <v>7200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5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TRUNC(18118.5752533656,-1)</f>
        <v>18110</v>
      </c>
      <c r="E130" s="63">
        <f t="shared" si="5"/>
        <v>59860</v>
      </c>
    </row>
    <row r="131" spans="1:7" x14ac:dyDescent="0.3">
      <c r="A131" s="2">
        <v>10</v>
      </c>
      <c r="C131" s="38" t="s">
        <v>149</v>
      </c>
      <c r="D131" s="42">
        <f>TRUNC(45327.4844955377,-1)</f>
        <v>45320</v>
      </c>
      <c r="E131" s="63">
        <f t="shared" si="5"/>
        <v>149810</v>
      </c>
      <c r="F131" s="2" t="s">
        <v>264</v>
      </c>
    </row>
    <row r="132" spans="1:7" ht="18" thickBot="1" x14ac:dyDescent="0.35">
      <c r="A132" s="2">
        <v>11</v>
      </c>
      <c r="C132" s="38" t="s">
        <v>47</v>
      </c>
      <c r="D132" s="43">
        <f>TRUNC(3139.83156859779+3324.24739071245+2355.70140674633,-1)</f>
        <v>8810</v>
      </c>
      <c r="E132" s="64">
        <f t="shared" si="5"/>
        <v>29120</v>
      </c>
      <c r="F132" s="54" t="s">
        <v>262</v>
      </c>
    </row>
    <row r="133" spans="1:7" x14ac:dyDescent="0.3">
      <c r="A133" s="2">
        <v>12</v>
      </c>
      <c r="C133" s="27" t="s">
        <v>112</v>
      </c>
      <c r="D133" s="39">
        <f>SUM(D122:D132)</f>
        <v>80440</v>
      </c>
      <c r="E133" s="39">
        <f>SUM(E122:E132)</f>
        <v>265870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248</v>
      </c>
      <c r="C135" s="56" t="s">
        <v>245</v>
      </c>
      <c r="D135" s="57" t="s">
        <v>237</v>
      </c>
      <c r="E135" s="57" t="s">
        <v>266</v>
      </c>
      <c r="G135" s="55"/>
    </row>
    <row r="136" spans="1:7" x14ac:dyDescent="0.3">
      <c r="A136" s="2">
        <v>1</v>
      </c>
      <c r="C136" s="38" t="s">
        <v>131</v>
      </c>
      <c r="D136" s="40">
        <f>TRUNC(16260.3361821207,-1)</f>
        <v>16260</v>
      </c>
      <c r="E136" s="62">
        <f t="shared" ref="E136:E145" si="6">TRUNC(+D136*3.3058,-1)</f>
        <v>53750</v>
      </c>
    </row>
    <row r="137" spans="1:7" x14ac:dyDescent="0.3">
      <c r="A137" s="2">
        <v>2</v>
      </c>
      <c r="C137" s="38" t="s">
        <v>47</v>
      </c>
      <c r="D137" s="42">
        <f>TRUNC(2424.28618968386,-1)</f>
        <v>2420</v>
      </c>
      <c r="E137" s="63">
        <f t="shared" si="6"/>
        <v>8000</v>
      </c>
      <c r="F137" s="2" t="s">
        <v>261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6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6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6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6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6"/>
        <v>0</v>
      </c>
    </row>
    <row r="143" spans="1:7" x14ac:dyDescent="0.3">
      <c r="A143" s="2">
        <v>8</v>
      </c>
      <c r="C143" s="38" t="s">
        <v>62</v>
      </c>
      <c r="D143" s="42">
        <f>TRUNC(1731.48252911814,-1)</f>
        <v>1730</v>
      </c>
      <c r="E143" s="63">
        <f t="shared" si="6"/>
        <v>5710</v>
      </c>
    </row>
    <row r="144" spans="1:7" x14ac:dyDescent="0.3">
      <c r="A144" s="2">
        <v>9</v>
      </c>
      <c r="C144" s="38" t="s">
        <v>63</v>
      </c>
      <c r="D144" s="42">
        <f>TRUNC(7223.92293147784,-1)</f>
        <v>7220</v>
      </c>
      <c r="E144" s="63">
        <f t="shared" si="6"/>
        <v>23860</v>
      </c>
    </row>
    <row r="145" spans="1:7" ht="17.25" thickBot="1" x14ac:dyDescent="0.35">
      <c r="A145" s="2">
        <v>10</v>
      </c>
      <c r="C145" s="38" t="s">
        <v>149</v>
      </c>
      <c r="D145" s="43">
        <v>0</v>
      </c>
      <c r="E145" s="64">
        <f t="shared" si="6"/>
        <v>0</v>
      </c>
    </row>
    <row r="146" spans="1:7" x14ac:dyDescent="0.3">
      <c r="A146" s="2">
        <v>11</v>
      </c>
      <c r="C146" s="27" t="s">
        <v>112</v>
      </c>
      <c r="D146" s="39">
        <f>SUM(D136:D145)</f>
        <v>27630</v>
      </c>
      <c r="E146" s="39">
        <f>SUM(E136:E145)</f>
        <v>91320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249</v>
      </c>
      <c r="C148" s="56" t="s">
        <v>245</v>
      </c>
      <c r="D148" s="57" t="s">
        <v>237</v>
      </c>
      <c r="E148" s="57" t="s">
        <v>266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f>TRUNC(3056.02412645591,-1)</f>
        <v>3050</v>
      </c>
      <c r="E150" s="63">
        <f>TRUNC(+D150*3.3058,-1)</f>
        <v>10080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TRUNC(1868.20602026925+1778.25578581153+150.328845862956+7744.55453032824-32.9859325366813+593.707457268189,-1)</f>
        <v>12100</v>
      </c>
      <c r="E152" s="63">
        <f>TRUNC(+D152*3.3058,-1)</f>
        <v>40000</v>
      </c>
      <c r="F152" s="2" t="s">
        <v>259</v>
      </c>
    </row>
    <row r="153" spans="1:7" ht="17.25" thickBot="1" x14ac:dyDescent="0.35">
      <c r="A153" s="2">
        <v>5</v>
      </c>
      <c r="C153" s="38" t="s">
        <v>149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15150</v>
      </c>
      <c r="E154" s="39">
        <f>SUM(E149:E153)</f>
        <v>50080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250</v>
      </c>
      <c r="C156" s="56" t="s">
        <v>245</v>
      </c>
      <c r="D156" s="57" t="s">
        <v>237</v>
      </c>
      <c r="E156" s="57" t="s">
        <v>266</v>
      </c>
      <c r="G156" s="55"/>
    </row>
    <row r="157" spans="1:7" x14ac:dyDescent="0.3">
      <c r="A157" s="2">
        <v>1</v>
      </c>
      <c r="C157" s="38" t="s">
        <v>51</v>
      </c>
      <c r="D157" s="40">
        <f>TRUNC(5932.60868249887,-1)</f>
        <v>5930</v>
      </c>
      <c r="E157" s="62">
        <f>TRUNC(+D157*3.3058,-1)</f>
        <v>19600</v>
      </c>
    </row>
    <row r="158" spans="1:7" x14ac:dyDescent="0.3">
      <c r="A158" s="2">
        <v>2</v>
      </c>
      <c r="C158" s="38" t="s">
        <v>52</v>
      </c>
      <c r="D158" s="42">
        <f>TRUNC(4513.78535773711,-1)</f>
        <v>4510</v>
      </c>
      <c r="E158" s="63">
        <f>TRUNC(+D158*3.3058,-1)</f>
        <v>14900</v>
      </c>
    </row>
    <row r="159" spans="1:7" x14ac:dyDescent="0.3">
      <c r="A159" s="2">
        <v>3</v>
      </c>
      <c r="C159" s="38" t="s">
        <v>47</v>
      </c>
      <c r="D159" s="42">
        <f>TRUNC(4052.93465436394,-1)</f>
        <v>4050</v>
      </c>
      <c r="E159" s="63">
        <f>TRUNC(+D159*3.3058,-1)</f>
        <v>13380</v>
      </c>
      <c r="F159" s="2" t="s">
        <v>258</v>
      </c>
    </row>
    <row r="160" spans="1:7" ht="17.25" thickBot="1" x14ac:dyDescent="0.35">
      <c r="A160" s="2">
        <v>4</v>
      </c>
      <c r="C160" s="38" t="s">
        <v>149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14490</v>
      </c>
      <c r="E161" s="39">
        <f>SUM(E157:E160)</f>
        <v>47880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2020-12-07T09:09:25Z</dcterms:modified>
</cp:coreProperties>
</file>