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1" i="4" l="1"/>
  <c r="D94" i="4"/>
  <c r="D136" i="4" l="1"/>
  <c r="D137" i="4"/>
  <c r="D40" i="4" l="1"/>
  <c r="D58" i="4"/>
  <c r="D59" i="4"/>
  <c r="D55" i="4"/>
  <c r="D53" i="4"/>
  <c r="D52" i="4"/>
  <c r="D51" i="4"/>
  <c r="D50" i="4"/>
  <c r="D49" i="4"/>
  <c r="D48" i="4"/>
  <c r="D46" i="4"/>
  <c r="D44" i="4"/>
  <c r="D43" i="4"/>
  <c r="D42" i="4"/>
  <c r="D41" i="4"/>
  <c r="D37" i="4"/>
  <c r="D152" i="4"/>
  <c r="D150" i="4"/>
  <c r="D159" i="4"/>
  <c r="D158" i="4"/>
  <c r="D157" i="4"/>
  <c r="D63" i="4"/>
  <c r="D93" i="4"/>
  <c r="D86" i="4"/>
  <c r="D79" i="4"/>
  <c r="D75" i="4"/>
  <c r="D72" i="4"/>
  <c r="D78" i="4"/>
  <c r="D73" i="4"/>
  <c r="D69" i="4"/>
  <c r="D104" i="4"/>
  <c r="D105" i="4"/>
  <c r="D101" i="4"/>
  <c r="D100" i="4"/>
  <c r="D102" i="4"/>
  <c r="D99" i="4"/>
  <c r="D98" i="4"/>
  <c r="D115" i="4"/>
  <c r="D118" i="4"/>
  <c r="D117" i="4"/>
  <c r="D128" i="4"/>
  <c r="D132" i="4"/>
  <c r="D125" i="4"/>
  <c r="D122" i="4"/>
  <c r="D130" i="4"/>
  <c r="D13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154" i="4"/>
  <c r="E95" i="4"/>
  <c r="E146" i="4"/>
  <c r="E119" i="4"/>
  <c r="E133" i="4"/>
  <c r="D161" i="4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<sst xmlns="http://schemas.openxmlformats.org/spreadsheetml/2006/main" count="393" uniqueCount="267">
  <si>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</si>
  <si>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</si>
  <si>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</si>
  <si>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</si>
  <si>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</si>
  <si>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</si>
  <si>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</si>
  <si>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</si>
  <si>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</si>
  <si>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</si>
  <si>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</si>
  <si>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</si>
  <si>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</si>
  <si>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</si>
  <si>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</si>
  <si>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</si>
  <si>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</si>
  <si>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</si>
  <si>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</si>
  <si>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</si>
  <si>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</si>
  <si>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</si>
  <si>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</si>
  <si>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</si>
  <si>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</si>
  <si>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</si>
  <si>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</si>
  <si>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</si>
  <si>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</si>
  <si>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</si>
  <si>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</si>
  <si>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</si>
  <si>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</si>
  <si>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</si>
  <si>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</si>
  <si>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</si>
  <si>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</si>
  <si>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</si>
  <si>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</si>
  <si>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</si>
  <si>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</si>
  <si>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</si>
  <si>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</si>
  <si>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</si>
  <si>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</si>
  <si>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</si>
  <si>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</si>
  <si>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</si>
  <si>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</si>
  <si>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</si>
  <si>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</si>
  <si>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</si>
  <si>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</si>
  <si>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</si>
  <si>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</si>
  <si>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</si>
  <si>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</si>
  <si>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</si>
  <si>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</si>
  <si>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</si>
  <si>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</si>
  <si>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</si>
  <si>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</si>
  <si>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</si>
  <si>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</si>
  <si>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</si>
  <si>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</si>
  <si>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</si>
  <si>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</si>
  <si>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</si>
  <si>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</si>
  <si>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</si>
  <si>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</si>
  <si>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</si>
  <si>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</si>
  <si>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</si>
  <si>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</si>
  <si>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</si>
  <si>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</si>
  <si>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</si>
  <si>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</si>
  <si>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</si>
  <si>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</si>
  <si>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</si>
  <si>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</si>
  <si>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</si>
  <si>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</si>
  <si>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</si>
  <si>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</si>
  <si>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</si>
  <si>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</si>
  <si>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</si>
  <si>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</si>
  <si>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</si>
  <si>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</si>
  <si>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</si>
  <si>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</si>
  <si>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</si>
  <si>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</si>
  <si>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</si>
  <si>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</si>
  <si>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</si>
  <si>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</si>
  <si>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</si>
  <si>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</si>
  <si>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</si>
  <si>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</si>
  <si>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</si>
  <si>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</si>
  <si>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</si>
  <si>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</si>
  <si>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</si>
  <si>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</si>
  <si>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</si>
  <si>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</si>
  <si>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</si>
  <si>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</si>
  <si>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</si>
  <si>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</si>
  <si>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</si>
  <si>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</si>
  <si>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</si>
  <si>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</si>
  <si>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</si>
  <si>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</si>
  <si>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</si>
  <si>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</si>
  <si>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</si>
  <si>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</si>
  <si>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</si>
  <si>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</si>
  <si>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</si>
  <si>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</si>
  <si>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</si>
  <si>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</si>
  <si>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</si>
  <si>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</si>
  <si>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</si>
  <si>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</si>
  <si>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</si>
  <si>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</si>
  <si>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</si>
  <si>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</si>
  <si>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</si>
  <si>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</si>
  <si>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</si>
  <si>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</si>
  <si>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</si>
  <si>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</si>
  <si>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</si>
  <si>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</si>
  <si>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</si>
  <si>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</si>
  <si>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</si>
  <si>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</si>
  <si>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</si>
  <si>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</si>
  <si>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</si>
  <si>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</si>
  <si>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</si>
  <si>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</si>
  <si>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</si>
  <si>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</si>
  <si>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</si>
  <si>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</si>
  <si>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</si>
  <si>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</si>
  <si>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</si>
  <si>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</si>
  <si>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</si>
  <si>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</si>
  <si>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</si>
  <si>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</si>
  <si>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</si>
  <si>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</si>
  <si>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</si>
  <si>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</si>
  <si>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</si>
  <si>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</si>
  <si>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</si>
  <si>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</si>
  <si>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</si>
  <si>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</si>
  <si>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</si>
  <si>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</si>
  <si>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</si>
  <si>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</si>
  <si>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</si>
  <si>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</si>
  <si>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</si>
  <si>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</si>
  <si>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</si>
  <si>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</si>
  <si>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</si>
  <si>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</si>
  <si>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</si>
  <si>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</si>
  <si>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</si>
  <si>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</si>
  <si>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</si>
  <si>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</si>
  <si>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</si>
  <si>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</si>
  <si>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</si>
  <si>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</si>
  <si>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</si>
  <si>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</si>
  <si>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</si>
  <si>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</si>
  <si>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</si>
  <si>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</si>
  <si>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</si>
  <si>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</si>
  <si>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</si>
  <si>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</si>
  <si>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</si>
  <si>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</si>
  <si>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</si>
  <si>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</si>
  <si>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</si>
  <si>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</si>
  <si>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</si>
  <si>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</si>
  <si>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</si>
  <si>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</si>
  <si>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</si>
  <si>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</si>
  <si>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</si>
  <si>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</si>
  <si>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</si>
  <si>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</si>
  <si>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</si>
  <si>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</si>
  <si>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</si>
  <si>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</si>
  <si>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</si>
  <si>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</si>
  <si>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</si>
  <si>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</si>
  <si>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</si>
  <si>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</si>
  <si>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</si>
  <si>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</si>
  <si>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</si>
  <si>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</si>
  <si>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</si>
  <si>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</si>
  <si>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</si>
  <si>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</si>
  <si>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00박물관 건립공사</t>
  </si>
  <si>
    <t>문화및집회</t>
  </si>
  <si>
    <t>인천시</t>
  </si>
  <si>
    <t>CCTV 설비공사</t>
  </si>
  <si>
    <t>인테리어 전기공사</t>
  </si>
  <si>
    <t>옥외 경관조명공사</t>
  </si>
  <si>
    <t>옥외급수공사</t>
  </si>
  <si>
    <t>가스배관,연도공사</t>
  </si>
  <si>
    <t>환기설비공사</t>
    <phoneticPr fontId="2" type="noConversion"/>
  </si>
  <si>
    <t>포장공사</t>
    <phoneticPr fontId="2" type="noConversion"/>
  </si>
  <si>
    <t>배수공,상수공,옹벽공,운반공,부대공</t>
    <phoneticPr fontId="2" type="noConversion"/>
  </si>
  <si>
    <t>타일및석공사</t>
  </si>
  <si>
    <t>잡공사,품질관리비,골재비,운반비,작업부산물,폐기물처리,전시시설공사</t>
    <phoneticPr fontId="2" type="noConversion"/>
  </si>
  <si>
    <t>난방배관공사,위생배관공사</t>
    <phoneticPr fontId="2" type="noConversion"/>
  </si>
  <si>
    <t>기계실공사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</si>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</sst>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4127</v>
      </c>
      <c r="D7" s="36">
        <f>+C7/3.3058</f>
        <v>1248.4118821465304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7900</v>
      </c>
      <c r="E24" s="58">
        <f t="shared" ref="E24:E33" si="0">TRUNC(+D24*3.3058,-1)</f>
        <v>26110</v>
      </c>
    </row>
    <row r="25" spans="1:5" x14ac:dyDescent="0.3">
      <c r="B25" s="2">
        <v>2</v>
      </c>
      <c r="C25" s="35" t="s">
        <v>111</v>
      </c>
      <c r="D25" s="45">
        <f>+D60</f>
        <v>1189040</v>
      </c>
      <c r="E25" s="59">
        <f t="shared" si="0"/>
        <v>3930720</v>
      </c>
    </row>
    <row r="26" spans="1:5" x14ac:dyDescent="0.3">
      <c r="B26" s="2">
        <v>3</v>
      </c>
      <c r="C26" s="35" t="s">
        <v>95</v>
      </c>
      <c r="D26" s="45">
        <f>+D66</f>
        <v>27890</v>
      </c>
      <c r="E26" s="59">
        <f t="shared" si="0"/>
        <v>92190</v>
      </c>
    </row>
    <row r="27" spans="1:5" x14ac:dyDescent="0.3">
      <c r="B27" s="2">
        <v>4</v>
      </c>
      <c r="C27" s="35" t="s">
        <v>96</v>
      </c>
      <c r="D27" s="45">
        <f>+D95</f>
        <v>256280</v>
      </c>
      <c r="E27" s="59">
        <f t="shared" si="0"/>
        <v>847210</v>
      </c>
    </row>
    <row r="28" spans="1:5" x14ac:dyDescent="0.3">
      <c r="B28" s="2">
        <v>5</v>
      </c>
      <c r="C28" s="35" t="s">
        <v>97</v>
      </c>
      <c r="D28" s="45">
        <f>+D119</f>
        <v>229910</v>
      </c>
      <c r="E28" s="59">
        <f t="shared" si="0"/>
        <v>760030</v>
      </c>
    </row>
    <row r="29" spans="1:5" x14ac:dyDescent="0.3">
      <c r="B29" s="2">
        <v>6</v>
      </c>
      <c r="C29" s="35" t="s">
        <v>98</v>
      </c>
      <c r="D29" s="45">
        <f>+D133</f>
        <v>37520</v>
      </c>
      <c r="E29" s="59">
        <f t="shared" si="0"/>
        <v>124030</v>
      </c>
    </row>
    <row r="30" spans="1:5" x14ac:dyDescent="0.3">
      <c r="B30" s="2">
        <v>7</v>
      </c>
      <c r="C30" s="35" t="s">
        <v>99</v>
      </c>
      <c r="D30" s="45">
        <f>+D146</f>
        <v>56990</v>
      </c>
      <c r="E30" s="59">
        <f t="shared" si="0"/>
        <v>188390</v>
      </c>
    </row>
    <row r="31" spans="1:5" x14ac:dyDescent="0.3">
      <c r="B31" s="2">
        <v>8</v>
      </c>
      <c r="C31" s="35" t="s">
        <v>100</v>
      </c>
      <c r="D31" s="45">
        <f>+D154</f>
        <v>33990</v>
      </c>
      <c r="E31" s="59">
        <f t="shared" si="0"/>
        <v>112360</v>
      </c>
    </row>
    <row r="32" spans="1:5" x14ac:dyDescent="0.3">
      <c r="B32" s="2">
        <v>9</v>
      </c>
      <c r="C32" s="35" t="s">
        <v>101</v>
      </c>
      <c r="D32" s="45">
        <f>+D161</f>
        <v>64760</v>
      </c>
      <c r="E32" s="59">
        <f t="shared" si="0"/>
        <v>214080</v>
      </c>
    </row>
    <row r="33" spans="1:7" x14ac:dyDescent="0.3">
      <c r="B33" s="2">
        <v>10</v>
      </c>
      <c r="C33" s="35" t="s">
        <v>155</v>
      </c>
      <c r="D33" s="53">
        <f>TRUNC(SUM(D24:D32)*0.275,-1)</f>
        <v>523670</v>
      </c>
      <c r="E33" s="60">
        <f t="shared" si="0"/>
        <v>1731140</v>
      </c>
    </row>
    <row r="34" spans="1:7" x14ac:dyDescent="0.3">
      <c r="C34" s="35" t="s">
        <v>112</v>
      </c>
      <c r="D34" s="44">
        <f>SUM(D24:D33)</f>
        <v>2427950</v>
      </c>
      <c r="E34" s="44">
        <f>SUM(E24:E33)</f>
        <v>8026260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f>TRUNC(7904.81899685001,-1)</f>
        <v>7900</v>
      </c>
      <c r="E37" s="61">
        <f>TRUNC(+D37*3.3058,-1)</f>
        <v>26110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TRUNC(33385.7322510298,-1)</f>
        <v>33380</v>
      </c>
      <c r="E40" s="62">
        <f t="shared" ref="E40:E59" si="1">TRUNC(+D40*3.3058,-1)</f>
        <v>110340</v>
      </c>
    </row>
    <row r="41" spans="1:7" x14ac:dyDescent="0.3">
      <c r="A41" s="2">
        <v>2</v>
      </c>
      <c r="C41" s="38" t="s">
        <v>13</v>
      </c>
      <c r="D41" s="42">
        <f>TRUNC(188463.14659559,-1)</f>
        <v>188460</v>
      </c>
      <c r="E41" s="63">
        <f t="shared" si="1"/>
        <v>623010</v>
      </c>
    </row>
    <row r="42" spans="1:7" x14ac:dyDescent="0.3">
      <c r="A42" s="2">
        <v>3</v>
      </c>
      <c r="C42" s="38" t="s">
        <v>14</v>
      </c>
      <c r="D42" s="42">
        <f>TRUNC(2929.05282287376,-1)</f>
        <v>2920</v>
      </c>
      <c r="E42" s="63">
        <f t="shared" si="1"/>
        <v>9650</v>
      </c>
    </row>
    <row r="43" spans="1:7" x14ac:dyDescent="0.3">
      <c r="A43" s="2">
        <v>4</v>
      </c>
      <c r="C43" s="38" t="s">
        <v>16</v>
      </c>
      <c r="D43" s="42">
        <f>TRUNC(19865.6222437606,-1)</f>
        <v>19860</v>
      </c>
      <c r="E43" s="63">
        <f t="shared" si="1"/>
        <v>65650</v>
      </c>
    </row>
    <row r="44" spans="1:7" x14ac:dyDescent="0.3">
      <c r="A44" s="2">
        <v>5</v>
      </c>
      <c r="C44" s="38" t="s">
        <v>17</v>
      </c>
      <c r="D44" s="42">
        <f>TRUNC(36243.2602374606,-1)</f>
        <v>36240</v>
      </c>
      <c r="E44" s="63">
        <f t="shared" si="1"/>
        <v>119800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TRUNC(23892.2975527017,-1)</f>
        <v>23890</v>
      </c>
      <c r="E46" s="63">
        <f t="shared" si="1"/>
        <v>78970</v>
      </c>
      <c r="F46" s="2" t="s">
        <v>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TRUNC(83752.2129876424,-1)</f>
        <v>83750</v>
      </c>
      <c r="E48" s="63">
        <f t="shared" si="1"/>
        <v>276860</v>
      </c>
    </row>
    <row r="49" spans="1:7" x14ac:dyDescent="0.3">
      <c r="A49" s="2">
        <v>10</v>
      </c>
      <c r="C49" s="38" t="s">
        <v>22</v>
      </c>
      <c r="D49" s="42">
        <f>TRUNC(21344.8611582263,-1)</f>
        <v>21340</v>
      </c>
      <c r="E49" s="63">
        <f t="shared" si="1"/>
        <v>70540</v>
      </c>
    </row>
    <row r="50" spans="1:7" x14ac:dyDescent="0.3">
      <c r="A50" s="2">
        <v>11</v>
      </c>
      <c r="C50" s="38" t="s">
        <v>156</v>
      </c>
      <c r="D50" s="42">
        <f>TRUNC(60270.5834746789,-1)</f>
        <v>60270</v>
      </c>
      <c r="E50" s="63">
        <f t="shared" si="1"/>
        <v>199240</v>
      </c>
    </row>
    <row r="51" spans="1:7" x14ac:dyDescent="0.3">
      <c r="A51" s="2">
        <v>12</v>
      </c>
      <c r="C51" s="38" t="s">
        <v>23</v>
      </c>
      <c r="D51" s="42">
        <f>TRUNC(9122.20256845166,-1)</f>
        <v>9120</v>
      </c>
      <c r="E51" s="63">
        <f t="shared" si="1"/>
        <v>30140</v>
      </c>
    </row>
    <row r="52" spans="1:7" x14ac:dyDescent="0.3">
      <c r="A52" s="2">
        <v>13</v>
      </c>
      <c r="C52" s="38" t="s">
        <v>24</v>
      </c>
      <c r="D52" s="42">
        <f>TRUNC(7140.62951296341,-1)</f>
        <v>7140</v>
      </c>
      <c r="E52" s="63">
        <f t="shared" si="1"/>
        <v>23600</v>
      </c>
    </row>
    <row r="53" spans="1:7" x14ac:dyDescent="0.3">
      <c r="A53" s="2">
        <v>14</v>
      </c>
      <c r="C53" s="38" t="s">
        <v>25</v>
      </c>
      <c r="D53" s="42">
        <f>TRUNC(65218.7506663436,-1)</f>
        <v>65210</v>
      </c>
      <c r="E53" s="63">
        <f t="shared" si="1"/>
        <v>215570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f>TRUNC(673.157984007754,-1)</f>
        <v>670</v>
      </c>
      <c r="E55" s="63">
        <f t="shared" si="1"/>
        <v>2210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TRUNC(28011.8824812212+1247.12866488975+2991.76157014781+2282.03513448025-1064.50327114126+1994.49963653986+432643.600678459,-1)</f>
        <v>468100</v>
      </c>
      <c r="E58" s="63">
        <f t="shared" si="1"/>
        <v>1547440</v>
      </c>
      <c r="F58" s="2" t="s">
        <v>261</v>
      </c>
    </row>
    <row r="59" spans="1:7" ht="17.25" thickBot="1" x14ac:dyDescent="0.35">
      <c r="A59" s="2">
        <v>20</v>
      </c>
      <c r="C59" s="38" t="s">
        <v>149</v>
      </c>
      <c r="D59" s="43">
        <f>TRUNC(168692.512721105,-1)</f>
        <v>168690</v>
      </c>
      <c r="E59" s="64">
        <f t="shared" si="1"/>
        <v>557650</v>
      </c>
    </row>
    <row r="60" spans="1:7" x14ac:dyDescent="0.3">
      <c r="A60" s="2">
        <v>21</v>
      </c>
      <c r="C60" s="27" t="s">
        <v>112</v>
      </c>
      <c r="D60" s="39">
        <f>SUM(D40:D59)</f>
        <v>1189040</v>
      </c>
      <c r="E60" s="39">
        <f>SUM(E40:E59)</f>
        <v>3930670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TRUNC(27891.2653259026,-1)</f>
        <v>27890</v>
      </c>
      <c r="E63" s="62">
        <f>TRUNC(+D63*3.3058,-1)</f>
        <v>92190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27890</v>
      </c>
      <c r="E66" s="65">
        <f>SUM(E63:E65)</f>
        <v>92190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TRUNC(15166.9161618609,-1)</f>
        <v>15160</v>
      </c>
      <c r="E69" s="62">
        <f t="shared" ref="E69:E94" si="2">TRUNC(+D69*3.3058,-1)</f>
        <v>50110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TRUNC(17619.2888296583,-1)</f>
        <v>17610</v>
      </c>
      <c r="E71" s="63">
        <f t="shared" si="2"/>
        <v>58210</v>
      </c>
      <c r="F71" s="2" t="s">
        <v>263</v>
      </c>
    </row>
    <row r="72" spans="1:7" x14ac:dyDescent="0.3">
      <c r="A72" s="2">
        <v>4</v>
      </c>
      <c r="C72" s="38" t="s">
        <v>33</v>
      </c>
      <c r="D72" s="42">
        <f>TRUNC(7864.90307729586,-1)</f>
        <v>7860</v>
      </c>
      <c r="E72" s="63">
        <f t="shared" si="2"/>
        <v>25980</v>
      </c>
      <c r="F72" s="2" t="s">
        <v>256</v>
      </c>
    </row>
    <row r="73" spans="1:7" x14ac:dyDescent="0.3">
      <c r="A73" s="2">
        <v>5</v>
      </c>
      <c r="C73" s="38" t="s">
        <v>34</v>
      </c>
      <c r="D73" s="42">
        <f>TRUNC(2072.54010176884,-1)</f>
        <v>2070</v>
      </c>
      <c r="E73" s="63">
        <f t="shared" si="2"/>
        <v>6840</v>
      </c>
      <c r="F73" s="2" t="s">
        <v>255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TRUNC(2878.02277683547,-1)</f>
        <v>2870</v>
      </c>
      <c r="E75" s="63">
        <f t="shared" si="2"/>
        <v>9480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TRUNC(43709.5059365156,-1)</f>
        <v>43700</v>
      </c>
      <c r="E78" s="63">
        <f t="shared" si="2"/>
        <v>144460</v>
      </c>
    </row>
    <row r="79" spans="1:7" x14ac:dyDescent="0.3">
      <c r="A79" s="2">
        <v>11</v>
      </c>
      <c r="C79" s="38" t="s">
        <v>133</v>
      </c>
      <c r="D79" s="42">
        <f>TRUNC(8252.56990550036,-1)</f>
        <v>8250</v>
      </c>
      <c r="E79" s="63">
        <f t="shared" si="2"/>
        <v>27270</v>
      </c>
      <c r="F79" s="2" t="s">
        <v>257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f>TRUNC(29841.3196026169,-1)</f>
        <v>29840</v>
      </c>
      <c r="E86" s="63">
        <f t="shared" si="2"/>
        <v>98640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f>TRUNC(91701.4780712382,-1)</f>
        <v>91700</v>
      </c>
      <c r="E93" s="63">
        <f t="shared" si="2"/>
        <v>303140</v>
      </c>
    </row>
    <row r="94" spans="1:7" ht="17.25" thickBot="1" x14ac:dyDescent="0.35">
      <c r="A94" s="2">
        <v>26</v>
      </c>
      <c r="C94" s="38" t="s">
        <v>47</v>
      </c>
      <c r="D94" s="43">
        <f>TRUNC(6254.89459655924+30969.9958807851,-1)</f>
        <v>37220</v>
      </c>
      <c r="E94" s="64">
        <f t="shared" si="2"/>
        <v>123040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256280</v>
      </c>
      <c r="E95" s="39">
        <f>SUM(E69:E94)</f>
        <v>847170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TRUNC(11287.2934334868,-1)</f>
        <v>11280</v>
      </c>
      <c r="E98" s="62">
        <f t="shared" ref="E98:E118" si="3">TRUNC(+D98*3.3058,-1)</f>
        <v>37280</v>
      </c>
    </row>
    <row r="99" spans="1:7" x14ac:dyDescent="0.3">
      <c r="A99" s="2">
        <v>2</v>
      </c>
      <c r="C99" s="38" t="s">
        <v>40</v>
      </c>
      <c r="D99" s="42">
        <f>TRUNC(8496.03174218561,-1)</f>
        <v>8490</v>
      </c>
      <c r="E99" s="63">
        <f t="shared" si="3"/>
        <v>28060</v>
      </c>
    </row>
    <row r="100" spans="1:7" x14ac:dyDescent="0.3">
      <c r="A100" s="2">
        <v>3</v>
      </c>
      <c r="C100" s="38" t="s">
        <v>41</v>
      </c>
      <c r="D100" s="42">
        <f>TRUNC(14052.4705597286,-1)</f>
        <v>14050</v>
      </c>
      <c r="E100" s="63">
        <f t="shared" si="3"/>
        <v>46440</v>
      </c>
    </row>
    <row r="101" spans="1:7" x14ac:dyDescent="0.3">
      <c r="A101" s="2">
        <v>4</v>
      </c>
      <c r="C101" s="38" t="s">
        <v>42</v>
      </c>
      <c r="D101" s="42">
        <f>TRUNC(9640.70680881997,-1)</f>
        <v>9640</v>
      </c>
      <c r="E101" s="63">
        <f t="shared" si="3"/>
        <v>31860</v>
      </c>
      <c r="F101" s="2" t="s">
        <v>254</v>
      </c>
    </row>
    <row r="102" spans="1:7" x14ac:dyDescent="0.3">
      <c r="A102" s="2">
        <v>5</v>
      </c>
      <c r="C102" s="38" t="s">
        <v>43</v>
      </c>
      <c r="D102" s="42">
        <f>TRUNC(2985.43445602132,-1)</f>
        <v>2980</v>
      </c>
      <c r="E102" s="63">
        <f t="shared" si="3"/>
        <v>9850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TRUNC(1575.43057911316,-1)</f>
        <v>1570</v>
      </c>
      <c r="E104" s="63">
        <f t="shared" si="3"/>
        <v>5190</v>
      </c>
    </row>
    <row r="105" spans="1:7" x14ac:dyDescent="0.3">
      <c r="A105" s="2">
        <v>8</v>
      </c>
      <c r="C105" s="38" t="s">
        <v>46</v>
      </c>
      <c r="D105" s="42">
        <f>TRUNC(3765.33220256845,-1)</f>
        <v>3760</v>
      </c>
      <c r="E105" s="63">
        <f t="shared" si="3"/>
        <v>12420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TRUNC(14910.5027865277,-1)</f>
        <v>14910</v>
      </c>
      <c r="E115" s="63">
        <f t="shared" si="3"/>
        <v>49280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TRUNC(79411.1945723286+74397.8677005088,-1)</f>
        <v>153800</v>
      </c>
      <c r="E117" s="63">
        <f t="shared" si="3"/>
        <v>508430</v>
      </c>
    </row>
    <row r="118" spans="1:7" ht="17.25" thickBot="1" x14ac:dyDescent="0.35">
      <c r="A118" s="2">
        <v>21</v>
      </c>
      <c r="C118" s="38" t="s">
        <v>47</v>
      </c>
      <c r="D118" s="43">
        <f>TRUNC(9439.38405621517,-1)</f>
        <v>9430</v>
      </c>
      <c r="E118" s="64">
        <f t="shared" si="3"/>
        <v>31170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229910</v>
      </c>
      <c r="E119" s="39">
        <f>SUM(E98:E118)</f>
        <v>759980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TRUNC(2041.70583959292,-1)</f>
        <v>2040</v>
      </c>
      <c r="E122" s="62">
        <f t="shared" ref="E122:E132" si="4">TRUNC(+D122*3.3058,-1)</f>
        <v>6740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TRUNC(5978.30361037073,-1)</f>
        <v>5970</v>
      </c>
      <c r="E125" s="63">
        <f t="shared" si="4"/>
        <v>19730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TRUNC(1248.20256845166,-1)</f>
        <v>1240</v>
      </c>
      <c r="E128" s="63">
        <f t="shared" si="4"/>
        <v>4090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TRUNC(8429.38502544221,-1)</f>
        <v>8420</v>
      </c>
      <c r="E130" s="63">
        <f t="shared" si="4"/>
        <v>27830</v>
      </c>
    </row>
    <row r="131" spans="1:7" x14ac:dyDescent="0.3">
      <c r="A131" s="2">
        <v>10</v>
      </c>
      <c r="C131" s="38" t="s">
        <v>149</v>
      </c>
      <c r="D131" s="42">
        <f>TRUNC(17952.5078749697,-1)</f>
        <v>17950</v>
      </c>
      <c r="E131" s="63">
        <f t="shared" si="4"/>
        <v>59330</v>
      </c>
    </row>
    <row r="132" spans="1:7" ht="18" thickBot="1" x14ac:dyDescent="0.35">
      <c r="A132" s="2">
        <v>11</v>
      </c>
      <c r="C132" s="38" t="s">
        <v>47</v>
      </c>
      <c r="D132" s="43">
        <f>TRUNC(1909.09692270414,-1)</f>
        <v>1900</v>
      </c>
      <c r="E132" s="64">
        <f t="shared" si="4"/>
        <v>6280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37520</v>
      </c>
      <c r="E133" s="39">
        <f>SUM(E122:E132)</f>
        <v>124000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f>TRUNC(45362.7523624909,-1)</f>
        <v>45360</v>
      </c>
      <c r="E136" s="62">
        <f t="shared" ref="E136:E145" si="5">TRUNC(+D136*3.3058,-1)</f>
        <v>149950</v>
      </c>
    </row>
    <row r="137" spans="1:7" x14ac:dyDescent="0.3">
      <c r="A137" s="2">
        <v>2</v>
      </c>
      <c r="C137" s="38" t="s">
        <v>47</v>
      </c>
      <c r="D137" s="42">
        <f>TRUNC(11638.9462078992,-1)</f>
        <v>11630</v>
      </c>
      <c r="E137" s="63">
        <f t="shared" si="5"/>
        <v>38440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56990</v>
      </c>
      <c r="E146" s="39">
        <f>SUM(E136:E145)</f>
        <v>188390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TRUNC(11711.1003149988,-1)</f>
        <v>11710</v>
      </c>
      <c r="E150" s="63">
        <f>TRUNC(+D150*3.3058,-1)</f>
        <v>38710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TRUNC(17714.9689847347+1086.78846619821+2265.61570147807+17.5381633147565+1197.08117276472,-1)</f>
        <v>22280</v>
      </c>
      <c r="E152" s="63">
        <f>TRUNC(+D152*3.3058,-1)</f>
        <v>73650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33990</v>
      </c>
      <c r="E154" s="39">
        <f>SUM(E149:E153)</f>
        <v>112360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TRUNC(21351.9290041192,-1)</f>
        <v>21350</v>
      </c>
      <c r="E157" s="62">
        <f>TRUNC(+D157*3.3058,-1)</f>
        <v>70570</v>
      </c>
    </row>
    <row r="158" spans="1:7" x14ac:dyDescent="0.3">
      <c r="A158" s="2">
        <v>2</v>
      </c>
      <c r="C158" s="38" t="s">
        <v>52</v>
      </c>
      <c r="D158" s="42">
        <f>TRUNC(10842.5338017931,-1)</f>
        <v>10840</v>
      </c>
      <c r="E158" s="63">
        <f>TRUNC(+D158*3.3058,-1)</f>
        <v>35830</v>
      </c>
    </row>
    <row r="159" spans="1:7" x14ac:dyDescent="0.3">
      <c r="A159" s="2">
        <v>3</v>
      </c>
      <c r="C159" s="38" t="s">
        <v>47</v>
      </c>
      <c r="D159" s="42">
        <f>TRUNC(32573.1276956627,-1)</f>
        <v>32570</v>
      </c>
      <c r="E159" s="63">
        <f>TRUNC(+D159*3.3058,-1)</f>
        <v>107660</v>
      </c>
      <c r="F159" s="2" t="s">
        <v>258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64760</v>
      </c>
      <c r="E161" s="39">
        <f>SUM(E157:E160)</f>
        <v>214060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2020-12-07T09:14:40Z</dcterms:modified>
</cp:coreProperties>
</file>