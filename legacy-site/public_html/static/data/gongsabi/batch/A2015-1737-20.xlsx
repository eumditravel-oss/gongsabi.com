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2" i="4" l="1"/>
  <c r="D151" i="4"/>
  <c r="D150" i="4"/>
  <c r="D145" i="4"/>
  <c r="D144" i="4"/>
  <c r="D142" i="4"/>
  <c r="D140" i="4"/>
  <c r="D137" i="4"/>
  <c r="D128" i="4"/>
  <c r="D126" i="4"/>
  <c r="D125" i="4"/>
  <c r="D118" i="4"/>
  <c r="D117" i="4"/>
  <c r="D116" i="4"/>
  <c r="D105" i="4"/>
  <c r="D104" i="4"/>
  <c r="D102" i="4"/>
  <c r="D100" i="4"/>
  <c r="D99" i="4"/>
  <c r="D98" i="4"/>
  <c r="D94" i="4"/>
  <c r="D92" i="4"/>
  <c r="D91" i="4"/>
  <c r="D89" i="4"/>
  <c r="D73" i="4"/>
  <c r="D72" i="4"/>
  <c r="D71" i="4"/>
  <c r="D70" i="4"/>
  <c r="D69" i="4"/>
  <c r="D63" i="4"/>
  <c r="D59" i="4"/>
  <c r="D53" i="4"/>
  <c r="D52" i="4"/>
  <c r="D58" i="4"/>
  <c r="D41" i="4"/>
  <c r="D50" i="4"/>
  <c r="D49" i="4"/>
  <c r="D48" i="4"/>
  <c r="D46" i="4"/>
  <c r="D45" i="4"/>
  <c r="D44" i="4"/>
  <c r="D43" i="4"/>
  <c r="D42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<sst xmlns="http://schemas.openxmlformats.org/spreadsheetml/2006/main" count="390" uniqueCount="266">
  <si>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</si>
  <si>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</si>
  <si>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</si>
  <si>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</si>
  <si>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</si>
  <si>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</si>
  <si>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</si>
  <si>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</si>
  <si>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</si>
  <si>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</si>
  <si>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</si>
  <si>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</si>
  <si>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</si>
  <si>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</si>
  <si>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</si>
  <si>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</si>
  <si>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</si>
  <si>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</si>
  <si>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</si>
  <si>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</si>
  <si>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</si>
  <si>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</si>
  <si>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</si>
  <si>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</si>
  <si>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</si>
  <si>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</si>
  <si>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</si>
  <si>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</si>
  <si>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</si>
  <si>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</si>
  <si>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</si>
  <si>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</si>
  <si>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</si>
  <si>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</si>
  <si>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</si>
  <si>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</si>
  <si>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</si>
  <si>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</si>
  <si>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</si>
  <si>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</si>
  <si>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</si>
  <si>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</si>
  <si>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</si>
  <si>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</si>
  <si>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</si>
  <si>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</si>
  <si>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</si>
  <si>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</si>
  <si>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</si>
  <si>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</si>
  <si>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</si>
  <si>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</si>
  <si>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</si>
  <si>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</si>
  <si>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</si>
  <si>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</si>
  <si>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</si>
  <si>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</si>
  <si>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</si>
  <si>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</si>
  <si>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</si>
  <si>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</si>
  <si>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</si>
  <si>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</si>
  <si>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</si>
  <si>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</si>
  <si>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</si>
  <si>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</si>
  <si>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</si>
  <si>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</si>
  <si>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</si>
  <si>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</si>
  <si>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</si>
  <si>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</si>
  <si>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</si>
  <si>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</si>
  <si>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</si>
  <si>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</si>
  <si>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</si>
  <si>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</si>
  <si>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</si>
  <si>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</si>
  <si>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</si>
  <si>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</si>
  <si>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</si>
  <si>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</si>
  <si>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</si>
  <si>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</si>
  <si>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</si>
  <si>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</si>
  <si>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</si>
  <si>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</si>
  <si>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</si>
  <si>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</si>
  <si>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</si>
  <si>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</si>
  <si>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</si>
  <si>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</si>
  <si>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</si>
  <si>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</si>
  <si>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</si>
  <si>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</si>
  <si>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</si>
  <si>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</si>
  <si>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</si>
  <si>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</si>
  <si>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</si>
  <si>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</si>
  <si>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</si>
  <si>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</si>
  <si>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</si>
  <si>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</si>
  <si>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</si>
  <si>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</si>
  <si>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</si>
  <si>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</si>
  <si>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</si>
  <si>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</si>
  <si>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</si>
  <si>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</si>
  <si>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</si>
  <si>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</si>
  <si>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</si>
  <si>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</si>
  <si>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</si>
  <si>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</si>
  <si>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</si>
  <si>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</si>
  <si>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</si>
  <si>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</si>
  <si>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</si>
  <si>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</si>
  <si>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</si>
  <si>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</si>
  <si>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</si>
  <si>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</si>
  <si>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</si>
  <si>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</si>
  <si>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</si>
  <si>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</si>
  <si>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</si>
  <si>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</si>
  <si>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</si>
  <si>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</si>
  <si>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</si>
  <si>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</si>
  <si>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</si>
  <si>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</si>
  <si>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</si>
  <si>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</si>
  <si>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</si>
  <si>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</si>
  <si>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</si>
  <si>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</si>
  <si>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</si>
  <si>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</si>
  <si>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</si>
  <si>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</si>
  <si>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</si>
  <si>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</si>
  <si>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</si>
  <si>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</si>
  <si>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</si>
  <si>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</si>
  <si>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</si>
  <si>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</si>
  <si>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</si>
  <si>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</si>
  <si>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</si>
  <si>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</si>
  <si>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</si>
  <si>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</si>
  <si>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</si>
  <si>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</si>
  <si>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</si>
  <si>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</si>
  <si>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</si>
  <si>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</si>
  <si>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</si>
  <si>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</si>
  <si>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</si>
  <si>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</si>
  <si>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</si>
  <si>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</si>
  <si>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</si>
  <si>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</si>
  <si>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</si>
  <si>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</si>
  <si>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</si>
  <si>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</si>
  <si>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</si>
  <si>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</si>
  <si>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</si>
  <si>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</si>
  <si>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</si>
  <si>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</si>
  <si>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</si>
  <si>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</si>
  <si>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</si>
  <si>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</si>
  <si>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</si>
  <si>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</si>
  <si>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</si>
  <si>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</si>
  <si>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</si>
  <si>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</si>
  <si>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</si>
  <si>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</si>
  <si>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</si>
  <si>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</si>
  <si>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</si>
  <si>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</si>
  <si>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</si>
  <si>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</si>
  <si>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</si>
  <si>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</si>
  <si>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</si>
  <si>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</si>
  <si>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</si>
  <si>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</si>
  <si>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</si>
  <si>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</si>
  <si>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</si>
  <si>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</si>
  <si>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</si>
  <si>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</si>
  <si>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</si>
  <si>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</si>
  <si>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</si>
  <si>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</si>
  <si>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</si>
  <si>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</si>
  <si>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</si>
  <si>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</si>
  <si>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</si>
  <si>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</si>
  <si>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</si>
  <si>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</si>
  <si>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</si>
  <si>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</si>
  <si>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</si>
  <si>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</si>
  <si>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</si>
  <si>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</si>
  <si>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</si>
  <si>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</si>
  <si>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</si>
  <si>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</si>
  <si>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</si>
  <si>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</si>
  <si>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</si>
  <si>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</si>
  <si>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</si>
  <si>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</si>
  <si>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</si>
  <si>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</si>
  <si>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해체및철거공사, 골재비및운반비</t>
    <phoneticPr fontId="2" type="noConversion"/>
  </si>
  <si>
    <t>우수처리시설공사,바닥난방공사,기타공사</t>
    <phoneticPr fontId="2" type="noConversion"/>
  </si>
  <si>
    <t>펌프실배관공사</t>
    <phoneticPr fontId="2" type="noConversion"/>
  </si>
  <si>
    <t>사급자재비, 운반비, 기타공사</t>
    <phoneticPr fontId="2" type="noConversion"/>
  </si>
  <si>
    <t>기타</t>
  </si>
  <si>
    <t>통합 물 관리 운영시스템 구축사업</t>
    <phoneticPr fontId="2" type="noConversion"/>
  </si>
  <si>
    <t>울산시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</si>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</sst>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261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260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6706.1</v>
      </c>
      <c r="D7" s="36">
        <f>+C7/3.3058</f>
        <v>2028.5861213624539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262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1579220</v>
      </c>
      <c r="E25" s="59">
        <f t="shared" si="0"/>
        <v>5220580</v>
      </c>
    </row>
    <row r="26" spans="1:5" x14ac:dyDescent="0.3">
      <c r="B26" s="2">
        <v>3</v>
      </c>
      <c r="C26" s="35" t="s">
        <v>95</v>
      </c>
      <c r="D26" s="45">
        <f>+D66</f>
        <v>181280</v>
      </c>
      <c r="E26" s="59">
        <f t="shared" si="0"/>
        <v>599270</v>
      </c>
    </row>
    <row r="27" spans="1:5" x14ac:dyDescent="0.3">
      <c r="B27" s="2">
        <v>4</v>
      </c>
      <c r="C27" s="35" t="s">
        <v>96</v>
      </c>
      <c r="D27" s="45">
        <f>+D95</f>
        <v>86310</v>
      </c>
      <c r="E27" s="59">
        <f t="shared" si="0"/>
        <v>285320</v>
      </c>
    </row>
    <row r="28" spans="1:5" x14ac:dyDescent="0.3">
      <c r="B28" s="2">
        <v>5</v>
      </c>
      <c r="C28" s="35" t="s">
        <v>97</v>
      </c>
      <c r="D28" s="45">
        <f>+D119</f>
        <v>192580</v>
      </c>
      <c r="E28" s="59">
        <f t="shared" si="0"/>
        <v>636630</v>
      </c>
    </row>
    <row r="29" spans="1:5" x14ac:dyDescent="0.3">
      <c r="B29" s="2">
        <v>6</v>
      </c>
      <c r="C29" s="35" t="s">
        <v>98</v>
      </c>
      <c r="D29" s="45">
        <f>+D133</f>
        <v>42560</v>
      </c>
      <c r="E29" s="59">
        <f t="shared" si="0"/>
        <v>140690</v>
      </c>
    </row>
    <row r="30" spans="1:5" x14ac:dyDescent="0.3">
      <c r="B30" s="2">
        <v>7</v>
      </c>
      <c r="C30" s="35" t="s">
        <v>99</v>
      </c>
      <c r="D30" s="45">
        <f>+D146</f>
        <v>102180</v>
      </c>
      <c r="E30" s="59">
        <f t="shared" si="0"/>
        <v>337780</v>
      </c>
    </row>
    <row r="31" spans="1:5" x14ac:dyDescent="0.3">
      <c r="B31" s="2">
        <v>8</v>
      </c>
      <c r="C31" s="35" t="s">
        <v>100</v>
      </c>
      <c r="D31" s="45">
        <f>+D154</f>
        <v>143120</v>
      </c>
      <c r="E31" s="59">
        <f t="shared" si="0"/>
        <v>473120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639990</v>
      </c>
      <c r="E33" s="60">
        <f t="shared" si="0"/>
        <v>2115670</v>
      </c>
    </row>
    <row r="34" spans="1:7" x14ac:dyDescent="0.3">
      <c r="C34" s="35" t="s">
        <v>112</v>
      </c>
      <c r="D34" s="44">
        <f>SUM(D24:D33)</f>
        <v>2967240</v>
      </c>
      <c r="E34" s="44">
        <f>SUM(E24:E33)</f>
        <v>9809060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248</v>
      </c>
      <c r="D39" s="57" t="s">
        <v>249</v>
      </c>
      <c r="E39" s="57" t="s">
        <v>250</v>
      </c>
      <c r="G39" s="55"/>
    </row>
    <row r="40" spans="1:7" x14ac:dyDescent="0.3">
      <c r="A40" s="2">
        <v>1</v>
      </c>
      <c r="C40" s="38" t="s">
        <v>15</v>
      </c>
      <c r="D40" s="40">
        <f>TRUNC(49131,-1)</f>
        <v>49130</v>
      </c>
      <c r="E40" s="62">
        <f t="shared" ref="E40:E59" si="1">TRUNC(+D40*3.3058,-1)</f>
        <v>162410</v>
      </c>
    </row>
    <row r="41" spans="1:7" x14ac:dyDescent="0.3">
      <c r="A41" s="2">
        <v>2</v>
      </c>
      <c r="C41" s="38" t="s">
        <v>13</v>
      </c>
      <c r="D41" s="42">
        <f>TRUNC(187358,-1)</f>
        <v>187350</v>
      </c>
      <c r="E41" s="63">
        <f t="shared" si="1"/>
        <v>619340</v>
      </c>
    </row>
    <row r="42" spans="1:7" x14ac:dyDescent="0.3">
      <c r="A42" s="2">
        <v>3</v>
      </c>
      <c r="C42" s="38" t="s">
        <v>14</v>
      </c>
      <c r="D42" s="42">
        <f>TRUNC(69992,-1)</f>
        <v>69990</v>
      </c>
      <c r="E42" s="63">
        <f t="shared" si="1"/>
        <v>231370</v>
      </c>
    </row>
    <row r="43" spans="1:7" x14ac:dyDescent="0.3">
      <c r="A43" s="2">
        <v>4</v>
      </c>
      <c r="C43" s="38" t="s">
        <v>16</v>
      </c>
      <c r="D43" s="42">
        <f>TRUNC(19662,-1)</f>
        <v>19660</v>
      </c>
      <c r="E43" s="63">
        <f t="shared" si="1"/>
        <v>64990</v>
      </c>
    </row>
    <row r="44" spans="1:7" x14ac:dyDescent="0.3">
      <c r="A44" s="2">
        <v>5</v>
      </c>
      <c r="C44" s="38" t="s">
        <v>17</v>
      </c>
      <c r="D44" s="42">
        <f>TRUNC(40304,-1)</f>
        <v>40300</v>
      </c>
      <c r="E44" s="63">
        <f t="shared" si="1"/>
        <v>133220</v>
      </c>
    </row>
    <row r="45" spans="1:7" x14ac:dyDescent="0.3">
      <c r="A45" s="2">
        <v>6</v>
      </c>
      <c r="C45" s="38" t="s">
        <v>18</v>
      </c>
      <c r="D45" s="42">
        <f>TRUNC(8487,-1)</f>
        <v>8480</v>
      </c>
      <c r="E45" s="63">
        <f t="shared" si="1"/>
        <v>28030</v>
      </c>
    </row>
    <row r="46" spans="1:7" x14ac:dyDescent="0.3">
      <c r="A46" s="2">
        <v>7</v>
      </c>
      <c r="C46" s="38" t="s">
        <v>19</v>
      </c>
      <c r="D46" s="42">
        <f>TRUNC(10365,-1)</f>
        <v>10360</v>
      </c>
      <c r="E46" s="63">
        <f t="shared" si="1"/>
        <v>34240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TRUNC(168165,-1)</f>
        <v>168160</v>
      </c>
      <c r="E48" s="63">
        <f t="shared" si="1"/>
        <v>555900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TRUNC(26186,-1)</f>
        <v>26180</v>
      </c>
      <c r="E49" s="63">
        <f t="shared" si="1"/>
        <v>86540</v>
      </c>
    </row>
    <row r="50" spans="1:7" x14ac:dyDescent="0.3">
      <c r="A50" s="2">
        <v>11</v>
      </c>
      <c r="C50" s="38" t="s">
        <v>155</v>
      </c>
      <c r="D50" s="42">
        <f>TRUNC(42551,-1)</f>
        <v>42550</v>
      </c>
      <c r="E50" s="63">
        <f t="shared" si="1"/>
        <v>140660</v>
      </c>
      <c r="F50" s="2" t="s">
        <v>254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TRUNC(22126,-1)</f>
        <v>22120</v>
      </c>
      <c r="E52" s="63">
        <f t="shared" si="1"/>
        <v>73120</v>
      </c>
    </row>
    <row r="53" spans="1:7" x14ac:dyDescent="0.3">
      <c r="A53" s="2">
        <v>14</v>
      </c>
      <c r="C53" s="38" t="s">
        <v>25</v>
      </c>
      <c r="D53" s="42">
        <f>TRUNC(179624,-1)</f>
        <v>179620</v>
      </c>
      <c r="E53" s="63">
        <f t="shared" si="1"/>
        <v>593780</v>
      </c>
      <c r="F53" s="2" t="s">
        <v>255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TRUNC(29598+11669,-1)</f>
        <v>41260</v>
      </c>
      <c r="E58" s="63">
        <f t="shared" si="1"/>
        <v>136390</v>
      </c>
      <c r="F58" s="2" t="s">
        <v>256</v>
      </c>
    </row>
    <row r="59" spans="1:7" ht="17.25" thickBot="1" x14ac:dyDescent="0.35">
      <c r="A59" s="2">
        <v>20</v>
      </c>
      <c r="C59" s="38" t="s">
        <v>148</v>
      </c>
      <c r="D59" s="43">
        <f>TRUNC(714066,-1)</f>
        <v>714060</v>
      </c>
      <c r="E59" s="64">
        <f t="shared" si="1"/>
        <v>2360530</v>
      </c>
    </row>
    <row r="60" spans="1:7" x14ac:dyDescent="0.3">
      <c r="A60" s="2">
        <v>21</v>
      </c>
      <c r="C60" s="27" t="s">
        <v>112</v>
      </c>
      <c r="D60" s="39">
        <f>SUM(D40:D59)</f>
        <v>1579220</v>
      </c>
      <c r="E60" s="39">
        <f>SUM(E40:E59)</f>
        <v>5220520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TRUNC(181286,-1)</f>
        <v>181280</v>
      </c>
      <c r="E63" s="62">
        <f>TRUNC(+D63*3.3058,-1)</f>
        <v>599270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181280</v>
      </c>
      <c r="E66" s="65">
        <f>SUM(E63:E65)</f>
        <v>599270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TRUNC(6639,-1)</f>
        <v>6630</v>
      </c>
      <c r="E69" s="62">
        <f t="shared" ref="E69:E94" si="2">TRUNC(+D69*3.3058,-1)</f>
        <v>21910</v>
      </c>
    </row>
    <row r="70" spans="1:7" ht="16.5" customHeight="1" x14ac:dyDescent="0.3">
      <c r="A70" s="2">
        <v>2</v>
      </c>
      <c r="C70" s="38" t="s">
        <v>31</v>
      </c>
      <c r="D70" s="42">
        <f>TRUNC(1938,-1)</f>
        <v>1930</v>
      </c>
      <c r="E70" s="63">
        <f t="shared" si="2"/>
        <v>6380</v>
      </c>
    </row>
    <row r="71" spans="1:7" x14ac:dyDescent="0.3">
      <c r="A71" s="2">
        <v>3</v>
      </c>
      <c r="C71" s="38" t="s">
        <v>32</v>
      </c>
      <c r="D71" s="42">
        <f>TRUNC(6087,-1)</f>
        <v>6080</v>
      </c>
      <c r="E71" s="63">
        <f t="shared" si="2"/>
        <v>20090</v>
      </c>
    </row>
    <row r="72" spans="1:7" x14ac:dyDescent="0.3">
      <c r="A72" s="2">
        <v>4</v>
      </c>
      <c r="C72" s="38" t="s">
        <v>33</v>
      </c>
      <c r="D72" s="42">
        <f>TRUNC(8477,-1)</f>
        <v>8470</v>
      </c>
      <c r="E72" s="63">
        <f t="shared" si="2"/>
        <v>28000</v>
      </c>
    </row>
    <row r="73" spans="1:7" x14ac:dyDescent="0.3">
      <c r="A73" s="2">
        <v>5</v>
      </c>
      <c r="C73" s="38" t="s">
        <v>34</v>
      </c>
      <c r="D73" s="42">
        <f>TRUNC(8244,-1)</f>
        <v>8240</v>
      </c>
      <c r="E73" s="63">
        <f t="shared" si="2"/>
        <v>27230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TRUNC(10055,-1)</f>
        <v>10050</v>
      </c>
      <c r="E89" s="63">
        <f t="shared" si="2"/>
        <v>33220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TRUNC(33356,-1)</f>
        <v>33350</v>
      </c>
      <c r="E91" s="63">
        <f t="shared" si="2"/>
        <v>110240</v>
      </c>
    </row>
    <row r="92" spans="1:7" x14ac:dyDescent="0.3">
      <c r="A92" s="2">
        <v>24</v>
      </c>
      <c r="C92" s="38" t="s">
        <v>38</v>
      </c>
      <c r="D92" s="42">
        <f>TRUNC(3376,-1)</f>
        <v>3370</v>
      </c>
      <c r="E92" s="63">
        <f t="shared" si="2"/>
        <v>11140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TRUNC(2624+133+5434,-1)</f>
        <v>8190</v>
      </c>
      <c r="E94" s="64">
        <f t="shared" si="2"/>
        <v>27070</v>
      </c>
      <c r="F94" s="2" t="s">
        <v>257</v>
      </c>
    </row>
    <row r="95" spans="1:7" x14ac:dyDescent="0.3">
      <c r="A95" s="2">
        <v>27</v>
      </c>
      <c r="C95" s="27" t="s">
        <v>112</v>
      </c>
      <c r="D95" s="39">
        <f>SUM(D69:D94)</f>
        <v>86310</v>
      </c>
      <c r="E95" s="39">
        <f>SUM(E69:E94)</f>
        <v>285280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TRUNC(14597,-1)</f>
        <v>14590</v>
      </c>
      <c r="E98" s="62">
        <f t="shared" ref="E98:E118" si="3">TRUNC(+D98*3.3058,-1)</f>
        <v>48230</v>
      </c>
    </row>
    <row r="99" spans="1:7" x14ac:dyDescent="0.3">
      <c r="A99" s="2">
        <v>2</v>
      </c>
      <c r="C99" s="38" t="s">
        <v>40</v>
      </c>
      <c r="D99" s="42">
        <f>TRUNC(14576,-1)</f>
        <v>14570</v>
      </c>
      <c r="E99" s="63">
        <f t="shared" si="3"/>
        <v>48160</v>
      </c>
    </row>
    <row r="100" spans="1:7" x14ac:dyDescent="0.3">
      <c r="A100" s="2">
        <v>3</v>
      </c>
      <c r="C100" s="38" t="s">
        <v>41</v>
      </c>
      <c r="D100" s="42">
        <f>TRUNC(49213,-1)</f>
        <v>49210</v>
      </c>
      <c r="E100" s="63">
        <f t="shared" si="3"/>
        <v>162670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TRUNC(20799,-1)</f>
        <v>20790</v>
      </c>
      <c r="E102" s="63">
        <f t="shared" si="3"/>
        <v>68720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TRUNC(5911,-1)</f>
        <v>5910</v>
      </c>
      <c r="E104" s="63">
        <f t="shared" si="3"/>
        <v>19530</v>
      </c>
    </row>
    <row r="105" spans="1:7" x14ac:dyDescent="0.3">
      <c r="A105" s="2">
        <v>8</v>
      </c>
      <c r="C105" s="38" t="s">
        <v>46</v>
      </c>
      <c r="D105" s="42">
        <f>TRUNC(5083,-1)</f>
        <v>5080</v>
      </c>
      <c r="E105" s="63">
        <f t="shared" si="3"/>
        <v>16790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TRUNC(1406,-1)</f>
        <v>1400</v>
      </c>
      <c r="E116" s="63">
        <f t="shared" si="3"/>
        <v>4620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f>TRUNC(80509,-1)</f>
        <v>80500</v>
      </c>
      <c r="E117" s="63">
        <f t="shared" si="3"/>
        <v>266110</v>
      </c>
    </row>
    <row r="118" spans="1:7" ht="17.25" thickBot="1" x14ac:dyDescent="0.35">
      <c r="A118" s="2">
        <v>21</v>
      </c>
      <c r="C118" s="38" t="s">
        <v>47</v>
      </c>
      <c r="D118" s="43">
        <f>TRUNC(537,-1)</f>
        <v>530</v>
      </c>
      <c r="E118" s="64">
        <f t="shared" si="3"/>
        <v>1750</v>
      </c>
    </row>
    <row r="119" spans="1:7" x14ac:dyDescent="0.3">
      <c r="A119" s="2">
        <v>22</v>
      </c>
      <c r="C119" s="27" t="s">
        <v>112</v>
      </c>
      <c r="D119" s="39">
        <f>SUM(D98:D118)</f>
        <v>192580</v>
      </c>
      <c r="E119" s="39">
        <f>SUM(E98:E118)</f>
        <v>636580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31370</v>
      </c>
      <c r="E122" s="62">
        <f t="shared" ref="E122:E132" si="4">TRUNC(+D122*3.3058,-1)</f>
        <v>103700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TRUNC(8097,-1)</f>
        <v>8090</v>
      </c>
      <c r="E125" s="63">
        <f t="shared" si="4"/>
        <v>26740</v>
      </c>
    </row>
    <row r="126" spans="1:7" x14ac:dyDescent="0.3">
      <c r="A126" s="2">
        <v>5</v>
      </c>
      <c r="C126" s="38" t="s">
        <v>53</v>
      </c>
      <c r="D126" s="42">
        <f>TRUNC(917,-1)</f>
        <v>910</v>
      </c>
      <c r="E126" s="63">
        <f t="shared" si="4"/>
        <v>3000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TRUNC(2193,-1)</f>
        <v>2190</v>
      </c>
      <c r="E128" s="63">
        <f t="shared" si="4"/>
        <v>7230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4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42560</v>
      </c>
      <c r="E133" s="39">
        <f>SUM(E122:E132)</f>
        <v>140670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TRUNC(2775+6164,-1)</f>
        <v>8930</v>
      </c>
      <c r="E137" s="63">
        <f t="shared" si="5"/>
        <v>29520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TRUNC(1837,-1)</f>
        <v>1830</v>
      </c>
      <c r="E140" s="63">
        <f t="shared" si="5"/>
        <v>6040</v>
      </c>
    </row>
    <row r="141" spans="1:7" x14ac:dyDescent="0.3">
      <c r="A141" s="2">
        <v>6</v>
      </c>
      <c r="C141" s="38" t="s">
        <v>59</v>
      </c>
      <c r="D141" s="42">
        <v>30820</v>
      </c>
      <c r="E141" s="63">
        <f t="shared" si="5"/>
        <v>101880</v>
      </c>
    </row>
    <row r="142" spans="1:7" x14ac:dyDescent="0.3">
      <c r="A142" s="2">
        <v>7</v>
      </c>
      <c r="C142" s="38" t="s">
        <v>58</v>
      </c>
      <c r="D142" s="42">
        <f>TRUNC(5024,-1)</f>
        <v>5020</v>
      </c>
      <c r="E142" s="63">
        <f t="shared" si="5"/>
        <v>16590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f>TRUNC(15735,-1)</f>
        <v>15730</v>
      </c>
      <c r="E144" s="63">
        <f t="shared" si="5"/>
        <v>52000</v>
      </c>
    </row>
    <row r="145" spans="1:7" ht="17.25" thickBot="1" x14ac:dyDescent="0.35">
      <c r="A145" s="2">
        <v>10</v>
      </c>
      <c r="C145" s="38" t="s">
        <v>148</v>
      </c>
      <c r="D145" s="43">
        <f>TRUNC(39859,-1)</f>
        <v>39850</v>
      </c>
      <c r="E145" s="64">
        <f t="shared" si="5"/>
        <v>131730</v>
      </c>
    </row>
    <row r="146" spans="1:7" x14ac:dyDescent="0.3">
      <c r="A146" s="2">
        <v>11</v>
      </c>
      <c r="C146" s="27" t="s">
        <v>112</v>
      </c>
      <c r="D146" s="39">
        <f>SUM(D136:D145)</f>
        <v>102180</v>
      </c>
      <c r="E146" s="39">
        <f>SUM(E136:E145)</f>
        <v>337760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7000</v>
      </c>
      <c r="E149" s="62">
        <f>TRUNC(+D149*3.3058,-1)</f>
        <v>23140</v>
      </c>
    </row>
    <row r="150" spans="1:7" x14ac:dyDescent="0.3">
      <c r="A150" s="2">
        <v>2</v>
      </c>
      <c r="C150" s="38" t="s">
        <v>49</v>
      </c>
      <c r="D150" s="42">
        <f>TRUNC(5183,-1)</f>
        <v>5180</v>
      </c>
      <c r="E150" s="63">
        <f>TRUNC(+D150*3.3058,-1)</f>
        <v>17120</v>
      </c>
    </row>
    <row r="151" spans="1:7" x14ac:dyDescent="0.3">
      <c r="A151" s="2">
        <v>3</v>
      </c>
      <c r="C151" s="38" t="s">
        <v>50</v>
      </c>
      <c r="D151" s="42">
        <f>TRUNC(70128,-1)</f>
        <v>70120</v>
      </c>
      <c r="E151" s="63">
        <f>TRUNC(+D151*3.3058,-1)</f>
        <v>231800</v>
      </c>
    </row>
    <row r="152" spans="1:7" x14ac:dyDescent="0.3">
      <c r="A152" s="2">
        <v>4</v>
      </c>
      <c r="C152" s="38" t="s">
        <v>47</v>
      </c>
      <c r="D152" s="42">
        <f>TRUNC(6774+156+53895,-1)</f>
        <v>60820</v>
      </c>
      <c r="E152" s="63">
        <f>TRUNC(+D152*3.3058,-1)</f>
        <v>201050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143120</v>
      </c>
      <c r="E154" s="39">
        <f>SUM(E149:E153)</f>
        <v>473110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2020-12-07T10:04:43Z</dcterms:modified>
</cp:coreProperties>
</file>