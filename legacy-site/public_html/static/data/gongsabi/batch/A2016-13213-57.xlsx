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9" i="4"/>
  <c r="E153" i="4"/>
  <c r="E145" i="4"/>
  <c r="E143" i="4"/>
  <c r="E142" i="4"/>
  <c r="E141" i="4"/>
  <c r="E140" i="4"/>
  <c r="E139" i="4"/>
  <c r="E138" i="4"/>
  <c r="E136" i="4"/>
  <c r="E132" i="4"/>
  <c r="E129" i="4"/>
  <c r="E128" i="4"/>
  <c r="E127" i="4"/>
  <c r="E124" i="4"/>
  <c r="E123" i="4"/>
  <c r="E118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1" i="4"/>
  <c r="E94" i="4"/>
  <c r="E93" i="4"/>
  <c r="E90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1" i="4"/>
  <c r="E70" i="4"/>
  <c r="E65" i="4"/>
  <c r="E64" i="4"/>
  <c r="E57" i="4"/>
  <c r="E56" i="4"/>
  <c r="E55" i="4"/>
  <c r="E54" i="4"/>
  <c r="E51" i="4"/>
  <c r="E47" i="4"/>
  <c r="E37" i="4"/>
  <c r="E146" i="4" l="1"/>
  <c r="D158" i="4"/>
  <c r="E158" i="4" s="1"/>
  <c r="D157" i="4"/>
  <c r="E157" i="4" s="1"/>
  <c r="E161" i="4" s="1"/>
  <c r="D151" i="4"/>
  <c r="E151" i="4" s="1"/>
  <c r="D150" i="4"/>
  <c r="E150" i="4" s="1"/>
  <c r="D144" i="4"/>
  <c r="E144" i="4" s="1"/>
  <c r="D137" i="4"/>
  <c r="E137" i="4" s="1"/>
  <c r="D131" i="4"/>
  <c r="E131" i="4" s="1"/>
  <c r="D130" i="4"/>
  <c r="E130" i="4" s="1"/>
  <c r="D126" i="4"/>
  <c r="E126" i="4" s="1"/>
  <c r="D125" i="4"/>
  <c r="E125" i="4" s="1"/>
  <c r="D122" i="4"/>
  <c r="E122" i="4" s="1"/>
  <c r="D117" i="4"/>
  <c r="E117" i="4" s="1"/>
  <c r="D104" i="4"/>
  <c r="E104" i="4" s="1"/>
  <c r="D103" i="4"/>
  <c r="E103" i="4" s="1"/>
  <c r="D102" i="4"/>
  <c r="E102" i="4" s="1"/>
  <c r="D100" i="4"/>
  <c r="E100" i="4" s="1"/>
  <c r="D99" i="4"/>
  <c r="E99" i="4" s="1"/>
  <c r="D98" i="4"/>
  <c r="E98" i="4" s="1"/>
  <c r="D92" i="4"/>
  <c r="E92" i="4" s="1"/>
  <c r="D91" i="4"/>
  <c r="E91" i="4" s="1"/>
  <c r="D89" i="4"/>
  <c r="E89" i="4" s="1"/>
  <c r="D73" i="4"/>
  <c r="E73" i="4" s="1"/>
  <c r="D72" i="4"/>
  <c r="E72" i="4" s="1"/>
  <c r="D69" i="4"/>
  <c r="E69" i="4" s="1"/>
  <c r="D63" i="4"/>
  <c r="E63" i="4" s="1"/>
  <c r="E66" i="4" s="1"/>
  <c r="D59" i="4"/>
  <c r="E59" i="4" s="1"/>
  <c r="D53" i="4"/>
  <c r="E53" i="4" s="1"/>
  <c r="D52" i="4"/>
  <c r="E52" i="4" s="1"/>
  <c r="D50" i="4"/>
  <c r="E50" i="4" s="1"/>
  <c r="D49" i="4"/>
  <c r="E49" i="4" s="1"/>
  <c r="D48" i="4"/>
  <c r="E48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D152" i="4"/>
  <c r="E152" i="4" s="1"/>
  <c r="D149" i="4"/>
  <c r="E149" i="4" s="1"/>
  <c r="D58" i="4"/>
  <c r="E58" i="4" s="1"/>
  <c r="E60" i="4" l="1"/>
  <c r="E133" i="4"/>
  <c r="E119" i="4"/>
  <c r="E154" i="4"/>
  <c r="E95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34" i="4" l="1"/>
  <c r="D33" i="4"/>
  <c r="E33" i="4" s="1"/>
  <c r="D34" i="4" l="1"/>
</calcChain>
</file>

<file path=xl/sharedStrings.xml><?xml version="1.0" encoding="utf-8"?>
<sst xmlns="http://schemas.openxmlformats.org/spreadsheetml/2006/main" count="386" uniqueCount="261">
  <si>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</si>
  <si>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</si>
  <si>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</si>
  <si>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</si>
  <si>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</si>
  <si>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</si>
  <si>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</si>
  <si>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</si>
  <si>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</si>
  <si>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</si>
  <si>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</si>
  <si>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</si>
  <si>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</si>
  <si>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</si>
  <si>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</si>
  <si>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</si>
  <si>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</si>
  <si>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</si>
  <si>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</si>
  <si>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</si>
  <si>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</si>
  <si>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</si>
  <si>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</si>
  <si>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</si>
  <si>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</si>
  <si>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</si>
  <si>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</si>
  <si>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</si>
  <si>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</si>
  <si>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</si>
  <si>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</si>
  <si>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</si>
  <si>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</si>
  <si>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</si>
  <si>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</si>
  <si>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</si>
  <si>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</si>
  <si>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</si>
  <si>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</si>
  <si>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</si>
  <si>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</si>
  <si>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</si>
  <si>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</si>
  <si>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</si>
  <si>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</si>
  <si>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</si>
  <si>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</si>
  <si>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</si>
  <si>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</si>
  <si>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</si>
  <si>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</si>
  <si>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</si>
  <si>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</si>
  <si>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</si>
  <si>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</si>
  <si>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</si>
  <si>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</si>
  <si>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</si>
  <si>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</si>
  <si>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</si>
  <si>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</si>
  <si>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</si>
  <si>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</si>
  <si>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</si>
  <si>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</si>
  <si>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</si>
  <si>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</si>
  <si>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</si>
  <si>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</si>
  <si>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</si>
  <si>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</si>
  <si>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</si>
  <si>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</si>
  <si>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</si>
  <si>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</si>
  <si>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</si>
  <si>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</si>
  <si>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</si>
  <si>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</si>
  <si>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</si>
  <si>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</si>
  <si>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</si>
  <si>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</si>
  <si>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</si>
  <si>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</si>
  <si>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</si>
  <si>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</si>
  <si>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</si>
  <si>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</si>
  <si>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</si>
  <si>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</si>
  <si>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</si>
  <si>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</si>
  <si>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</si>
  <si>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</si>
  <si>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</si>
  <si>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</si>
  <si>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</si>
  <si>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</si>
  <si>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</si>
  <si>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</si>
  <si>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</si>
  <si>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</si>
  <si>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</si>
  <si>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</si>
  <si>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</si>
  <si>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</si>
  <si>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</si>
  <si>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</si>
  <si>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</si>
  <si>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</si>
  <si>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</si>
  <si>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</si>
  <si>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</si>
  <si>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</si>
  <si>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</si>
  <si>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</si>
  <si>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</si>
  <si>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</si>
  <si>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</si>
  <si>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</si>
  <si>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</si>
  <si>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</si>
  <si>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</si>
  <si>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</si>
  <si>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</si>
  <si>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</si>
  <si>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</si>
  <si>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</si>
  <si>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</si>
  <si>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</si>
  <si>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</si>
  <si>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</si>
  <si>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</si>
  <si>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</si>
  <si>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</si>
  <si>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</si>
  <si>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</si>
  <si>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</si>
  <si>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</si>
  <si>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</si>
  <si>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</si>
  <si>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</si>
  <si>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</si>
  <si>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</si>
  <si>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</si>
  <si>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</si>
  <si>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</si>
  <si>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</si>
  <si>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</si>
  <si>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</si>
  <si>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</si>
  <si>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</si>
  <si>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</si>
  <si>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</si>
  <si>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</si>
  <si>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</si>
  <si>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</si>
  <si>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</si>
  <si>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</si>
  <si>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</si>
  <si>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</si>
  <si>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</si>
  <si>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</si>
  <si>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</si>
  <si>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</si>
  <si>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</si>
  <si>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</si>
  <si>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</si>
  <si>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</si>
  <si>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</si>
  <si>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</si>
  <si>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</si>
  <si>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</si>
  <si>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</si>
  <si>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</si>
  <si>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</si>
  <si>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</si>
  <si>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</si>
  <si>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</si>
  <si>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</si>
  <si>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</si>
  <si>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</si>
  <si>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</si>
  <si>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</si>
  <si>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</si>
  <si>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</si>
  <si>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</si>
  <si>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</si>
  <si>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</si>
  <si>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</si>
  <si>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</si>
  <si>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</si>
  <si>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</si>
  <si>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</si>
  <si>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</si>
  <si>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</si>
  <si>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</si>
  <si>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</si>
  <si>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</si>
  <si>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</si>
  <si>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</si>
  <si>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</si>
  <si>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</si>
  <si>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</si>
  <si>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</si>
  <si>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</si>
  <si>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</si>
  <si>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</si>
  <si>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</si>
  <si>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</si>
  <si>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</si>
  <si>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</si>
  <si>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</si>
  <si>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</si>
  <si>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</si>
  <si>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</si>
  <si>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</si>
  <si>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</si>
  <si>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</si>
  <si>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</si>
  <si>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</si>
  <si>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</si>
  <si>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</si>
  <si>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</si>
  <si>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</si>
  <si>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</si>
  <si>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</si>
  <si>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</si>
  <si>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</si>
  <si>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</si>
  <si>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</si>
  <si>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</si>
  <si>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</si>
  <si>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</si>
  <si>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</si>
  <si>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</si>
  <si>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</si>
  <si>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</si>
  <si>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</si>
  <si>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</si>
  <si>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</si>
  <si>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</si>
  <si>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</si>
  <si>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</si>
  <si>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</si>
  <si>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</si>
  <si>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</si>
  <si>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업무</t>
  </si>
  <si>
    <t>지붕및홈통공사 포함</t>
    <phoneticPr fontId="2" type="noConversion"/>
  </si>
  <si>
    <t>목공사및수장공사(인테리어공사 포함)</t>
    <phoneticPr fontId="2" type="noConversion"/>
  </si>
  <si>
    <t>국민건강보험공단 여수지사 사옥 신축공사</t>
    <phoneticPr fontId="2" type="noConversion"/>
  </si>
  <si>
    <t>전라도</t>
  </si>
  <si>
    <t>창호및유리공사</t>
    <phoneticPr fontId="2" type="noConversion"/>
  </si>
  <si>
    <t>기초공사,폐기물처리비,골재비및운반비,작업부산물,기타공사</t>
    <phoneticPr fontId="2" type="noConversion"/>
  </si>
  <si>
    <t>사급자재비,운반비,기타공사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</si>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</sst>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258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251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2614.6799999999998</v>
      </c>
      <c r="D7" s="36">
        <f>+C7/3.3058</f>
        <v>790.93714078286644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252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205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259</v>
      </c>
    </row>
    <row r="19" spans="1:5" x14ac:dyDescent="0.3">
      <c r="A19" s="2">
        <v>9</v>
      </c>
      <c r="B19" s="2" t="s">
        <v>260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1321280</v>
      </c>
      <c r="E25" s="59">
        <f t="shared" si="0"/>
        <v>4367880</v>
      </c>
    </row>
    <row r="26" spans="1:5" x14ac:dyDescent="0.3">
      <c r="B26" s="2">
        <v>3</v>
      </c>
      <c r="C26" s="35" t="s">
        <v>95</v>
      </c>
      <c r="D26" s="45">
        <f>+D66</f>
        <v>1080</v>
      </c>
      <c r="E26" s="59">
        <f t="shared" si="0"/>
        <v>3570</v>
      </c>
    </row>
    <row r="27" spans="1:5" x14ac:dyDescent="0.3">
      <c r="B27" s="2">
        <v>4</v>
      </c>
      <c r="C27" s="35" t="s">
        <v>96</v>
      </c>
      <c r="D27" s="45">
        <f>+D95</f>
        <v>50060</v>
      </c>
      <c r="E27" s="59">
        <f t="shared" si="0"/>
        <v>165480</v>
      </c>
    </row>
    <row r="28" spans="1:5" x14ac:dyDescent="0.3">
      <c r="B28" s="2">
        <v>5</v>
      </c>
      <c r="C28" s="35" t="s">
        <v>97</v>
      </c>
      <c r="D28" s="45">
        <f>+D119</f>
        <v>204220</v>
      </c>
      <c r="E28" s="59">
        <f t="shared" si="0"/>
        <v>675110</v>
      </c>
    </row>
    <row r="29" spans="1:5" x14ac:dyDescent="0.3">
      <c r="B29" s="2">
        <v>6</v>
      </c>
      <c r="C29" s="35" t="s">
        <v>98</v>
      </c>
      <c r="D29" s="45">
        <f>+D133</f>
        <v>101510</v>
      </c>
      <c r="E29" s="59">
        <f t="shared" si="0"/>
        <v>335570</v>
      </c>
    </row>
    <row r="30" spans="1:5" x14ac:dyDescent="0.3">
      <c r="B30" s="2">
        <v>7</v>
      </c>
      <c r="C30" s="35" t="s">
        <v>99</v>
      </c>
      <c r="D30" s="45">
        <f>+D146</f>
        <v>33660</v>
      </c>
      <c r="E30" s="59">
        <f t="shared" si="0"/>
        <v>111270</v>
      </c>
    </row>
    <row r="31" spans="1:5" x14ac:dyDescent="0.3">
      <c r="B31" s="2">
        <v>8</v>
      </c>
      <c r="C31" s="35" t="s">
        <v>100</v>
      </c>
      <c r="D31" s="45">
        <f>+D154</f>
        <v>108490</v>
      </c>
      <c r="E31" s="59">
        <f t="shared" si="0"/>
        <v>358640</v>
      </c>
    </row>
    <row r="32" spans="1:5" x14ac:dyDescent="0.3">
      <c r="B32" s="2">
        <v>9</v>
      </c>
      <c r="C32" s="35" t="s">
        <v>101</v>
      </c>
      <c r="D32" s="45">
        <f>+D161</f>
        <v>69340</v>
      </c>
      <c r="E32" s="59">
        <f t="shared" si="0"/>
        <v>229220</v>
      </c>
    </row>
    <row r="33" spans="1:7" x14ac:dyDescent="0.3">
      <c r="B33" s="2">
        <v>10</v>
      </c>
      <c r="C33" s="35" t="s">
        <v>154</v>
      </c>
      <c r="D33" s="53">
        <f>TRUNC(SUM(D24:D32)*0.275,-1)</f>
        <v>519650</v>
      </c>
      <c r="E33" s="60">
        <f t="shared" si="0"/>
        <v>1717850</v>
      </c>
    </row>
    <row r="34" spans="1:7" x14ac:dyDescent="0.3">
      <c r="C34" s="35" t="s">
        <v>112</v>
      </c>
      <c r="D34" s="44">
        <f>SUM(D24:D33)</f>
        <v>2409290</v>
      </c>
      <c r="E34" s="44">
        <f>SUM(E24:E33)</f>
        <v>7964590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256</v>
      </c>
      <c r="E39" s="67" t="s">
        <v>257</v>
      </c>
      <c r="G39" s="68"/>
    </row>
    <row r="40" spans="1:7" x14ac:dyDescent="0.3">
      <c r="A40" s="2">
        <v>1</v>
      </c>
      <c r="C40" s="38" t="s">
        <v>15</v>
      </c>
      <c r="D40" s="40">
        <f>TRUNC(56026,-1)</f>
        <v>56020</v>
      </c>
      <c r="E40" s="62">
        <f t="shared" ref="E40:E59" si="1">TRUNC(+D40*3.3058,-1)</f>
        <v>185190</v>
      </c>
    </row>
    <row r="41" spans="1:7" x14ac:dyDescent="0.3">
      <c r="A41" s="2">
        <v>2</v>
      </c>
      <c r="C41" s="38" t="s">
        <v>13</v>
      </c>
      <c r="D41" s="42">
        <f>TRUNC(177212,-1)</f>
        <v>177210</v>
      </c>
      <c r="E41" s="63">
        <f t="shared" si="1"/>
        <v>585820</v>
      </c>
    </row>
    <row r="42" spans="1:7" x14ac:dyDescent="0.3">
      <c r="A42" s="2">
        <v>3</v>
      </c>
      <c r="C42" s="38" t="s">
        <v>14</v>
      </c>
      <c r="D42" s="42">
        <f>TRUNC(4787,-1)</f>
        <v>4780</v>
      </c>
      <c r="E42" s="63">
        <f t="shared" si="1"/>
        <v>15800</v>
      </c>
    </row>
    <row r="43" spans="1:7" x14ac:dyDescent="0.3">
      <c r="A43" s="2">
        <v>4</v>
      </c>
      <c r="C43" s="38" t="s">
        <v>16</v>
      </c>
      <c r="D43" s="42">
        <f>TRUNC(7094,-1)</f>
        <v>7090</v>
      </c>
      <c r="E43" s="63">
        <f t="shared" si="1"/>
        <v>23430</v>
      </c>
    </row>
    <row r="44" spans="1:7" x14ac:dyDescent="0.3">
      <c r="A44" s="2">
        <v>5</v>
      </c>
      <c r="C44" s="38" t="s">
        <v>17</v>
      </c>
      <c r="D44" s="42">
        <f>TRUNC(46282,-1)</f>
        <v>46280</v>
      </c>
      <c r="E44" s="63">
        <f t="shared" si="1"/>
        <v>152990</v>
      </c>
    </row>
    <row r="45" spans="1:7" x14ac:dyDescent="0.3">
      <c r="A45" s="2">
        <v>6</v>
      </c>
      <c r="C45" s="38" t="s">
        <v>18</v>
      </c>
      <c r="D45" s="42">
        <f>TRUNC(13298,-1)</f>
        <v>13290</v>
      </c>
      <c r="E45" s="63">
        <f t="shared" si="1"/>
        <v>43930</v>
      </c>
    </row>
    <row r="46" spans="1:7" x14ac:dyDescent="0.3">
      <c r="A46" s="2">
        <v>7</v>
      </c>
      <c r="C46" s="38" t="s">
        <v>19</v>
      </c>
      <c r="D46" s="42">
        <f>TRUNC(146980,-1)</f>
        <v>146980</v>
      </c>
      <c r="E46" s="63">
        <f t="shared" si="1"/>
        <v>485880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TRUNC(60304,-1)</f>
        <v>60300</v>
      </c>
      <c r="E48" s="63">
        <f t="shared" si="1"/>
        <v>199330</v>
      </c>
      <c r="F48" s="2" t="s">
        <v>249</v>
      </c>
    </row>
    <row r="49" spans="1:7" x14ac:dyDescent="0.3">
      <c r="A49" s="2">
        <v>10</v>
      </c>
      <c r="C49" s="38" t="s">
        <v>22</v>
      </c>
      <c r="D49" s="42">
        <f>TRUNC(15207,-1)</f>
        <v>15200</v>
      </c>
      <c r="E49" s="63">
        <f t="shared" si="1"/>
        <v>50240</v>
      </c>
    </row>
    <row r="50" spans="1:7" x14ac:dyDescent="0.3">
      <c r="A50" s="2">
        <v>11</v>
      </c>
      <c r="C50" s="38" t="s">
        <v>155</v>
      </c>
      <c r="D50" s="42">
        <f>TRUNC(58657,-1)</f>
        <v>58650</v>
      </c>
      <c r="E50" s="63">
        <f t="shared" si="1"/>
        <v>193880</v>
      </c>
      <c r="F50" s="2" t="s">
        <v>253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TRUNC(4566,-1)</f>
        <v>4560</v>
      </c>
      <c r="E52" s="63">
        <f t="shared" si="1"/>
        <v>15070</v>
      </c>
    </row>
    <row r="53" spans="1:7" x14ac:dyDescent="0.3">
      <c r="A53" s="2">
        <v>14</v>
      </c>
      <c r="C53" s="38" t="s">
        <v>25</v>
      </c>
      <c r="D53" s="42">
        <f>TRUNC(183646,-1)</f>
        <v>183640</v>
      </c>
      <c r="E53" s="63">
        <f t="shared" si="1"/>
        <v>607070</v>
      </c>
      <c r="F53" s="2" t="s">
        <v>250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TRUNC(25848+1494+4997-487+29950,-1)</f>
        <v>61800</v>
      </c>
      <c r="E58" s="63">
        <f t="shared" si="1"/>
        <v>204290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TRUNC(485489,-1)</f>
        <v>485480</v>
      </c>
      <c r="E59" s="64">
        <f t="shared" si="1"/>
        <v>1604890</v>
      </c>
    </row>
    <row r="60" spans="1:7" x14ac:dyDescent="0.3">
      <c r="A60" s="2">
        <v>21</v>
      </c>
      <c r="C60" s="27" t="s">
        <v>112</v>
      </c>
      <c r="D60" s="39">
        <f>SUM(D40:D59)</f>
        <v>1321280</v>
      </c>
      <c r="E60" s="39">
        <f>SUM(E40:E59)</f>
        <v>4367810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TRUNC(1087,-1)</f>
        <v>1080</v>
      </c>
      <c r="E63" s="62">
        <f>TRUNC(+D63*3.3058,-1)</f>
        <v>3570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1080</v>
      </c>
      <c r="E66" s="65">
        <f>SUM(E63:E65)</f>
        <v>3570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TRUNC(14215,-1)</f>
        <v>14210</v>
      </c>
      <c r="E69" s="62">
        <f t="shared" ref="E69:E94" si="2">TRUNC(+D69*3.3058,-1)</f>
        <v>46970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f>TRUNC(4621,-1)</f>
        <v>4620</v>
      </c>
      <c r="E72" s="63">
        <f t="shared" si="2"/>
        <v>15270</v>
      </c>
    </row>
    <row r="73" spans="1:7" x14ac:dyDescent="0.3">
      <c r="A73" s="2">
        <v>5</v>
      </c>
      <c r="C73" s="38" t="s">
        <v>34</v>
      </c>
      <c r="D73" s="42">
        <f>TRUNC(11103,-1)</f>
        <v>11100</v>
      </c>
      <c r="E73" s="63">
        <f t="shared" si="2"/>
        <v>36690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TRUNC(5440,-1)</f>
        <v>5440</v>
      </c>
      <c r="E89" s="63">
        <f t="shared" si="2"/>
        <v>17980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TRUNC(1966,-1)</f>
        <v>1960</v>
      </c>
      <c r="E91" s="63">
        <f t="shared" si="2"/>
        <v>6470</v>
      </c>
    </row>
    <row r="92" spans="1:7" x14ac:dyDescent="0.3">
      <c r="A92" s="2">
        <v>24</v>
      </c>
      <c r="C92" s="38" t="s">
        <v>38</v>
      </c>
      <c r="D92" s="42">
        <f>TRUNC(12735,-1)</f>
        <v>12730</v>
      </c>
      <c r="E92" s="63">
        <f t="shared" si="2"/>
        <v>42080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v>0</v>
      </c>
      <c r="E94" s="64">
        <f t="shared" si="2"/>
        <v>0</v>
      </c>
    </row>
    <row r="95" spans="1:7" x14ac:dyDescent="0.3">
      <c r="A95" s="2">
        <v>27</v>
      </c>
      <c r="C95" s="27" t="s">
        <v>112</v>
      </c>
      <c r="D95" s="39">
        <f>SUM(D69:D94)</f>
        <v>50060</v>
      </c>
      <c r="E95" s="39">
        <f>SUM(E69:E94)</f>
        <v>165460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TRUNC(27657,-1)</f>
        <v>27650</v>
      </c>
      <c r="E98" s="62">
        <f t="shared" ref="E98:E118" si="3">TRUNC(+D98*3.3058,-1)</f>
        <v>91400</v>
      </c>
    </row>
    <row r="99" spans="1:7" x14ac:dyDescent="0.3">
      <c r="A99" s="2">
        <v>2</v>
      </c>
      <c r="C99" s="38" t="s">
        <v>40</v>
      </c>
      <c r="D99" s="42">
        <f>TRUNC(1518,-1)</f>
        <v>1510</v>
      </c>
      <c r="E99" s="63">
        <f t="shared" si="3"/>
        <v>4990</v>
      </c>
    </row>
    <row r="100" spans="1:7" x14ac:dyDescent="0.3">
      <c r="A100" s="2">
        <v>3</v>
      </c>
      <c r="C100" s="38" t="s">
        <v>41</v>
      </c>
      <c r="D100" s="42">
        <f>TRUNC(35904,-1)</f>
        <v>35900</v>
      </c>
      <c r="E100" s="63">
        <f t="shared" si="3"/>
        <v>118670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TRUNC(20038,-1)</f>
        <v>20030</v>
      </c>
      <c r="E102" s="63">
        <f t="shared" si="3"/>
        <v>66210</v>
      </c>
    </row>
    <row r="103" spans="1:7" x14ac:dyDescent="0.3">
      <c r="A103" s="2">
        <v>6</v>
      </c>
      <c r="C103" s="38" t="s">
        <v>44</v>
      </c>
      <c r="D103" s="42">
        <f>TRUNC(6509,-1)</f>
        <v>6500</v>
      </c>
      <c r="E103" s="63">
        <f t="shared" si="3"/>
        <v>21480</v>
      </c>
    </row>
    <row r="104" spans="1:7" x14ac:dyDescent="0.3">
      <c r="A104" s="2">
        <v>7</v>
      </c>
      <c r="C104" s="38" t="s">
        <v>45</v>
      </c>
      <c r="D104" s="42">
        <f>TRUNC(8229,-1)</f>
        <v>8220</v>
      </c>
      <c r="E104" s="63">
        <f t="shared" si="3"/>
        <v>27170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TRUNC(104412,-1)</f>
        <v>104410</v>
      </c>
      <c r="E117" s="63">
        <f t="shared" si="3"/>
        <v>345150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204220</v>
      </c>
      <c r="E119" s="39">
        <f>SUM(E98:E118)</f>
        <v>675070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TRUNC(3431,-1)</f>
        <v>3430</v>
      </c>
      <c r="E122" s="62">
        <f t="shared" ref="E122:E132" si="4">TRUNC(+D122*3.3058,-1)</f>
        <v>11330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TRUNC(9947,-1)</f>
        <v>9940</v>
      </c>
      <c r="E125" s="63">
        <f t="shared" si="4"/>
        <v>32850</v>
      </c>
    </row>
    <row r="126" spans="1:7" x14ac:dyDescent="0.3">
      <c r="A126" s="2">
        <v>5</v>
      </c>
      <c r="C126" s="38" t="s">
        <v>53</v>
      </c>
      <c r="D126" s="42">
        <f>TRUNC(5155,-1)</f>
        <v>5150</v>
      </c>
      <c r="E126" s="63">
        <f t="shared" si="4"/>
        <v>17020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TRUNC(47644,-1)</f>
        <v>47640</v>
      </c>
      <c r="E130" s="63">
        <f t="shared" si="4"/>
        <v>157480</v>
      </c>
    </row>
    <row r="131" spans="1:7" x14ac:dyDescent="0.3">
      <c r="A131" s="2">
        <v>10</v>
      </c>
      <c r="C131" s="38" t="s">
        <v>148</v>
      </c>
      <c r="D131" s="42">
        <f>TRUNC(35353,-1)</f>
        <v>35350</v>
      </c>
      <c r="E131" s="63">
        <f t="shared" si="4"/>
        <v>116860</v>
      </c>
    </row>
    <row r="132" spans="1:7" ht="18" thickBot="1" x14ac:dyDescent="0.35">
      <c r="A132" s="2">
        <v>11</v>
      </c>
      <c r="C132" s="38" t="s">
        <v>47</v>
      </c>
      <c r="D132" s="43">
        <v>0</v>
      </c>
      <c r="E132" s="64">
        <f t="shared" si="4"/>
        <v>0</v>
      </c>
      <c r="F132" s="54"/>
    </row>
    <row r="133" spans="1:7" x14ac:dyDescent="0.3">
      <c r="A133" s="2">
        <v>12</v>
      </c>
      <c r="C133" s="27" t="s">
        <v>112</v>
      </c>
      <c r="D133" s="39">
        <f>SUM(D122:D132)</f>
        <v>101510</v>
      </c>
      <c r="E133" s="39">
        <f>SUM(E122:E132)</f>
        <v>335540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TRUNC(19849,-1)</f>
        <v>19840</v>
      </c>
      <c r="E137" s="63">
        <f t="shared" si="5"/>
        <v>65580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f>TRUNC(13825,-1)</f>
        <v>13820</v>
      </c>
      <c r="E144" s="63">
        <f t="shared" si="5"/>
        <v>45680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33660</v>
      </c>
      <c r="E146" s="39">
        <f>SUM(E136:E145)</f>
        <v>111260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TRUNC(918+7353,-1)</f>
        <v>8270</v>
      </c>
      <c r="E149" s="62">
        <f>TRUNC(+D149*3.3058,-1)</f>
        <v>27330</v>
      </c>
    </row>
    <row r="150" spans="1:7" x14ac:dyDescent="0.3">
      <c r="A150" s="2">
        <v>2</v>
      </c>
      <c r="C150" s="38" t="s">
        <v>49</v>
      </c>
      <c r="D150" s="42">
        <f>TRUNC(7630,-1)</f>
        <v>7630</v>
      </c>
      <c r="E150" s="63">
        <f>TRUNC(+D150*3.3058,-1)</f>
        <v>25220</v>
      </c>
    </row>
    <row r="151" spans="1:7" x14ac:dyDescent="0.3">
      <c r="A151" s="2">
        <v>3</v>
      </c>
      <c r="C151" s="38" t="s">
        <v>50</v>
      </c>
      <c r="D151" s="42">
        <f>TRUNC(62257,-1)</f>
        <v>62250</v>
      </c>
      <c r="E151" s="63">
        <f>TRUNC(+D151*3.3058,-1)</f>
        <v>205780</v>
      </c>
    </row>
    <row r="152" spans="1:7" x14ac:dyDescent="0.3">
      <c r="A152" s="2">
        <v>4</v>
      </c>
      <c r="C152" s="38" t="s">
        <v>47</v>
      </c>
      <c r="D152" s="42">
        <f>TRUNC(27918+233+2193,-1)</f>
        <v>30340</v>
      </c>
      <c r="E152" s="63">
        <f>TRUNC(+D152*3.3058,-1)</f>
        <v>100290</v>
      </c>
      <c r="F152" s="2" t="s">
        <v>255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108490</v>
      </c>
      <c r="E154" s="39">
        <f>SUM(E149:E153)</f>
        <v>358620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TRUNC(54683,-1)</f>
        <v>54680</v>
      </c>
      <c r="E157" s="62">
        <f>TRUNC(+D157*3.3058,-1)</f>
        <v>180760</v>
      </c>
    </row>
    <row r="158" spans="1:7" x14ac:dyDescent="0.3">
      <c r="A158" s="2">
        <v>2</v>
      </c>
      <c r="C158" s="38" t="s">
        <v>52</v>
      </c>
      <c r="D158" s="42">
        <f>TRUNC(14664,-1)</f>
        <v>14660</v>
      </c>
      <c r="E158" s="63">
        <f>TRUNC(+D158*3.3058,-1)</f>
        <v>48460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69340</v>
      </c>
      <c r="E161" s="39">
        <f>SUM(E157:E160)</f>
        <v>229220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2020-12-08T01:29:29Z</dcterms:modified>
</cp:coreProperties>
</file>