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45" i="4"/>
  <c r="D153" i="4"/>
  <c r="D137" i="4"/>
  <c r="D144" i="4"/>
  <c r="D143" i="4"/>
  <c r="D139" i="4"/>
  <c r="D138" i="4"/>
  <c r="D141" i="4"/>
  <c r="D142" i="4"/>
  <c r="D140" i="4"/>
  <c r="D128" i="4"/>
  <c r="D132" i="4"/>
  <c r="D124" i="4"/>
  <c r="D125" i="4"/>
  <c r="D122" i="4"/>
  <c r="D130" i="4"/>
  <c r="D118" i="4"/>
  <c r="D105" i="4"/>
  <c r="D104" i="4"/>
  <c r="D103" i="4"/>
  <c r="D102" i="4"/>
  <c r="D101" i="4"/>
  <c r="D100" i="4"/>
  <c r="D114" i="4"/>
  <c r="D99" i="4"/>
  <c r="D98" i="4"/>
  <c r="D116" i="4"/>
  <c r="D94" i="4"/>
  <c r="D75" i="4"/>
  <c r="D84" i="4"/>
  <c r="D92" i="4"/>
  <c r="D91" i="4"/>
  <c r="D89" i="4"/>
  <c r="D73" i="4"/>
  <c r="D71" i="4"/>
  <c r="D70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D152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46" i="4"/>
  <c r="E133" i="4"/>
  <c r="E119" i="4"/>
  <c r="E95" i="4"/>
  <c r="E60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<sst xmlns="http://schemas.openxmlformats.org/spreadsheetml/2006/main" count="395" uniqueCount="269">
  <si>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</si>
  <si>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</si>
  <si>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</si>
  <si>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</si>
  <si>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</si>
  <si>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</si>
  <si>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</si>
  <si>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</si>
  <si>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</si>
  <si>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</si>
  <si>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</si>
  <si>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</si>
  <si>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</si>
  <si>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</si>
  <si>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</si>
  <si>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</si>
  <si>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</si>
  <si>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</si>
  <si>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</si>
  <si>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</si>
  <si>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</si>
  <si>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</si>
  <si>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</si>
  <si>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</si>
  <si>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</si>
  <si>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</si>
  <si>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</si>
  <si>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</si>
  <si>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</si>
  <si>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</si>
  <si>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</si>
  <si>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</si>
  <si>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</si>
  <si>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</si>
  <si>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</si>
  <si>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</si>
  <si>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</si>
  <si>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</si>
  <si>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</si>
  <si>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</si>
  <si>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</si>
  <si>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</si>
  <si>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</si>
  <si>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</si>
  <si>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</si>
  <si>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</si>
  <si>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</si>
  <si>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</si>
  <si>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</si>
  <si>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</si>
  <si>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</si>
  <si>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</si>
  <si>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</si>
  <si>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</si>
  <si>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</si>
  <si>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</si>
  <si>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</si>
  <si>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</si>
  <si>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</si>
  <si>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</si>
  <si>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</si>
  <si>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</si>
  <si>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</si>
  <si>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</si>
  <si>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</si>
  <si>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</si>
  <si>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</si>
  <si>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</si>
  <si>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</si>
  <si>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</si>
  <si>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</si>
  <si>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</si>
  <si>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</si>
  <si>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</si>
  <si>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</si>
  <si>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</si>
  <si>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</si>
  <si>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</si>
  <si>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</si>
  <si>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</si>
  <si>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</si>
  <si>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</si>
  <si>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</si>
  <si>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</si>
  <si>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</si>
  <si>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</si>
  <si>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</si>
  <si>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</si>
  <si>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</si>
  <si>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</si>
  <si>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</si>
  <si>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</si>
  <si>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</si>
  <si>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</si>
  <si>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</si>
  <si>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</si>
  <si>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</si>
  <si>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</si>
  <si>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</si>
  <si>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</si>
  <si>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</si>
  <si>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</si>
  <si>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</si>
  <si>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</si>
  <si>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</si>
  <si>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</si>
  <si>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</si>
  <si>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</si>
  <si>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</si>
  <si>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</si>
  <si>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</si>
  <si>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</si>
  <si>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</si>
  <si>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</si>
  <si>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</si>
  <si>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</si>
  <si>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</si>
  <si>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</si>
  <si>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</si>
  <si>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</si>
  <si>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</si>
  <si>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</si>
  <si>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</si>
  <si>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</si>
  <si>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</si>
  <si>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</si>
  <si>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</si>
  <si>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</si>
  <si>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</si>
  <si>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</si>
  <si>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</si>
  <si>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</si>
  <si>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</si>
  <si>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</si>
  <si>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</si>
  <si>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</si>
  <si>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</si>
  <si>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</si>
  <si>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</si>
  <si>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</si>
  <si>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</si>
  <si>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</si>
  <si>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</si>
  <si>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</si>
  <si>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</si>
  <si>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</si>
  <si>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</si>
  <si>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</si>
  <si>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</si>
  <si>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</si>
  <si>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</si>
  <si>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</si>
  <si>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</si>
  <si>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</si>
  <si>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</si>
  <si>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</si>
  <si>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</si>
  <si>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</si>
  <si>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</si>
  <si>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</si>
  <si>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</si>
  <si>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</si>
  <si>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</si>
  <si>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</si>
  <si>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</si>
  <si>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</si>
  <si>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</si>
  <si>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</si>
  <si>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</si>
  <si>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</si>
  <si>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</si>
  <si>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</si>
  <si>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</si>
  <si>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</si>
  <si>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</si>
  <si>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</si>
  <si>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</si>
  <si>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</si>
  <si>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</si>
  <si>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</si>
  <si>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</si>
  <si>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</si>
  <si>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</si>
  <si>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</si>
  <si>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</si>
  <si>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</si>
  <si>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</si>
  <si>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</si>
  <si>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</si>
  <si>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</si>
  <si>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</si>
  <si>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</si>
  <si>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</si>
  <si>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</si>
  <si>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</si>
  <si>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</si>
  <si>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</si>
  <si>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</si>
  <si>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</si>
  <si>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</si>
  <si>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</si>
  <si>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</si>
  <si>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</si>
  <si>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</si>
  <si>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</si>
  <si>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</si>
  <si>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</si>
  <si>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</si>
  <si>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</si>
  <si>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</si>
  <si>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</si>
  <si>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</si>
  <si>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</si>
  <si>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</si>
  <si>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</si>
  <si>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</si>
  <si>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</si>
  <si>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</si>
  <si>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</si>
  <si>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</si>
  <si>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</si>
  <si>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</si>
  <si>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</si>
  <si>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</si>
  <si>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</si>
  <si>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</si>
  <si>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</si>
  <si>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</si>
  <si>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</si>
  <si>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</si>
  <si>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</si>
  <si>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</si>
  <si>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</si>
  <si>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</si>
  <si>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</si>
  <si>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</si>
  <si>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</si>
  <si>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</si>
  <si>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</si>
  <si>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</si>
  <si>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</si>
  <si>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</si>
  <si>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</si>
  <si>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</si>
  <si>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</si>
  <si>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</si>
  <si>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</si>
  <si>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</si>
  <si>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</si>
  <si>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</si>
  <si>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하남시 미사도서관 건립공사</t>
    <phoneticPr fontId="2" type="noConversion"/>
  </si>
  <si>
    <t>교육연구</t>
  </si>
  <si>
    <t>조경시설물</t>
    <phoneticPr fontId="2" type="noConversion"/>
  </si>
  <si>
    <t>포장공사,기타공사</t>
    <phoneticPr fontId="2" type="noConversion"/>
  </si>
  <si>
    <t>우수공사,오수공사</t>
    <phoneticPr fontId="2" type="noConversion"/>
  </si>
  <si>
    <t>상수도공사,운반비,기타공사</t>
    <phoneticPr fontId="2" type="noConversion"/>
  </si>
  <si>
    <t>(지붕및홈통공사 포함)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</si>
  <si>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</si>
  <si>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</si>
  <si>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기초공사,골재비및운반비,작업부산물,품질시험비,기타공사</t>
    <phoneticPr fontId="2" type="noConversion"/>
  </si>
  <si>
    <t>바닥난방공사</t>
    <phoneticPr fontId="2" type="noConversion"/>
  </si>
  <si>
    <t>공조배관공사,기타공사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</si>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</sst>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238</v>
      </c>
    </row>
    <row r="7" spans="1:4" ht="17.25" thickBot="1" x14ac:dyDescent="0.35">
      <c r="C7" s="37">
        <v>6449.95</v>
      </c>
      <c r="D7" s="36">
        <f>+C7/3.3058</f>
        <v>1951.1010950450723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239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1136980</v>
      </c>
      <c r="E25" s="59">
        <f t="shared" si="0"/>
        <v>3758620</v>
      </c>
    </row>
    <row r="26" spans="1:5" x14ac:dyDescent="0.3">
      <c r="B26" s="2">
        <v>3</v>
      </c>
      <c r="C26" s="35" t="s">
        <v>95</v>
      </c>
      <c r="D26" s="45">
        <f>+D66</f>
        <v>20830</v>
      </c>
      <c r="E26" s="59">
        <f t="shared" si="0"/>
        <v>68850</v>
      </c>
    </row>
    <row r="27" spans="1:5" x14ac:dyDescent="0.3">
      <c r="B27" s="2">
        <v>4</v>
      </c>
      <c r="C27" s="35" t="s">
        <v>96</v>
      </c>
      <c r="D27" s="45">
        <f>+D95</f>
        <v>354780</v>
      </c>
      <c r="E27" s="59">
        <f t="shared" si="0"/>
        <v>1172830</v>
      </c>
    </row>
    <row r="28" spans="1:5" x14ac:dyDescent="0.3">
      <c r="B28" s="2">
        <v>5</v>
      </c>
      <c r="C28" s="35" t="s">
        <v>97</v>
      </c>
      <c r="D28" s="45">
        <f>+D119</f>
        <v>238420</v>
      </c>
      <c r="E28" s="59">
        <f t="shared" si="0"/>
        <v>788160</v>
      </c>
    </row>
    <row r="29" spans="1:5" x14ac:dyDescent="0.3">
      <c r="B29" s="2">
        <v>6</v>
      </c>
      <c r="C29" s="35" t="s">
        <v>98</v>
      </c>
      <c r="D29" s="45">
        <f>+D133</f>
        <v>164900</v>
      </c>
      <c r="E29" s="59">
        <f t="shared" si="0"/>
        <v>545120</v>
      </c>
    </row>
    <row r="30" spans="1:5" x14ac:dyDescent="0.3">
      <c r="B30" s="2">
        <v>7</v>
      </c>
      <c r="C30" s="35" t="s">
        <v>99</v>
      </c>
      <c r="D30" s="45">
        <f>+D146</f>
        <v>73070</v>
      </c>
      <c r="E30" s="59">
        <f t="shared" si="0"/>
        <v>241550</v>
      </c>
    </row>
    <row r="31" spans="1:5" x14ac:dyDescent="0.3">
      <c r="B31" s="2">
        <v>8</v>
      </c>
      <c r="C31" s="35" t="s">
        <v>100</v>
      </c>
      <c r="D31" s="45">
        <f>+D154</f>
        <v>24930</v>
      </c>
      <c r="E31" s="59">
        <f t="shared" si="0"/>
        <v>82410</v>
      </c>
    </row>
    <row r="32" spans="1:5" x14ac:dyDescent="0.3">
      <c r="B32" s="2">
        <v>9</v>
      </c>
      <c r="C32" s="35" t="s">
        <v>101</v>
      </c>
      <c r="D32" s="45">
        <f>+D161</f>
        <v>17850</v>
      </c>
      <c r="E32" s="59">
        <f t="shared" si="0"/>
        <v>59000</v>
      </c>
    </row>
    <row r="33" spans="1:7" x14ac:dyDescent="0.3">
      <c r="B33" s="2">
        <v>10</v>
      </c>
      <c r="C33" s="35" t="s">
        <v>155</v>
      </c>
      <c r="D33" s="53">
        <f>TRUNC(SUM(D24:D32)*0.275,-1)</f>
        <v>558730</v>
      </c>
      <c r="E33" s="60">
        <f t="shared" si="0"/>
        <v>1847040</v>
      </c>
    </row>
    <row r="34" spans="1:7" x14ac:dyDescent="0.3">
      <c r="C34" s="35" t="s">
        <v>112</v>
      </c>
      <c r="D34" s="44">
        <f>SUM(D24:D33)</f>
        <v>2590490</v>
      </c>
      <c r="E34" s="44">
        <f>SUM(E24:E33)</f>
        <v>8563580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240</v>
      </c>
      <c r="D36" s="57" t="s">
        <v>237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237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TRUNC(70343,-1)</f>
        <v>70340</v>
      </c>
      <c r="E40" s="62">
        <f t="shared" ref="E40:E59" si="1">TRUNC(+D40*3.3058,-1)</f>
        <v>232520</v>
      </c>
    </row>
    <row r="41" spans="1:7" x14ac:dyDescent="0.3">
      <c r="A41" s="2">
        <v>2</v>
      </c>
      <c r="C41" s="38" t="s">
        <v>13</v>
      </c>
      <c r="D41" s="42">
        <f>TRUNC(174652,-1)</f>
        <v>174650</v>
      </c>
      <c r="E41" s="63">
        <f t="shared" si="1"/>
        <v>577350</v>
      </c>
    </row>
    <row r="42" spans="1:7" x14ac:dyDescent="0.3">
      <c r="A42" s="2">
        <v>3</v>
      </c>
      <c r="C42" s="38" t="s">
        <v>14</v>
      </c>
      <c r="D42" s="42">
        <f>TRUNC(221614,-1)</f>
        <v>221610</v>
      </c>
      <c r="E42" s="63">
        <f t="shared" si="1"/>
        <v>732590</v>
      </c>
    </row>
    <row r="43" spans="1:7" x14ac:dyDescent="0.3">
      <c r="A43" s="2">
        <v>4</v>
      </c>
      <c r="C43" s="38" t="s">
        <v>16</v>
      </c>
      <c r="D43" s="42">
        <f>TRUNC(19024,-1)</f>
        <v>19020</v>
      </c>
      <c r="E43" s="63">
        <f t="shared" si="1"/>
        <v>62870</v>
      </c>
    </row>
    <row r="44" spans="1:7" x14ac:dyDescent="0.3">
      <c r="A44" s="2">
        <v>5</v>
      </c>
      <c r="C44" s="38" t="s">
        <v>17</v>
      </c>
      <c r="D44" s="42">
        <f>TRUNC(19838,-1)</f>
        <v>19830</v>
      </c>
      <c r="E44" s="63">
        <f t="shared" si="1"/>
        <v>65550</v>
      </c>
    </row>
    <row r="45" spans="1:7" x14ac:dyDescent="0.3">
      <c r="A45" s="2">
        <v>6</v>
      </c>
      <c r="C45" s="38" t="s">
        <v>18</v>
      </c>
      <c r="D45" s="42">
        <f>TRUNC(7343,-1)</f>
        <v>7340</v>
      </c>
      <c r="E45" s="63">
        <f t="shared" si="1"/>
        <v>24260</v>
      </c>
    </row>
    <row r="46" spans="1:7" x14ac:dyDescent="0.3">
      <c r="A46" s="2">
        <v>7</v>
      </c>
      <c r="C46" s="38" t="s">
        <v>19</v>
      </c>
      <c r="D46" s="42">
        <f>TRUNC(4926,-1)</f>
        <v>4920</v>
      </c>
      <c r="E46" s="63">
        <f t="shared" si="1"/>
        <v>16260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TRUNC(32911,-1)</f>
        <v>32910</v>
      </c>
      <c r="E48" s="63">
        <f t="shared" si="1"/>
        <v>108790</v>
      </c>
      <c r="F48" s="2" t="s">
        <v>256</v>
      </c>
    </row>
    <row r="49" spans="1:7" x14ac:dyDescent="0.3">
      <c r="A49" s="2">
        <v>10</v>
      </c>
      <c r="C49" s="38" t="s">
        <v>22</v>
      </c>
      <c r="D49" s="42">
        <f>TRUNC(17526,-1)</f>
        <v>17520</v>
      </c>
      <c r="E49" s="63">
        <f t="shared" si="1"/>
        <v>57910</v>
      </c>
    </row>
    <row r="50" spans="1:7" x14ac:dyDescent="0.3">
      <c r="A50" s="2">
        <v>11</v>
      </c>
      <c r="C50" s="38" t="s">
        <v>156</v>
      </c>
      <c r="D50" s="42">
        <f>TRUNC(117596,-1)</f>
        <v>117590</v>
      </c>
      <c r="E50" s="63">
        <f t="shared" si="1"/>
        <v>388720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TRUNC(19217,-1)</f>
        <v>19210</v>
      </c>
      <c r="E52" s="63">
        <f t="shared" si="1"/>
        <v>63500</v>
      </c>
    </row>
    <row r="53" spans="1:7" x14ac:dyDescent="0.3">
      <c r="A53" s="2">
        <v>14</v>
      </c>
      <c r="C53" s="38" t="s">
        <v>25</v>
      </c>
      <c r="D53" s="42">
        <f>TRUNC(114295,-1)</f>
        <v>114290</v>
      </c>
      <c r="E53" s="63">
        <f t="shared" si="1"/>
        <v>377810</v>
      </c>
      <c r="F53" s="2" t="s">
        <v>257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TRUNC(14517+5843-2433+3074+11027,-1)</f>
        <v>32020</v>
      </c>
      <c r="E58" s="63">
        <f t="shared" si="1"/>
        <v>105850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TRUNC(285731,-1)</f>
        <v>285730</v>
      </c>
      <c r="E59" s="64">
        <f t="shared" si="1"/>
        <v>944560</v>
      </c>
    </row>
    <row r="60" spans="1:7" x14ac:dyDescent="0.3">
      <c r="A60" s="2">
        <v>21</v>
      </c>
      <c r="C60" s="27" t="s">
        <v>112</v>
      </c>
      <c r="D60" s="39">
        <f>SUM(D40:D59)</f>
        <v>1136980</v>
      </c>
      <c r="E60" s="39">
        <f>SUM(E40:E59)</f>
        <v>3758540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241</v>
      </c>
      <c r="C62" s="56" t="s">
        <v>242</v>
      </c>
      <c r="D62" s="57" t="s">
        <v>239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TRUNC(10427,-1)</f>
        <v>10420</v>
      </c>
      <c r="E63" s="62">
        <f>TRUNC(+D63*3.3058,-1)</f>
        <v>34440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TRUNC(10416,-1)</f>
        <v>10410</v>
      </c>
      <c r="E65" s="64">
        <f>TRUNC(+D65*3.3058,-1)</f>
        <v>34410</v>
      </c>
    </row>
    <row r="66" spans="1:7" x14ac:dyDescent="0.3">
      <c r="A66" s="2">
        <v>4</v>
      </c>
      <c r="C66" s="27" t="s">
        <v>112</v>
      </c>
      <c r="D66" s="39">
        <f>SUM(D63:D65)</f>
        <v>20830</v>
      </c>
      <c r="E66" s="65">
        <f>SUM(E63:E65)</f>
        <v>68850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243</v>
      </c>
      <c r="C68" s="56" t="s">
        <v>244</v>
      </c>
      <c r="D68" s="57" t="s">
        <v>237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TRUNC(26779,-1)</f>
        <v>26770</v>
      </c>
      <c r="E69" s="62">
        <f t="shared" ref="E69:E94" si="2">TRUNC(+D69*3.3058,-1)</f>
        <v>88490</v>
      </c>
    </row>
    <row r="70" spans="1:7" ht="16.5" customHeight="1" x14ac:dyDescent="0.3">
      <c r="A70" s="2">
        <v>2</v>
      </c>
      <c r="C70" s="38" t="s">
        <v>31</v>
      </c>
      <c r="D70" s="42">
        <f>TRUNC(3014,-1)</f>
        <v>3010</v>
      </c>
      <c r="E70" s="63">
        <f t="shared" si="2"/>
        <v>9950</v>
      </c>
    </row>
    <row r="71" spans="1:7" x14ac:dyDescent="0.3">
      <c r="A71" s="2">
        <v>3</v>
      </c>
      <c r="C71" s="38" t="s">
        <v>32</v>
      </c>
      <c r="D71" s="42">
        <f>TRUNC(50362,-1)</f>
        <v>50360</v>
      </c>
      <c r="E71" s="63">
        <f t="shared" si="2"/>
        <v>166480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TRUNC(7231,-1)</f>
        <v>7230</v>
      </c>
      <c r="E73" s="63">
        <f t="shared" si="2"/>
        <v>23900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TRUNC(2161,-1)</f>
        <v>2160</v>
      </c>
      <c r="E75" s="63">
        <f t="shared" si="2"/>
        <v>7140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TRUNC(389,-1)</f>
        <v>380</v>
      </c>
      <c r="E84" s="63">
        <f t="shared" si="2"/>
        <v>1250</v>
      </c>
      <c r="F84" s="2" t="s">
        <v>260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TRUNC(8535,-1)</f>
        <v>8530</v>
      </c>
      <c r="E89" s="63">
        <f t="shared" si="2"/>
        <v>28190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TRUNC(43282,-1)</f>
        <v>43280</v>
      </c>
      <c r="E91" s="63">
        <f t="shared" si="2"/>
        <v>143070</v>
      </c>
    </row>
    <row r="92" spans="1:7" x14ac:dyDescent="0.3">
      <c r="A92" s="2">
        <v>24</v>
      </c>
      <c r="C92" s="38" t="s">
        <v>38</v>
      </c>
      <c r="D92" s="42">
        <f>TRUNC(6630,-1)</f>
        <v>6630</v>
      </c>
      <c r="E92" s="63">
        <f t="shared" si="2"/>
        <v>21910</v>
      </c>
    </row>
    <row r="93" spans="1:7" x14ac:dyDescent="0.3">
      <c r="A93" s="2">
        <v>25</v>
      </c>
      <c r="C93" s="38" t="s">
        <v>149</v>
      </c>
      <c r="D93" s="42">
        <f>TRUNC(178384,-1)</f>
        <v>178380</v>
      </c>
      <c r="E93" s="63">
        <f t="shared" si="2"/>
        <v>589680</v>
      </c>
    </row>
    <row r="94" spans="1:7" ht="17.25" thickBot="1" x14ac:dyDescent="0.35">
      <c r="A94" s="2">
        <v>26</v>
      </c>
      <c r="C94" s="38" t="s">
        <v>47</v>
      </c>
      <c r="D94" s="43">
        <f>TRUNC(21495+6558,-1)</f>
        <v>28050</v>
      </c>
      <c r="E94" s="64">
        <f t="shared" si="2"/>
        <v>92720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354780</v>
      </c>
      <c r="E95" s="39">
        <f>SUM(E69:E94)</f>
        <v>1172780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245</v>
      </c>
      <c r="C97" s="56" t="s">
        <v>244</v>
      </c>
      <c r="D97" s="57" t="s">
        <v>237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TRUNC(13498,-1)</f>
        <v>13490</v>
      </c>
      <c r="E98" s="62">
        <f t="shared" ref="E98:E118" si="3">TRUNC(+D98*3.3058,-1)</f>
        <v>44590</v>
      </c>
    </row>
    <row r="99" spans="1:7" x14ac:dyDescent="0.3">
      <c r="A99" s="2">
        <v>2</v>
      </c>
      <c r="C99" s="38" t="s">
        <v>40</v>
      </c>
      <c r="D99" s="42">
        <f>TRUNC(11264,-1)</f>
        <v>11260</v>
      </c>
      <c r="E99" s="63">
        <f t="shared" si="3"/>
        <v>37220</v>
      </c>
    </row>
    <row r="100" spans="1:7" x14ac:dyDescent="0.3">
      <c r="A100" s="2">
        <v>3</v>
      </c>
      <c r="C100" s="38" t="s">
        <v>41</v>
      </c>
      <c r="D100" s="42">
        <f>TRUNC(32158,-1)</f>
        <v>32150</v>
      </c>
      <c r="E100" s="63">
        <f t="shared" si="3"/>
        <v>106280</v>
      </c>
    </row>
    <row r="101" spans="1:7" x14ac:dyDescent="0.3">
      <c r="A101" s="2">
        <v>4</v>
      </c>
      <c r="C101" s="38" t="s">
        <v>42</v>
      </c>
      <c r="D101" s="42">
        <f>TRUNC(4724,-1)</f>
        <v>4720</v>
      </c>
      <c r="E101" s="63">
        <f t="shared" si="3"/>
        <v>15600</v>
      </c>
    </row>
    <row r="102" spans="1:7" x14ac:dyDescent="0.3">
      <c r="A102" s="2">
        <v>5</v>
      </c>
      <c r="C102" s="38" t="s">
        <v>43</v>
      </c>
      <c r="D102" s="42">
        <f>TRUNC(13509,-1)</f>
        <v>13500</v>
      </c>
      <c r="E102" s="63">
        <f t="shared" si="3"/>
        <v>44620</v>
      </c>
    </row>
    <row r="103" spans="1:7" x14ac:dyDescent="0.3">
      <c r="A103" s="2">
        <v>6</v>
      </c>
      <c r="C103" s="38" t="s">
        <v>44</v>
      </c>
      <c r="D103" s="42">
        <f>TRUNC(590,-1)</f>
        <v>590</v>
      </c>
      <c r="E103" s="63">
        <f t="shared" si="3"/>
        <v>1950</v>
      </c>
    </row>
    <row r="104" spans="1:7" x14ac:dyDescent="0.3">
      <c r="A104" s="2">
        <v>7</v>
      </c>
      <c r="C104" s="38" t="s">
        <v>45</v>
      </c>
      <c r="D104" s="42">
        <f>TRUNC(2261,-1)</f>
        <v>2260</v>
      </c>
      <c r="E104" s="63">
        <f t="shared" si="3"/>
        <v>7470</v>
      </c>
    </row>
    <row r="105" spans="1:7" x14ac:dyDescent="0.3">
      <c r="A105" s="2">
        <v>8</v>
      </c>
      <c r="C105" s="38" t="s">
        <v>46</v>
      </c>
      <c r="D105" s="42">
        <f>TRUNC(5437,-1)</f>
        <v>5430</v>
      </c>
      <c r="E105" s="63">
        <f t="shared" si="3"/>
        <v>17950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TRUNC(3730,-1)</f>
        <v>3730</v>
      </c>
      <c r="E114" s="63">
        <f t="shared" si="3"/>
        <v>12330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TRUNC(2557,-1)</f>
        <v>2550</v>
      </c>
      <c r="E116" s="63">
        <f t="shared" si="3"/>
        <v>8420</v>
      </c>
      <c r="F116" s="2" t="s">
        <v>262</v>
      </c>
    </row>
    <row r="117" spans="1:7" x14ac:dyDescent="0.3">
      <c r="A117" s="2">
        <v>20</v>
      </c>
      <c r="C117" s="38" t="s">
        <v>149</v>
      </c>
      <c r="D117" s="42">
        <f>TRUNC(136281,-1)</f>
        <v>136280</v>
      </c>
      <c r="E117" s="63">
        <f t="shared" si="3"/>
        <v>450510</v>
      </c>
    </row>
    <row r="118" spans="1:7" ht="17.25" thickBot="1" x14ac:dyDescent="0.35">
      <c r="A118" s="2">
        <v>21</v>
      </c>
      <c r="C118" s="38" t="s">
        <v>47</v>
      </c>
      <c r="D118" s="43">
        <f>TRUNC(12467,-1)</f>
        <v>12460</v>
      </c>
      <c r="E118" s="64">
        <f t="shared" si="3"/>
        <v>41190</v>
      </c>
    </row>
    <row r="119" spans="1:7" x14ac:dyDescent="0.3">
      <c r="A119" s="2">
        <v>22</v>
      </c>
      <c r="C119" s="27" t="s">
        <v>112</v>
      </c>
      <c r="D119" s="39">
        <f>SUM(D98:D118)</f>
        <v>238420</v>
      </c>
      <c r="E119" s="39">
        <f>SUM(E98:E118)</f>
        <v>788130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246</v>
      </c>
      <c r="C121" s="56" t="s">
        <v>244</v>
      </c>
      <c r="D121" s="57" t="s">
        <v>237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TRUNC(4922,-1)</f>
        <v>4920</v>
      </c>
      <c r="E122" s="62">
        <f t="shared" ref="E122:E132" si="4">TRUNC(+D122*3.3058,-1)</f>
        <v>16260</v>
      </c>
      <c r="F122" s="2" t="s">
        <v>263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TRUNC(1442,-1)</f>
        <v>1440</v>
      </c>
      <c r="E124" s="63">
        <f t="shared" si="4"/>
        <v>4760</v>
      </c>
    </row>
    <row r="125" spans="1:7" x14ac:dyDescent="0.3">
      <c r="A125" s="2">
        <v>4</v>
      </c>
      <c r="C125" s="38" t="s">
        <v>138</v>
      </c>
      <c r="D125" s="42">
        <f>TRUNC(6988,-1)</f>
        <v>6980</v>
      </c>
      <c r="E125" s="63">
        <f t="shared" si="4"/>
        <v>23070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TRUNC(4905,-1)</f>
        <v>4900</v>
      </c>
      <c r="E128" s="63">
        <f t="shared" si="4"/>
        <v>16190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TRUNC(47392,-1)</f>
        <v>47390</v>
      </c>
      <c r="E130" s="63">
        <f t="shared" si="4"/>
        <v>156660</v>
      </c>
    </row>
    <row r="131" spans="1:7" x14ac:dyDescent="0.3">
      <c r="A131" s="2">
        <v>10</v>
      </c>
      <c r="C131" s="38" t="s">
        <v>149</v>
      </c>
      <c r="D131" s="42">
        <f>TRUNC(94526,-1)</f>
        <v>94520</v>
      </c>
      <c r="E131" s="63">
        <f t="shared" si="4"/>
        <v>312460</v>
      </c>
    </row>
    <row r="132" spans="1:7" ht="18" thickBot="1" x14ac:dyDescent="0.35">
      <c r="A132" s="2">
        <v>11</v>
      </c>
      <c r="C132" s="38" t="s">
        <v>47</v>
      </c>
      <c r="D132" s="43">
        <f>TRUNC(3577+867+307,-1)</f>
        <v>4750</v>
      </c>
      <c r="E132" s="64">
        <f t="shared" si="4"/>
        <v>15700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164900</v>
      </c>
      <c r="E133" s="39">
        <f>SUM(E122:E132)</f>
        <v>545100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247</v>
      </c>
      <c r="C135" s="56" t="s">
        <v>244</v>
      </c>
      <c r="D135" s="57" t="s">
        <v>237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TRUNC(303+3542+158,-1)</f>
        <v>4000</v>
      </c>
      <c r="E137" s="63">
        <f t="shared" si="5"/>
        <v>13220</v>
      </c>
      <c r="F137" s="2" t="s">
        <v>265</v>
      </c>
    </row>
    <row r="138" spans="1:7" x14ac:dyDescent="0.3">
      <c r="A138" s="2">
        <v>3</v>
      </c>
      <c r="C138" s="38" t="s">
        <v>60</v>
      </c>
      <c r="D138" s="42">
        <f>TRUNC(3626,-1)</f>
        <v>3620</v>
      </c>
      <c r="E138" s="63">
        <f t="shared" si="5"/>
        <v>11960</v>
      </c>
    </row>
    <row r="139" spans="1:7" x14ac:dyDescent="0.3">
      <c r="A139" s="2">
        <v>4</v>
      </c>
      <c r="C139" s="38" t="s">
        <v>61</v>
      </c>
      <c r="D139" s="42">
        <f>TRUNC(3231,-1)</f>
        <v>3230</v>
      </c>
      <c r="E139" s="63">
        <f t="shared" si="5"/>
        <v>10670</v>
      </c>
    </row>
    <row r="140" spans="1:7" x14ac:dyDescent="0.3">
      <c r="A140" s="2">
        <v>5</v>
      </c>
      <c r="C140" s="38" t="s">
        <v>57</v>
      </c>
      <c r="D140" s="42">
        <f>TRUNC(3895,-1)</f>
        <v>3890</v>
      </c>
      <c r="E140" s="63">
        <f t="shared" si="5"/>
        <v>12850</v>
      </c>
    </row>
    <row r="141" spans="1:7" x14ac:dyDescent="0.3">
      <c r="A141" s="2">
        <v>6</v>
      </c>
      <c r="C141" s="38" t="s">
        <v>59</v>
      </c>
      <c r="D141" s="42">
        <f>TRUNC(25532,-1)</f>
        <v>25530</v>
      </c>
      <c r="E141" s="63">
        <f t="shared" si="5"/>
        <v>84390</v>
      </c>
    </row>
    <row r="142" spans="1:7" x14ac:dyDescent="0.3">
      <c r="A142" s="2">
        <v>7</v>
      </c>
      <c r="C142" s="38" t="s">
        <v>58</v>
      </c>
      <c r="D142" s="42">
        <f>TRUNC(4284,-1)</f>
        <v>4280</v>
      </c>
      <c r="E142" s="63">
        <f t="shared" si="5"/>
        <v>14140</v>
      </c>
    </row>
    <row r="143" spans="1:7" x14ac:dyDescent="0.3">
      <c r="A143" s="2">
        <v>8</v>
      </c>
      <c r="C143" s="38" t="s">
        <v>62</v>
      </c>
      <c r="D143" s="42">
        <f>TRUNC(3822,-1)</f>
        <v>3820</v>
      </c>
      <c r="E143" s="63">
        <f t="shared" si="5"/>
        <v>12620</v>
      </c>
    </row>
    <row r="144" spans="1:7" x14ac:dyDescent="0.3">
      <c r="A144" s="2">
        <v>9</v>
      </c>
      <c r="C144" s="38" t="s">
        <v>63</v>
      </c>
      <c r="D144" s="42">
        <f>TRUNC(20160,-1)</f>
        <v>20160</v>
      </c>
      <c r="E144" s="63">
        <f t="shared" si="5"/>
        <v>66640</v>
      </c>
    </row>
    <row r="145" spans="1:7" ht="17.25" thickBot="1" x14ac:dyDescent="0.35">
      <c r="A145" s="2">
        <v>10</v>
      </c>
      <c r="C145" s="38" t="s">
        <v>149</v>
      </c>
      <c r="D145" s="43">
        <f>TRUNC(4540,-1)</f>
        <v>4540</v>
      </c>
      <c r="E145" s="64">
        <f t="shared" si="5"/>
        <v>15000</v>
      </c>
    </row>
    <row r="146" spans="1:7" x14ac:dyDescent="0.3">
      <c r="A146" s="2">
        <v>11</v>
      </c>
      <c r="C146" s="27" t="s">
        <v>112</v>
      </c>
      <c r="D146" s="39">
        <f>SUM(D136:D145)</f>
        <v>73070</v>
      </c>
      <c r="E146" s="39">
        <f>SUM(E136:E145)</f>
        <v>241490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248</v>
      </c>
      <c r="C148" s="56" t="s">
        <v>244</v>
      </c>
      <c r="D148" s="57" t="s">
        <v>237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TRUNC(3458+1750,-1)</f>
        <v>5200</v>
      </c>
      <c r="E149" s="62">
        <f>TRUNC(+D149*3.3058,-1)</f>
        <v>17190</v>
      </c>
      <c r="F149" s="2" t="s">
        <v>254</v>
      </c>
    </row>
    <row r="150" spans="1:7" x14ac:dyDescent="0.3">
      <c r="A150" s="2">
        <v>2</v>
      </c>
      <c r="C150" s="38" t="s">
        <v>49</v>
      </c>
      <c r="D150" s="42">
        <f>TRUNC(3827,-1)</f>
        <v>3820</v>
      </c>
      <c r="E150" s="63">
        <f>TRUNC(+D150*3.3058,-1)</f>
        <v>12620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TRUNC(561+114+66,-1)</f>
        <v>740</v>
      </c>
      <c r="E152" s="63">
        <f>TRUNC(+D152*3.3058,-1)</f>
        <v>2440</v>
      </c>
      <c r="F152" s="2" t="s">
        <v>255</v>
      </c>
    </row>
    <row r="153" spans="1:7" ht="17.25" thickBot="1" x14ac:dyDescent="0.35">
      <c r="A153" s="2">
        <v>5</v>
      </c>
      <c r="C153" s="38" t="s">
        <v>149</v>
      </c>
      <c r="D153" s="43">
        <f>TRUNC(15176,-1)</f>
        <v>15170</v>
      </c>
      <c r="E153" s="64">
        <f>TRUNC(+D153*3.3058,-1)</f>
        <v>50140</v>
      </c>
    </row>
    <row r="154" spans="1:7" x14ac:dyDescent="0.3">
      <c r="A154" s="2">
        <v>6</v>
      </c>
      <c r="C154" s="27" t="s">
        <v>112</v>
      </c>
      <c r="D154" s="39">
        <f>SUM(D149:D153)</f>
        <v>24930</v>
      </c>
      <c r="E154" s="39">
        <f>SUM(E149:E153)</f>
        <v>82390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249</v>
      </c>
      <c r="C156" s="56" t="s">
        <v>244</v>
      </c>
      <c r="D156" s="57" t="s">
        <v>237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TRUNC(4454,-1)</f>
        <v>4450</v>
      </c>
      <c r="E157" s="62">
        <f>TRUNC(+D157*3.3058,-1)</f>
        <v>14710</v>
      </c>
    </row>
    <row r="158" spans="1:7" x14ac:dyDescent="0.3">
      <c r="A158" s="2">
        <v>2</v>
      </c>
      <c r="C158" s="38" t="s">
        <v>52</v>
      </c>
      <c r="D158" s="42">
        <f>TRUNC(10646,-1)</f>
        <v>10640</v>
      </c>
      <c r="E158" s="63">
        <f>TRUNC(+D158*3.3058,-1)</f>
        <v>35170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TRUNC(2768+0,-1)</f>
        <v>2760</v>
      </c>
      <c r="E159" s="63">
        <f>TRUNC(+D159*3.3058,-1)</f>
        <v>9120</v>
      </c>
      <c r="F159" s="2" t="s">
        <v>253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17850</v>
      </c>
      <c r="E161" s="39">
        <f>SUM(E157:E160)</f>
        <v>59000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2020-12-08T01:39:35Z</dcterms:modified>
</cp:coreProperties>
</file>