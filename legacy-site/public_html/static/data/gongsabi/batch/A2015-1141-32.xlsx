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5" i="4"/>
  <c r="D144" i="4"/>
  <c r="D143" i="4"/>
  <c r="D142" i="4"/>
  <c r="D141" i="4"/>
  <c r="D140" i="4"/>
  <c r="D137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2" i="4"/>
  <c r="D91" i="4"/>
  <c r="D90" i="4"/>
  <c r="D89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3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<sst xmlns="http://schemas.openxmlformats.org/spreadsheetml/2006/main" count="392" uniqueCount="268">
  <si>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</si>
  <si>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</si>
  <si>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</si>
  <si>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</si>
  <si>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</si>
  <si>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</si>
  <si>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</si>
  <si>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</si>
  <si>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</si>
  <si>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</si>
  <si>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</si>
  <si>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</si>
  <si>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</si>
  <si>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</si>
  <si>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</si>
  <si>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</si>
  <si>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</si>
  <si>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</si>
  <si>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</si>
  <si>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</si>
  <si>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</si>
  <si>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</si>
  <si>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</si>
  <si>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</si>
  <si>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</si>
  <si>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</si>
  <si>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</si>
  <si>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</si>
  <si>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</si>
  <si>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</si>
  <si>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</si>
  <si>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</si>
  <si>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</si>
  <si>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</si>
  <si>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</si>
  <si>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</si>
  <si>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</si>
  <si>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</si>
  <si>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</si>
  <si>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</si>
  <si>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</si>
  <si>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</si>
  <si>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</si>
  <si>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</si>
  <si>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</si>
  <si>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</si>
  <si>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</si>
  <si>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</si>
  <si>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</si>
  <si>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</si>
  <si>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</si>
  <si>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</si>
  <si>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</si>
  <si>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</si>
  <si>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</si>
  <si>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</si>
  <si>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</si>
  <si>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</si>
  <si>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</si>
  <si>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</si>
  <si>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</si>
  <si>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</si>
  <si>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</si>
  <si>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</si>
  <si>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</si>
  <si>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</si>
  <si>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</si>
  <si>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</si>
  <si>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</si>
  <si>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</si>
  <si>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</si>
  <si>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</si>
  <si>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</si>
  <si>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</si>
  <si>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</si>
  <si>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</si>
  <si>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</si>
  <si>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</si>
  <si>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</si>
  <si>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</si>
  <si>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</si>
  <si>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</si>
  <si>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</si>
  <si>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</si>
  <si>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</si>
  <si>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</si>
  <si>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</si>
  <si>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</si>
  <si>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</si>
  <si>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</si>
  <si>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</si>
  <si>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</si>
  <si>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</si>
  <si>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</si>
  <si>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</si>
  <si>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</si>
  <si>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</si>
  <si>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</si>
  <si>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</si>
  <si>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</si>
  <si>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</si>
  <si>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</si>
  <si>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</si>
  <si>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</si>
  <si>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</si>
  <si>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</si>
  <si>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</si>
  <si>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</si>
  <si>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</si>
  <si>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</si>
  <si>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</si>
  <si>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</si>
  <si>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</si>
  <si>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</si>
  <si>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</si>
  <si>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</si>
  <si>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</si>
  <si>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</si>
  <si>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</si>
  <si>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</si>
  <si>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</si>
  <si>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</si>
  <si>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</si>
  <si>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</si>
  <si>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</si>
  <si>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</si>
  <si>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</si>
  <si>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</si>
  <si>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</si>
  <si>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</si>
  <si>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</si>
  <si>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</si>
  <si>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</si>
  <si>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</si>
  <si>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</si>
  <si>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</si>
  <si>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</si>
  <si>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</si>
  <si>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</si>
  <si>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</si>
  <si>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</si>
  <si>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</si>
  <si>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</si>
  <si>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</si>
  <si>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</si>
  <si>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</si>
  <si>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</si>
  <si>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</si>
  <si>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</si>
  <si>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</si>
  <si>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</si>
  <si>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</si>
  <si>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</si>
  <si>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</si>
  <si>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</si>
  <si>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</si>
  <si>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</si>
  <si>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</si>
  <si>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</si>
  <si>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</si>
  <si>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</si>
  <si>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</si>
  <si>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</si>
  <si>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</si>
  <si>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</si>
  <si>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</si>
  <si>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</si>
  <si>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</si>
  <si>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</si>
  <si>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</si>
  <si>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</si>
  <si>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</si>
  <si>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</si>
  <si>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</si>
  <si>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</si>
  <si>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</si>
  <si>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</si>
  <si>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</si>
  <si>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</si>
  <si>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</si>
  <si>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</si>
  <si>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</si>
  <si>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</si>
  <si>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</si>
  <si>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</si>
  <si>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</si>
  <si>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</si>
  <si>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</si>
  <si>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</si>
  <si>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</si>
  <si>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</si>
  <si>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</si>
  <si>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</si>
  <si>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</si>
  <si>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</si>
  <si>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</si>
  <si>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</si>
  <si>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</si>
  <si>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</si>
  <si>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</si>
  <si>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</si>
  <si>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</si>
  <si>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</si>
  <si>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</si>
  <si>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</si>
  <si>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</si>
  <si>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</si>
  <si>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</si>
  <si>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</si>
  <si>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</si>
  <si>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</si>
  <si>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</si>
  <si>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</si>
  <si>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</si>
  <si>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</si>
  <si>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</si>
  <si>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</si>
  <si>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</si>
  <si>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</si>
  <si>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</si>
  <si>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</si>
  <si>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</si>
  <si>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</si>
  <si>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</si>
  <si>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</si>
  <si>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</si>
  <si>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</si>
  <si>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</si>
  <si>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</si>
  <si>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</si>
  <si>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</si>
  <si>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</si>
  <si>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</si>
  <si>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</si>
  <si>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</si>
  <si>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</si>
  <si>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</si>
  <si>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</si>
  <si>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</si>
  <si>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</si>
  <si>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</si>
  <si>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</si>
  <si>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</si>
  <si>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</si>
  <si>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</si>
  <si>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</si>
  <si>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</si>
  <si>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</si>
  <si>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</si>
  <si>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</si>
  <si>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</si>
  <si>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</si>
  <si>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</si>
  <si>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</si>
  <si>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</si>
  <si>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</si>
  <si>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</si>
  <si>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미래융합예체능연구실습센터 증개축 공사</t>
    <phoneticPr fontId="2" type="noConversion"/>
  </si>
  <si>
    <t>서울</t>
  </si>
  <si>
    <t>골재비및운반비, 작업부산물, 품질시험비, 기타공사</t>
    <phoneticPr fontId="2" type="noConversion"/>
  </si>
  <si>
    <t>우수처리시설공사,기타공사</t>
    <phoneticPr fontId="2" type="noConversion"/>
  </si>
  <si>
    <t>CCTV설비공사,주차관제설비공사</t>
    <phoneticPr fontId="2" type="noConversion"/>
  </si>
  <si>
    <t>옥외소화배관공사, 펌프실배관공사, 무선통신보조설비공사, 기타공사</t>
    <phoneticPr fontId="2" type="noConversion"/>
  </si>
  <si>
    <t>상수도공사,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</si>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</sst>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12496.63</v>
      </c>
      <c r="D7" s="36">
        <f>+C7/3.3058</f>
        <v>3780.2135640389615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986110</v>
      </c>
      <c r="E25" s="59">
        <f t="shared" si="0"/>
        <v>3259880</v>
      </c>
    </row>
    <row r="26" spans="1:5" x14ac:dyDescent="0.3">
      <c r="B26" s="2">
        <v>3</v>
      </c>
      <c r="C26" s="35" t="s">
        <v>95</v>
      </c>
      <c r="D26" s="45">
        <f>+D66</f>
        <v>168430</v>
      </c>
      <c r="E26" s="59">
        <f t="shared" si="0"/>
        <v>556790</v>
      </c>
    </row>
    <row r="27" spans="1:5" x14ac:dyDescent="0.3">
      <c r="B27" s="2">
        <v>4</v>
      </c>
      <c r="C27" s="35" t="s">
        <v>96</v>
      </c>
      <c r="D27" s="45">
        <f>+D95</f>
        <v>58510</v>
      </c>
      <c r="E27" s="59">
        <f t="shared" si="0"/>
        <v>193420</v>
      </c>
    </row>
    <row r="28" spans="1:5" x14ac:dyDescent="0.3">
      <c r="B28" s="2">
        <v>5</v>
      </c>
      <c r="C28" s="35" t="s">
        <v>97</v>
      </c>
      <c r="D28" s="45">
        <f>+D119</f>
        <v>185720</v>
      </c>
      <c r="E28" s="59">
        <f t="shared" si="0"/>
        <v>613950</v>
      </c>
    </row>
    <row r="29" spans="1:5" x14ac:dyDescent="0.3">
      <c r="B29" s="2">
        <v>6</v>
      </c>
      <c r="C29" s="35" t="s">
        <v>98</v>
      </c>
      <c r="D29" s="45">
        <f>+D133</f>
        <v>73750</v>
      </c>
      <c r="E29" s="59">
        <f t="shared" si="0"/>
        <v>243800</v>
      </c>
    </row>
    <row r="30" spans="1:5" x14ac:dyDescent="0.3">
      <c r="B30" s="2">
        <v>7</v>
      </c>
      <c r="C30" s="35" t="s">
        <v>99</v>
      </c>
      <c r="D30" s="45">
        <f>+D146</f>
        <v>39060</v>
      </c>
      <c r="E30" s="59">
        <f t="shared" si="0"/>
        <v>129120</v>
      </c>
    </row>
    <row r="31" spans="1:5" x14ac:dyDescent="0.3">
      <c r="B31" s="2">
        <v>8</v>
      </c>
      <c r="C31" s="35" t="s">
        <v>100</v>
      </c>
      <c r="D31" s="45">
        <f>+D154</f>
        <v>25430</v>
      </c>
      <c r="E31" s="59">
        <f t="shared" si="0"/>
        <v>84060</v>
      </c>
    </row>
    <row r="32" spans="1:5" x14ac:dyDescent="0.3">
      <c r="B32" s="2">
        <v>9</v>
      </c>
      <c r="C32" s="35" t="s">
        <v>101</v>
      </c>
      <c r="D32" s="45">
        <f>+D161</f>
        <v>14390</v>
      </c>
      <c r="E32" s="59">
        <f t="shared" si="0"/>
        <v>47570</v>
      </c>
    </row>
    <row r="33" spans="1:7" x14ac:dyDescent="0.3">
      <c r="B33" s="2">
        <v>10</v>
      </c>
      <c r="C33" s="35" t="s">
        <v>154</v>
      </c>
      <c r="D33" s="53">
        <f>TRUNC(SUM(D24:D32)*0.275,-1)</f>
        <v>426630</v>
      </c>
      <c r="E33" s="60">
        <f t="shared" si="0"/>
        <v>1410350</v>
      </c>
    </row>
    <row r="34" spans="1:7" x14ac:dyDescent="0.3">
      <c r="C34" s="35" t="s">
        <v>112</v>
      </c>
      <c r="D34" s="44">
        <f>SUM(D24:D33)</f>
        <v>1978030</v>
      </c>
      <c r="E34" s="44">
        <f>SUM(E24:E33)</f>
        <v>6538940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TRUNC(52966,-1)</f>
        <v>52960</v>
      </c>
      <c r="E40" s="62">
        <f t="shared" ref="E40:E59" si="1">TRUNC(+D40*3.3058,-1)</f>
        <v>175070</v>
      </c>
    </row>
    <row r="41" spans="1:7" x14ac:dyDescent="0.3">
      <c r="A41" s="2">
        <v>2</v>
      </c>
      <c r="C41" s="38" t="s">
        <v>13</v>
      </c>
      <c r="D41" s="42">
        <f>TRUNC(63293,-1)</f>
        <v>63290</v>
      </c>
      <c r="E41" s="63">
        <f t="shared" si="1"/>
        <v>209220</v>
      </c>
    </row>
    <row r="42" spans="1:7" x14ac:dyDescent="0.3">
      <c r="A42" s="2">
        <v>3</v>
      </c>
      <c r="C42" s="38" t="s">
        <v>14</v>
      </c>
      <c r="D42" s="42">
        <v>107610</v>
      </c>
      <c r="E42" s="63">
        <f t="shared" si="1"/>
        <v>355730</v>
      </c>
    </row>
    <row r="43" spans="1:7" x14ac:dyDescent="0.3">
      <c r="A43" s="2">
        <v>4</v>
      </c>
      <c r="C43" s="38" t="s">
        <v>16</v>
      </c>
      <c r="D43" s="42">
        <f>TRUNC(13113,-1)</f>
        <v>13110</v>
      </c>
      <c r="E43" s="63">
        <f t="shared" si="1"/>
        <v>43330</v>
      </c>
    </row>
    <row r="44" spans="1:7" x14ac:dyDescent="0.3">
      <c r="A44" s="2">
        <v>5</v>
      </c>
      <c r="C44" s="38" t="s">
        <v>17</v>
      </c>
      <c r="D44" s="42">
        <f>TRUNC(21769,-1)</f>
        <v>21760</v>
      </c>
      <c r="E44" s="63">
        <f t="shared" si="1"/>
        <v>71930</v>
      </c>
    </row>
    <row r="45" spans="1:7" x14ac:dyDescent="0.3">
      <c r="A45" s="2">
        <v>6</v>
      </c>
      <c r="C45" s="38" t="s">
        <v>18</v>
      </c>
      <c r="D45" s="42">
        <f>TRUNC(844,-1)</f>
        <v>840</v>
      </c>
      <c r="E45" s="63">
        <f t="shared" si="1"/>
        <v>2770</v>
      </c>
    </row>
    <row r="46" spans="1:7" x14ac:dyDescent="0.3">
      <c r="A46" s="2">
        <v>7</v>
      </c>
      <c r="C46" s="38" t="s">
        <v>19</v>
      </c>
      <c r="D46" s="42">
        <f>TRUNC(21985,-1)</f>
        <v>21980</v>
      </c>
      <c r="E46" s="63">
        <f t="shared" si="1"/>
        <v>72660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TRUNC(104518,-1)</f>
        <v>104510</v>
      </c>
      <c r="E48" s="63">
        <f t="shared" si="1"/>
        <v>345480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TRUNC(7527,-1)</f>
        <v>7520</v>
      </c>
      <c r="E49" s="63">
        <f t="shared" si="1"/>
        <v>24850</v>
      </c>
    </row>
    <row r="50" spans="1:7" x14ac:dyDescent="0.3">
      <c r="A50" s="2">
        <v>11</v>
      </c>
      <c r="C50" s="38" t="s">
        <v>155</v>
      </c>
      <c r="D50" s="42">
        <f>TRUNC(25748,-1)</f>
        <v>25740</v>
      </c>
      <c r="E50" s="63">
        <f t="shared" si="1"/>
        <v>85090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TRUNC(19253,-1)</f>
        <v>19250</v>
      </c>
      <c r="E52" s="63">
        <f t="shared" si="1"/>
        <v>63630</v>
      </c>
    </row>
    <row r="53" spans="1:7" x14ac:dyDescent="0.3">
      <c r="A53" s="2">
        <v>14</v>
      </c>
      <c r="C53" s="38" t="s">
        <v>25</v>
      </c>
      <c r="D53" s="42">
        <f>TRUNC(170759,-1)</f>
        <v>170750</v>
      </c>
      <c r="E53" s="63">
        <f t="shared" si="1"/>
        <v>564460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TRUNC(2236-1135+2012+13626,-1)</f>
        <v>16730</v>
      </c>
      <c r="E58" s="63">
        <f t="shared" si="1"/>
        <v>55300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TRUNC(360064,-1)</f>
        <v>360060</v>
      </c>
      <c r="E59" s="64">
        <f t="shared" si="1"/>
        <v>1190280</v>
      </c>
    </row>
    <row r="60" spans="1:7" x14ac:dyDescent="0.3">
      <c r="A60" s="2">
        <v>21</v>
      </c>
      <c r="C60" s="27" t="s">
        <v>112</v>
      </c>
      <c r="D60" s="39">
        <f>SUM(D40:D59)</f>
        <v>986110</v>
      </c>
      <c r="E60" s="39">
        <f>SUM(E40:E59)</f>
        <v>3259800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TRUNC(35258,-1)</f>
        <v>35250</v>
      </c>
      <c r="E63" s="62">
        <f>TRUNC(+D63*3.3058,-1)</f>
        <v>116520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TRUNC(133184,-1)</f>
        <v>133180</v>
      </c>
      <c r="E65" s="64">
        <f>TRUNC(+D65*3.3058,-1)</f>
        <v>440260</v>
      </c>
    </row>
    <row r="66" spans="1:7" x14ac:dyDescent="0.3">
      <c r="A66" s="2">
        <v>4</v>
      </c>
      <c r="C66" s="27" t="s">
        <v>112</v>
      </c>
      <c r="D66" s="39">
        <f>SUM(D63:D65)</f>
        <v>168430</v>
      </c>
      <c r="E66" s="65">
        <f>SUM(E63:E65)</f>
        <v>556780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TRUNC(4954,-1)</f>
        <v>4950</v>
      </c>
      <c r="E69" s="62">
        <f t="shared" ref="E69:E94" si="2">TRUNC(+D69*3.3058,-1)</f>
        <v>16360</v>
      </c>
    </row>
    <row r="70" spans="1:7" ht="16.5" customHeight="1" x14ac:dyDescent="0.3">
      <c r="A70" s="2">
        <v>2</v>
      </c>
      <c r="C70" s="38" t="s">
        <v>31</v>
      </c>
      <c r="D70" s="42">
        <f>TRUNC(59,-1)</f>
        <v>50</v>
      </c>
      <c r="E70" s="63">
        <f t="shared" si="2"/>
        <v>160</v>
      </c>
    </row>
    <row r="71" spans="1:7" x14ac:dyDescent="0.3">
      <c r="A71" s="2">
        <v>3</v>
      </c>
      <c r="C71" s="38" t="s">
        <v>32</v>
      </c>
      <c r="D71" s="42">
        <f>TRUNC(3207,-1)</f>
        <v>3200</v>
      </c>
      <c r="E71" s="63">
        <f t="shared" si="2"/>
        <v>10570</v>
      </c>
    </row>
    <row r="72" spans="1:7" x14ac:dyDescent="0.3">
      <c r="A72" s="2">
        <v>4</v>
      </c>
      <c r="C72" s="38" t="s">
        <v>33</v>
      </c>
      <c r="D72" s="42">
        <f>TRUNC(1998,-1)</f>
        <v>1990</v>
      </c>
      <c r="E72" s="63">
        <f t="shared" si="2"/>
        <v>6570</v>
      </c>
    </row>
    <row r="73" spans="1:7" x14ac:dyDescent="0.3">
      <c r="A73" s="2">
        <v>5</v>
      </c>
      <c r="C73" s="38" t="s">
        <v>34</v>
      </c>
      <c r="D73" s="42">
        <f>TRUNC(5128,-1)</f>
        <v>5120</v>
      </c>
      <c r="E73" s="63">
        <f t="shared" si="2"/>
        <v>16920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TRUNC(5275,-10)</f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TRUNC(9039,-1)</f>
        <v>9030</v>
      </c>
      <c r="E89" s="63">
        <f t="shared" si="2"/>
        <v>29850</v>
      </c>
    </row>
    <row r="90" spans="1:7" x14ac:dyDescent="0.3">
      <c r="A90" s="2">
        <v>22</v>
      </c>
      <c r="C90" s="38" t="s">
        <v>36</v>
      </c>
      <c r="D90" s="42">
        <f>TRUNC(552,-1)</f>
        <v>550</v>
      </c>
      <c r="E90" s="63">
        <f t="shared" si="2"/>
        <v>1810</v>
      </c>
    </row>
    <row r="91" spans="1:7" x14ac:dyDescent="0.3">
      <c r="A91" s="2">
        <v>23</v>
      </c>
      <c r="C91" s="38" t="s">
        <v>37</v>
      </c>
      <c r="D91" s="42">
        <f>TRUNC(20116,-1)</f>
        <v>20110</v>
      </c>
      <c r="E91" s="63">
        <f t="shared" si="2"/>
        <v>66470</v>
      </c>
    </row>
    <row r="92" spans="1:7" x14ac:dyDescent="0.3">
      <c r="A92" s="2">
        <v>24</v>
      </c>
      <c r="C92" s="38" t="s">
        <v>38</v>
      </c>
      <c r="D92" s="42">
        <f>TRUNC(3658,-1)</f>
        <v>3650</v>
      </c>
      <c r="E92" s="63">
        <f t="shared" si="2"/>
        <v>12060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TRUNC(6685+3180,-1)</f>
        <v>9860</v>
      </c>
      <c r="E94" s="64">
        <f t="shared" si="2"/>
        <v>32590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58510</v>
      </c>
      <c r="E95" s="39">
        <f>SUM(E69:E94)</f>
        <v>193360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TRUNC(10339,-1)</f>
        <v>10330</v>
      </c>
      <c r="E98" s="62">
        <f t="shared" ref="E98:E118" si="3">TRUNC(+D98*3.3058,-1)</f>
        <v>34140</v>
      </c>
    </row>
    <row r="99" spans="1:7" x14ac:dyDescent="0.3">
      <c r="A99" s="2">
        <v>2</v>
      </c>
      <c r="C99" s="38" t="s">
        <v>40</v>
      </c>
      <c r="D99" s="42">
        <f>TRUNC(8948,-1)</f>
        <v>8940</v>
      </c>
      <c r="E99" s="63">
        <f t="shared" si="3"/>
        <v>29550</v>
      </c>
    </row>
    <row r="100" spans="1:7" x14ac:dyDescent="0.3">
      <c r="A100" s="2">
        <v>3</v>
      </c>
      <c r="C100" s="38" t="s">
        <v>41</v>
      </c>
      <c r="D100" s="42">
        <f>TRUNC(40292,-1)</f>
        <v>40290</v>
      </c>
      <c r="E100" s="63">
        <f t="shared" si="3"/>
        <v>133190</v>
      </c>
    </row>
    <row r="101" spans="1:7" x14ac:dyDescent="0.3">
      <c r="A101" s="2">
        <v>4</v>
      </c>
      <c r="C101" s="38" t="s">
        <v>42</v>
      </c>
      <c r="D101" s="42">
        <f>TRUNC(168,-1)</f>
        <v>160</v>
      </c>
      <c r="E101" s="63">
        <f t="shared" si="3"/>
        <v>520</v>
      </c>
    </row>
    <row r="102" spans="1:7" x14ac:dyDescent="0.3">
      <c r="A102" s="2">
        <v>5</v>
      </c>
      <c r="C102" s="38" t="s">
        <v>43</v>
      </c>
      <c r="D102" s="42">
        <f>TRUNC(8864,-1)</f>
        <v>8860</v>
      </c>
      <c r="E102" s="63">
        <f t="shared" si="3"/>
        <v>29280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TRUNC(9418,-1)</f>
        <v>9410</v>
      </c>
      <c r="E104" s="63">
        <f t="shared" si="3"/>
        <v>31100</v>
      </c>
    </row>
    <row r="105" spans="1:7" x14ac:dyDescent="0.3">
      <c r="A105" s="2">
        <v>8</v>
      </c>
      <c r="C105" s="38" t="s">
        <v>46</v>
      </c>
      <c r="D105" s="42">
        <f>TRUNC(2517,-1)</f>
        <v>2510</v>
      </c>
      <c r="E105" s="63">
        <f t="shared" si="3"/>
        <v>8290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TRUNC(2045,-1)</f>
        <v>2040</v>
      </c>
      <c r="E114" s="63">
        <f t="shared" si="3"/>
        <v>6740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TRUNC(7664,-1)</f>
        <v>7660</v>
      </c>
      <c r="E116" s="63">
        <f t="shared" si="3"/>
        <v>25320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TRUNC(94941,-1)</f>
        <v>94940</v>
      </c>
      <c r="E117" s="63">
        <f t="shared" si="3"/>
        <v>313850</v>
      </c>
    </row>
    <row r="118" spans="1:7" ht="17.25" thickBot="1" x14ac:dyDescent="0.35">
      <c r="A118" s="2">
        <v>21</v>
      </c>
      <c r="C118" s="38" t="s">
        <v>47</v>
      </c>
      <c r="D118" s="43">
        <f>TRUNC(583,-1)</f>
        <v>580</v>
      </c>
      <c r="E118" s="64">
        <f t="shared" si="3"/>
        <v>1910</v>
      </c>
    </row>
    <row r="119" spans="1:7" x14ac:dyDescent="0.3">
      <c r="A119" s="2">
        <v>22</v>
      </c>
      <c r="C119" s="27" t="s">
        <v>112</v>
      </c>
      <c r="D119" s="39">
        <f>SUM(D98:D118)</f>
        <v>185720</v>
      </c>
      <c r="E119" s="39">
        <f>SUM(E98:E118)</f>
        <v>613890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TRUNC(4812,-1)</f>
        <v>4810</v>
      </c>
      <c r="E122" s="62">
        <f t="shared" ref="E122:E132" si="4">TRUNC(+D122*3.3058,-1)</f>
        <v>15900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TRUNC(3239,-1)</f>
        <v>3230</v>
      </c>
      <c r="E124" s="63">
        <f t="shared" si="4"/>
        <v>10670</v>
      </c>
    </row>
    <row r="125" spans="1:7" x14ac:dyDescent="0.3">
      <c r="A125" s="2">
        <v>4</v>
      </c>
      <c r="C125" s="38" t="s">
        <v>138</v>
      </c>
      <c r="D125" s="42">
        <f>TRUNC(3562,-1)</f>
        <v>3560</v>
      </c>
      <c r="E125" s="63">
        <f t="shared" si="4"/>
        <v>11760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TRUNC(2939,-1)</f>
        <v>2930</v>
      </c>
      <c r="E128" s="63">
        <f t="shared" si="4"/>
        <v>9680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TRUNC(14273,-1)</f>
        <v>14270</v>
      </c>
      <c r="E130" s="63">
        <f t="shared" si="4"/>
        <v>47170</v>
      </c>
    </row>
    <row r="131" spans="1:7" x14ac:dyDescent="0.3">
      <c r="A131" s="2">
        <v>10</v>
      </c>
      <c r="C131" s="38" t="s">
        <v>148</v>
      </c>
      <c r="D131" s="42">
        <f>TRUNC(43028,-1)</f>
        <v>43020</v>
      </c>
      <c r="E131" s="63">
        <f t="shared" si="4"/>
        <v>142210</v>
      </c>
    </row>
    <row r="132" spans="1:7" ht="18" thickBot="1" x14ac:dyDescent="0.35">
      <c r="A132" s="2">
        <v>11</v>
      </c>
      <c r="C132" s="38" t="s">
        <v>47</v>
      </c>
      <c r="D132" s="43">
        <f>1371+559</f>
        <v>1930</v>
      </c>
      <c r="E132" s="64">
        <f t="shared" si="4"/>
        <v>6380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73750</v>
      </c>
      <c r="E133" s="39">
        <f>SUM(E122:E132)</f>
        <v>243770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TRUNC(118+1887+968+324,-1)</f>
        <v>3290</v>
      </c>
      <c r="E137" s="63">
        <f t="shared" si="5"/>
        <v>10870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TRUNC(1963,-1)</f>
        <v>1960</v>
      </c>
      <c r="E140" s="63">
        <f t="shared" si="5"/>
        <v>6470</v>
      </c>
    </row>
    <row r="141" spans="1:7" x14ac:dyDescent="0.3">
      <c r="A141" s="2">
        <v>6</v>
      </c>
      <c r="C141" s="38" t="s">
        <v>59</v>
      </c>
      <c r="D141" s="42">
        <f>TRUNC(11622,-1)</f>
        <v>11620</v>
      </c>
      <c r="E141" s="63">
        <f t="shared" si="5"/>
        <v>38410</v>
      </c>
    </row>
    <row r="142" spans="1:7" x14ac:dyDescent="0.3">
      <c r="A142" s="2">
        <v>7</v>
      </c>
      <c r="C142" s="38" t="s">
        <v>58</v>
      </c>
      <c r="D142" s="42">
        <f>TRUNC(6123,-1)</f>
        <v>6120</v>
      </c>
      <c r="E142" s="63">
        <f t="shared" si="5"/>
        <v>20230</v>
      </c>
    </row>
    <row r="143" spans="1:7" x14ac:dyDescent="0.3">
      <c r="A143" s="2">
        <v>8</v>
      </c>
      <c r="C143" s="38" t="s">
        <v>62</v>
      </c>
      <c r="D143" s="42">
        <f>TRUNC(3047,-1)</f>
        <v>3040</v>
      </c>
      <c r="E143" s="63">
        <f t="shared" si="5"/>
        <v>10040</v>
      </c>
    </row>
    <row r="144" spans="1:7" x14ac:dyDescent="0.3">
      <c r="A144" s="2">
        <v>9</v>
      </c>
      <c r="C144" s="38" t="s">
        <v>63</v>
      </c>
      <c r="D144" s="42">
        <f>TRUNC(9839,-1)</f>
        <v>9830</v>
      </c>
      <c r="E144" s="63">
        <f t="shared" si="5"/>
        <v>32490</v>
      </c>
    </row>
    <row r="145" spans="1:7" ht="17.25" thickBot="1" x14ac:dyDescent="0.35">
      <c r="A145" s="2">
        <v>10</v>
      </c>
      <c r="C145" s="38" t="s">
        <v>148</v>
      </c>
      <c r="D145" s="43">
        <f>TRUNC(3203,-1)</f>
        <v>3200</v>
      </c>
      <c r="E145" s="64">
        <f t="shared" si="5"/>
        <v>10570</v>
      </c>
    </row>
    <row r="146" spans="1:7" x14ac:dyDescent="0.3">
      <c r="A146" s="2">
        <v>11</v>
      </c>
      <c r="C146" s="27" t="s">
        <v>112</v>
      </c>
      <c r="D146" s="39">
        <f>SUM(D136:D145)</f>
        <v>39060</v>
      </c>
      <c r="E146" s="39">
        <f>SUM(E136:E145)</f>
        <v>129080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TRUNC(1771+218,-1)</f>
        <v>1980</v>
      </c>
      <c r="E149" s="62">
        <f>TRUNC(+D149*3.3058,-1)</f>
        <v>6540</v>
      </c>
    </row>
    <row r="150" spans="1:7" x14ac:dyDescent="0.3">
      <c r="A150" s="2">
        <v>2</v>
      </c>
      <c r="C150" s="38" t="s">
        <v>49</v>
      </c>
      <c r="D150" s="42">
        <f>TRUNC(4178,-1)</f>
        <v>4170</v>
      </c>
      <c r="E150" s="63">
        <f>TRUNC(+D150*3.3058,-1)</f>
        <v>13780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TRUNC(62+19222,-1)</f>
        <v>19280</v>
      </c>
      <c r="E152" s="63">
        <f>TRUNC(+D152*3.3058,-1)</f>
        <v>63730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25430</v>
      </c>
      <c r="E154" s="39">
        <f>SUM(E149:E153)</f>
        <v>84050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TRUNC(5834,-1)</f>
        <v>5830</v>
      </c>
      <c r="E157" s="62">
        <f>TRUNC(+D157*3.3058,-1)</f>
        <v>19270</v>
      </c>
    </row>
    <row r="158" spans="1:7" x14ac:dyDescent="0.3">
      <c r="A158" s="2">
        <v>2</v>
      </c>
      <c r="C158" s="38" t="s">
        <v>52</v>
      </c>
      <c r="D158" s="42">
        <f>TRUNC(3902,-1)</f>
        <v>3900</v>
      </c>
      <c r="E158" s="63">
        <f>TRUNC(+D158*3.3058,-1)</f>
        <v>12890</v>
      </c>
    </row>
    <row r="159" spans="1:7" x14ac:dyDescent="0.3">
      <c r="A159" s="2">
        <v>3</v>
      </c>
      <c r="C159" s="38" t="s">
        <v>47</v>
      </c>
      <c r="D159" s="42">
        <f>TRUNC(4604+64,-1)</f>
        <v>4660</v>
      </c>
      <c r="E159" s="63">
        <f>TRUNC(+D159*3.3058,-1)</f>
        <v>15400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14390</v>
      </c>
      <c r="E161" s="39">
        <f>SUM(E157:E160)</f>
        <v>47560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2020-12-07T09:55:58Z</dcterms:modified>
</cp:coreProperties>
</file>