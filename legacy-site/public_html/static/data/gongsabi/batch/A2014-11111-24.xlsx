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4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36" i="4" l="1"/>
  <c r="D137" i="4"/>
  <c r="D79" i="4"/>
  <c r="D94" i="4"/>
  <c r="E160" i="4" l="1"/>
  <c r="E159" i="4"/>
  <c r="E158" i="4"/>
  <c r="E157" i="4"/>
  <c r="E153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1" i="4"/>
  <c r="E129" i="4"/>
  <c r="E128" i="4"/>
  <c r="E127" i="4"/>
  <c r="E126" i="4"/>
  <c r="E124" i="4"/>
  <c r="E123" i="4"/>
  <c r="E118" i="4"/>
  <c r="E117" i="4"/>
  <c r="E116" i="4"/>
  <c r="E115" i="4"/>
  <c r="E114" i="4"/>
  <c r="E113" i="4"/>
  <c r="E112" i="4"/>
  <c r="E111" i="4"/>
  <c r="E110" i="4"/>
  <c r="E109" i="4"/>
  <c r="E107" i="4"/>
  <c r="E106" i="4"/>
  <c r="E105" i="4"/>
  <c r="E104" i="4"/>
  <c r="E103" i="4"/>
  <c r="E101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5" i="4"/>
  <c r="E64" i="4"/>
  <c r="E63" i="4"/>
  <c r="E59" i="4"/>
  <c r="E57" i="4"/>
  <c r="E56" i="4"/>
  <c r="E54" i="4"/>
  <c r="E51" i="4"/>
  <c r="E47" i="4"/>
  <c r="E42" i="4"/>
  <c r="E66" i="4" l="1"/>
  <c r="E161" i="4"/>
  <c r="E154" i="4"/>
  <c r="E146" i="4"/>
  <c r="D132" i="4"/>
  <c r="E132" i="4" s="1"/>
  <c r="D125" i="4"/>
  <c r="E125" i="4" s="1"/>
  <c r="E133" i="4" s="1"/>
  <c r="D122" i="4"/>
  <c r="E122" i="4" s="1"/>
  <c r="D130" i="4"/>
  <c r="E130" i="4" s="1"/>
  <c r="D108" i="4"/>
  <c r="E108" i="4" s="1"/>
  <c r="D102" i="4"/>
  <c r="E102" i="4" s="1"/>
  <c r="D100" i="4"/>
  <c r="E100" i="4" s="1"/>
  <c r="D99" i="4"/>
  <c r="E99" i="4" s="1"/>
  <c r="D98" i="4"/>
  <c r="E98" i="4" s="1"/>
  <c r="D69" i="4"/>
  <c r="E69" i="4" s="1"/>
  <c r="E95" i="4" s="1"/>
  <c r="D152" i="4"/>
  <c r="E152" i="4" s="1"/>
  <c r="D58" i="4"/>
  <c r="E58" i="4" s="1"/>
  <c r="D55" i="4"/>
  <c r="E55" i="4" s="1"/>
  <c r="D53" i="4"/>
  <c r="E53" i="4" s="1"/>
  <c r="D52" i="4"/>
  <c r="E52" i="4" s="1"/>
  <c r="D50" i="4"/>
  <c r="E50" i="4" s="1"/>
  <c r="D49" i="4"/>
  <c r="E49" i="4" s="1"/>
  <c r="D48" i="4"/>
  <c r="E48" i="4" s="1"/>
  <c r="D46" i="4"/>
  <c r="E46" i="4" s="1"/>
  <c r="D45" i="4"/>
  <c r="E45" i="4" s="1"/>
  <c r="D44" i="4"/>
  <c r="E44" i="4" s="1"/>
  <c r="D43" i="4"/>
  <c r="E43" i="4" s="1"/>
  <c r="D41" i="4"/>
  <c r="E41" i="4" s="1"/>
  <c r="D40" i="4"/>
  <c r="E40" i="4" s="1"/>
  <c r="D37" i="4"/>
  <c r="E37" i="4" s="1"/>
  <c r="E60" i="4" l="1"/>
  <c r="E119" i="4"/>
  <c r="D161" i="4"/>
  <c r="D32" i="4" s="1"/>
  <c r="E32" i="4" s="1"/>
  <c r="D154" i="4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31" i="4"/>
  <c r="E31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l="1"/>
  <c r="E34" i="4" s="1"/>
  <c r="D34" i="4"/>
</calcChain>
</file>

<file path=xl/sharedStrings.xml><?xml version="1.0" encoding="utf-8"?>
<sst xmlns="http://schemas.openxmlformats.org/spreadsheetml/2006/main" count="389" uniqueCount="264">
  <si>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</si>
  <si>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</si>
  <si>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</si>
  <si>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</si>
  <si>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</si>
  <si>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</si>
  <si>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</si>
  <si>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</si>
  <si>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</si>
  <si>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</si>
  <si>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</si>
  <si>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</si>
  <si>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</si>
  <si>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</si>
  <si>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</si>
  <si>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</si>
  <si>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</si>
  <si>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</si>
  <si>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</si>
  <si>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</si>
  <si>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</si>
  <si>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</si>
  <si>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</si>
  <si>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</si>
  <si>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</si>
  <si>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</si>
  <si>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</si>
  <si>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</si>
  <si>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</si>
  <si>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</si>
  <si>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</si>
  <si>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</si>
  <si>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</si>
  <si>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</si>
  <si>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</si>
  <si>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</si>
  <si>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</si>
  <si>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</si>
  <si>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</si>
  <si>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</si>
  <si>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</si>
  <si>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</si>
  <si>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</si>
  <si>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</si>
  <si>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</si>
  <si>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</si>
  <si>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</si>
  <si>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</si>
  <si>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</si>
  <si>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</si>
  <si>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</si>
  <si>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</si>
  <si>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</si>
  <si>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</si>
  <si>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</si>
  <si>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</si>
  <si>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</si>
  <si>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</si>
  <si>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</si>
  <si>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</si>
  <si>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</si>
  <si>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</si>
  <si>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</si>
  <si>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</si>
  <si>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</si>
  <si>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</si>
  <si>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</si>
  <si>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</si>
  <si>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</si>
  <si>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</si>
  <si>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</si>
  <si>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</si>
  <si>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</si>
  <si>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</si>
  <si>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</si>
  <si>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</si>
  <si>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</si>
  <si>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</si>
  <si>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</si>
  <si>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</si>
  <si>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</si>
  <si>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</si>
  <si>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</si>
  <si>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</si>
  <si>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</si>
  <si>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</si>
  <si>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</si>
  <si>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</si>
  <si>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</si>
  <si>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</si>
  <si>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</si>
  <si>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</si>
  <si>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</si>
  <si>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</si>
  <si>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</si>
  <si>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</si>
  <si>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</si>
  <si>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</si>
  <si>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</si>
  <si>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</si>
  <si>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</si>
  <si>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</si>
  <si>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</si>
  <si>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</si>
  <si>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</si>
  <si>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</si>
  <si>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</si>
  <si>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</si>
  <si>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</si>
  <si>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</si>
  <si>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</si>
  <si>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</si>
  <si>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</si>
  <si>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</si>
  <si>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</si>
  <si>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</si>
  <si>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</si>
  <si>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</si>
  <si>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</si>
  <si>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</si>
  <si>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</si>
  <si>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</si>
  <si>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</si>
  <si>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</si>
  <si>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</si>
  <si>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</si>
  <si>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</si>
  <si>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</si>
  <si>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</si>
  <si>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</si>
  <si>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</si>
  <si>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</si>
  <si>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</si>
  <si>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</si>
  <si>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</si>
  <si>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</si>
  <si>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</si>
  <si>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</si>
  <si>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</si>
  <si>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</si>
  <si>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</si>
  <si>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</si>
  <si>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</si>
  <si>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</si>
  <si>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</si>
  <si>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</si>
  <si>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</si>
  <si>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</si>
  <si>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</si>
  <si>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</si>
  <si>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</si>
  <si>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</si>
  <si>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</si>
  <si>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</si>
  <si>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</si>
  <si>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</si>
  <si>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</si>
  <si>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</si>
  <si>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</si>
  <si>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</si>
  <si>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</si>
  <si>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</si>
  <si>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</si>
  <si>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</si>
  <si>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</si>
  <si>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</si>
  <si>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</si>
  <si>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</si>
  <si>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</si>
  <si>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</si>
  <si>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</si>
  <si>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</si>
  <si>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</si>
  <si>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</si>
  <si>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</si>
  <si>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</si>
  <si>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</si>
  <si>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</si>
  <si>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</si>
  <si>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</si>
  <si>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</si>
  <si>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</si>
  <si>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</si>
  <si>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</si>
  <si>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</si>
  <si>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</si>
  <si>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</si>
  <si>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</si>
  <si>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</si>
  <si>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</si>
  <si>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</si>
  <si>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</si>
  <si>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</si>
  <si>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</si>
  <si>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</si>
  <si>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</si>
  <si>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</si>
  <si>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</si>
  <si>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</si>
  <si>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</si>
  <si>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</si>
  <si>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</si>
  <si>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</si>
  <si>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</si>
  <si>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</si>
  <si>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</si>
  <si>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</si>
  <si>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</si>
  <si>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</si>
  <si>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</si>
  <si>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</si>
  <si>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</si>
  <si>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</si>
  <si>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</si>
  <si>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</si>
  <si>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</si>
  <si>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</si>
  <si>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</si>
  <si>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</si>
  <si>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</si>
  <si>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</si>
  <si>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</si>
  <si>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</si>
  <si>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</si>
  <si>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</si>
  <si>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</si>
  <si>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</si>
  <si>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</si>
  <si>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</si>
  <si>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</si>
  <si>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</si>
  <si>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</si>
  <si>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</si>
  <si>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</si>
  <si>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</si>
  <si>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원 /평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</si>
  <si>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</si>
  <si>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</si>
  <si>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</si>
  <si>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</si>
  <si>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</si>
  <si>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</si>
  <si>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</si>
  <si>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</si>
  <si>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</si>
  <si>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</si>
  <si>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</si>
  <si>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</si>
  <si>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00000 0000 00중고도서관 증축공사</t>
    <phoneticPr fontId="2" type="noConversion"/>
  </si>
  <si>
    <t>교육연구</t>
  </si>
  <si>
    <t>충청도</t>
  </si>
  <si>
    <t>창호및유리공사</t>
    <phoneticPr fontId="2" type="noConversion"/>
  </si>
  <si>
    <t>토및지정공사,기타공사,골재비,운반비,작업부산물</t>
    <phoneticPr fontId="2" type="noConversion"/>
  </si>
  <si>
    <t>부대토목공사</t>
    <phoneticPr fontId="2" type="noConversion"/>
  </si>
  <si>
    <t>방범설비공사</t>
    <phoneticPr fontId="2" type="noConversion"/>
  </si>
  <si>
    <t>위생배관공사</t>
    <phoneticPr fontId="2" type="noConversion"/>
  </si>
  <si>
    <t>환기덕트설치공사</t>
    <phoneticPr fontId="2" type="noConversion"/>
  </si>
  <si>
    <t>전기 소방공사</t>
    <phoneticPr fontId="2" type="noConversion"/>
  </si>
  <si>
    <t>기계 소화설비공사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</si>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</sst>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155</v>
      </c>
      <c r="B2" s="75" t="s">
        <v>0</v>
      </c>
      <c r="C2" s="76"/>
      <c r="D2" s="75" t="s">
        <v>1</v>
      </c>
      <c r="E2" s="76"/>
      <c r="F2" s="75" t="s">
        <v>156</v>
      </c>
      <c r="G2" s="76"/>
      <c r="H2" s="75" t="s">
        <v>2</v>
      </c>
      <c r="I2" s="76"/>
      <c r="J2" s="75" t="s">
        <v>3</v>
      </c>
      <c r="K2" s="76"/>
      <c r="L2" s="75" t="s">
        <v>157</v>
      </c>
      <c r="M2" s="76"/>
      <c r="N2" s="75" t="s">
        <v>158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261</v>
      </c>
      <c r="H5" s="5">
        <v>1</v>
      </c>
      <c r="I5" s="1" t="s">
        <v>159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160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161</v>
      </c>
    </row>
    <row r="6" spans="1:33" x14ac:dyDescent="0.3">
      <c r="A6" s="4">
        <f>+A5+1</f>
        <v>2</v>
      </c>
      <c r="B6" s="5">
        <f>+B5+1</f>
        <v>2</v>
      </c>
      <c r="C6" s="17" t="s">
        <v>162</v>
      </c>
      <c r="D6" s="5">
        <v>2</v>
      </c>
      <c r="E6" s="1" t="s">
        <v>163</v>
      </c>
      <c r="F6" s="5">
        <v>2</v>
      </c>
      <c r="G6" s="17" t="s">
        <v>164</v>
      </c>
      <c r="H6" s="5">
        <v>2</v>
      </c>
      <c r="I6" s="1" t="s">
        <v>211</v>
      </c>
      <c r="J6" s="19">
        <v>2</v>
      </c>
      <c r="K6" s="1" t="s">
        <v>212</v>
      </c>
      <c r="L6" s="5">
        <v>2</v>
      </c>
      <c r="M6" s="6" t="s">
        <v>213</v>
      </c>
      <c r="N6" s="5">
        <v>2</v>
      </c>
      <c r="O6" s="6" t="s">
        <v>214</v>
      </c>
      <c r="P6" s="5">
        <v>2</v>
      </c>
      <c r="Q6" s="1" t="s">
        <v>215</v>
      </c>
      <c r="R6" s="28">
        <v>2</v>
      </c>
      <c r="S6" s="29" t="s">
        <v>216</v>
      </c>
      <c r="T6" s="28">
        <v>2</v>
      </c>
      <c r="U6" s="29" t="s">
        <v>217</v>
      </c>
      <c r="V6" s="28">
        <v>2</v>
      </c>
      <c r="W6" s="29" t="s">
        <v>218</v>
      </c>
      <c r="X6" s="28">
        <v>2</v>
      </c>
      <c r="Y6" s="29" t="s">
        <v>219</v>
      </c>
      <c r="Z6" s="28">
        <v>2</v>
      </c>
      <c r="AA6" s="29" t="s">
        <v>220</v>
      </c>
      <c r="AB6" s="28">
        <v>2</v>
      </c>
      <c r="AC6" s="29" t="s">
        <v>221</v>
      </c>
      <c r="AD6" s="28">
        <v>2</v>
      </c>
      <c r="AE6" s="29" t="s">
        <v>222</v>
      </c>
      <c r="AF6" s="28">
        <v>2</v>
      </c>
      <c r="AG6" s="38" t="s">
        <v>223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224</v>
      </c>
      <c r="D7" s="5">
        <v>3</v>
      </c>
      <c r="E7" s="1" t="s">
        <v>225</v>
      </c>
      <c r="F7" s="5">
        <v>3</v>
      </c>
      <c r="G7" s="17" t="s">
        <v>226</v>
      </c>
      <c r="H7" s="5">
        <v>3</v>
      </c>
      <c r="I7" s="1" t="s">
        <v>227</v>
      </c>
      <c r="J7" s="19">
        <v>3</v>
      </c>
      <c r="K7" s="1" t="s">
        <v>228</v>
      </c>
      <c r="L7" s="5">
        <v>3</v>
      </c>
      <c r="M7" s="6" t="s">
        <v>229</v>
      </c>
      <c r="N7" s="5">
        <v>3</v>
      </c>
      <c r="O7" s="6" t="s">
        <v>230</v>
      </c>
      <c r="P7" s="5">
        <v>3</v>
      </c>
      <c r="Q7" s="1" t="s">
        <v>231</v>
      </c>
      <c r="R7" s="28">
        <v>3</v>
      </c>
      <c r="S7" s="29" t="s">
        <v>232</v>
      </c>
      <c r="T7" s="28">
        <v>3</v>
      </c>
      <c r="U7" s="29" t="s">
        <v>233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165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166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167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168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169</v>
      </c>
      <c r="F9" s="5">
        <v>5</v>
      </c>
      <c r="G9" s="17" t="s">
        <v>170</v>
      </c>
      <c r="H9" s="5">
        <v>5</v>
      </c>
      <c r="I9" s="1" t="s">
        <v>79</v>
      </c>
      <c r="J9" s="19">
        <v>5</v>
      </c>
      <c r="K9" s="1" t="s">
        <v>171</v>
      </c>
      <c r="L9" s="5"/>
      <c r="M9" s="6"/>
      <c r="N9" s="5"/>
      <c r="O9" s="6"/>
      <c r="P9" s="5">
        <v>5</v>
      </c>
      <c r="Q9" s="1" t="s">
        <v>172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173</v>
      </c>
      <c r="J10" s="19">
        <v>6</v>
      </c>
      <c r="K10" s="1" t="s">
        <v>174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175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176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177</v>
      </c>
      <c r="F12" s="5">
        <v>8</v>
      </c>
      <c r="G12" s="17" t="s">
        <v>178</v>
      </c>
      <c r="H12" s="5">
        <v>8</v>
      </c>
      <c r="I12" s="1" t="s">
        <v>81</v>
      </c>
      <c r="J12" s="19">
        <v>8</v>
      </c>
      <c r="K12" s="1" t="s">
        <v>179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180</v>
      </c>
      <c r="X12" s="28">
        <v>8</v>
      </c>
      <c r="Y12" s="29" t="s">
        <v>46</v>
      </c>
      <c r="Z12" s="28">
        <v>8</v>
      </c>
      <c r="AA12" s="29" t="s">
        <v>181</v>
      </c>
      <c r="AB12" s="28">
        <v>8</v>
      </c>
      <c r="AC12" s="29" t="s">
        <v>182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183</v>
      </c>
      <c r="D13" s="5">
        <v>9</v>
      </c>
      <c r="E13" s="1" t="s">
        <v>184</v>
      </c>
      <c r="F13" s="5"/>
      <c r="G13" s="17"/>
      <c r="H13" s="5">
        <v>9</v>
      </c>
      <c r="I13" s="1" t="s">
        <v>82</v>
      </c>
      <c r="J13" s="19">
        <v>9</v>
      </c>
      <c r="K13" s="1" t="s">
        <v>185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186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187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188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189</v>
      </c>
      <c r="J15" s="19">
        <v>11</v>
      </c>
      <c r="K15" s="1" t="s">
        <v>190</v>
      </c>
      <c r="L15" s="5"/>
      <c r="M15" s="6"/>
      <c r="N15" s="5"/>
      <c r="O15" s="6"/>
      <c r="P15" s="5"/>
      <c r="Q15" s="1"/>
      <c r="R15" s="28">
        <v>11</v>
      </c>
      <c r="S15" s="29" t="s">
        <v>191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192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193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194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195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196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197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198</v>
      </c>
      <c r="L19" s="5"/>
      <c r="M19" s="6"/>
      <c r="N19" s="5"/>
      <c r="O19" s="6"/>
      <c r="P19" s="5"/>
      <c r="Q19" s="1"/>
      <c r="R19" s="28">
        <v>15</v>
      </c>
      <c r="S19" s="29" t="s">
        <v>199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200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201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202</v>
      </c>
      <c r="X21" s="28">
        <v>17</v>
      </c>
      <c r="Y21" s="29" t="s">
        <v>203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204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205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206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207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208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209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210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996</v>
      </c>
      <c r="D7" s="36">
        <f>+C7/3.3058</f>
        <v>301.28864420110108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200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262</v>
      </c>
    </row>
    <row r="19" spans="1:5" x14ac:dyDescent="0.3">
      <c r="A19" s="2">
        <v>9</v>
      </c>
      <c r="B19" s="2" t="s">
        <v>263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235</v>
      </c>
    </row>
    <row r="24" spans="1:5" x14ac:dyDescent="0.3">
      <c r="B24" s="2">
        <v>1</v>
      </c>
      <c r="C24" s="35" t="s">
        <v>110</v>
      </c>
      <c r="D24" s="41">
        <f>+D37</f>
        <v>1740</v>
      </c>
      <c r="E24" s="58">
        <f t="shared" ref="E24:E33" si="0">TRUNC(+D24*3.3058,-1)</f>
        <v>5750</v>
      </c>
    </row>
    <row r="25" spans="1:5" x14ac:dyDescent="0.3">
      <c r="B25" s="2">
        <v>2</v>
      </c>
      <c r="C25" s="35" t="s">
        <v>111</v>
      </c>
      <c r="D25" s="45">
        <f>+D60</f>
        <v>671130</v>
      </c>
      <c r="E25" s="59">
        <f t="shared" si="0"/>
        <v>2218620</v>
      </c>
    </row>
    <row r="26" spans="1:5" x14ac:dyDescent="0.3">
      <c r="B26" s="2">
        <v>3</v>
      </c>
      <c r="C26" s="35" t="s">
        <v>95</v>
      </c>
      <c r="D26" s="45">
        <f>+D66</f>
        <v>0</v>
      </c>
      <c r="E26" s="59">
        <f t="shared" si="0"/>
        <v>0</v>
      </c>
    </row>
    <row r="27" spans="1:5" x14ac:dyDescent="0.3">
      <c r="B27" s="2">
        <v>4</v>
      </c>
      <c r="C27" s="35" t="s">
        <v>96</v>
      </c>
      <c r="D27" s="45">
        <f>+D95</f>
        <v>34400</v>
      </c>
      <c r="E27" s="59">
        <f t="shared" si="0"/>
        <v>113710</v>
      </c>
    </row>
    <row r="28" spans="1:5" x14ac:dyDescent="0.3">
      <c r="B28" s="2">
        <v>5</v>
      </c>
      <c r="C28" s="35" t="s">
        <v>97</v>
      </c>
      <c r="D28" s="45">
        <f>+D119</f>
        <v>104660</v>
      </c>
      <c r="E28" s="59">
        <f t="shared" si="0"/>
        <v>345980</v>
      </c>
    </row>
    <row r="29" spans="1:5" x14ac:dyDescent="0.3">
      <c r="B29" s="2">
        <v>6</v>
      </c>
      <c r="C29" s="35" t="s">
        <v>98</v>
      </c>
      <c r="D29" s="45">
        <f>+D133</f>
        <v>43360</v>
      </c>
      <c r="E29" s="59">
        <f t="shared" si="0"/>
        <v>143330</v>
      </c>
    </row>
    <row r="30" spans="1:5" x14ac:dyDescent="0.3">
      <c r="B30" s="2">
        <v>7</v>
      </c>
      <c r="C30" s="35" t="s">
        <v>99</v>
      </c>
      <c r="D30" s="45">
        <f>+D146</f>
        <v>14830</v>
      </c>
      <c r="E30" s="59">
        <f t="shared" si="0"/>
        <v>49020</v>
      </c>
    </row>
    <row r="31" spans="1:5" x14ac:dyDescent="0.3">
      <c r="B31" s="2">
        <v>8</v>
      </c>
      <c r="C31" s="35" t="s">
        <v>100</v>
      </c>
      <c r="D31" s="45">
        <f>+D154</f>
        <v>53250</v>
      </c>
      <c r="E31" s="59">
        <f t="shared" si="0"/>
        <v>176030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153</v>
      </c>
      <c r="D33" s="53">
        <f>TRUNC(SUM(D24:D32)*0.275,-1)</f>
        <v>253920</v>
      </c>
      <c r="E33" s="60">
        <f t="shared" si="0"/>
        <v>839400</v>
      </c>
    </row>
    <row r="34" spans="1:7" x14ac:dyDescent="0.3">
      <c r="C34" s="35" t="s">
        <v>112</v>
      </c>
      <c r="D34" s="44">
        <f>SUM(D24:D33)</f>
        <v>1177290</v>
      </c>
      <c r="E34" s="44">
        <f>SUM(E24:E33)</f>
        <v>3891840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234</v>
      </c>
      <c r="E36" s="57" t="s">
        <v>235</v>
      </c>
      <c r="G36" s="55"/>
    </row>
    <row r="37" spans="1:7" ht="17.25" thickBot="1" x14ac:dyDescent="0.35">
      <c r="C37" s="38" t="s">
        <v>143</v>
      </c>
      <c r="D37" s="52">
        <f>TRUNC(1745,-1)</f>
        <v>1740</v>
      </c>
      <c r="E37" s="61">
        <f>TRUNC(+D37*3.3058,-1)</f>
        <v>5750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259</v>
      </c>
      <c r="E39" s="67" t="s">
        <v>260</v>
      </c>
      <c r="G39" s="68"/>
    </row>
    <row r="40" spans="1:7" x14ac:dyDescent="0.3">
      <c r="A40" s="2">
        <v>1</v>
      </c>
      <c r="C40" s="38" t="s">
        <v>15</v>
      </c>
      <c r="D40" s="40">
        <f>TRUNC(32101,-1)</f>
        <v>32100</v>
      </c>
      <c r="E40" s="62">
        <f t="shared" ref="E40:E59" si="1">TRUNC(+D40*3.3058,-1)</f>
        <v>106110</v>
      </c>
    </row>
    <row r="41" spans="1:7" x14ac:dyDescent="0.3">
      <c r="A41" s="2">
        <v>2</v>
      </c>
      <c r="C41" s="38" t="s">
        <v>13</v>
      </c>
      <c r="D41" s="42">
        <f>TRUNC(126693,-1)</f>
        <v>126690</v>
      </c>
      <c r="E41" s="63">
        <f t="shared" si="1"/>
        <v>418810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f>TRUNC(2613,-1)</f>
        <v>2610</v>
      </c>
      <c r="E43" s="63">
        <f t="shared" si="1"/>
        <v>8620</v>
      </c>
    </row>
    <row r="44" spans="1:7" x14ac:dyDescent="0.3">
      <c r="A44" s="2">
        <v>5</v>
      </c>
      <c r="C44" s="38" t="s">
        <v>17</v>
      </c>
      <c r="D44" s="42">
        <f>TRUNC(17080,-1)</f>
        <v>17080</v>
      </c>
      <c r="E44" s="63">
        <f t="shared" si="1"/>
        <v>56460</v>
      </c>
    </row>
    <row r="45" spans="1:7" x14ac:dyDescent="0.3">
      <c r="A45" s="2">
        <v>6</v>
      </c>
      <c r="C45" s="38" t="s">
        <v>18</v>
      </c>
      <c r="D45" s="42">
        <f>TRUNC(8679,-1)</f>
        <v>8670</v>
      </c>
      <c r="E45" s="63">
        <f t="shared" si="1"/>
        <v>28660</v>
      </c>
    </row>
    <row r="46" spans="1:7" x14ac:dyDescent="0.3">
      <c r="A46" s="2">
        <v>7</v>
      </c>
      <c r="C46" s="38" t="s">
        <v>19</v>
      </c>
      <c r="D46" s="42">
        <f>TRUNC(17653,-1)</f>
        <v>17650</v>
      </c>
      <c r="E46" s="63">
        <f t="shared" si="1"/>
        <v>58340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TRUNC(172195,-1)</f>
        <v>172190</v>
      </c>
      <c r="E48" s="63">
        <f t="shared" si="1"/>
        <v>569220</v>
      </c>
    </row>
    <row r="49" spans="1:7" x14ac:dyDescent="0.3">
      <c r="A49" s="2">
        <v>10</v>
      </c>
      <c r="C49" s="38" t="s">
        <v>22</v>
      </c>
      <c r="D49" s="42">
        <f>TRUNC(19566,-1)</f>
        <v>19560</v>
      </c>
      <c r="E49" s="63">
        <f t="shared" si="1"/>
        <v>64660</v>
      </c>
    </row>
    <row r="50" spans="1:7" x14ac:dyDescent="0.3">
      <c r="A50" s="2">
        <v>11</v>
      </c>
      <c r="C50" s="38" t="s">
        <v>154</v>
      </c>
      <c r="D50" s="42">
        <f>TRUNC(116789,-1)</f>
        <v>116780</v>
      </c>
      <c r="E50" s="63">
        <f t="shared" si="1"/>
        <v>386050</v>
      </c>
      <c r="F50" s="2" t="s">
        <v>251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TRUNC(7241,-1)</f>
        <v>7240</v>
      </c>
      <c r="E52" s="63">
        <f t="shared" si="1"/>
        <v>23930</v>
      </c>
    </row>
    <row r="53" spans="1:7" x14ac:dyDescent="0.3">
      <c r="A53" s="2">
        <v>14</v>
      </c>
      <c r="C53" s="38" t="s">
        <v>25</v>
      </c>
      <c r="D53" s="42">
        <f>TRUNC(118499,-1)</f>
        <v>118490</v>
      </c>
      <c r="E53" s="63">
        <f t="shared" si="1"/>
        <v>391700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f>TRUNC(4451,-1)</f>
        <v>4450</v>
      </c>
      <c r="E55" s="63">
        <f t="shared" si="1"/>
        <v>14710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TRUNC(5052+14354+6867+3281-1934,-1)</f>
        <v>27620</v>
      </c>
      <c r="E58" s="63">
        <f t="shared" si="1"/>
        <v>91300</v>
      </c>
      <c r="F58" s="2" t="s">
        <v>252</v>
      </c>
    </row>
    <row r="59" spans="1:7" ht="17.25" thickBot="1" x14ac:dyDescent="0.35">
      <c r="A59" s="2">
        <v>20</v>
      </c>
      <c r="C59" s="38" t="s">
        <v>148</v>
      </c>
      <c r="D59" s="43">
        <v>0</v>
      </c>
      <c r="E59" s="64">
        <f t="shared" si="1"/>
        <v>0</v>
      </c>
    </row>
    <row r="60" spans="1:7" x14ac:dyDescent="0.3">
      <c r="A60" s="2">
        <v>21</v>
      </c>
      <c r="C60" s="27" t="s">
        <v>112</v>
      </c>
      <c r="D60" s="39">
        <f>SUM(D40:D59)</f>
        <v>671130</v>
      </c>
      <c r="E60" s="39">
        <f>SUM(E40:E59)</f>
        <v>2218570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235</v>
      </c>
      <c r="G62" s="55"/>
    </row>
    <row r="63" spans="1:7" x14ac:dyDescent="0.3">
      <c r="A63" s="2">
        <v>1</v>
      </c>
      <c r="C63" s="38" t="s">
        <v>27</v>
      </c>
      <c r="D63" s="40">
        <v>0</v>
      </c>
      <c r="E63" s="62">
        <f>TRUNC(+D63*3.3058,-1)</f>
        <v>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0</v>
      </c>
      <c r="E66" s="65">
        <f>SUM(E63:E65)</f>
        <v>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234</v>
      </c>
      <c r="E68" s="57" t="s">
        <v>235</v>
      </c>
      <c r="G68" s="55"/>
    </row>
    <row r="69" spans="1:7" x14ac:dyDescent="0.3">
      <c r="A69" s="2">
        <v>1</v>
      </c>
      <c r="C69" s="38" t="s">
        <v>30</v>
      </c>
      <c r="D69" s="40">
        <f>TRUNC(4251,-1)</f>
        <v>4250</v>
      </c>
      <c r="E69" s="62">
        <f t="shared" ref="E69:E94" si="2">TRUNC(+D69*3.3058,-1)</f>
        <v>14040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 t="shared" si="2"/>
        <v>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si="2"/>
        <v>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175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f>TRUNC(1494,-1)</f>
        <v>1490</v>
      </c>
      <c r="E79" s="63">
        <f t="shared" si="2"/>
        <v>4920</v>
      </c>
      <c r="F79" s="2" t="s">
        <v>256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2"/>
        <v>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 t="shared" si="2"/>
        <v>0</v>
      </c>
    </row>
    <row r="92" spans="1:7" x14ac:dyDescent="0.3">
      <c r="A92" s="2">
        <v>24</v>
      </c>
      <c r="C92" s="38" t="s">
        <v>38</v>
      </c>
      <c r="D92" s="42">
        <v>0</v>
      </c>
      <c r="E92" s="63">
        <f t="shared" si="2"/>
        <v>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TRUNC(28660,-1)</f>
        <v>28660</v>
      </c>
      <c r="E94" s="64">
        <f t="shared" si="2"/>
        <v>94740</v>
      </c>
      <c r="F94" s="2" t="s">
        <v>255</v>
      </c>
    </row>
    <row r="95" spans="1:7" x14ac:dyDescent="0.3">
      <c r="A95" s="2">
        <v>27</v>
      </c>
      <c r="C95" s="27" t="s">
        <v>112</v>
      </c>
      <c r="D95" s="39">
        <f>SUM(D69:D94)</f>
        <v>34400</v>
      </c>
      <c r="E95" s="39">
        <f>SUM(E69:E94)</f>
        <v>113700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234</v>
      </c>
      <c r="E97" s="57" t="s">
        <v>235</v>
      </c>
      <c r="G97" s="55"/>
    </row>
    <row r="98" spans="1:7" x14ac:dyDescent="0.3">
      <c r="A98" s="2">
        <v>1</v>
      </c>
      <c r="C98" s="38" t="s">
        <v>39</v>
      </c>
      <c r="D98" s="40">
        <f>TRUNC(53698,-1)</f>
        <v>53690</v>
      </c>
      <c r="E98" s="62">
        <f t="shared" ref="E98:E118" si="3">TRUNC(+D98*3.3058,-1)</f>
        <v>177480</v>
      </c>
    </row>
    <row r="99" spans="1:7" x14ac:dyDescent="0.3">
      <c r="A99" s="2">
        <v>2</v>
      </c>
      <c r="C99" s="38" t="s">
        <v>40</v>
      </c>
      <c r="D99" s="42">
        <f>TRUNC(1309,-1)</f>
        <v>1300</v>
      </c>
      <c r="E99" s="63">
        <f t="shared" si="3"/>
        <v>4290</v>
      </c>
    </row>
    <row r="100" spans="1:7" x14ac:dyDescent="0.3">
      <c r="A100" s="2">
        <v>3</v>
      </c>
      <c r="C100" s="38" t="s">
        <v>41</v>
      </c>
      <c r="D100" s="42">
        <f>TRUNC(28994,-1)</f>
        <v>28990</v>
      </c>
      <c r="E100" s="63">
        <f t="shared" si="3"/>
        <v>95830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TRUNC(12335,-1)</f>
        <v>12330</v>
      </c>
      <c r="E102" s="63">
        <f t="shared" si="3"/>
        <v>40760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v>0</v>
      </c>
      <c r="E104" s="63">
        <f t="shared" si="3"/>
        <v>0</v>
      </c>
    </row>
    <row r="105" spans="1:7" x14ac:dyDescent="0.3">
      <c r="A105" s="2">
        <v>8</v>
      </c>
      <c r="C105" s="38" t="s">
        <v>46</v>
      </c>
      <c r="D105" s="42">
        <v>0</v>
      </c>
      <c r="E105" s="63">
        <f t="shared" si="3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f>TRUNC(8351,-1)</f>
        <v>8350</v>
      </c>
      <c r="E108" s="63">
        <f t="shared" si="3"/>
        <v>27600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148</v>
      </c>
      <c r="D117" s="42">
        <v>0</v>
      </c>
      <c r="E117" s="63">
        <f t="shared" si="3"/>
        <v>0</v>
      </c>
    </row>
    <row r="118" spans="1:7" ht="17.25" thickBot="1" x14ac:dyDescent="0.35">
      <c r="A118" s="2">
        <v>21</v>
      </c>
      <c r="C118" s="38" t="s">
        <v>47</v>
      </c>
      <c r="D118" s="43">
        <v>0</v>
      </c>
      <c r="E118" s="64">
        <f t="shared" si="3"/>
        <v>0</v>
      </c>
    </row>
    <row r="119" spans="1:7" x14ac:dyDescent="0.3">
      <c r="A119" s="2">
        <v>22</v>
      </c>
      <c r="C119" s="27" t="s">
        <v>112</v>
      </c>
      <c r="D119" s="39">
        <f>SUM(D98:D118)</f>
        <v>104660</v>
      </c>
      <c r="E119" s="39">
        <f>SUM(E98:E118)</f>
        <v>345960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234</v>
      </c>
      <c r="E121" s="57" t="s">
        <v>235</v>
      </c>
      <c r="G121" s="55"/>
    </row>
    <row r="122" spans="1:7" x14ac:dyDescent="0.3">
      <c r="A122" s="2">
        <v>1</v>
      </c>
      <c r="C122" s="38" t="s">
        <v>55</v>
      </c>
      <c r="D122" s="40">
        <f>TRUNC(5894,-1)</f>
        <v>5890</v>
      </c>
      <c r="E122" s="62">
        <f t="shared" ref="E122:E132" si="4">TRUNC(+D122*3.3058,-1)</f>
        <v>19470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TRUNC(14780,-1)</f>
        <v>14780</v>
      </c>
      <c r="E125" s="63">
        <f t="shared" si="4"/>
        <v>48850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4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TRUNC(21741,-1)</f>
        <v>21740</v>
      </c>
      <c r="E130" s="63">
        <f t="shared" si="4"/>
        <v>71860</v>
      </c>
    </row>
    <row r="131" spans="1:7" x14ac:dyDescent="0.3">
      <c r="A131" s="2">
        <v>10</v>
      </c>
      <c r="C131" s="38" t="s">
        <v>148</v>
      </c>
      <c r="D131" s="42">
        <v>0</v>
      </c>
      <c r="E131" s="63">
        <f t="shared" si="4"/>
        <v>0</v>
      </c>
    </row>
    <row r="132" spans="1:7" ht="18" thickBot="1" x14ac:dyDescent="0.35">
      <c r="A132" s="2">
        <v>11</v>
      </c>
      <c r="C132" s="38" t="s">
        <v>47</v>
      </c>
      <c r="D132" s="43">
        <f>TRUNC(956,-1)</f>
        <v>950</v>
      </c>
      <c r="E132" s="64">
        <f t="shared" si="4"/>
        <v>3140</v>
      </c>
      <c r="F132" s="54" t="s">
        <v>254</v>
      </c>
    </row>
    <row r="133" spans="1:7" x14ac:dyDescent="0.3">
      <c r="A133" s="2">
        <v>12</v>
      </c>
      <c r="C133" s="27" t="s">
        <v>112</v>
      </c>
      <c r="D133" s="39">
        <f>SUM(D122:D132)</f>
        <v>43360</v>
      </c>
      <c r="E133" s="39">
        <f>SUM(E122:E132)</f>
        <v>143320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234</v>
      </c>
      <c r="E135" s="57" t="s">
        <v>235</v>
      </c>
      <c r="G135" s="55"/>
    </row>
    <row r="136" spans="1:7" x14ac:dyDescent="0.3">
      <c r="A136" s="2">
        <v>1</v>
      </c>
      <c r="C136" s="38" t="s">
        <v>131</v>
      </c>
      <c r="D136" s="40">
        <f>TRUNC(481,-1)</f>
        <v>480</v>
      </c>
      <c r="E136" s="62">
        <f t="shared" ref="E136:E145" si="5">TRUNC(+D136*3.3058,-1)</f>
        <v>1580</v>
      </c>
      <c r="F136" s="2" t="s">
        <v>258</v>
      </c>
    </row>
    <row r="137" spans="1:7" x14ac:dyDescent="0.3">
      <c r="A137" s="2">
        <v>2</v>
      </c>
      <c r="C137" s="38" t="s">
        <v>47</v>
      </c>
      <c r="D137" s="42">
        <f>TRUNC(14354,-1)</f>
        <v>14350</v>
      </c>
      <c r="E137" s="63">
        <f t="shared" si="5"/>
        <v>47430</v>
      </c>
      <c r="F137" s="2" t="s">
        <v>257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5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5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5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14830</v>
      </c>
      <c r="E146" s="39">
        <f>SUM(E136:E145)</f>
        <v>49010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234</v>
      </c>
      <c r="E148" s="57" t="s">
        <v>235</v>
      </c>
      <c r="G148" s="55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3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TRUNC(53259,-1)</f>
        <v>53250</v>
      </c>
      <c r="E152" s="63">
        <f>TRUNC(+D152*3.3058,-1)</f>
        <v>176030</v>
      </c>
      <c r="F152" s="2" t="s">
        <v>253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53250</v>
      </c>
      <c r="E154" s="39">
        <f>SUM(E149:E153)</f>
        <v>176030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234</v>
      </c>
      <c r="E156" s="57" t="s">
        <v>235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2020-12-07T09:52:14Z</dcterms:modified>
</cp:coreProperties>
</file>