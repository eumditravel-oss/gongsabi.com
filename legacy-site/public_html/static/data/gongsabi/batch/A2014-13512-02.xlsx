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36" i="4" l="1"/>
  <c r="D137" i="4"/>
  <c r="D79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29" i="4"/>
  <c r="E123" i="4"/>
  <c r="E116" i="4"/>
  <c r="E113" i="4"/>
  <c r="E112" i="4"/>
  <c r="E111" i="4"/>
  <c r="E110" i="4"/>
  <c r="E109" i="4"/>
  <c r="E108" i="4"/>
  <c r="E107" i="4"/>
  <c r="E106" i="4"/>
  <c r="E103" i="4"/>
  <c r="E94" i="4"/>
  <c r="E92" i="4"/>
  <c r="E91" i="4"/>
  <c r="E89" i="4"/>
  <c r="E88" i="4"/>
  <c r="E87" i="4"/>
  <c r="E86" i="4"/>
  <c r="E84" i="4"/>
  <c r="E83" i="4"/>
  <c r="E82" i="4"/>
  <c r="E81" i="4"/>
  <c r="E80" i="4"/>
  <c r="E79" i="4"/>
  <c r="E77" i="4"/>
  <c r="E76" i="4"/>
  <c r="E74" i="4"/>
  <c r="E73" i="4"/>
  <c r="E65" i="4"/>
  <c r="E64" i="4"/>
  <c r="E63" i="4"/>
  <c r="E57" i="4"/>
  <c r="E56" i="4"/>
  <c r="E66" i="4" l="1"/>
  <c r="E146" i="4"/>
  <c r="E154" i="4"/>
  <c r="D40" i="4"/>
  <c r="E40" i="4" s="1"/>
  <c r="D37" i="4"/>
  <c r="E37" i="4" s="1"/>
  <c r="D132" i="4"/>
  <c r="E132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E122" i="4" s="1"/>
  <c r="D118" i="4"/>
  <c r="E118" i="4" s="1"/>
  <c r="D115" i="4"/>
  <c r="E115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90" i="4"/>
  <c r="E90" i="4" s="1"/>
  <c r="D85" i="4"/>
  <c r="E85" i="4" s="1"/>
  <c r="D78" i="4"/>
  <c r="E78" i="4" s="1"/>
  <c r="D75" i="4"/>
  <c r="E75" i="4" s="1"/>
  <c r="D72" i="4"/>
  <c r="E72" i="4" s="1"/>
  <c r="D71" i="4"/>
  <c r="E71" i="4" s="1"/>
  <c r="D70" i="4"/>
  <c r="E70" i="4" s="1"/>
  <c r="D69" i="4"/>
  <c r="E69" i="4" s="1"/>
  <c r="E95" i="4" s="1"/>
  <c r="D131" i="4"/>
  <c r="E131" i="4" s="1"/>
  <c r="D117" i="4"/>
  <c r="E117" i="4" s="1"/>
  <c r="D93" i="4"/>
  <c r="E93" i="4" s="1"/>
  <c r="D59" i="4"/>
  <c r="E59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159" i="4"/>
  <c r="E159" i="4" s="1"/>
  <c r="E161" i="4" s="1"/>
  <c r="D152" i="4"/>
  <c r="E152" i="4" s="1"/>
  <c r="E119" i="4" l="1"/>
  <c r="E60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D34" i="4"/>
  <c r="E34" i="4" l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<sst xmlns="http://schemas.openxmlformats.org/spreadsheetml/2006/main" count="391" uniqueCount="266">
  <si>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</si>
  <si>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</si>
  <si>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</si>
  <si>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</si>
  <si>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</si>
  <si>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</si>
  <si>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</si>
  <si>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</si>
  <si>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</si>
  <si>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</si>
  <si>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</si>
  <si>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</si>
  <si>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</si>
  <si>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</si>
  <si>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</si>
  <si>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</si>
  <si>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</si>
  <si>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</si>
  <si>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</si>
  <si>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</si>
  <si>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</si>
  <si>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</si>
  <si>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</si>
  <si>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</si>
  <si>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</si>
  <si>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</si>
  <si>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</si>
  <si>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</si>
  <si>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</si>
  <si>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</si>
  <si>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</si>
  <si>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</si>
  <si>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</si>
  <si>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</si>
  <si>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</si>
  <si>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</si>
  <si>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</si>
  <si>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</si>
  <si>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</si>
  <si>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</si>
  <si>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</si>
  <si>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</si>
  <si>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</si>
  <si>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</si>
  <si>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</si>
  <si>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</si>
  <si>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</si>
  <si>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</si>
  <si>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</si>
  <si>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</si>
  <si>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</si>
  <si>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</si>
  <si>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</si>
  <si>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</si>
  <si>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</si>
  <si>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</si>
  <si>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</si>
  <si>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</si>
  <si>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</si>
  <si>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</si>
  <si>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</si>
  <si>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</si>
  <si>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</si>
  <si>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</si>
  <si>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</si>
  <si>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</si>
  <si>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</si>
  <si>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</si>
  <si>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</si>
  <si>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</si>
  <si>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</si>
  <si>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</si>
  <si>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</si>
  <si>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</si>
  <si>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</si>
  <si>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</si>
  <si>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</si>
  <si>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</si>
  <si>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</si>
  <si>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</si>
  <si>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</si>
  <si>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</si>
  <si>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</si>
  <si>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</si>
  <si>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</si>
  <si>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</si>
  <si>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</si>
  <si>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</si>
  <si>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</si>
  <si>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</si>
  <si>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</si>
  <si>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</si>
  <si>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</si>
  <si>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</si>
  <si>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</si>
  <si>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</si>
  <si>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</si>
  <si>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</si>
  <si>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</si>
  <si>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</si>
  <si>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</si>
  <si>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</si>
  <si>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</si>
  <si>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</si>
  <si>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</si>
  <si>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</si>
  <si>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</si>
  <si>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</si>
  <si>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</si>
  <si>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</si>
  <si>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</si>
  <si>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</si>
  <si>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</si>
  <si>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</si>
  <si>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</si>
  <si>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</si>
  <si>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</si>
  <si>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</si>
  <si>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</si>
  <si>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</si>
  <si>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</si>
  <si>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</si>
  <si>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</si>
  <si>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</si>
  <si>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</si>
  <si>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</si>
  <si>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</si>
  <si>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</si>
  <si>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</si>
  <si>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</si>
  <si>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</si>
  <si>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</si>
  <si>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</si>
  <si>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</si>
  <si>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</si>
  <si>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</si>
  <si>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</si>
  <si>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</si>
  <si>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</si>
  <si>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</si>
  <si>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</si>
  <si>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</si>
  <si>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</si>
  <si>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</si>
  <si>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</si>
  <si>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</si>
  <si>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</si>
  <si>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</si>
  <si>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</si>
  <si>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</si>
  <si>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</si>
  <si>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</si>
  <si>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</si>
  <si>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</si>
  <si>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</si>
  <si>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</si>
  <si>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</si>
  <si>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</si>
  <si>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</si>
  <si>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</si>
  <si>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</si>
  <si>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</si>
  <si>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</si>
  <si>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</si>
  <si>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</si>
  <si>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</si>
  <si>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</si>
  <si>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</si>
  <si>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</si>
  <si>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</si>
  <si>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</si>
  <si>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</si>
  <si>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</si>
  <si>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</si>
  <si>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</si>
  <si>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</si>
  <si>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</si>
  <si>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</si>
  <si>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</si>
  <si>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</si>
  <si>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</si>
  <si>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</si>
  <si>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</si>
  <si>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</si>
  <si>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</si>
  <si>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</si>
  <si>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</si>
  <si>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</si>
  <si>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</si>
  <si>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</si>
  <si>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</si>
  <si>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</si>
  <si>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</si>
  <si>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</si>
  <si>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</si>
  <si>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</si>
  <si>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</si>
  <si>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</si>
  <si>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</si>
  <si>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</si>
  <si>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</si>
  <si>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</si>
  <si>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</si>
  <si>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</si>
  <si>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</si>
  <si>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</si>
  <si>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</si>
  <si>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</si>
  <si>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</si>
  <si>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</si>
  <si>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</si>
  <si>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</si>
  <si>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</si>
  <si>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</si>
  <si>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</si>
  <si>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</si>
  <si>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</si>
  <si>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</si>
  <si>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</si>
  <si>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</si>
  <si>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</si>
  <si>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</si>
  <si>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</si>
  <si>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</si>
  <si>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</si>
  <si>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</si>
  <si>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</si>
  <si>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</si>
  <si>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</si>
  <si>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</si>
  <si>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</si>
  <si>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</si>
  <si>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</si>
  <si>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</si>
  <si>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</si>
  <si>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</si>
  <si>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</si>
  <si>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</si>
  <si>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</si>
  <si>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</si>
  <si>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</si>
  <si>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</si>
  <si>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</si>
  <si>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</si>
  <si>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</si>
  <si>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</si>
  <si>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</si>
  <si>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</si>
  <si>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0000경찰청 청사 신축공사</t>
    <phoneticPr fontId="2" type="noConversion"/>
  </si>
  <si>
    <t>업무</t>
  </si>
  <si>
    <t>경상도</t>
  </si>
  <si>
    <t>부대토목공사</t>
    <phoneticPr fontId="2" type="noConversion"/>
  </si>
  <si>
    <t>부대조경공사</t>
    <phoneticPr fontId="2" type="noConversion"/>
  </si>
  <si>
    <t>지정및파일공사,대문공사,기타공사,작업부산물,골재비,운반비</t>
    <phoneticPr fontId="2" type="noConversion"/>
  </si>
  <si>
    <t>경관조명설비공사,전력및조명제어설비공사,조명타워설비공사</t>
    <phoneticPr fontId="2" type="noConversion"/>
  </si>
  <si>
    <t>가설사무소,무대기계설비공사</t>
    <phoneticPr fontId="2" type="noConversion"/>
  </si>
  <si>
    <t>무선안테나설비공사,주차관제설비공사,CCTV설비공사</t>
    <phoneticPr fontId="2" type="noConversion"/>
  </si>
  <si>
    <t>환기덕트설치공사</t>
    <phoneticPr fontId="2" type="noConversion"/>
  </si>
  <si>
    <t>전기 소방공사</t>
    <phoneticPr fontId="2" type="noConversion"/>
  </si>
  <si>
    <t>기계 소화설비공사</t>
    <phoneticPr fontId="2" type="noConversion"/>
  </si>
  <si>
    <t>공조배관공사,사우나설치공사,사이포닉설치공사,우수처리설치공사,위생배관공사,주방기구설치공사,주방카세트시스템천정공사, 바닥난방설치공사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</si>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</sst>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24667</v>
      </c>
      <c r="D7" s="36">
        <f>+C7/3.3058</f>
        <v>7461.7339221973498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240</v>
      </c>
    </row>
    <row r="24" spans="1:5" x14ac:dyDescent="0.3">
      <c r="B24" s="2">
        <v>1</v>
      </c>
      <c r="C24" s="35" t="s">
        <v>110</v>
      </c>
      <c r="D24" s="41">
        <f>+D37</f>
        <v>3510</v>
      </c>
      <c r="E24" s="58">
        <f t="shared" ref="E24:E33" si="0">TRUNC(+D24*3.3058,-1)</f>
        <v>11600</v>
      </c>
    </row>
    <row r="25" spans="1:5" x14ac:dyDescent="0.3">
      <c r="B25" s="2">
        <v>2</v>
      </c>
      <c r="C25" s="35" t="s">
        <v>111</v>
      </c>
      <c r="D25" s="45">
        <f>+D60</f>
        <v>886250</v>
      </c>
      <c r="E25" s="59">
        <f t="shared" si="0"/>
        <v>2929760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409060</v>
      </c>
      <c r="E27" s="59">
        <f t="shared" si="0"/>
        <v>1352270</v>
      </c>
    </row>
    <row r="28" spans="1:5" x14ac:dyDescent="0.3">
      <c r="B28" s="2">
        <v>5</v>
      </c>
      <c r="C28" s="35" t="s">
        <v>97</v>
      </c>
      <c r="D28" s="45">
        <f>+D119</f>
        <v>176680</v>
      </c>
      <c r="E28" s="59">
        <f t="shared" si="0"/>
        <v>584060</v>
      </c>
    </row>
    <row r="29" spans="1:5" x14ac:dyDescent="0.3">
      <c r="B29" s="2">
        <v>6</v>
      </c>
      <c r="C29" s="35" t="s">
        <v>98</v>
      </c>
      <c r="D29" s="45">
        <f>+D133</f>
        <v>172490</v>
      </c>
      <c r="E29" s="59">
        <f t="shared" si="0"/>
        <v>570210</v>
      </c>
    </row>
    <row r="30" spans="1:5" x14ac:dyDescent="0.3">
      <c r="B30" s="2">
        <v>7</v>
      </c>
      <c r="C30" s="35" t="s">
        <v>99</v>
      </c>
      <c r="D30" s="45">
        <f>+D146</f>
        <v>35700</v>
      </c>
      <c r="E30" s="59">
        <f t="shared" si="0"/>
        <v>118010</v>
      </c>
    </row>
    <row r="31" spans="1:5" x14ac:dyDescent="0.3">
      <c r="B31" s="2">
        <v>8</v>
      </c>
      <c r="C31" s="35" t="s">
        <v>100</v>
      </c>
      <c r="D31" s="45">
        <f>+D154</f>
        <v>41810</v>
      </c>
      <c r="E31" s="59">
        <f t="shared" si="0"/>
        <v>138210</v>
      </c>
    </row>
    <row r="32" spans="1:5" x14ac:dyDescent="0.3">
      <c r="B32" s="2">
        <v>9</v>
      </c>
      <c r="C32" s="35" t="s">
        <v>101</v>
      </c>
      <c r="D32" s="45">
        <f>+D161</f>
        <v>43990</v>
      </c>
      <c r="E32" s="59">
        <f t="shared" si="0"/>
        <v>145420</v>
      </c>
    </row>
    <row r="33" spans="1:7" x14ac:dyDescent="0.3">
      <c r="B33" s="2">
        <v>10</v>
      </c>
      <c r="C33" s="35" t="s">
        <v>153</v>
      </c>
      <c r="D33" s="53">
        <f>TRUNC(SUM(D24:D32)*0.275,-1)</f>
        <v>486600</v>
      </c>
      <c r="E33" s="60">
        <f t="shared" si="0"/>
        <v>1608600</v>
      </c>
    </row>
    <row r="34" spans="1:7" x14ac:dyDescent="0.3">
      <c r="C34" s="35" t="s">
        <v>112</v>
      </c>
      <c r="D34" s="44">
        <f>SUM(D24:D33)</f>
        <v>2256090</v>
      </c>
      <c r="E34" s="44">
        <f>SUM(E24:E33)</f>
        <v>7458140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240</v>
      </c>
      <c r="G36" s="55"/>
    </row>
    <row r="37" spans="1:7" ht="17.25" thickBot="1" x14ac:dyDescent="0.35">
      <c r="C37" s="38" t="s">
        <v>143</v>
      </c>
      <c r="D37" s="52">
        <f>TRUNC(3513,-1)</f>
        <v>3510</v>
      </c>
      <c r="E37" s="61">
        <f>TRUNC(+D37*3.3058,-1)</f>
        <v>11600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TRUNC(35257,-1)</f>
        <v>35250</v>
      </c>
      <c r="E40" s="62">
        <f t="shared" ref="E40:E59" si="1">TRUNC(+D40*3.3058,-1)</f>
        <v>116520</v>
      </c>
    </row>
    <row r="41" spans="1:7" x14ac:dyDescent="0.3">
      <c r="A41" s="2">
        <v>2</v>
      </c>
      <c r="C41" s="38" t="s">
        <v>13</v>
      </c>
      <c r="D41" s="42">
        <f>TRUNC(100145,-1)</f>
        <v>100140</v>
      </c>
      <c r="E41" s="63">
        <f t="shared" si="1"/>
        <v>331040</v>
      </c>
    </row>
    <row r="42" spans="1:7" x14ac:dyDescent="0.3">
      <c r="A42" s="2">
        <v>3</v>
      </c>
      <c r="C42" s="38" t="s">
        <v>14</v>
      </c>
      <c r="D42" s="42">
        <f>TRUNC(18339,-1)</f>
        <v>18330</v>
      </c>
      <c r="E42" s="63">
        <f t="shared" si="1"/>
        <v>60590</v>
      </c>
    </row>
    <row r="43" spans="1:7" x14ac:dyDescent="0.3">
      <c r="A43" s="2">
        <v>4</v>
      </c>
      <c r="C43" s="38" t="s">
        <v>16</v>
      </c>
      <c r="D43" s="42">
        <f>TRUNC(18996,-1)</f>
        <v>18990</v>
      </c>
      <c r="E43" s="63">
        <f t="shared" si="1"/>
        <v>62770</v>
      </c>
    </row>
    <row r="44" spans="1:7" x14ac:dyDescent="0.3">
      <c r="A44" s="2">
        <v>5</v>
      </c>
      <c r="C44" s="38" t="s">
        <v>17</v>
      </c>
      <c r="D44" s="42">
        <f>TRUNC(24210,-1)</f>
        <v>24210</v>
      </c>
      <c r="E44" s="63">
        <f t="shared" si="1"/>
        <v>80030</v>
      </c>
    </row>
    <row r="45" spans="1:7" x14ac:dyDescent="0.3">
      <c r="A45" s="2">
        <v>6</v>
      </c>
      <c r="C45" s="38" t="s">
        <v>18</v>
      </c>
      <c r="D45" s="42">
        <f>TRUNC(11166,-1)</f>
        <v>11160</v>
      </c>
      <c r="E45" s="63">
        <f t="shared" si="1"/>
        <v>36890</v>
      </c>
    </row>
    <row r="46" spans="1:7" x14ac:dyDescent="0.3">
      <c r="A46" s="2">
        <v>7</v>
      </c>
      <c r="C46" s="38" t="s">
        <v>19</v>
      </c>
      <c r="D46" s="42">
        <f>TRUNC(20084,-1)</f>
        <v>20080</v>
      </c>
      <c r="E46" s="63">
        <f t="shared" si="1"/>
        <v>66380</v>
      </c>
    </row>
    <row r="47" spans="1:7" x14ac:dyDescent="0.3">
      <c r="A47" s="2">
        <v>8</v>
      </c>
      <c r="C47" s="38" t="s">
        <v>20</v>
      </c>
      <c r="D47" s="42">
        <f>TRUNC(3943,-1)</f>
        <v>3940</v>
      </c>
      <c r="E47" s="63">
        <f t="shared" si="1"/>
        <v>13020</v>
      </c>
    </row>
    <row r="48" spans="1:7" x14ac:dyDescent="0.3">
      <c r="A48" s="2">
        <v>9</v>
      </c>
      <c r="C48" s="38" t="s">
        <v>21</v>
      </c>
      <c r="D48" s="42">
        <f>TRUNC(75225,-1)</f>
        <v>75220</v>
      </c>
      <c r="E48" s="63">
        <f t="shared" si="1"/>
        <v>248660</v>
      </c>
    </row>
    <row r="49" spans="1:7" x14ac:dyDescent="0.3">
      <c r="A49" s="2">
        <v>10</v>
      </c>
      <c r="C49" s="38" t="s">
        <v>22</v>
      </c>
      <c r="D49" s="42">
        <f>TRUNC(18760,-1)</f>
        <v>18760</v>
      </c>
      <c r="E49" s="63">
        <f t="shared" si="1"/>
        <v>62010</v>
      </c>
    </row>
    <row r="50" spans="1:7" x14ac:dyDescent="0.3">
      <c r="A50" s="2">
        <v>11</v>
      </c>
      <c r="C50" s="38" t="s">
        <v>154</v>
      </c>
      <c r="D50" s="42">
        <f>TRUNC(30713,-1)</f>
        <v>30710</v>
      </c>
      <c r="E50" s="63">
        <f t="shared" si="1"/>
        <v>101520</v>
      </c>
    </row>
    <row r="51" spans="1:7" x14ac:dyDescent="0.3">
      <c r="A51" s="2">
        <v>12</v>
      </c>
      <c r="C51" s="38" t="s">
        <v>23</v>
      </c>
      <c r="D51" s="42">
        <f>TRUNC(21337,-1)</f>
        <v>21330</v>
      </c>
      <c r="E51" s="63">
        <f t="shared" si="1"/>
        <v>70510</v>
      </c>
    </row>
    <row r="52" spans="1:7" x14ac:dyDescent="0.3">
      <c r="A52" s="2">
        <v>13</v>
      </c>
      <c r="C52" s="38" t="s">
        <v>24</v>
      </c>
      <c r="D52" s="42">
        <f>TRUNC(12058,-1)</f>
        <v>12050</v>
      </c>
      <c r="E52" s="63">
        <f t="shared" si="1"/>
        <v>39830</v>
      </c>
    </row>
    <row r="53" spans="1:7" x14ac:dyDescent="0.3">
      <c r="A53" s="2">
        <v>14</v>
      </c>
      <c r="C53" s="38" t="s">
        <v>25</v>
      </c>
      <c r="D53" s="42">
        <f>TRUNC(106932,-1)</f>
        <v>106930</v>
      </c>
      <c r="E53" s="63">
        <f t="shared" si="1"/>
        <v>353480</v>
      </c>
    </row>
    <row r="54" spans="1:7" x14ac:dyDescent="0.3">
      <c r="A54" s="2">
        <v>15</v>
      </c>
      <c r="C54" s="38" t="s">
        <v>147</v>
      </c>
      <c r="D54" s="42">
        <f>TRUNC(32322,-1)</f>
        <v>32320</v>
      </c>
      <c r="E54" s="63">
        <f t="shared" si="1"/>
        <v>106840</v>
      </c>
    </row>
    <row r="55" spans="1:7" x14ac:dyDescent="0.3">
      <c r="A55" s="2">
        <v>16</v>
      </c>
      <c r="C55" s="38" t="s">
        <v>144</v>
      </c>
      <c r="D55" s="42">
        <f>TRUNC(1082,-1)</f>
        <v>1080</v>
      </c>
      <c r="E55" s="63">
        <f t="shared" si="1"/>
        <v>3570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TRUNC(6181+580+5050-934+797+1980,-1)</f>
        <v>13650</v>
      </c>
      <c r="E58" s="63">
        <f t="shared" si="1"/>
        <v>45120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TRUNC(342102,-1)</f>
        <v>342100</v>
      </c>
      <c r="E59" s="64">
        <f t="shared" si="1"/>
        <v>1130910</v>
      </c>
    </row>
    <row r="60" spans="1:7" x14ac:dyDescent="0.3">
      <c r="A60" s="2">
        <v>21</v>
      </c>
      <c r="C60" s="27" t="s">
        <v>112</v>
      </c>
      <c r="D60" s="39">
        <f>SUM(D40:D59)</f>
        <v>886250</v>
      </c>
      <c r="E60" s="39">
        <f>SUM(E40:E59)</f>
        <v>2929690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240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240</v>
      </c>
      <c r="G68" s="55"/>
    </row>
    <row r="69" spans="1:7" x14ac:dyDescent="0.3">
      <c r="A69" s="2">
        <v>1</v>
      </c>
      <c r="C69" s="38" t="s">
        <v>30</v>
      </c>
      <c r="D69" s="40">
        <f>TRUNC(16069,-1)</f>
        <v>16060</v>
      </c>
      <c r="E69" s="62">
        <f t="shared" ref="E69:E94" si="2">TRUNC(+D69*3.3058,-1)</f>
        <v>53090</v>
      </c>
    </row>
    <row r="70" spans="1:7" ht="16.5" customHeight="1" x14ac:dyDescent="0.3">
      <c r="A70" s="2">
        <v>2</v>
      </c>
      <c r="C70" s="38" t="s">
        <v>31</v>
      </c>
      <c r="D70" s="42">
        <f>TRUNC(1331,-1)</f>
        <v>1330</v>
      </c>
      <c r="E70" s="63">
        <f t="shared" si="2"/>
        <v>4390</v>
      </c>
    </row>
    <row r="71" spans="1:7" x14ac:dyDescent="0.3">
      <c r="A71" s="2">
        <v>3</v>
      </c>
      <c r="C71" s="38" t="s">
        <v>32</v>
      </c>
      <c r="D71" s="42">
        <f>TRUNC(9436,-1)</f>
        <v>9430</v>
      </c>
      <c r="E71" s="63">
        <f t="shared" si="2"/>
        <v>31170</v>
      </c>
    </row>
    <row r="72" spans="1:7" x14ac:dyDescent="0.3">
      <c r="A72" s="2">
        <v>4</v>
      </c>
      <c r="C72" s="38" t="s">
        <v>33</v>
      </c>
      <c r="D72" s="42">
        <f>TRUNC(2399,-1)</f>
        <v>2390</v>
      </c>
      <c r="E72" s="63">
        <f t="shared" si="2"/>
        <v>7900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TRUNC(1952,-1)</f>
        <v>1950</v>
      </c>
      <c r="E75" s="63">
        <f t="shared" si="2"/>
        <v>6440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TRUNC(46749,-1)</f>
        <v>46740</v>
      </c>
      <c r="E78" s="63">
        <f t="shared" si="2"/>
        <v>154510</v>
      </c>
    </row>
    <row r="79" spans="1:7" x14ac:dyDescent="0.3">
      <c r="A79" s="2">
        <v>11</v>
      </c>
      <c r="C79" s="38" t="s">
        <v>133</v>
      </c>
      <c r="D79" s="42">
        <f>TRUNC(1069,-1)</f>
        <v>1060</v>
      </c>
      <c r="E79" s="63">
        <f t="shared" si="2"/>
        <v>3500</v>
      </c>
      <c r="F79" s="2" t="s">
        <v>257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TRUNC(559,-1)</f>
        <v>550</v>
      </c>
      <c r="E85" s="63">
        <f t="shared" si="2"/>
        <v>1810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TRUNC(1423,-1)</f>
        <v>1420</v>
      </c>
      <c r="E90" s="63">
        <f t="shared" si="2"/>
        <v>4690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TRUNC(266652,-1)</f>
        <v>266650</v>
      </c>
      <c r="E93" s="63">
        <f t="shared" si="2"/>
        <v>881490</v>
      </c>
    </row>
    <row r="94" spans="1:7" ht="17.25" thickBot="1" x14ac:dyDescent="0.35">
      <c r="A94" s="2">
        <v>26</v>
      </c>
      <c r="C94" s="38" t="s">
        <v>47</v>
      </c>
      <c r="D94" s="43">
        <f>TRUNC(20585+450+7011+3738+17461+6354+4939+944,-1)</f>
        <v>61480</v>
      </c>
      <c r="E94" s="64">
        <f t="shared" si="2"/>
        <v>203240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409060</v>
      </c>
      <c r="E95" s="39">
        <f>SUM(E69:E94)</f>
        <v>1352230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240</v>
      </c>
      <c r="G97" s="55"/>
    </row>
    <row r="98" spans="1:7" x14ac:dyDescent="0.3">
      <c r="A98" s="2">
        <v>1</v>
      </c>
      <c r="C98" s="38" t="s">
        <v>39</v>
      </c>
      <c r="D98" s="40">
        <f>TRUNC(13379,-1)</f>
        <v>13370</v>
      </c>
      <c r="E98" s="62">
        <f t="shared" ref="E98:E118" si="3">TRUNC(+D98*3.3058,-1)</f>
        <v>44190</v>
      </c>
    </row>
    <row r="99" spans="1:7" x14ac:dyDescent="0.3">
      <c r="A99" s="2">
        <v>2</v>
      </c>
      <c r="C99" s="38" t="s">
        <v>40</v>
      </c>
      <c r="D99" s="42">
        <f>TRUNC(10520,-1)</f>
        <v>10520</v>
      </c>
      <c r="E99" s="63">
        <f t="shared" si="3"/>
        <v>34770</v>
      </c>
    </row>
    <row r="100" spans="1:7" x14ac:dyDescent="0.3">
      <c r="A100" s="2">
        <v>3</v>
      </c>
      <c r="C100" s="38" t="s">
        <v>41</v>
      </c>
      <c r="D100" s="42">
        <f>TRUNC(23662,-1)</f>
        <v>23660</v>
      </c>
      <c r="E100" s="63">
        <f t="shared" si="3"/>
        <v>78210</v>
      </c>
    </row>
    <row r="101" spans="1:7" x14ac:dyDescent="0.3">
      <c r="A101" s="2">
        <v>4</v>
      </c>
      <c r="C101" s="38" t="s">
        <v>42</v>
      </c>
      <c r="D101" s="42">
        <f>TRUNC(795+467+274,-1)</f>
        <v>1530</v>
      </c>
      <c r="E101" s="63">
        <f t="shared" si="3"/>
        <v>5050</v>
      </c>
      <c r="F101" s="2" t="s">
        <v>254</v>
      </c>
    </row>
    <row r="102" spans="1:7" x14ac:dyDescent="0.3">
      <c r="A102" s="2">
        <v>5</v>
      </c>
      <c r="C102" s="38" t="s">
        <v>43</v>
      </c>
      <c r="D102" s="42">
        <f>TRUNC(13052,-1)</f>
        <v>13050</v>
      </c>
      <c r="E102" s="63">
        <f t="shared" si="3"/>
        <v>43140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TRUNC(4781,-1)</f>
        <v>4780</v>
      </c>
      <c r="E104" s="63">
        <f t="shared" si="3"/>
        <v>15800</v>
      </c>
    </row>
    <row r="105" spans="1:7" x14ac:dyDescent="0.3">
      <c r="A105" s="2">
        <v>8</v>
      </c>
      <c r="C105" s="38" t="s">
        <v>46</v>
      </c>
      <c r="D105" s="42">
        <f>TRUNC(4621,-1)</f>
        <v>4620</v>
      </c>
      <c r="E105" s="63">
        <f t="shared" si="3"/>
        <v>15270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TRUNC(2391,-1)</f>
        <v>2390</v>
      </c>
      <c r="E114" s="63">
        <f t="shared" si="3"/>
        <v>7900</v>
      </c>
    </row>
    <row r="115" spans="1:7" x14ac:dyDescent="0.3">
      <c r="A115" s="2">
        <v>18</v>
      </c>
      <c r="C115" s="38" t="s">
        <v>116</v>
      </c>
      <c r="D115" s="42">
        <f>TRUNC(7020,-1)</f>
        <v>7020</v>
      </c>
      <c r="E115" s="63">
        <f t="shared" si="3"/>
        <v>23200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TRUNC(94953,-1)</f>
        <v>94950</v>
      </c>
      <c r="E117" s="63">
        <f t="shared" si="3"/>
        <v>313880</v>
      </c>
    </row>
    <row r="118" spans="1:7" ht="17.25" thickBot="1" x14ac:dyDescent="0.35">
      <c r="A118" s="2">
        <v>21</v>
      </c>
      <c r="C118" s="38" t="s">
        <v>47</v>
      </c>
      <c r="D118" s="43">
        <f>TRUNC(264+532,-1)</f>
        <v>790</v>
      </c>
      <c r="E118" s="64">
        <f t="shared" si="3"/>
        <v>2610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176680</v>
      </c>
      <c r="E119" s="39">
        <f>SUM(E98:E118)</f>
        <v>584020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240</v>
      </c>
      <c r="G121" s="55"/>
    </row>
    <row r="122" spans="1:7" x14ac:dyDescent="0.3">
      <c r="A122" s="2">
        <v>1</v>
      </c>
      <c r="C122" s="38" t="s">
        <v>55</v>
      </c>
      <c r="D122" s="40">
        <f>TRUNC(5709,-1)</f>
        <v>5700</v>
      </c>
      <c r="E122" s="62">
        <f t="shared" ref="E122:E132" si="4">TRUNC(+D122*3.3058,-1)</f>
        <v>18840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TRUNC(2658,-1)</f>
        <v>2650</v>
      </c>
      <c r="E124" s="63">
        <f t="shared" si="4"/>
        <v>8760</v>
      </c>
    </row>
    <row r="125" spans="1:7" x14ac:dyDescent="0.3">
      <c r="A125" s="2">
        <v>4</v>
      </c>
      <c r="C125" s="38" t="s">
        <v>138</v>
      </c>
      <c r="D125" s="42">
        <f>TRUNC(5302,-1)</f>
        <v>5300</v>
      </c>
      <c r="E125" s="63">
        <f t="shared" si="4"/>
        <v>17520</v>
      </c>
    </row>
    <row r="126" spans="1:7" x14ac:dyDescent="0.3">
      <c r="A126" s="2">
        <v>5</v>
      </c>
      <c r="C126" s="38" t="s">
        <v>53</v>
      </c>
      <c r="D126" s="42">
        <f>TRUNC(1864,-1)</f>
        <v>1860</v>
      </c>
      <c r="E126" s="63">
        <f t="shared" si="4"/>
        <v>6140</v>
      </c>
    </row>
    <row r="127" spans="1:7" x14ac:dyDescent="0.3">
      <c r="A127" s="2">
        <v>6</v>
      </c>
      <c r="C127" s="38" t="s">
        <v>56</v>
      </c>
      <c r="D127" s="42">
        <f>TRUNC(2981,-1)</f>
        <v>2980</v>
      </c>
      <c r="E127" s="63">
        <f t="shared" si="4"/>
        <v>9850</v>
      </c>
    </row>
    <row r="128" spans="1:7" x14ac:dyDescent="0.3">
      <c r="A128" s="2">
        <v>7</v>
      </c>
      <c r="C128" s="38" t="s">
        <v>46</v>
      </c>
      <c r="D128" s="42">
        <f>TRUNC(4384,-1)</f>
        <v>4380</v>
      </c>
      <c r="E128" s="63">
        <f t="shared" si="4"/>
        <v>14470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TRUNC(61332,-1)</f>
        <v>61330</v>
      </c>
      <c r="E130" s="63">
        <f t="shared" si="4"/>
        <v>202740</v>
      </c>
    </row>
    <row r="131" spans="1:7" x14ac:dyDescent="0.3">
      <c r="A131" s="2">
        <v>10</v>
      </c>
      <c r="C131" s="38" t="s">
        <v>148</v>
      </c>
      <c r="D131" s="42">
        <f>TRUNC(82644,-1)</f>
        <v>82640</v>
      </c>
      <c r="E131" s="63">
        <f t="shared" si="4"/>
        <v>273190</v>
      </c>
    </row>
    <row r="132" spans="1:7" ht="18" thickBot="1" x14ac:dyDescent="0.35">
      <c r="A132" s="2">
        <v>11</v>
      </c>
      <c r="C132" s="38" t="s">
        <v>47</v>
      </c>
      <c r="D132" s="43">
        <f>TRUNC(2492+93+3065,-1)</f>
        <v>5650</v>
      </c>
      <c r="E132" s="64">
        <f t="shared" si="4"/>
        <v>18670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172490</v>
      </c>
      <c r="E133" s="39">
        <f>SUM(E122:E132)</f>
        <v>570180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240</v>
      </c>
      <c r="G135" s="55"/>
    </row>
    <row r="136" spans="1:7" x14ac:dyDescent="0.3">
      <c r="A136" s="2">
        <v>1</v>
      </c>
      <c r="C136" s="38" t="s">
        <v>131</v>
      </c>
      <c r="D136" s="40">
        <f>TRUNC(23508,-1)</f>
        <v>23500</v>
      </c>
      <c r="E136" s="62">
        <f t="shared" ref="E136:E145" si="5">TRUNC(+D136*3.3058,-1)</f>
        <v>77680</v>
      </c>
      <c r="F136" s="2" t="s">
        <v>259</v>
      </c>
    </row>
    <row r="137" spans="1:7" x14ac:dyDescent="0.3">
      <c r="A137" s="2">
        <v>2</v>
      </c>
      <c r="C137" s="38" t="s">
        <v>47</v>
      </c>
      <c r="D137" s="42">
        <f>TRUNC(12208,-1)</f>
        <v>12200</v>
      </c>
      <c r="E137" s="63">
        <f t="shared" si="5"/>
        <v>40330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35700</v>
      </c>
      <c r="E146" s="39">
        <f>SUM(E136:E145)</f>
        <v>118010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240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TRUNC(41810,-1)</f>
        <v>41810</v>
      </c>
      <c r="E152" s="63">
        <f>TRUNC(+D152*3.3058,-1)</f>
        <v>138210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41810</v>
      </c>
      <c r="E154" s="39">
        <f>SUM(E149:E153)</f>
        <v>138210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240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TRUNC(43991,-1)</f>
        <v>43990</v>
      </c>
      <c r="E159" s="63">
        <f>TRUNC(+D159*3.3058,-1)</f>
        <v>145420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43990</v>
      </c>
      <c r="E161" s="39">
        <f>SUM(E157:E160)</f>
        <v>145420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2020-12-07T09:48:40Z</dcterms:modified>
</cp:coreProperties>
</file>