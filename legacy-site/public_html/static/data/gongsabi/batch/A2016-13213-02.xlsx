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3" i="4"/>
  <c r="E151" i="4"/>
  <c r="E145" i="4"/>
  <c r="E142" i="4"/>
  <c r="E141" i="4"/>
  <c r="E140" i="4"/>
  <c r="E139" i="4"/>
  <c r="E138" i="4"/>
  <c r="E136" i="4"/>
  <c r="E129" i="4"/>
  <c r="E128" i="4"/>
  <c r="E127" i="4"/>
  <c r="E126" i="4"/>
  <c r="E124" i="4"/>
  <c r="E123" i="4"/>
  <c r="E118" i="4"/>
  <c r="E116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1" i="4"/>
  <c r="E93" i="4"/>
  <c r="E9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1" i="4"/>
  <c r="E65" i="4"/>
  <c r="E64" i="4"/>
  <c r="E57" i="4"/>
  <c r="E56" i="4"/>
  <c r="E55" i="4"/>
  <c r="E54" i="4"/>
  <c r="E51" i="4"/>
  <c r="E47" i="4"/>
  <c r="E42" i="4"/>
  <c r="E37" i="4"/>
  <c r="D59" i="4" l="1"/>
  <c r="E59" i="4" s="1"/>
  <c r="D117" i="4"/>
  <c r="E117" i="4" s="1"/>
  <c r="D131" i="4"/>
  <c r="E131" i="4" s="1"/>
  <c r="D157" i="4"/>
  <c r="E157" i="4" s="1"/>
  <c r="E161" i="4" s="1"/>
  <c r="D152" i="4"/>
  <c r="E152" i="4" s="1"/>
  <c r="D150" i="4"/>
  <c r="E150" i="4" s="1"/>
  <c r="D149" i="4"/>
  <c r="E149" i="4" s="1"/>
  <c r="D137" i="4"/>
  <c r="E137" i="4" s="1"/>
  <c r="E146" i="4" s="1"/>
  <c r="D144" i="4"/>
  <c r="E144" i="4" s="1"/>
  <c r="D143" i="4"/>
  <c r="E143" i="4" s="1"/>
  <c r="D132" i="4"/>
  <c r="E132" i="4" s="1"/>
  <c r="D125" i="4"/>
  <c r="E125" i="4" s="1"/>
  <c r="D122" i="4"/>
  <c r="E122" i="4" s="1"/>
  <c r="D130" i="4"/>
  <c r="E130" i="4" s="1"/>
  <c r="D102" i="4"/>
  <c r="E102" i="4" s="1"/>
  <c r="D100" i="4"/>
  <c r="E100" i="4" s="1"/>
  <c r="D99" i="4"/>
  <c r="E99" i="4" s="1"/>
  <c r="E119" i="4" s="1"/>
  <c r="D98" i="4"/>
  <c r="E98" i="4" s="1"/>
  <c r="D115" i="4"/>
  <c r="E115" i="4" s="1"/>
  <c r="D94" i="4"/>
  <c r="E94" i="4" s="1"/>
  <c r="D92" i="4"/>
  <c r="E92" i="4" s="1"/>
  <c r="D89" i="4"/>
  <c r="E89" i="4" s="1"/>
  <c r="D73" i="4"/>
  <c r="E73" i="4" s="1"/>
  <c r="D72" i="4"/>
  <c r="E72" i="4" s="1"/>
  <c r="D70" i="4"/>
  <c r="E70" i="4" s="1"/>
  <c r="D69" i="4"/>
  <c r="E69" i="4" s="1"/>
  <c r="D63" i="4"/>
  <c r="E63" i="4" s="1"/>
  <c r="E66" i="4" s="1"/>
  <c r="D58" i="4"/>
  <c r="E58" i="4" s="1"/>
  <c r="D52" i="4"/>
  <c r="E52" i="4" s="1"/>
  <c r="D53" i="4"/>
  <c r="E53" i="4" s="1"/>
  <c r="D50" i="4"/>
  <c r="E50" i="4" s="1"/>
  <c r="D49" i="4"/>
  <c r="E49" i="4" s="1"/>
  <c r="D48" i="4"/>
  <c r="E48" i="4" s="1"/>
  <c r="D45" i="4"/>
  <c r="E45" i="4" s="1"/>
  <c r="D46" i="4"/>
  <c r="E46" i="4" s="1"/>
  <c r="D44" i="4"/>
  <c r="E44" i="4" s="1"/>
  <c r="D43" i="4"/>
  <c r="E43" i="4" s="1"/>
  <c r="D41" i="4"/>
  <c r="E41" i="4" s="1"/>
  <c r="D40" i="4"/>
  <c r="E40" i="4" s="1"/>
  <c r="E60" i="4" l="1"/>
  <c r="E154" i="4"/>
  <c r="E95" i="4"/>
  <c r="E133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<sst xmlns="http://schemas.openxmlformats.org/spreadsheetml/2006/main" count="392" uniqueCount="267">
  <si>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</si>
  <si>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</si>
  <si>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</si>
  <si>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</si>
  <si>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</si>
  <si>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</si>
  <si>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</si>
  <si>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</si>
  <si>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</si>
  <si>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</si>
  <si>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</si>
  <si>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</si>
  <si>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</si>
  <si>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</si>
  <si>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</si>
  <si>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</si>
  <si>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</si>
  <si>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</si>
  <si>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</si>
  <si>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</si>
  <si>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</si>
  <si>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</si>
  <si>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</si>
  <si>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</si>
  <si>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</si>
  <si>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</si>
  <si>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</si>
  <si>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</si>
  <si>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</si>
  <si>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</si>
  <si>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</si>
  <si>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</si>
  <si>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</si>
  <si>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</si>
  <si>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</si>
  <si>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</si>
  <si>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</si>
  <si>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</si>
  <si>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</si>
  <si>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</si>
  <si>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</si>
  <si>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</si>
  <si>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</si>
  <si>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</si>
  <si>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</si>
  <si>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</si>
  <si>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</si>
  <si>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</si>
  <si>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</si>
  <si>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</si>
  <si>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</si>
  <si>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</si>
  <si>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</si>
  <si>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</si>
  <si>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</si>
  <si>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</si>
  <si>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</si>
  <si>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</si>
  <si>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</si>
  <si>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</si>
  <si>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</si>
  <si>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</si>
  <si>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</si>
  <si>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</si>
  <si>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</si>
  <si>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</si>
  <si>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</si>
  <si>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</si>
  <si>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</si>
  <si>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</si>
  <si>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</si>
  <si>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</si>
  <si>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</si>
  <si>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</si>
  <si>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</si>
  <si>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</si>
  <si>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</si>
  <si>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</si>
  <si>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</si>
  <si>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</si>
  <si>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</si>
  <si>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</si>
  <si>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</si>
  <si>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</si>
  <si>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</si>
  <si>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</si>
  <si>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</si>
  <si>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</si>
  <si>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</si>
  <si>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</si>
  <si>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</si>
  <si>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</si>
  <si>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</si>
  <si>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</si>
  <si>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</si>
  <si>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</si>
  <si>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</si>
  <si>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</si>
  <si>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</si>
  <si>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</si>
  <si>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</si>
  <si>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</si>
  <si>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</si>
  <si>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</si>
  <si>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</si>
  <si>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</si>
  <si>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</si>
  <si>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</si>
  <si>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</si>
  <si>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</si>
  <si>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</si>
  <si>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</si>
  <si>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</si>
  <si>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</si>
  <si>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</si>
  <si>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</si>
  <si>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</si>
  <si>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</si>
  <si>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</si>
  <si>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</si>
  <si>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</si>
  <si>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</si>
  <si>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</si>
  <si>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</si>
  <si>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</si>
  <si>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</si>
  <si>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</si>
  <si>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</si>
  <si>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</si>
  <si>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</si>
  <si>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</si>
  <si>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</si>
  <si>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</si>
  <si>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</si>
  <si>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</si>
  <si>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</si>
  <si>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</si>
  <si>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</si>
  <si>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</si>
  <si>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</si>
  <si>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</si>
  <si>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</si>
  <si>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</si>
  <si>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</si>
  <si>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</si>
  <si>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</si>
  <si>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</si>
  <si>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</si>
  <si>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</si>
  <si>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</si>
  <si>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</si>
  <si>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</si>
  <si>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</si>
  <si>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</si>
  <si>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</si>
  <si>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</si>
  <si>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</si>
  <si>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</si>
  <si>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</si>
  <si>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</si>
  <si>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</si>
  <si>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</si>
  <si>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</si>
  <si>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</si>
  <si>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</si>
  <si>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</si>
  <si>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</si>
  <si>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</si>
  <si>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</si>
  <si>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</si>
  <si>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</si>
  <si>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</si>
  <si>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</si>
  <si>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</si>
  <si>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</si>
  <si>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</si>
  <si>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</si>
  <si>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</si>
  <si>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</si>
  <si>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</si>
  <si>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</si>
  <si>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</si>
  <si>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</si>
  <si>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</si>
  <si>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</si>
  <si>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</si>
  <si>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</si>
  <si>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</si>
  <si>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</si>
  <si>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</si>
  <si>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</si>
  <si>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</si>
  <si>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</si>
  <si>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</si>
  <si>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</si>
  <si>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</si>
  <si>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</si>
  <si>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</si>
  <si>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</si>
  <si>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</si>
  <si>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</si>
  <si>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</si>
  <si>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</si>
  <si>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</si>
  <si>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</si>
  <si>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</si>
  <si>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</si>
  <si>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</si>
  <si>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</si>
  <si>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</si>
  <si>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</si>
  <si>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</si>
  <si>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</si>
  <si>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</si>
  <si>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</si>
  <si>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</si>
  <si>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</si>
  <si>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</si>
  <si>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</si>
  <si>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</si>
  <si>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</si>
  <si>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</si>
  <si>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</si>
  <si>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</si>
  <si>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</si>
  <si>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</si>
  <si>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</si>
  <si>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</si>
  <si>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</si>
  <si>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</si>
  <si>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</si>
  <si>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</si>
  <si>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</si>
  <si>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</si>
  <si>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</si>
  <si>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</si>
  <si>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</si>
  <si>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</si>
  <si>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</si>
  <si>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</si>
  <si>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</si>
  <si>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</si>
  <si>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</si>
  <si>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</si>
  <si>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</si>
  <si>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</si>
  <si>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</si>
  <si>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</si>
  <si>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</si>
  <si>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</si>
  <si>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</si>
  <si>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507의무경찰대 신축공사</t>
    <phoneticPr fontId="2" type="noConversion"/>
  </si>
  <si>
    <t>창호및유리공사</t>
    <phoneticPr fontId="2" type="noConversion"/>
  </si>
  <si>
    <t>기초공사,골재비및운반비,기타공사</t>
    <phoneticPr fontId="2" type="noConversion"/>
  </si>
  <si>
    <t>공조배관공사,기타공사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</si>
  <si>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</si>
  <si>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</si>
  <si>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</si>
  <si>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</si>
  <si>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</si>
  <si>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</si>
  <si>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전라도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</si>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</sst>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2501.02</v>
      </c>
      <c r="D7" s="36">
        <f>+C7/3.3058</f>
        <v>756.55514550184523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822480</v>
      </c>
      <c r="E25" s="59">
        <f t="shared" si="0"/>
        <v>2718950</v>
      </c>
    </row>
    <row r="26" spans="1:5" x14ac:dyDescent="0.3">
      <c r="B26" s="2">
        <v>3</v>
      </c>
      <c r="C26" s="35" t="s">
        <v>95</v>
      </c>
      <c r="D26" s="45">
        <f>+D66</f>
        <v>10920</v>
      </c>
      <c r="E26" s="59">
        <f t="shared" si="0"/>
        <v>36090</v>
      </c>
    </row>
    <row r="27" spans="1:5" x14ac:dyDescent="0.3">
      <c r="B27" s="2">
        <v>4</v>
      </c>
      <c r="C27" s="35" t="s">
        <v>96</v>
      </c>
      <c r="D27" s="45">
        <f>+D95</f>
        <v>85790</v>
      </c>
      <c r="E27" s="59">
        <f t="shared" si="0"/>
        <v>283600</v>
      </c>
    </row>
    <row r="28" spans="1:5" x14ac:dyDescent="0.3">
      <c r="B28" s="2">
        <v>5</v>
      </c>
      <c r="C28" s="35" t="s">
        <v>97</v>
      </c>
      <c r="D28" s="45">
        <f>+D119</f>
        <v>197910</v>
      </c>
      <c r="E28" s="59">
        <f t="shared" si="0"/>
        <v>654250</v>
      </c>
    </row>
    <row r="29" spans="1:5" x14ac:dyDescent="0.3">
      <c r="B29" s="2">
        <v>6</v>
      </c>
      <c r="C29" s="35" t="s">
        <v>98</v>
      </c>
      <c r="D29" s="45">
        <f>+D133</f>
        <v>57640</v>
      </c>
      <c r="E29" s="59">
        <f t="shared" si="0"/>
        <v>190540</v>
      </c>
    </row>
    <row r="30" spans="1:5" x14ac:dyDescent="0.3">
      <c r="B30" s="2">
        <v>7</v>
      </c>
      <c r="C30" s="35" t="s">
        <v>99</v>
      </c>
      <c r="D30" s="45">
        <f>+D146</f>
        <v>33160</v>
      </c>
      <c r="E30" s="59">
        <f t="shared" si="0"/>
        <v>109620</v>
      </c>
    </row>
    <row r="31" spans="1:5" x14ac:dyDescent="0.3">
      <c r="B31" s="2">
        <v>8</v>
      </c>
      <c r="C31" s="35" t="s">
        <v>100</v>
      </c>
      <c r="D31" s="45">
        <f>+D154</f>
        <v>36690</v>
      </c>
      <c r="E31" s="59">
        <f t="shared" si="0"/>
        <v>121280</v>
      </c>
    </row>
    <row r="32" spans="1:5" x14ac:dyDescent="0.3">
      <c r="B32" s="2">
        <v>9</v>
      </c>
      <c r="C32" s="35" t="s">
        <v>101</v>
      </c>
      <c r="D32" s="45">
        <f>+D161</f>
        <v>19020</v>
      </c>
      <c r="E32" s="59">
        <f t="shared" si="0"/>
        <v>62870</v>
      </c>
    </row>
    <row r="33" spans="1:7" x14ac:dyDescent="0.3">
      <c r="B33" s="2">
        <v>10</v>
      </c>
      <c r="C33" s="35" t="s">
        <v>153</v>
      </c>
      <c r="D33" s="53">
        <f>TRUNC(SUM(D24:D32)*0.275,-1)</f>
        <v>347490</v>
      </c>
      <c r="E33" s="60">
        <f t="shared" si="0"/>
        <v>1148730</v>
      </c>
    </row>
    <row r="34" spans="1:7" x14ac:dyDescent="0.3">
      <c r="C34" s="35" t="s">
        <v>112</v>
      </c>
      <c r="D34" s="44">
        <f>SUM(D24:D33)</f>
        <v>1611100</v>
      </c>
      <c r="E34" s="44">
        <f>SUM(E24:E33)</f>
        <v>5325930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TRUNC(45839,-1)</f>
        <v>45830</v>
      </c>
      <c r="E40" s="62">
        <f t="shared" ref="E40:E59" si="1">TRUNC(+D40*3.3058,-1)</f>
        <v>151500</v>
      </c>
    </row>
    <row r="41" spans="1:7" x14ac:dyDescent="0.3">
      <c r="A41" s="2">
        <v>2</v>
      </c>
      <c r="C41" s="38" t="s">
        <v>13</v>
      </c>
      <c r="D41" s="42">
        <f>TRUNC(118078,-1)</f>
        <v>118070</v>
      </c>
      <c r="E41" s="63">
        <f t="shared" si="1"/>
        <v>390310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TRUNC(20223,-1)</f>
        <v>20220</v>
      </c>
      <c r="E43" s="63">
        <f t="shared" si="1"/>
        <v>66840</v>
      </c>
    </row>
    <row r="44" spans="1:7" x14ac:dyDescent="0.3">
      <c r="A44" s="2">
        <v>5</v>
      </c>
      <c r="C44" s="38" t="s">
        <v>17</v>
      </c>
      <c r="D44" s="42">
        <f>TRUNC(29040,-1)</f>
        <v>29040</v>
      </c>
      <c r="E44" s="63">
        <f t="shared" si="1"/>
        <v>96000</v>
      </c>
    </row>
    <row r="45" spans="1:7" x14ac:dyDescent="0.3">
      <c r="A45" s="2">
        <v>6</v>
      </c>
      <c r="C45" s="38" t="s">
        <v>18</v>
      </c>
      <c r="D45" s="42">
        <f>TRUNC(22855,-1)</f>
        <v>22850</v>
      </c>
      <c r="E45" s="63">
        <f t="shared" si="1"/>
        <v>75530</v>
      </c>
    </row>
    <row r="46" spans="1:7" x14ac:dyDescent="0.3">
      <c r="A46" s="2">
        <v>7</v>
      </c>
      <c r="C46" s="38" t="s">
        <v>19</v>
      </c>
      <c r="D46" s="42">
        <f>TRUNC(34881,-1)</f>
        <v>34880</v>
      </c>
      <c r="E46" s="63">
        <f t="shared" si="1"/>
        <v>115300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TRUNC(31681,-1)</f>
        <v>31680</v>
      </c>
      <c r="E48" s="63">
        <f t="shared" si="1"/>
        <v>104720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TRUNC(21279,-1)</f>
        <v>21270</v>
      </c>
      <c r="E49" s="63">
        <f t="shared" si="1"/>
        <v>70310</v>
      </c>
    </row>
    <row r="50" spans="1:7" x14ac:dyDescent="0.3">
      <c r="A50" s="2">
        <v>11</v>
      </c>
      <c r="C50" s="38" t="s">
        <v>154</v>
      </c>
      <c r="D50" s="42">
        <f>TRUNC(53392,-1)</f>
        <v>53390</v>
      </c>
      <c r="E50" s="63">
        <f t="shared" si="1"/>
        <v>176490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TRUNC(8540,-1)</f>
        <v>8540</v>
      </c>
      <c r="E52" s="63">
        <f t="shared" si="1"/>
        <v>28230</v>
      </c>
    </row>
    <row r="53" spans="1:7" x14ac:dyDescent="0.3">
      <c r="A53" s="2">
        <v>14</v>
      </c>
      <c r="C53" s="38" t="s">
        <v>25</v>
      </c>
      <c r="D53" s="42">
        <f>TRUNC(86344,-1)</f>
        <v>86340</v>
      </c>
      <c r="E53" s="63">
        <f t="shared" si="1"/>
        <v>285420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TRUNC(24657+4822+15438,-1)</f>
        <v>44910</v>
      </c>
      <c r="E58" s="63">
        <f t="shared" si="1"/>
        <v>148460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TRUNC(305460,-1)</f>
        <v>305460</v>
      </c>
      <c r="E59" s="64">
        <f t="shared" si="1"/>
        <v>1009780</v>
      </c>
    </row>
    <row r="60" spans="1:7" x14ac:dyDescent="0.3">
      <c r="A60" s="2">
        <v>21</v>
      </c>
      <c r="C60" s="27" t="s">
        <v>112</v>
      </c>
      <c r="D60" s="39">
        <f>SUM(D40:D59)</f>
        <v>822480</v>
      </c>
      <c r="E60" s="39">
        <f>SUM(E40:E59)</f>
        <v>2718890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f>TRUNC(10926,-1)</f>
        <v>10920</v>
      </c>
      <c r="E63" s="62">
        <f>TRUNC(+D63*3.3058,-1)</f>
        <v>36090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10920</v>
      </c>
      <c r="E66" s="65">
        <f>SUM(E63:E65)</f>
        <v>36090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TRUNC(10273,-1)</f>
        <v>10270</v>
      </c>
      <c r="E69" s="62">
        <f t="shared" ref="E69:E94" si="2">TRUNC(+D69*3.3058,-1)</f>
        <v>33950</v>
      </c>
    </row>
    <row r="70" spans="1:7" ht="16.5" customHeight="1" x14ac:dyDescent="0.3">
      <c r="A70" s="2">
        <v>2</v>
      </c>
      <c r="C70" s="38" t="s">
        <v>31</v>
      </c>
      <c r="D70" s="42">
        <f>TRUNC(1662,-1)</f>
        <v>1660</v>
      </c>
      <c r="E70" s="63">
        <f t="shared" si="2"/>
        <v>5480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TRUNC(11750,-1)</f>
        <v>11750</v>
      </c>
      <c r="E72" s="63">
        <f t="shared" si="2"/>
        <v>38840</v>
      </c>
    </row>
    <row r="73" spans="1:7" x14ac:dyDescent="0.3">
      <c r="A73" s="2">
        <v>5</v>
      </c>
      <c r="C73" s="38" t="s">
        <v>34</v>
      </c>
      <c r="D73" s="42">
        <f>TRUNC(18447,-1)</f>
        <v>18440</v>
      </c>
      <c r="E73" s="63">
        <f t="shared" si="2"/>
        <v>60950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TRUNC(7239,-1)</f>
        <v>7230</v>
      </c>
      <c r="E89" s="63">
        <f t="shared" si="2"/>
        <v>23900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TRUNC(18088,-1)</f>
        <v>18080</v>
      </c>
      <c r="E92" s="63">
        <f t="shared" si="2"/>
        <v>59760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TRUNC(4399+13964,-1)</f>
        <v>18360</v>
      </c>
      <c r="E94" s="64">
        <f t="shared" si="2"/>
        <v>60690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85790</v>
      </c>
      <c r="E95" s="39">
        <f>SUM(E69:E94)</f>
        <v>283570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TRUNC(23612,-1)</f>
        <v>23610</v>
      </c>
      <c r="E98" s="62">
        <f t="shared" ref="E98:E118" si="3">TRUNC(+D98*3.3058,-1)</f>
        <v>78040</v>
      </c>
    </row>
    <row r="99" spans="1:7" x14ac:dyDescent="0.3">
      <c r="A99" s="2">
        <v>2</v>
      </c>
      <c r="C99" s="38" t="s">
        <v>40</v>
      </c>
      <c r="D99" s="42">
        <f>TRUNC(5524,-1)</f>
        <v>5520</v>
      </c>
      <c r="E99" s="63">
        <f t="shared" si="3"/>
        <v>18240</v>
      </c>
    </row>
    <row r="100" spans="1:7" x14ac:dyDescent="0.3">
      <c r="A100" s="2">
        <v>3</v>
      </c>
      <c r="C100" s="38" t="s">
        <v>41</v>
      </c>
      <c r="D100" s="42">
        <f>TRUNC(37253,-1)</f>
        <v>37250</v>
      </c>
      <c r="E100" s="63">
        <f t="shared" si="3"/>
        <v>123140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TRUNC(17875,-1)</f>
        <v>17870</v>
      </c>
      <c r="E102" s="63">
        <f t="shared" si="3"/>
        <v>59070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TRUNC(8894,-1)</f>
        <v>8890</v>
      </c>
      <c r="E115" s="63">
        <f t="shared" si="3"/>
        <v>29380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TRUNC(104775,-1)</f>
        <v>104770</v>
      </c>
      <c r="E117" s="63">
        <f t="shared" si="3"/>
        <v>346340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197910</v>
      </c>
      <c r="E119" s="39">
        <f>SUM(E98:E118)</f>
        <v>654210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TRUNC(4476,-1)</f>
        <v>4470</v>
      </c>
      <c r="E122" s="62">
        <f t="shared" ref="E122:E132" si="4">TRUNC(+D122*3.3058,-1)</f>
        <v>14770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TRUNC(6323,-1)</f>
        <v>6320</v>
      </c>
      <c r="E125" s="63">
        <f t="shared" si="4"/>
        <v>20890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TRUNC(20063,-1)</f>
        <v>20060</v>
      </c>
      <c r="E130" s="63">
        <f t="shared" si="4"/>
        <v>66310</v>
      </c>
    </row>
    <row r="131" spans="1:7" x14ac:dyDescent="0.3">
      <c r="A131" s="2">
        <v>10</v>
      </c>
      <c r="C131" s="38" t="s">
        <v>148</v>
      </c>
      <c r="D131" s="42">
        <f>TRUNC(22104,-1)</f>
        <v>22100</v>
      </c>
      <c r="E131" s="63">
        <f t="shared" si="4"/>
        <v>73050</v>
      </c>
    </row>
    <row r="132" spans="1:7" ht="18" thickBot="1" x14ac:dyDescent="0.35">
      <c r="A132" s="2">
        <v>11</v>
      </c>
      <c r="C132" s="38" t="s">
        <v>47</v>
      </c>
      <c r="D132" s="43">
        <f>TRUNC(2460+2232,-1)</f>
        <v>4690</v>
      </c>
      <c r="E132" s="64">
        <f t="shared" si="4"/>
        <v>15500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57640</v>
      </c>
      <c r="E133" s="39">
        <f>SUM(E122:E132)</f>
        <v>190520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TRUNC(15381,-1)</f>
        <v>15380</v>
      </c>
      <c r="E137" s="63">
        <f t="shared" si="5"/>
        <v>50840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TRUNC(4370,-1)</f>
        <v>4370</v>
      </c>
      <c r="E143" s="63">
        <f t="shared" si="5"/>
        <v>14440</v>
      </c>
    </row>
    <row r="144" spans="1:7" x14ac:dyDescent="0.3">
      <c r="A144" s="2">
        <v>9</v>
      </c>
      <c r="C144" s="38" t="s">
        <v>63</v>
      </c>
      <c r="D144" s="42">
        <f>TRUNC(13417,-1)</f>
        <v>13410</v>
      </c>
      <c r="E144" s="63">
        <f t="shared" si="5"/>
        <v>44330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33160</v>
      </c>
      <c r="E146" s="39">
        <f>SUM(E136:E145)</f>
        <v>109610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f>TRUNC(8116+4517,-1)</f>
        <v>12630</v>
      </c>
      <c r="E149" s="62">
        <f>TRUNC(+D149*3.3058,-1)</f>
        <v>41750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TRUNC(7965,-1)</f>
        <v>7960</v>
      </c>
      <c r="E150" s="63">
        <f>TRUNC(+D150*3.3058,-1)</f>
        <v>26310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TRUNC(12145+3956,-1)</f>
        <v>16100</v>
      </c>
      <c r="E152" s="63">
        <f>TRUNC(+D152*3.3058,-1)</f>
        <v>53220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36690</v>
      </c>
      <c r="E154" s="39">
        <f>SUM(E149:E153)</f>
        <v>121280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f>TRUNC(19026,-1)</f>
        <v>19020</v>
      </c>
      <c r="E157" s="62">
        <f>TRUNC(+D157*3.3058,-1)</f>
        <v>62870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19020</v>
      </c>
      <c r="E161" s="39">
        <f>SUM(E157:E160)</f>
        <v>62870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2020-12-08T01:29:39Z</dcterms:modified>
</cp:coreProperties>
</file>