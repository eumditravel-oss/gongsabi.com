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2" i="4"/>
  <c r="D151" i="4"/>
  <c r="D150" i="4"/>
  <c r="D149" i="4"/>
  <c r="D144" i="4"/>
  <c r="D143" i="4"/>
  <c r="D141" i="4"/>
  <c r="D140" i="4"/>
  <c r="D132" i="4"/>
  <c r="D130" i="4"/>
  <c r="D128" i="4"/>
  <c r="D127" i="4"/>
  <c r="D125" i="4"/>
  <c r="D124" i="4"/>
  <c r="D122" i="4"/>
  <c r="D118" i="4"/>
  <c r="D114" i="4"/>
  <c r="D105" i="4"/>
  <c r="D104" i="4"/>
  <c r="D103" i="4"/>
  <c r="D102" i="4"/>
  <c r="D98" i="4"/>
  <c r="D94" i="4"/>
  <c r="D92" i="4"/>
  <c r="D91" i="4"/>
  <c r="D73" i="4"/>
  <c r="D72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<sst xmlns="http://schemas.openxmlformats.org/spreadsheetml/2006/main" count="389" uniqueCount="265">
  <si>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</si>
  <si>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</si>
  <si>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</si>
  <si>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</si>
  <si>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</si>
  <si>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</si>
  <si>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</si>
  <si>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</si>
  <si>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</si>
  <si>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</si>
  <si>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</si>
  <si>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</si>
  <si>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</si>
  <si>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</si>
  <si>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</si>
  <si>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</si>
  <si>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</si>
  <si>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</si>
  <si>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</si>
  <si>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</si>
  <si>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</si>
  <si>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</si>
  <si>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</si>
  <si>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</si>
  <si>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</si>
  <si>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</si>
  <si>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</si>
  <si>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</si>
  <si>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</si>
  <si>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</si>
  <si>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</si>
  <si>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</si>
  <si>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</si>
  <si>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</si>
  <si>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</si>
  <si>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</si>
  <si>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</si>
  <si>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</si>
  <si>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</si>
  <si>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</si>
  <si>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</si>
  <si>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</si>
  <si>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</si>
  <si>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</si>
  <si>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</si>
  <si>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</si>
  <si>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</si>
  <si>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</si>
  <si>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</si>
  <si>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</si>
  <si>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</si>
  <si>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</si>
  <si>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</si>
  <si>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</si>
  <si>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</si>
  <si>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</si>
  <si>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</si>
  <si>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</si>
  <si>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</si>
  <si>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</si>
  <si>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</si>
  <si>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</si>
  <si>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</si>
  <si>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</si>
  <si>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</si>
  <si>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</si>
  <si>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</si>
  <si>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</si>
  <si>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</si>
  <si>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</si>
  <si>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</si>
  <si>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</si>
  <si>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</si>
  <si>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</si>
  <si>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</si>
  <si>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</si>
  <si>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</si>
  <si>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</si>
  <si>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</si>
  <si>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</si>
  <si>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</si>
  <si>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</si>
  <si>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</si>
  <si>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</si>
  <si>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</si>
  <si>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</si>
  <si>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</si>
  <si>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</si>
  <si>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</si>
  <si>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</si>
  <si>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</si>
  <si>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</si>
  <si>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</si>
  <si>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</si>
  <si>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</si>
  <si>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</si>
  <si>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</si>
  <si>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</si>
  <si>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</si>
  <si>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</si>
  <si>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</si>
  <si>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</si>
  <si>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</si>
  <si>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</si>
  <si>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</si>
  <si>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</si>
  <si>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</si>
  <si>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</si>
  <si>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</si>
  <si>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</si>
  <si>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</si>
  <si>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</si>
  <si>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</si>
  <si>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</si>
  <si>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</si>
  <si>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</si>
  <si>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</si>
  <si>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</si>
  <si>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</si>
  <si>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</si>
  <si>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</si>
  <si>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</si>
  <si>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</si>
  <si>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</si>
  <si>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</si>
  <si>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</si>
  <si>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</si>
  <si>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</si>
  <si>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</si>
  <si>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</si>
  <si>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</si>
  <si>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</si>
  <si>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</si>
  <si>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</si>
  <si>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</si>
  <si>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</si>
  <si>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</si>
  <si>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</si>
  <si>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</si>
  <si>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</si>
  <si>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</si>
  <si>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</si>
  <si>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</si>
  <si>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</si>
  <si>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</si>
  <si>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</si>
  <si>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</si>
  <si>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</si>
  <si>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</si>
  <si>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</si>
  <si>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</si>
  <si>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</si>
  <si>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</si>
  <si>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</si>
  <si>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</si>
  <si>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</si>
  <si>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</si>
  <si>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</si>
  <si>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</si>
  <si>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</si>
  <si>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</si>
  <si>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</si>
  <si>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</si>
  <si>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</si>
  <si>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</si>
  <si>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</si>
  <si>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</si>
  <si>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</si>
  <si>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</si>
  <si>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</si>
  <si>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</si>
  <si>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</si>
  <si>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</si>
  <si>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</si>
  <si>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</si>
  <si>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</si>
  <si>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</si>
  <si>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</si>
  <si>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</si>
  <si>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</si>
  <si>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</si>
  <si>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</si>
  <si>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</si>
  <si>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</si>
  <si>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</si>
  <si>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</si>
  <si>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</si>
  <si>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</si>
  <si>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</si>
  <si>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</si>
  <si>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</si>
  <si>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</si>
  <si>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</si>
  <si>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</si>
  <si>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</si>
  <si>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</si>
  <si>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</si>
  <si>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</si>
  <si>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</si>
  <si>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</si>
  <si>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</si>
  <si>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</si>
  <si>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</si>
  <si>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</si>
  <si>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</si>
  <si>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</si>
  <si>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</si>
  <si>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</si>
  <si>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</si>
  <si>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</si>
  <si>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</si>
  <si>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</si>
  <si>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</si>
  <si>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</si>
  <si>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</si>
  <si>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</si>
  <si>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</si>
  <si>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</si>
  <si>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</si>
  <si>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</si>
  <si>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</si>
  <si>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</si>
  <si>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</si>
  <si>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</si>
  <si>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</si>
  <si>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</si>
  <si>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</si>
  <si>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</si>
  <si>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</si>
  <si>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</si>
  <si>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</si>
  <si>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</si>
  <si>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</si>
  <si>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</si>
  <si>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</si>
  <si>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</si>
  <si>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</si>
  <si>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</si>
  <si>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</si>
  <si>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</si>
  <si>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</si>
  <si>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</si>
  <si>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</si>
  <si>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</si>
  <si>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</si>
  <si>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</si>
  <si>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</si>
  <si>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</si>
  <si>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</si>
  <si>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</si>
  <si>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</si>
  <si>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</si>
  <si>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CATV 및 TV 설비공사</t>
    <phoneticPr fontId="2" type="noConversion"/>
  </si>
  <si>
    <t>국민건강보험공단 진천지사 사옥 신축공사</t>
    <phoneticPr fontId="2" type="noConversion"/>
  </si>
  <si>
    <t>업무</t>
  </si>
  <si>
    <t>충청도</t>
  </si>
  <si>
    <t>기초공사, 골재비및운반비, 기타공사</t>
    <phoneticPr fontId="2" type="noConversion"/>
  </si>
  <si>
    <t>공조배관공사</t>
    <phoneticPr fontId="2" type="noConversion"/>
  </si>
  <si>
    <t xml:space="preserve"> 사급자재비, 기타공사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</si>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</sst>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1444.63</v>
      </c>
      <c r="D7" s="36">
        <f>+C7/3.3058</f>
        <v>436.99860850626175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1650480</v>
      </c>
      <c r="E25" s="59">
        <f t="shared" si="0"/>
        <v>5456150</v>
      </c>
    </row>
    <row r="26" spans="1:5" x14ac:dyDescent="0.3">
      <c r="B26" s="2">
        <v>3</v>
      </c>
      <c r="C26" s="35" t="s">
        <v>95</v>
      </c>
      <c r="D26" s="45">
        <f>+D66</f>
        <v>1790</v>
      </c>
      <c r="E26" s="59">
        <f t="shared" si="0"/>
        <v>5910</v>
      </c>
    </row>
    <row r="27" spans="1:5" x14ac:dyDescent="0.3">
      <c r="B27" s="2">
        <v>4</v>
      </c>
      <c r="C27" s="35" t="s">
        <v>96</v>
      </c>
      <c r="D27" s="45">
        <f>+D95</f>
        <v>84740</v>
      </c>
      <c r="E27" s="59">
        <f t="shared" si="0"/>
        <v>280130</v>
      </c>
    </row>
    <row r="28" spans="1:5" x14ac:dyDescent="0.3">
      <c r="B28" s="2">
        <v>5</v>
      </c>
      <c r="C28" s="35" t="s">
        <v>97</v>
      </c>
      <c r="D28" s="45">
        <f>+D119</f>
        <v>267560</v>
      </c>
      <c r="E28" s="59">
        <f t="shared" si="0"/>
        <v>884490</v>
      </c>
    </row>
    <row r="29" spans="1:5" x14ac:dyDescent="0.3">
      <c r="B29" s="2">
        <v>6</v>
      </c>
      <c r="C29" s="35" t="s">
        <v>98</v>
      </c>
      <c r="D29" s="45">
        <f>+D133</f>
        <v>110100</v>
      </c>
      <c r="E29" s="59">
        <f t="shared" si="0"/>
        <v>363960</v>
      </c>
    </row>
    <row r="30" spans="1:5" x14ac:dyDescent="0.3">
      <c r="B30" s="2">
        <v>7</v>
      </c>
      <c r="C30" s="35" t="s">
        <v>99</v>
      </c>
      <c r="D30" s="45">
        <f>+D146</f>
        <v>80650</v>
      </c>
      <c r="E30" s="59">
        <f t="shared" si="0"/>
        <v>266610</v>
      </c>
    </row>
    <row r="31" spans="1:5" x14ac:dyDescent="0.3">
      <c r="B31" s="2">
        <v>8</v>
      </c>
      <c r="C31" s="35" t="s">
        <v>100</v>
      </c>
      <c r="D31" s="45">
        <f>+D154</f>
        <v>127060</v>
      </c>
      <c r="E31" s="59">
        <f t="shared" si="0"/>
        <v>420030</v>
      </c>
    </row>
    <row r="32" spans="1:5" x14ac:dyDescent="0.3">
      <c r="B32" s="2">
        <v>9</v>
      </c>
      <c r="C32" s="35" t="s">
        <v>101</v>
      </c>
      <c r="D32" s="45">
        <f>+D161</f>
        <v>39380</v>
      </c>
      <c r="E32" s="59">
        <f t="shared" si="0"/>
        <v>130180</v>
      </c>
    </row>
    <row r="33" spans="1:7" x14ac:dyDescent="0.3">
      <c r="B33" s="2">
        <v>10</v>
      </c>
      <c r="C33" s="35" t="s">
        <v>154</v>
      </c>
      <c r="D33" s="53">
        <f>TRUNC(SUM(D24:D32)*0.275,-1)</f>
        <v>649480</v>
      </c>
      <c r="E33" s="60">
        <f t="shared" si="0"/>
        <v>2147050</v>
      </c>
    </row>
    <row r="34" spans="1:7" x14ac:dyDescent="0.3">
      <c r="C34" s="35" t="s">
        <v>112</v>
      </c>
      <c r="D34" s="44">
        <f>SUM(D24:D33)</f>
        <v>3011240</v>
      </c>
      <c r="E34" s="44">
        <f>SUM(E24:E33)</f>
        <v>9954510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259</v>
      </c>
      <c r="D39" s="57" t="s">
        <v>260</v>
      </c>
      <c r="E39" s="57" t="s">
        <v>261</v>
      </c>
      <c r="G39" s="55"/>
    </row>
    <row r="40" spans="1:7" x14ac:dyDescent="0.3">
      <c r="A40" s="2">
        <v>1</v>
      </c>
      <c r="C40" s="38" t="s">
        <v>15</v>
      </c>
      <c r="D40" s="40">
        <f>TRUNC(60947,-1)</f>
        <v>60940</v>
      </c>
      <c r="E40" s="62">
        <f t="shared" ref="E40:E59" si="1">TRUNC(+D40*3.3058,-1)</f>
        <v>201450</v>
      </c>
    </row>
    <row r="41" spans="1:7" x14ac:dyDescent="0.3">
      <c r="A41" s="2">
        <v>2</v>
      </c>
      <c r="C41" s="38" t="s">
        <v>13</v>
      </c>
      <c r="D41" s="42">
        <f>TRUNC(213269,-1)</f>
        <v>213260</v>
      </c>
      <c r="E41" s="63">
        <f t="shared" si="1"/>
        <v>704990</v>
      </c>
    </row>
    <row r="42" spans="1:7" x14ac:dyDescent="0.3">
      <c r="A42" s="2">
        <v>3</v>
      </c>
      <c r="C42" s="38" t="s">
        <v>14</v>
      </c>
      <c r="D42" s="42">
        <f>TRUNC(22526,-1)</f>
        <v>22520</v>
      </c>
      <c r="E42" s="63">
        <f t="shared" si="1"/>
        <v>74440</v>
      </c>
    </row>
    <row r="43" spans="1:7" x14ac:dyDescent="0.3">
      <c r="A43" s="2">
        <v>4</v>
      </c>
      <c r="C43" s="38" t="s">
        <v>16</v>
      </c>
      <c r="D43" s="42">
        <f>TRUNC(17393,-1)</f>
        <v>17390</v>
      </c>
      <c r="E43" s="63">
        <f t="shared" si="1"/>
        <v>57480</v>
      </c>
    </row>
    <row r="44" spans="1:7" x14ac:dyDescent="0.3">
      <c r="A44" s="2">
        <v>5</v>
      </c>
      <c r="C44" s="38" t="s">
        <v>17</v>
      </c>
      <c r="D44" s="42">
        <f>TRUNC(43008,-1)</f>
        <v>43000</v>
      </c>
      <c r="E44" s="63">
        <f t="shared" si="1"/>
        <v>142140</v>
      </c>
    </row>
    <row r="45" spans="1:7" x14ac:dyDescent="0.3">
      <c r="A45" s="2">
        <v>6</v>
      </c>
      <c r="C45" s="38" t="s">
        <v>18</v>
      </c>
      <c r="D45" s="42">
        <f>TRUNC(21353,-1)</f>
        <v>21350</v>
      </c>
      <c r="E45" s="63">
        <f t="shared" si="1"/>
        <v>70570</v>
      </c>
    </row>
    <row r="46" spans="1:7" x14ac:dyDescent="0.3">
      <c r="A46" s="2">
        <v>7</v>
      </c>
      <c r="C46" s="38" t="s">
        <v>19</v>
      </c>
      <c r="D46" s="42">
        <f>TRUNC(261082,-1)</f>
        <v>261080</v>
      </c>
      <c r="E46" s="63">
        <f t="shared" si="1"/>
        <v>863070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TRUNC(38328,-1)</f>
        <v>38320</v>
      </c>
      <c r="E48" s="63">
        <f t="shared" si="1"/>
        <v>126670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TRUNC(12502,-1)</f>
        <v>12500</v>
      </c>
      <c r="E49" s="63">
        <f t="shared" si="1"/>
        <v>41320</v>
      </c>
    </row>
    <row r="50" spans="1:7" x14ac:dyDescent="0.3">
      <c r="A50" s="2">
        <v>11</v>
      </c>
      <c r="C50" s="38" t="s">
        <v>155</v>
      </c>
      <c r="D50" s="42">
        <f>TRUNC(98716,-1)</f>
        <v>98710</v>
      </c>
      <c r="E50" s="63">
        <f t="shared" si="1"/>
        <v>326310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TRUNC(8545,-1)</f>
        <v>8540</v>
      </c>
      <c r="E52" s="63">
        <f t="shared" si="1"/>
        <v>28230</v>
      </c>
    </row>
    <row r="53" spans="1:7" x14ac:dyDescent="0.3">
      <c r="A53" s="2">
        <v>14</v>
      </c>
      <c r="C53" s="38" t="s">
        <v>25</v>
      </c>
      <c r="D53" s="42">
        <f>TRUNC(263428,-1)</f>
        <v>263420</v>
      </c>
      <c r="E53" s="63">
        <f t="shared" si="1"/>
        <v>870810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TRUNC(67687+15458+58910,-1)</f>
        <v>142050</v>
      </c>
      <c r="E58" s="63">
        <f t="shared" si="1"/>
        <v>469580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TRUNC(447407,-1)</f>
        <v>447400</v>
      </c>
      <c r="E59" s="64">
        <f t="shared" si="1"/>
        <v>1479010</v>
      </c>
    </row>
    <row r="60" spans="1:7" x14ac:dyDescent="0.3">
      <c r="A60" s="2">
        <v>21</v>
      </c>
      <c r="C60" s="27" t="s">
        <v>112</v>
      </c>
      <c r="D60" s="39">
        <f>SUM(D40:D59)</f>
        <v>1650480</v>
      </c>
      <c r="E60" s="39">
        <f>SUM(E40:E59)</f>
        <v>5456070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TRUNC(1798,-1)</f>
        <v>1790</v>
      </c>
      <c r="E63" s="62">
        <f>TRUNC(+D63*3.3058,-1)</f>
        <v>5910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1790</v>
      </c>
      <c r="E66" s="65">
        <f>SUM(E63:E65)</f>
        <v>5910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TRUNC(9665,-1)</f>
        <v>9660</v>
      </c>
      <c r="E69" s="62">
        <f t="shared" ref="E69:E94" si="2">TRUNC(+D69*3.3058,-1)</f>
        <v>31930</v>
      </c>
    </row>
    <row r="70" spans="1:7" ht="16.5" customHeight="1" x14ac:dyDescent="0.3">
      <c r="A70" s="2">
        <v>2</v>
      </c>
      <c r="C70" s="38" t="s">
        <v>31</v>
      </c>
      <c r="D70" s="42">
        <f>TRUNC(1908,-1)</f>
        <v>1900</v>
      </c>
      <c r="E70" s="63">
        <f t="shared" si="2"/>
        <v>6280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TRUNC(5968,-1)</f>
        <v>5960</v>
      </c>
      <c r="E72" s="63">
        <f t="shared" si="2"/>
        <v>19700</v>
      </c>
    </row>
    <row r="73" spans="1:7" x14ac:dyDescent="0.3">
      <c r="A73" s="2">
        <v>5</v>
      </c>
      <c r="C73" s="38" t="s">
        <v>34</v>
      </c>
      <c r="D73" s="42">
        <f>TRUNC(31914,-1)</f>
        <v>31910</v>
      </c>
      <c r="E73" s="63">
        <f t="shared" si="2"/>
        <v>105480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9760</v>
      </c>
      <c r="E89" s="63">
        <f t="shared" si="2"/>
        <v>32260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TRUNC(2911,-1)</f>
        <v>2910</v>
      </c>
      <c r="E91" s="63">
        <f t="shared" si="2"/>
        <v>9610</v>
      </c>
    </row>
    <row r="92" spans="1:7" x14ac:dyDescent="0.3">
      <c r="A92" s="2">
        <v>24</v>
      </c>
      <c r="C92" s="38" t="s">
        <v>38</v>
      </c>
      <c r="D92" s="42">
        <f>TRUNC(21553,-1)</f>
        <v>21550</v>
      </c>
      <c r="E92" s="63">
        <f t="shared" si="2"/>
        <v>71230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TRUNC(1091,-1)</f>
        <v>1090</v>
      </c>
      <c r="E94" s="64">
        <f t="shared" si="2"/>
        <v>3600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84740</v>
      </c>
      <c r="E95" s="39">
        <f>SUM(E69:E94)</f>
        <v>280090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TRUNC(68805,-1)</f>
        <v>68800</v>
      </c>
      <c r="E98" s="62">
        <f t="shared" ref="E98:E118" si="3">TRUNC(+D98*3.3058,-1)</f>
        <v>227430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TRUNC(28724,-1)</f>
        <v>28720</v>
      </c>
      <c r="E102" s="63">
        <f t="shared" si="3"/>
        <v>94940</v>
      </c>
    </row>
    <row r="103" spans="1:7" x14ac:dyDescent="0.3">
      <c r="A103" s="2">
        <v>6</v>
      </c>
      <c r="C103" s="38" t="s">
        <v>44</v>
      </c>
      <c r="D103" s="42">
        <f>TRUNC(9661,-1)</f>
        <v>9660</v>
      </c>
      <c r="E103" s="63">
        <f t="shared" si="3"/>
        <v>31930</v>
      </c>
    </row>
    <row r="104" spans="1:7" x14ac:dyDescent="0.3">
      <c r="A104" s="2">
        <v>7</v>
      </c>
      <c r="C104" s="38" t="s">
        <v>45</v>
      </c>
      <c r="D104" s="42">
        <f>TRUNC(8701,-1)</f>
        <v>8700</v>
      </c>
      <c r="E104" s="63">
        <f t="shared" si="3"/>
        <v>28760</v>
      </c>
    </row>
    <row r="105" spans="1:7" x14ac:dyDescent="0.3">
      <c r="A105" s="2">
        <v>8</v>
      </c>
      <c r="C105" s="38" t="s">
        <v>46</v>
      </c>
      <c r="D105" s="42">
        <f>TRUNC(7333,-1)</f>
        <v>7330</v>
      </c>
      <c r="E105" s="63">
        <f t="shared" si="3"/>
        <v>24230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TRUNC(59013,-1)</f>
        <v>59010</v>
      </c>
      <c r="E114" s="63">
        <f t="shared" si="3"/>
        <v>195070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TRUNC(85345,-1)</f>
        <v>85340</v>
      </c>
      <c r="E118" s="64">
        <f t="shared" si="3"/>
        <v>282110</v>
      </c>
    </row>
    <row r="119" spans="1:7" x14ac:dyDescent="0.3">
      <c r="A119" s="2">
        <v>22</v>
      </c>
      <c r="C119" s="27" t="s">
        <v>112</v>
      </c>
      <c r="D119" s="39">
        <f>SUM(D98:D118)</f>
        <v>267560</v>
      </c>
      <c r="E119" s="39">
        <f>SUM(E98:E118)</f>
        <v>884470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TRUNC(6539,-1)</f>
        <v>6530</v>
      </c>
      <c r="E122" s="62">
        <f t="shared" ref="E122:E132" si="4">TRUNC(+D122*3.3058,-1)</f>
        <v>21580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TRUNC(33857,-1)</f>
        <v>33850</v>
      </c>
      <c r="E124" s="63">
        <f t="shared" si="4"/>
        <v>111900</v>
      </c>
    </row>
    <row r="125" spans="1:7" x14ac:dyDescent="0.3">
      <c r="A125" s="2">
        <v>4</v>
      </c>
      <c r="C125" s="38" t="s">
        <v>138</v>
      </c>
      <c r="D125" s="42">
        <f>TRUNC(19231,-1)</f>
        <v>19230</v>
      </c>
      <c r="E125" s="63">
        <f t="shared" si="4"/>
        <v>63570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TRUNC(2819,-1)</f>
        <v>2810</v>
      </c>
      <c r="E127" s="63">
        <f t="shared" si="4"/>
        <v>9280</v>
      </c>
    </row>
    <row r="128" spans="1:7" x14ac:dyDescent="0.3">
      <c r="A128" s="2">
        <v>7</v>
      </c>
      <c r="C128" s="38" t="s">
        <v>46</v>
      </c>
      <c r="D128" s="42">
        <f>TRUNC(3088,-1)</f>
        <v>3080</v>
      </c>
      <c r="E128" s="63">
        <f t="shared" si="4"/>
        <v>10180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TRUNC(42649,-1)</f>
        <v>42640</v>
      </c>
      <c r="E130" s="63">
        <f t="shared" si="4"/>
        <v>140950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TRUNC(1962,-1)</f>
        <v>1960</v>
      </c>
      <c r="E132" s="64">
        <f t="shared" si="4"/>
        <v>6470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110100</v>
      </c>
      <c r="E133" s="39">
        <f>SUM(E122:E132)</f>
        <v>363930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TRUNC(10812,-1)</f>
        <v>10810</v>
      </c>
      <c r="E140" s="63">
        <f t="shared" si="5"/>
        <v>35730</v>
      </c>
    </row>
    <row r="141" spans="1:7" x14ac:dyDescent="0.3">
      <c r="A141" s="2">
        <v>6</v>
      </c>
      <c r="C141" s="38" t="s">
        <v>59</v>
      </c>
      <c r="D141" s="42">
        <f>TRUNC(40591,-1)</f>
        <v>40590</v>
      </c>
      <c r="E141" s="63">
        <f t="shared" si="5"/>
        <v>134180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TRUNC(7074,-1)</f>
        <v>7070</v>
      </c>
      <c r="E143" s="63">
        <f t="shared" si="5"/>
        <v>23370</v>
      </c>
    </row>
    <row r="144" spans="1:7" x14ac:dyDescent="0.3">
      <c r="A144" s="2">
        <v>9</v>
      </c>
      <c r="C144" s="38" t="s">
        <v>63</v>
      </c>
      <c r="D144" s="42">
        <f>TRUNC(22183,-1)</f>
        <v>22180</v>
      </c>
      <c r="E144" s="63">
        <f t="shared" si="5"/>
        <v>73320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80650</v>
      </c>
      <c r="E146" s="39">
        <f>SUM(E136:E145)</f>
        <v>266600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TRUNC(12681+3606,-1)</f>
        <v>16280</v>
      </c>
      <c r="E149" s="62">
        <f>TRUNC(+D149*3.3058,-1)</f>
        <v>53810</v>
      </c>
    </row>
    <row r="150" spans="1:7" x14ac:dyDescent="0.3">
      <c r="A150" s="2">
        <v>2</v>
      </c>
      <c r="C150" s="38" t="s">
        <v>49</v>
      </c>
      <c r="D150" s="42">
        <f>TRUNC(12074,-1)</f>
        <v>12070</v>
      </c>
      <c r="E150" s="63">
        <f>TRUNC(+D150*3.3058,-1)</f>
        <v>39900</v>
      </c>
    </row>
    <row r="151" spans="1:7" x14ac:dyDescent="0.3">
      <c r="A151" s="2">
        <v>3</v>
      </c>
      <c r="C151" s="38" t="s">
        <v>50</v>
      </c>
      <c r="D151" s="42">
        <f>TRUNC(31766,-1)</f>
        <v>31760</v>
      </c>
      <c r="E151" s="63">
        <f>TRUNC(+D151*3.3058,-1)</f>
        <v>104990</v>
      </c>
    </row>
    <row r="152" spans="1:7" x14ac:dyDescent="0.3">
      <c r="A152" s="2">
        <v>4</v>
      </c>
      <c r="C152" s="38" t="s">
        <v>47</v>
      </c>
      <c r="D152" s="42">
        <f>TRUNC(65442+1516,-1)</f>
        <v>66950</v>
      </c>
      <c r="E152" s="63">
        <f>TRUNC(+D152*3.3058,-1)</f>
        <v>221320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127060</v>
      </c>
      <c r="E154" s="39">
        <f>SUM(E149:E153)</f>
        <v>420020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17670</v>
      </c>
      <c r="E157" s="62">
        <f>TRUNC(+D157*3.3058,-1)</f>
        <v>58410</v>
      </c>
    </row>
    <row r="158" spans="1:7" x14ac:dyDescent="0.3">
      <c r="A158" s="2">
        <v>2</v>
      </c>
      <c r="C158" s="38" t="s">
        <v>52</v>
      </c>
      <c r="D158" s="42">
        <f>TRUNC(21714,-1)</f>
        <v>21710</v>
      </c>
      <c r="E158" s="63">
        <f>TRUNC(+D158*3.3058,-1)</f>
        <v>71760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39380</v>
      </c>
      <c r="E161" s="39">
        <f>SUM(E157:E160)</f>
        <v>130170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2020-12-08T02:09:17Z</dcterms:modified>
</cp:coreProperties>
</file>