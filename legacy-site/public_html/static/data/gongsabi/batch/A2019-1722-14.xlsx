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3" i="4" l="1"/>
  <c r="D152" i="4"/>
  <c r="D151" i="4"/>
  <c r="D150" i="4"/>
  <c r="D149" i="4"/>
  <c r="D144" i="4"/>
  <c r="D143" i="4"/>
  <c r="D142" i="4"/>
  <c r="D141" i="4"/>
  <c r="D140" i="4"/>
  <c r="D138" i="4"/>
  <c r="D125" i="4"/>
  <c r="D132" i="4"/>
  <c r="D131" i="4"/>
  <c r="D130" i="4"/>
  <c r="D128" i="4"/>
  <c r="D124" i="4"/>
  <c r="D116" i="4"/>
  <c r="D114" i="4"/>
  <c r="D105" i="4"/>
  <c r="D103" i="4"/>
  <c r="D102" i="4"/>
  <c r="D100" i="4"/>
  <c r="D99" i="4"/>
  <c r="D98" i="4"/>
  <c r="D94" i="4"/>
  <c r="D93" i="4"/>
  <c r="D92" i="4"/>
  <c r="D89" i="4"/>
  <c r="D71" i="4"/>
  <c r="D70" i="4"/>
  <c r="D69" i="4"/>
  <c r="D65" i="4"/>
  <c r="D59" i="4"/>
  <c r="D58" i="4"/>
  <c r="D53" i="4"/>
  <c r="D52" i="4"/>
  <c r="D50" i="4"/>
  <c r="D49" i="4"/>
  <c r="D48" i="4"/>
  <c r="D45" i="4"/>
  <c r="D43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6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<sst xmlns="http://schemas.openxmlformats.org/spreadsheetml/2006/main" count="391" uniqueCount="264">
  <si>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</si>
  <si>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</si>
  <si>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</si>
  <si>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</si>
  <si>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</si>
  <si>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</si>
  <si>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</si>
  <si>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</si>
  <si>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</si>
  <si>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</si>
  <si>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</si>
  <si>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</si>
  <si>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</si>
  <si>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</si>
  <si>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</si>
  <si>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</si>
  <si>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</si>
  <si>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</si>
  <si>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</si>
  <si>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</si>
  <si>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</si>
  <si>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</si>
  <si>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</si>
  <si>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</si>
  <si>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</si>
  <si>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</si>
  <si>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</si>
  <si>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</si>
  <si>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</si>
  <si>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</si>
  <si>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</si>
  <si>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</si>
  <si>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</si>
  <si>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</si>
  <si>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</si>
  <si>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</si>
  <si>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</si>
  <si>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</si>
  <si>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</si>
  <si>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</si>
  <si>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</si>
  <si>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</si>
  <si>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</si>
  <si>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</si>
  <si>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</si>
  <si>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</si>
  <si>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</si>
  <si>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</si>
  <si>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</si>
  <si>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</si>
  <si>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</si>
  <si>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</si>
  <si>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</si>
  <si>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</si>
  <si>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</si>
  <si>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</si>
  <si>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</si>
  <si>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</si>
  <si>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</si>
  <si>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</si>
  <si>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</si>
  <si>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</si>
  <si>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</si>
  <si>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</si>
  <si>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</si>
  <si>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</si>
  <si>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</si>
  <si>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</si>
  <si>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</si>
  <si>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</si>
  <si>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</si>
  <si>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</si>
  <si>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</si>
  <si>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</si>
  <si>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</si>
  <si>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</si>
  <si>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</si>
  <si>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</si>
  <si>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</si>
  <si>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</si>
  <si>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</si>
  <si>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</si>
  <si>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</si>
  <si>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</si>
  <si>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</si>
  <si>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</si>
  <si>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</si>
  <si>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</si>
  <si>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</si>
  <si>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</si>
  <si>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</si>
  <si>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</si>
  <si>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</si>
  <si>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</si>
  <si>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</si>
  <si>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</si>
  <si>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</si>
  <si>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</si>
  <si>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</si>
  <si>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</si>
  <si>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</si>
  <si>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</si>
  <si>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</si>
  <si>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</si>
  <si>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</si>
  <si>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</si>
  <si>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</si>
  <si>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</si>
  <si>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</si>
  <si>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</si>
  <si>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</si>
  <si>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</si>
  <si>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</si>
  <si>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</si>
  <si>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</si>
  <si>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</si>
  <si>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</si>
  <si>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</si>
  <si>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</si>
  <si>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</si>
  <si>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</si>
  <si>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</si>
  <si>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</si>
  <si>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</si>
  <si>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</si>
  <si>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</si>
  <si>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</si>
  <si>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</si>
  <si>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</si>
  <si>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</si>
  <si>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</si>
  <si>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</si>
  <si>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</si>
  <si>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</si>
  <si>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</si>
  <si>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</si>
  <si>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</si>
  <si>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</si>
  <si>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</si>
  <si>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</si>
  <si>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</si>
  <si>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</si>
  <si>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</si>
  <si>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</si>
  <si>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</si>
  <si>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</si>
  <si>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</si>
  <si>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</si>
  <si>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</si>
  <si>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</si>
  <si>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</si>
  <si>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</si>
  <si>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</si>
  <si>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</si>
  <si>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</si>
  <si>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</si>
  <si>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</si>
  <si>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</si>
  <si>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</si>
  <si>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</si>
  <si>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</si>
  <si>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</si>
  <si>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</si>
  <si>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</si>
  <si>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</si>
  <si>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</si>
  <si>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</si>
  <si>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</si>
  <si>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</si>
  <si>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</si>
  <si>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</si>
  <si>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</si>
  <si>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</si>
  <si>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</si>
  <si>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</si>
  <si>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</si>
  <si>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</si>
  <si>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</si>
  <si>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</si>
  <si>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</si>
  <si>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</si>
  <si>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</si>
  <si>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</si>
  <si>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</si>
  <si>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</si>
  <si>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</si>
  <si>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</si>
  <si>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</si>
  <si>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</si>
  <si>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</si>
  <si>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</si>
  <si>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</si>
  <si>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</si>
  <si>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</si>
  <si>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</si>
  <si>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</si>
  <si>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</si>
  <si>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</si>
  <si>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</si>
  <si>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</si>
  <si>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</si>
  <si>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</si>
  <si>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</si>
  <si>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</si>
  <si>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</si>
  <si>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</si>
  <si>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</si>
  <si>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</si>
  <si>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</si>
  <si>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</si>
  <si>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</si>
  <si>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</si>
  <si>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</si>
  <si>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</si>
  <si>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</si>
  <si>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</si>
  <si>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</si>
  <si>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</si>
  <si>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</si>
  <si>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</si>
  <si>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</si>
  <si>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</si>
  <si>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</si>
  <si>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</si>
  <si>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</si>
  <si>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</si>
  <si>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</si>
  <si>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</si>
  <si>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</si>
  <si>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</si>
  <si>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</si>
  <si>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</si>
  <si>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</si>
  <si>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</si>
  <si>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</si>
  <si>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경기도</t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</si>
  <si>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</si>
  <si>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</si>
  <si>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</si>
  <si>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</si>
  <si>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</si>
  <si>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</si>
  <si>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</si>
  <si>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</si>
  <si>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</si>
  <si>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</si>
  <si>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</si>
  <si>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</si>
  <si>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</si>
  <si>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감악산 강우레이더 신설공사</t>
    <phoneticPr fontId="2" type="noConversion"/>
  </si>
  <si>
    <t>기타</t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</si>
  <si>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</si>
  <si>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</si>
  <si>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</si>
  <si>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기초공사,해체및철거공사,골재비및운반비,작업부산물,기타공사</t>
    <phoneticPr fontId="2" type="noConversion"/>
  </si>
  <si>
    <t>난방배관공사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</si>
  <si>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</si>
  <si>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</si>
  <si>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</t>
    <phoneticPr fontId="2" type="noConversion"/>
  </si>
  <si>
    <t>우수공사,오수공사</t>
    <phoneticPr fontId="2" type="noConversion"/>
  </si>
  <si>
    <t>사급자재비,기타공사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</si>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</sst>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261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250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237</v>
      </c>
    </row>
    <row r="7" spans="1:4" ht="17.25" thickBot="1" x14ac:dyDescent="0.35">
      <c r="C7" s="37">
        <v>1691.4</v>
      </c>
      <c r="D7" s="36">
        <f>+C7/3.3058</f>
        <v>511.64619759211087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235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262</v>
      </c>
    </row>
    <row r="19" spans="1:5" x14ac:dyDescent="0.3">
      <c r="A19" s="2">
        <v>9</v>
      </c>
      <c r="B19" s="2" t="s">
        <v>263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2411270</v>
      </c>
      <c r="E25" s="59">
        <f t="shared" si="0"/>
        <v>7971170</v>
      </c>
    </row>
    <row r="26" spans="1:5" x14ac:dyDescent="0.3">
      <c r="B26" s="2">
        <v>3</v>
      </c>
      <c r="C26" s="35" t="s">
        <v>95</v>
      </c>
      <c r="D26" s="45">
        <f>+D66</f>
        <v>254840</v>
      </c>
      <c r="E26" s="59">
        <f t="shared" si="0"/>
        <v>842450</v>
      </c>
    </row>
    <row r="27" spans="1:5" x14ac:dyDescent="0.3">
      <c r="B27" s="2">
        <v>4</v>
      </c>
      <c r="C27" s="35" t="s">
        <v>96</v>
      </c>
      <c r="D27" s="45">
        <f>+D95</f>
        <v>211460</v>
      </c>
      <c r="E27" s="59">
        <f t="shared" si="0"/>
        <v>699040</v>
      </c>
    </row>
    <row r="28" spans="1:5" x14ac:dyDescent="0.3">
      <c r="B28" s="2">
        <v>5</v>
      </c>
      <c r="C28" s="35" t="s">
        <v>97</v>
      </c>
      <c r="D28" s="45">
        <f>+D119</f>
        <v>513360</v>
      </c>
      <c r="E28" s="59">
        <f t="shared" si="0"/>
        <v>1697060</v>
      </c>
    </row>
    <row r="29" spans="1:5" x14ac:dyDescent="0.3">
      <c r="B29" s="2">
        <v>6</v>
      </c>
      <c r="C29" s="35" t="s">
        <v>98</v>
      </c>
      <c r="D29" s="45">
        <f>+D133</f>
        <v>247810</v>
      </c>
      <c r="E29" s="59">
        <f t="shared" si="0"/>
        <v>819210</v>
      </c>
    </row>
    <row r="30" spans="1:5" x14ac:dyDescent="0.3">
      <c r="B30" s="2">
        <v>7</v>
      </c>
      <c r="C30" s="35" t="s">
        <v>99</v>
      </c>
      <c r="D30" s="45">
        <f>+D146</f>
        <v>357830</v>
      </c>
      <c r="E30" s="59">
        <f t="shared" si="0"/>
        <v>1182910</v>
      </c>
    </row>
    <row r="31" spans="1:5" x14ac:dyDescent="0.3">
      <c r="B31" s="2">
        <v>8</v>
      </c>
      <c r="C31" s="35" t="s">
        <v>100</v>
      </c>
      <c r="D31" s="45">
        <f>+D154</f>
        <v>327100</v>
      </c>
      <c r="E31" s="59">
        <f t="shared" si="0"/>
        <v>1081320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1189000</v>
      </c>
      <c r="E33" s="60">
        <f t="shared" si="0"/>
        <v>3930590</v>
      </c>
    </row>
    <row r="34" spans="1:7" x14ac:dyDescent="0.3">
      <c r="C34" s="35" t="s">
        <v>112</v>
      </c>
      <c r="D34" s="44">
        <f>SUM(D24:D33)</f>
        <v>5512670</v>
      </c>
      <c r="E34" s="44">
        <f>SUM(E24:E33)</f>
        <v>18223750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113</v>
      </c>
      <c r="D39" s="57" t="s">
        <v>236</v>
      </c>
      <c r="E39" s="57" t="s">
        <v>153</v>
      </c>
      <c r="G39" s="55"/>
    </row>
    <row r="40" spans="1:7" x14ac:dyDescent="0.3">
      <c r="A40" s="2">
        <v>1</v>
      </c>
      <c r="C40" s="38" t="s">
        <v>15</v>
      </c>
      <c r="D40" s="40">
        <f>TRUNC(466358,-1)</f>
        <v>466350</v>
      </c>
      <c r="E40" s="62">
        <f t="shared" ref="E40:E59" si="1">TRUNC(+D40*3.3058,-1)</f>
        <v>1541650</v>
      </c>
    </row>
    <row r="41" spans="1:7" x14ac:dyDescent="0.3">
      <c r="A41" s="2">
        <v>2</v>
      </c>
      <c r="C41" s="38" t="s">
        <v>13</v>
      </c>
      <c r="D41" s="42">
        <f>TRUNC(542438,-1)</f>
        <v>542430</v>
      </c>
      <c r="E41" s="63">
        <f t="shared" si="1"/>
        <v>1793160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TRUNC(49455,-1)</f>
        <v>49450</v>
      </c>
      <c r="E43" s="63">
        <f t="shared" si="1"/>
        <v>163470</v>
      </c>
    </row>
    <row r="44" spans="1:7" x14ac:dyDescent="0.3">
      <c r="A44" s="2">
        <v>5</v>
      </c>
      <c r="C44" s="38" t="s">
        <v>17</v>
      </c>
      <c r="D44" s="42">
        <v>52580</v>
      </c>
      <c r="E44" s="63">
        <f t="shared" si="1"/>
        <v>173810</v>
      </c>
    </row>
    <row r="45" spans="1:7" x14ac:dyDescent="0.3">
      <c r="A45" s="2">
        <v>6</v>
      </c>
      <c r="C45" s="38" t="s">
        <v>18</v>
      </c>
      <c r="D45" s="42">
        <f>TRUNC(21799,-1)</f>
        <v>21790</v>
      </c>
      <c r="E45" s="63">
        <f t="shared" si="1"/>
        <v>72030</v>
      </c>
    </row>
    <row r="46" spans="1:7" x14ac:dyDescent="0.3">
      <c r="A46" s="2">
        <v>7</v>
      </c>
      <c r="C46" s="38" t="s">
        <v>19</v>
      </c>
      <c r="D46" s="42">
        <v>82100</v>
      </c>
      <c r="E46" s="63">
        <f t="shared" si="1"/>
        <v>271400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TRUNC(201995,-1)</f>
        <v>201990</v>
      </c>
      <c r="E48" s="63">
        <f t="shared" si="1"/>
        <v>667730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TRUNC(70331,-1)</f>
        <v>70330</v>
      </c>
      <c r="E49" s="63">
        <f t="shared" si="1"/>
        <v>232490</v>
      </c>
    </row>
    <row r="50" spans="1:7" x14ac:dyDescent="0.3">
      <c r="A50" s="2">
        <v>11</v>
      </c>
      <c r="C50" s="38" t="s">
        <v>155</v>
      </c>
      <c r="D50" s="42">
        <f>TRUNC(81957,-1)</f>
        <v>81950</v>
      </c>
      <c r="E50" s="63">
        <f t="shared" si="1"/>
        <v>270910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TRUNC(31678,-1)</f>
        <v>31670</v>
      </c>
      <c r="E52" s="63">
        <f t="shared" si="1"/>
        <v>104690</v>
      </c>
    </row>
    <row r="53" spans="1:7" x14ac:dyDescent="0.3">
      <c r="A53" s="2">
        <v>14</v>
      </c>
      <c r="C53" s="38" t="s">
        <v>25</v>
      </c>
      <c r="D53" s="42">
        <f>TRUNC(161098,-1)</f>
        <v>161090</v>
      </c>
      <c r="E53" s="63">
        <f t="shared" si="1"/>
        <v>532530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TRUNC(470+2106+10214-1375+114764,-1)</f>
        <v>126170</v>
      </c>
      <c r="E58" s="63">
        <f t="shared" si="1"/>
        <v>417090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TRUNC(523378,-1)</f>
        <v>523370</v>
      </c>
      <c r="E59" s="64">
        <f t="shared" si="1"/>
        <v>1730150</v>
      </c>
    </row>
    <row r="60" spans="1:7" x14ac:dyDescent="0.3">
      <c r="A60" s="2">
        <v>21</v>
      </c>
      <c r="C60" s="27" t="s">
        <v>112</v>
      </c>
      <c r="D60" s="39">
        <f>SUM(D40:D59)</f>
        <v>2411270</v>
      </c>
      <c r="E60" s="39">
        <f>SUM(E40:E59)</f>
        <v>7971110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156600</v>
      </c>
      <c r="E63" s="62">
        <f>TRUNC(+D63*3.3058,-1)</f>
        <v>517680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TRUNC(98242,-1)</f>
        <v>98240</v>
      </c>
      <c r="E65" s="64">
        <f>TRUNC(+D65*3.3058,-1)</f>
        <v>324760</v>
      </c>
    </row>
    <row r="66" spans="1:7" x14ac:dyDescent="0.3">
      <c r="A66" s="2">
        <v>4</v>
      </c>
      <c r="C66" s="27" t="s">
        <v>112</v>
      </c>
      <c r="D66" s="39">
        <f>SUM(D63:D65)</f>
        <v>254840</v>
      </c>
      <c r="E66" s="65">
        <f>SUM(E63:E65)</f>
        <v>842440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TRUNC(24197,-1)</f>
        <v>24190</v>
      </c>
      <c r="E69" s="62">
        <f t="shared" ref="E69:E94" si="2">TRUNC(+D69*3.3058,-1)</f>
        <v>79960</v>
      </c>
    </row>
    <row r="70" spans="1:7" ht="16.5" customHeight="1" x14ac:dyDescent="0.3">
      <c r="A70" s="2">
        <v>2</v>
      </c>
      <c r="C70" s="38" t="s">
        <v>31</v>
      </c>
      <c r="D70" s="42">
        <f>TRUNC(926,-1)</f>
        <v>920</v>
      </c>
      <c r="E70" s="63">
        <f t="shared" si="2"/>
        <v>3040</v>
      </c>
    </row>
    <row r="71" spans="1:7" x14ac:dyDescent="0.3">
      <c r="A71" s="2">
        <v>3</v>
      </c>
      <c r="C71" s="38" t="s">
        <v>32</v>
      </c>
      <c r="D71" s="42">
        <f>TRUNC(14568,-1)</f>
        <v>14560</v>
      </c>
      <c r="E71" s="63">
        <f t="shared" si="2"/>
        <v>48130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7870</v>
      </c>
      <c r="E73" s="63">
        <f t="shared" si="2"/>
        <v>26010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TRUNC(13847,-1)</f>
        <v>13840</v>
      </c>
      <c r="E89" s="63">
        <f t="shared" si="2"/>
        <v>45750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8100</v>
      </c>
      <c r="E91" s="63">
        <f t="shared" si="2"/>
        <v>26770</v>
      </c>
    </row>
    <row r="92" spans="1:7" x14ac:dyDescent="0.3">
      <c r="A92" s="2">
        <v>24</v>
      </c>
      <c r="C92" s="38" t="s">
        <v>38</v>
      </c>
      <c r="D92" s="42">
        <f>TRUNC(5558,-1)</f>
        <v>5550</v>
      </c>
      <c r="E92" s="63">
        <f t="shared" si="2"/>
        <v>18340</v>
      </c>
    </row>
    <row r="93" spans="1:7" x14ac:dyDescent="0.3">
      <c r="A93" s="2">
        <v>25</v>
      </c>
      <c r="C93" s="38" t="s">
        <v>148</v>
      </c>
      <c r="D93" s="42">
        <f>TRUNC(120366,-1)</f>
        <v>120360</v>
      </c>
      <c r="E93" s="63">
        <f t="shared" si="2"/>
        <v>397880</v>
      </c>
    </row>
    <row r="94" spans="1:7" ht="17.25" thickBot="1" x14ac:dyDescent="0.35">
      <c r="A94" s="2">
        <v>26</v>
      </c>
      <c r="C94" s="38" t="s">
        <v>47</v>
      </c>
      <c r="D94" s="43">
        <f>TRUNC(16078,-1)</f>
        <v>16070</v>
      </c>
      <c r="E94" s="64">
        <f t="shared" si="2"/>
        <v>53120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211460</v>
      </c>
      <c r="E95" s="39">
        <f>SUM(E69:E94)</f>
        <v>699000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TRUNC(24753,-1)</f>
        <v>24750</v>
      </c>
      <c r="E98" s="62">
        <f t="shared" ref="E98:E118" si="3">TRUNC(+D98*3.3058,-1)</f>
        <v>81810</v>
      </c>
    </row>
    <row r="99" spans="1:7" x14ac:dyDescent="0.3">
      <c r="A99" s="2">
        <v>2</v>
      </c>
      <c r="C99" s="38" t="s">
        <v>40</v>
      </c>
      <c r="D99" s="42">
        <f>TRUNC(17645,-1)</f>
        <v>17640</v>
      </c>
      <c r="E99" s="63">
        <f t="shared" si="3"/>
        <v>58310</v>
      </c>
    </row>
    <row r="100" spans="1:7" x14ac:dyDescent="0.3">
      <c r="A100" s="2">
        <v>3</v>
      </c>
      <c r="C100" s="38" t="s">
        <v>41</v>
      </c>
      <c r="D100" s="42">
        <f>TRUNC(117772,-1)</f>
        <v>117770</v>
      </c>
      <c r="E100" s="63">
        <f t="shared" si="3"/>
        <v>389320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TRUNC(25706,-1)</f>
        <v>25700</v>
      </c>
      <c r="E102" s="63">
        <f t="shared" si="3"/>
        <v>84950</v>
      </c>
    </row>
    <row r="103" spans="1:7" x14ac:dyDescent="0.3">
      <c r="A103" s="2">
        <v>6</v>
      </c>
      <c r="C103" s="38" t="s">
        <v>44</v>
      </c>
      <c r="D103" s="42">
        <f>TRUNC(12148,-1)</f>
        <v>12140</v>
      </c>
      <c r="E103" s="63">
        <f t="shared" si="3"/>
        <v>40130</v>
      </c>
    </row>
    <row r="104" spans="1:7" x14ac:dyDescent="0.3">
      <c r="A104" s="2">
        <v>7</v>
      </c>
      <c r="C104" s="38" t="s">
        <v>45</v>
      </c>
      <c r="D104" s="42">
        <v>20180</v>
      </c>
      <c r="E104" s="63">
        <f t="shared" si="3"/>
        <v>66710</v>
      </c>
    </row>
    <row r="105" spans="1:7" x14ac:dyDescent="0.3">
      <c r="A105" s="2">
        <v>8</v>
      </c>
      <c r="C105" s="38" t="s">
        <v>46</v>
      </c>
      <c r="D105" s="42">
        <f>TRUNC(12954,-1)</f>
        <v>12950</v>
      </c>
      <c r="E105" s="63">
        <f t="shared" si="3"/>
        <v>42810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TRUNC(8012,-1)</f>
        <v>8010</v>
      </c>
      <c r="E114" s="63">
        <f t="shared" si="3"/>
        <v>26470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TRUNC(40602,-1)</f>
        <v>40600</v>
      </c>
      <c r="E116" s="63">
        <f t="shared" si="3"/>
        <v>134210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v>233620</v>
      </c>
      <c r="E117" s="63">
        <f t="shared" si="3"/>
        <v>772300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513360</v>
      </c>
      <c r="E119" s="39">
        <f>SUM(E98:E118)</f>
        <v>1697020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10150</v>
      </c>
      <c r="E122" s="62">
        <f t="shared" ref="E122:E132" si="4">TRUNC(+D122*3.3058,-1)</f>
        <v>33550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TRUNC(263,-1)</f>
        <v>260</v>
      </c>
      <c r="E124" s="63">
        <f t="shared" si="4"/>
        <v>850</v>
      </c>
    </row>
    <row r="125" spans="1:7" x14ac:dyDescent="0.3">
      <c r="A125" s="2">
        <v>4</v>
      </c>
      <c r="C125" s="38" t="s">
        <v>138</v>
      </c>
      <c r="D125" s="42">
        <f>TRUNC(14899,-1)</f>
        <v>14890</v>
      </c>
      <c r="E125" s="63">
        <f t="shared" si="4"/>
        <v>49220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TRUNC(12702,-1)</f>
        <v>12700</v>
      </c>
      <c r="E128" s="63">
        <f t="shared" si="4"/>
        <v>41980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TRUNC(47312,-1)</f>
        <v>47310</v>
      </c>
      <c r="E130" s="63">
        <f t="shared" si="4"/>
        <v>156390</v>
      </c>
    </row>
    <row r="131" spans="1:7" x14ac:dyDescent="0.3">
      <c r="A131" s="2">
        <v>10</v>
      </c>
      <c r="C131" s="38" t="s">
        <v>148</v>
      </c>
      <c r="D131" s="42">
        <f>TRUNC(134091,-1)</f>
        <v>134090</v>
      </c>
      <c r="E131" s="63">
        <f t="shared" si="4"/>
        <v>443270</v>
      </c>
    </row>
    <row r="132" spans="1:7" ht="18" thickBot="1" x14ac:dyDescent="0.35">
      <c r="A132" s="2">
        <v>11</v>
      </c>
      <c r="C132" s="38" t="s">
        <v>47</v>
      </c>
      <c r="D132" s="43">
        <f>TRUNC(28415,-1)</f>
        <v>28410</v>
      </c>
      <c r="E132" s="64">
        <f t="shared" si="4"/>
        <v>93910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247810</v>
      </c>
      <c r="E133" s="39">
        <f>SUM(E122:E132)</f>
        <v>819170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f>TRUNC(24062,-1)</f>
        <v>24060</v>
      </c>
      <c r="E138" s="63">
        <f t="shared" si="5"/>
        <v>79530</v>
      </c>
    </row>
    <row r="139" spans="1:7" x14ac:dyDescent="0.3">
      <c r="A139" s="2">
        <v>4</v>
      </c>
      <c r="C139" s="38" t="s">
        <v>61</v>
      </c>
      <c r="D139" s="42">
        <v>3620</v>
      </c>
      <c r="E139" s="63">
        <f t="shared" si="5"/>
        <v>11960</v>
      </c>
    </row>
    <row r="140" spans="1:7" x14ac:dyDescent="0.3">
      <c r="A140" s="2">
        <v>5</v>
      </c>
      <c r="C140" s="38" t="s">
        <v>57</v>
      </c>
      <c r="D140" s="42">
        <f>TRUNC(4051,-1)</f>
        <v>4050</v>
      </c>
      <c r="E140" s="63">
        <f t="shared" si="5"/>
        <v>13380</v>
      </c>
    </row>
    <row r="141" spans="1:7" x14ac:dyDescent="0.3">
      <c r="A141" s="2">
        <v>6</v>
      </c>
      <c r="C141" s="38" t="s">
        <v>59</v>
      </c>
      <c r="D141" s="42">
        <f>TRUNC(5709,-1)</f>
        <v>5700</v>
      </c>
      <c r="E141" s="63">
        <f t="shared" si="5"/>
        <v>18840</v>
      </c>
    </row>
    <row r="142" spans="1:7" x14ac:dyDescent="0.3">
      <c r="A142" s="2">
        <v>7</v>
      </c>
      <c r="C142" s="38" t="s">
        <v>58</v>
      </c>
      <c r="D142" s="42">
        <f>TRUNC(20936,-1)</f>
        <v>20930</v>
      </c>
      <c r="E142" s="63">
        <f t="shared" si="5"/>
        <v>69190</v>
      </c>
    </row>
    <row r="143" spans="1:7" x14ac:dyDescent="0.3">
      <c r="A143" s="2">
        <v>8</v>
      </c>
      <c r="C143" s="38" t="s">
        <v>62</v>
      </c>
      <c r="D143" s="42">
        <f>TRUNC(11709,-1)</f>
        <v>11700</v>
      </c>
      <c r="E143" s="63">
        <f t="shared" si="5"/>
        <v>38670</v>
      </c>
    </row>
    <row r="144" spans="1:7" x14ac:dyDescent="0.3">
      <c r="A144" s="2">
        <v>9</v>
      </c>
      <c r="C144" s="38" t="s">
        <v>63</v>
      </c>
      <c r="D144" s="42">
        <f>TRUNC(54152,-1)</f>
        <v>54150</v>
      </c>
      <c r="E144" s="63">
        <f t="shared" si="5"/>
        <v>179000</v>
      </c>
    </row>
    <row r="145" spans="1:7" ht="17.25" thickBot="1" x14ac:dyDescent="0.35">
      <c r="A145" s="2">
        <v>10</v>
      </c>
      <c r="C145" s="38" t="s">
        <v>148</v>
      </c>
      <c r="D145" s="43">
        <v>233620</v>
      </c>
      <c r="E145" s="64">
        <f t="shared" si="5"/>
        <v>772300</v>
      </c>
    </row>
    <row r="146" spans="1:7" x14ac:dyDescent="0.3">
      <c r="A146" s="2">
        <v>11</v>
      </c>
      <c r="C146" s="27" t="s">
        <v>112</v>
      </c>
      <c r="D146" s="39">
        <f>SUM(D136:D145)</f>
        <v>357830</v>
      </c>
      <c r="E146" s="39">
        <f>SUM(E136:E145)</f>
        <v>1182870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TRUNC(19112+7236,-1)</f>
        <v>26340</v>
      </c>
      <c r="E149" s="62">
        <f>TRUNC(+D149*3.3058,-1)</f>
        <v>87070</v>
      </c>
      <c r="F149" s="2" t="s">
        <v>259</v>
      </c>
    </row>
    <row r="150" spans="1:7" x14ac:dyDescent="0.3">
      <c r="A150" s="2">
        <v>2</v>
      </c>
      <c r="C150" s="38" t="s">
        <v>49</v>
      </c>
      <c r="D150" s="42">
        <f>TRUNC(12675,-1)</f>
        <v>12670</v>
      </c>
      <c r="E150" s="63">
        <f>TRUNC(+D150*3.3058,-1)</f>
        <v>41880</v>
      </c>
    </row>
    <row r="151" spans="1:7" x14ac:dyDescent="0.3">
      <c r="A151" s="2">
        <v>3</v>
      </c>
      <c r="C151" s="38" t="s">
        <v>50</v>
      </c>
      <c r="D151" s="42">
        <f>TRUNC(45833,-1)</f>
        <v>45830</v>
      </c>
      <c r="E151" s="63">
        <f>TRUNC(+D151*3.3058,-1)</f>
        <v>151500</v>
      </c>
    </row>
    <row r="152" spans="1:7" x14ac:dyDescent="0.3">
      <c r="A152" s="2">
        <v>4</v>
      </c>
      <c r="C152" s="38" t="s">
        <v>47</v>
      </c>
      <c r="D152" s="42">
        <f>TRUNC(70567+154034,-1)</f>
        <v>224600</v>
      </c>
      <c r="E152" s="63">
        <f>TRUNC(+D152*3.3058,-1)</f>
        <v>742480</v>
      </c>
      <c r="F152" s="2" t="s">
        <v>260</v>
      </c>
    </row>
    <row r="153" spans="1:7" ht="17.25" thickBot="1" x14ac:dyDescent="0.35">
      <c r="A153" s="2">
        <v>5</v>
      </c>
      <c r="C153" s="38" t="s">
        <v>148</v>
      </c>
      <c r="D153" s="43">
        <f>TRUNC(17668,-1)</f>
        <v>17660</v>
      </c>
      <c r="E153" s="64">
        <f>TRUNC(+D153*3.3058,-1)</f>
        <v>58380</v>
      </c>
    </row>
    <row r="154" spans="1:7" x14ac:dyDescent="0.3">
      <c r="A154" s="2">
        <v>6</v>
      </c>
      <c r="C154" s="27" t="s">
        <v>112</v>
      </c>
      <c r="D154" s="39">
        <f>SUM(D149:D153)</f>
        <v>327100</v>
      </c>
      <c r="E154" s="39">
        <f>SUM(E149:E153)</f>
        <v>1081310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2020-12-08T04:29:19Z</dcterms:modified>
</cp:coreProperties>
</file>