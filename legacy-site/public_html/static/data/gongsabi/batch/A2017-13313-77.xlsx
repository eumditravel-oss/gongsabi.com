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4" i="4"/>
  <c r="D143" i="4"/>
  <c r="D142" i="4"/>
  <c r="D141" i="4"/>
  <c r="D140" i="4"/>
  <c r="D139" i="4"/>
  <c r="D138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99" i="4"/>
  <c r="D98" i="4"/>
  <c r="D94" i="4"/>
  <c r="D93" i="4"/>
  <c r="D91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<sst xmlns="http://schemas.openxmlformats.org/spreadsheetml/2006/main" count="393" uniqueCount="269">
  <si>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</si>
  <si>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</si>
  <si>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</si>
  <si>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</si>
  <si>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</si>
  <si>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</si>
  <si>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</si>
  <si>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</si>
  <si>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</si>
  <si>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</si>
  <si>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</si>
  <si>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</si>
  <si>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</si>
  <si>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</si>
  <si>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</si>
  <si>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</si>
  <si>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</si>
  <si>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</si>
  <si>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</si>
  <si>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</si>
  <si>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</si>
  <si>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</si>
  <si>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</si>
  <si>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</si>
  <si>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</si>
  <si>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</si>
  <si>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</si>
  <si>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</si>
  <si>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</si>
  <si>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</si>
  <si>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</si>
  <si>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</si>
  <si>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</si>
  <si>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</si>
  <si>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</si>
  <si>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</si>
  <si>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</si>
  <si>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</si>
  <si>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</si>
  <si>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</si>
  <si>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</si>
  <si>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</si>
  <si>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</si>
  <si>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</si>
  <si>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</si>
  <si>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</si>
  <si>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</si>
  <si>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</si>
  <si>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</si>
  <si>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</si>
  <si>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</si>
  <si>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</si>
  <si>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</si>
  <si>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</si>
  <si>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</si>
  <si>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</si>
  <si>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</si>
  <si>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</si>
  <si>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</si>
  <si>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</si>
  <si>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</si>
  <si>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</si>
  <si>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</si>
  <si>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</si>
  <si>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</si>
  <si>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</si>
  <si>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</si>
  <si>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</si>
  <si>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</si>
  <si>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</si>
  <si>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</si>
  <si>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</si>
  <si>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</si>
  <si>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</si>
  <si>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</si>
  <si>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</si>
  <si>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</si>
  <si>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</si>
  <si>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</si>
  <si>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</si>
  <si>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</si>
  <si>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</si>
  <si>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</si>
  <si>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</si>
  <si>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</si>
  <si>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</si>
  <si>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</si>
  <si>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</si>
  <si>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</si>
  <si>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</si>
  <si>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</si>
  <si>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</si>
  <si>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</si>
  <si>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</si>
  <si>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</si>
  <si>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</si>
  <si>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</si>
  <si>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</si>
  <si>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</si>
  <si>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</si>
  <si>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</si>
  <si>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</si>
  <si>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</si>
  <si>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</si>
  <si>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</si>
  <si>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</si>
  <si>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</si>
  <si>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</si>
  <si>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</si>
  <si>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</si>
  <si>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</si>
  <si>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</si>
  <si>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</si>
  <si>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</si>
  <si>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</si>
  <si>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</si>
  <si>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</si>
  <si>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</si>
  <si>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</si>
  <si>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</si>
  <si>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</si>
  <si>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</si>
  <si>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</si>
  <si>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</si>
  <si>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</si>
  <si>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</si>
  <si>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</si>
  <si>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</si>
  <si>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</si>
  <si>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</si>
  <si>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</si>
  <si>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</si>
  <si>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</si>
  <si>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</si>
  <si>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</si>
  <si>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</si>
  <si>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</si>
  <si>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</si>
  <si>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</si>
  <si>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</si>
  <si>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</si>
  <si>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</si>
  <si>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</si>
  <si>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</si>
  <si>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</si>
  <si>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</si>
  <si>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</si>
  <si>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</si>
  <si>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</si>
  <si>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</si>
  <si>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</si>
  <si>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</si>
  <si>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</si>
  <si>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</si>
  <si>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</si>
  <si>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</si>
  <si>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</si>
  <si>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</si>
  <si>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</si>
  <si>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</si>
  <si>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</si>
  <si>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</si>
  <si>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</si>
  <si>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</si>
  <si>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</si>
  <si>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</si>
  <si>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</si>
  <si>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</si>
  <si>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</si>
  <si>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</si>
  <si>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</si>
  <si>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</si>
  <si>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</si>
  <si>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</si>
  <si>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</si>
  <si>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</si>
  <si>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</si>
  <si>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</si>
  <si>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</si>
  <si>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</si>
  <si>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</si>
  <si>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</si>
  <si>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</si>
  <si>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</si>
  <si>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</si>
  <si>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</si>
  <si>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</si>
  <si>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</si>
  <si>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</si>
  <si>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</si>
  <si>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</si>
  <si>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</si>
  <si>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</si>
  <si>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</si>
  <si>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</si>
  <si>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</si>
  <si>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</si>
  <si>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</si>
  <si>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</si>
  <si>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</si>
  <si>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</si>
  <si>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</si>
  <si>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</si>
  <si>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</si>
  <si>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</si>
  <si>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</si>
  <si>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</si>
  <si>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</si>
  <si>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</si>
  <si>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</si>
  <si>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</si>
  <si>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</si>
  <si>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</si>
  <si>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</si>
  <si>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</si>
  <si>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</si>
  <si>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</si>
  <si>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</si>
  <si>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</si>
  <si>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</si>
  <si>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</si>
  <si>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</si>
  <si>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</si>
  <si>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</si>
  <si>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</si>
  <si>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</si>
  <si>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</si>
  <si>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</si>
  <si>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</si>
  <si>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</si>
  <si>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</si>
  <si>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</si>
  <si>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</si>
  <si>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</si>
  <si>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</si>
  <si>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</si>
  <si>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</si>
  <si>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</si>
  <si>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</si>
  <si>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</si>
  <si>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</si>
  <si>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</si>
  <si>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</si>
  <si>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</si>
  <si>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</si>
  <si>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</si>
  <si>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</si>
  <si>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</si>
  <si>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</si>
  <si>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</si>
  <si>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</si>
  <si>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</si>
  <si>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</si>
  <si>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</si>
  <si>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</si>
  <si>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 xml:space="preserve"> 사급자재비, 운반비, 기타공사</t>
    <phoneticPr fontId="2" type="noConversion"/>
  </si>
  <si>
    <t>군산세무서 청사 신축</t>
    <phoneticPr fontId="2" type="noConversion"/>
  </si>
  <si>
    <t>업무</t>
  </si>
  <si>
    <t>기초공사, 골재비및운반비, 작업부산물, 품질시험비, 기타공사</t>
    <phoneticPr fontId="2" type="noConversion"/>
  </si>
  <si>
    <t>바닥난방공사, 기타공사</t>
    <phoneticPr fontId="2" type="noConversion"/>
  </si>
  <si>
    <t>CCTV설비공사, 기타공사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</si>
  <si>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</si>
  <si>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</si>
  <si>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</si>
  <si>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</si>
  <si>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전라도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</si>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</sst>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Normal="10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5189.82</v>
      </c>
      <c r="D7" s="36">
        <f>+C7/3.3058</f>
        <v>1569.9134853893156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934820</v>
      </c>
      <c r="E25" s="59">
        <f t="shared" si="0"/>
        <v>3090320</v>
      </c>
    </row>
    <row r="26" spans="1:5" x14ac:dyDescent="0.3">
      <c r="B26" s="2">
        <v>3</v>
      </c>
      <c r="C26" s="35" t="s">
        <v>95</v>
      </c>
      <c r="D26" s="45">
        <f>+D66</f>
        <v>7380</v>
      </c>
      <c r="E26" s="59">
        <f t="shared" si="0"/>
        <v>24390</v>
      </c>
    </row>
    <row r="27" spans="1:5" x14ac:dyDescent="0.3">
      <c r="B27" s="2">
        <v>4</v>
      </c>
      <c r="C27" s="35" t="s">
        <v>96</v>
      </c>
      <c r="D27" s="45">
        <f>+D95</f>
        <v>195720</v>
      </c>
      <c r="E27" s="59">
        <f t="shared" si="0"/>
        <v>647010</v>
      </c>
    </row>
    <row r="28" spans="1:5" x14ac:dyDescent="0.3">
      <c r="B28" s="2">
        <v>5</v>
      </c>
      <c r="C28" s="35" t="s">
        <v>97</v>
      </c>
      <c r="D28" s="45">
        <f>+D119</f>
        <v>285950</v>
      </c>
      <c r="E28" s="59">
        <f t="shared" si="0"/>
        <v>945290</v>
      </c>
    </row>
    <row r="29" spans="1:5" x14ac:dyDescent="0.3">
      <c r="B29" s="2">
        <v>6</v>
      </c>
      <c r="C29" s="35" t="s">
        <v>98</v>
      </c>
      <c r="D29" s="45">
        <f>+D133</f>
        <v>108500</v>
      </c>
      <c r="E29" s="59">
        <f t="shared" si="0"/>
        <v>358670</v>
      </c>
    </row>
    <row r="30" spans="1:5" x14ac:dyDescent="0.3">
      <c r="B30" s="2">
        <v>7</v>
      </c>
      <c r="C30" s="35" t="s">
        <v>99</v>
      </c>
      <c r="D30" s="45">
        <f>+D146</f>
        <v>46560</v>
      </c>
      <c r="E30" s="59">
        <f t="shared" si="0"/>
        <v>153910</v>
      </c>
    </row>
    <row r="31" spans="1:5" x14ac:dyDescent="0.3">
      <c r="B31" s="2">
        <v>8</v>
      </c>
      <c r="C31" s="35" t="s">
        <v>100</v>
      </c>
      <c r="D31" s="45">
        <f>+D154</f>
        <v>50620</v>
      </c>
      <c r="E31" s="59">
        <f t="shared" si="0"/>
        <v>167330</v>
      </c>
    </row>
    <row r="32" spans="1:5" x14ac:dyDescent="0.3">
      <c r="B32" s="2">
        <v>9</v>
      </c>
      <c r="C32" s="35" t="s">
        <v>101</v>
      </c>
      <c r="D32" s="45">
        <f>+D161</f>
        <v>34870</v>
      </c>
      <c r="E32" s="59">
        <f t="shared" si="0"/>
        <v>115270</v>
      </c>
    </row>
    <row r="33" spans="1:7" x14ac:dyDescent="0.3">
      <c r="B33" s="2">
        <v>10</v>
      </c>
      <c r="C33" s="35" t="s">
        <v>154</v>
      </c>
      <c r="D33" s="53">
        <f>TRUNC(SUM(D24:D32)*0.275,-1)</f>
        <v>457710</v>
      </c>
      <c r="E33" s="60">
        <f t="shared" si="0"/>
        <v>1513090</v>
      </c>
    </row>
    <row r="34" spans="1:7" x14ac:dyDescent="0.3">
      <c r="C34" s="35" t="s">
        <v>112</v>
      </c>
      <c r="D34" s="44">
        <f>SUM(D24:D33)</f>
        <v>2122130</v>
      </c>
      <c r="E34" s="44">
        <f>SUM(E24:E33)</f>
        <v>7015280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TRUNC(58044,-1)</f>
        <v>58040</v>
      </c>
      <c r="E40" s="62">
        <f t="shared" ref="E40:E59" si="1">TRUNC(+D40*3.3058,-1)</f>
        <v>191860</v>
      </c>
    </row>
    <row r="41" spans="1:7" x14ac:dyDescent="0.3">
      <c r="A41" s="2">
        <v>2</v>
      </c>
      <c r="C41" s="38" t="s">
        <v>13</v>
      </c>
      <c r="D41" s="42">
        <f>TRUNC(143392,-1)</f>
        <v>143390</v>
      </c>
      <c r="E41" s="63">
        <f t="shared" si="1"/>
        <v>474010</v>
      </c>
    </row>
    <row r="42" spans="1:7" x14ac:dyDescent="0.3">
      <c r="A42" s="2">
        <v>3</v>
      </c>
      <c r="C42" s="38" t="s">
        <v>14</v>
      </c>
      <c r="D42" s="42">
        <f>TRUNC(5159,-1)</f>
        <v>5150</v>
      </c>
      <c r="E42" s="63">
        <f t="shared" si="1"/>
        <v>17020</v>
      </c>
    </row>
    <row r="43" spans="1:7" x14ac:dyDescent="0.3">
      <c r="A43" s="2">
        <v>4</v>
      </c>
      <c r="C43" s="38" t="s">
        <v>16</v>
      </c>
      <c r="D43" s="42">
        <f>TRUNC(15175,-1)</f>
        <v>15170</v>
      </c>
      <c r="E43" s="63">
        <f t="shared" si="1"/>
        <v>50140</v>
      </c>
    </row>
    <row r="44" spans="1:7" x14ac:dyDescent="0.3">
      <c r="A44" s="2">
        <v>5</v>
      </c>
      <c r="C44" s="38" t="s">
        <v>17</v>
      </c>
      <c r="D44" s="42">
        <f>TRUNC(29554,-1)</f>
        <v>29550</v>
      </c>
      <c r="E44" s="63">
        <f t="shared" si="1"/>
        <v>97680</v>
      </c>
    </row>
    <row r="45" spans="1:7" x14ac:dyDescent="0.3">
      <c r="A45" s="2">
        <v>6</v>
      </c>
      <c r="C45" s="38" t="s">
        <v>18</v>
      </c>
      <c r="D45" s="42">
        <f>TRUNC(9128,-1)</f>
        <v>9120</v>
      </c>
      <c r="E45" s="63">
        <f t="shared" si="1"/>
        <v>30140</v>
      </c>
    </row>
    <row r="46" spans="1:7" x14ac:dyDescent="0.3">
      <c r="A46" s="2">
        <v>7</v>
      </c>
      <c r="C46" s="38" t="s">
        <v>19</v>
      </c>
      <c r="D46" s="42">
        <f>TRUNC(68825,-1)</f>
        <v>68820</v>
      </c>
      <c r="E46" s="63">
        <f t="shared" si="1"/>
        <v>227500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TRUNC(34645,-1)</f>
        <v>34640</v>
      </c>
      <c r="E48" s="63">
        <f t="shared" si="1"/>
        <v>114510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TRUNC(11192,-1)</f>
        <v>11190</v>
      </c>
      <c r="E49" s="63">
        <f t="shared" si="1"/>
        <v>36990</v>
      </c>
    </row>
    <row r="50" spans="1:7" x14ac:dyDescent="0.3">
      <c r="A50" s="2">
        <v>11</v>
      </c>
      <c r="C50" s="38" t="s">
        <v>155</v>
      </c>
      <c r="D50" s="42">
        <f>TRUNC(56583,-1)</f>
        <v>56580</v>
      </c>
      <c r="E50" s="63">
        <f t="shared" si="1"/>
        <v>187040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TRUNC(12899,-1)</f>
        <v>12890</v>
      </c>
      <c r="E52" s="63">
        <f t="shared" si="1"/>
        <v>42610</v>
      </c>
    </row>
    <row r="53" spans="1:7" x14ac:dyDescent="0.3">
      <c r="A53" s="2">
        <v>14</v>
      </c>
      <c r="C53" s="38" t="s">
        <v>25</v>
      </c>
      <c r="D53" s="42">
        <f>TRUNC(93216,-1)</f>
        <v>93210</v>
      </c>
      <c r="E53" s="63">
        <f t="shared" si="1"/>
        <v>308130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TRUNC(48533+3859-505+1415+34470,-1)</f>
        <v>87770</v>
      </c>
      <c r="E58" s="63">
        <f t="shared" si="1"/>
        <v>290150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TRUNC(309302,-1)</f>
        <v>309300</v>
      </c>
      <c r="E59" s="64">
        <f t="shared" si="1"/>
        <v>1022480</v>
      </c>
    </row>
    <row r="60" spans="1:7" x14ac:dyDescent="0.3">
      <c r="A60" s="2">
        <v>21</v>
      </c>
      <c r="C60" s="27" t="s">
        <v>112</v>
      </c>
      <c r="D60" s="39">
        <f>SUM(D40:D59)</f>
        <v>934820</v>
      </c>
      <c r="E60" s="39">
        <f>SUM(E40:E59)</f>
        <v>3090260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TRUNC(7385,-1)</f>
        <v>7380</v>
      </c>
      <c r="E63" s="62">
        <f>TRUNC(+D63*3.3058,-1)</f>
        <v>24390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7380</v>
      </c>
      <c r="E66" s="65">
        <f>SUM(E63:E65)</f>
        <v>24390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TRUNC(9132,-1)</f>
        <v>9130</v>
      </c>
      <c r="E69" s="62">
        <f t="shared" ref="E69:E94" si="2">TRUNC(+D69*3.3058,-1)</f>
        <v>30180</v>
      </c>
    </row>
    <row r="70" spans="1:7" ht="16.5" customHeight="1" x14ac:dyDescent="0.3">
      <c r="A70" s="2">
        <v>2</v>
      </c>
      <c r="C70" s="38" t="s">
        <v>31</v>
      </c>
      <c r="D70" s="42">
        <f>TRUNC(1619,-1)</f>
        <v>1610</v>
      </c>
      <c r="E70" s="63">
        <f t="shared" si="2"/>
        <v>5320</v>
      </c>
    </row>
    <row r="71" spans="1:7" x14ac:dyDescent="0.3">
      <c r="A71" s="2">
        <v>3</v>
      </c>
      <c r="C71" s="38" t="s">
        <v>32</v>
      </c>
      <c r="D71" s="42">
        <f>TRUNC(9797,-1)</f>
        <v>9790</v>
      </c>
      <c r="E71" s="63">
        <f t="shared" si="2"/>
        <v>32360</v>
      </c>
    </row>
    <row r="72" spans="1:7" x14ac:dyDescent="0.3">
      <c r="A72" s="2">
        <v>4</v>
      </c>
      <c r="C72" s="38" t="s">
        <v>33</v>
      </c>
      <c r="D72" s="42">
        <f>TRUNC(4491,-1)</f>
        <v>4490</v>
      </c>
      <c r="E72" s="63">
        <f t="shared" si="2"/>
        <v>14840</v>
      </c>
    </row>
    <row r="73" spans="1:7" x14ac:dyDescent="0.3">
      <c r="A73" s="2">
        <v>5</v>
      </c>
      <c r="C73" s="38" t="s">
        <v>34</v>
      </c>
      <c r="D73" s="42">
        <f>TRUNC(22292,-1)</f>
        <v>22290</v>
      </c>
      <c r="E73" s="63">
        <f t="shared" si="2"/>
        <v>73680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TRUNC(11752,-1)</f>
        <v>11750</v>
      </c>
      <c r="E91" s="63">
        <f t="shared" si="2"/>
        <v>38840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TRUNC(113539,-1)</f>
        <v>113530</v>
      </c>
      <c r="E93" s="63">
        <f t="shared" si="2"/>
        <v>375300</v>
      </c>
    </row>
    <row r="94" spans="1:7" ht="17.25" thickBot="1" x14ac:dyDescent="0.35">
      <c r="A94" s="2">
        <v>26</v>
      </c>
      <c r="C94" s="38" t="s">
        <v>47</v>
      </c>
      <c r="D94" s="43">
        <f>TRUNC(954+22182,-1)</f>
        <v>23130</v>
      </c>
      <c r="E94" s="64">
        <f t="shared" si="2"/>
        <v>76460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195720</v>
      </c>
      <c r="E95" s="39">
        <f>SUM(E69:E94)</f>
        <v>646980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TRUNC(12592,-1)</f>
        <v>12590</v>
      </c>
      <c r="E98" s="62">
        <f t="shared" ref="E98:E118" si="3">TRUNC(+D98*3.3058,-1)</f>
        <v>41620</v>
      </c>
    </row>
    <row r="99" spans="1:7" x14ac:dyDescent="0.3">
      <c r="A99" s="2">
        <v>2</v>
      </c>
      <c r="C99" s="38" t="s">
        <v>40</v>
      </c>
      <c r="D99" s="42">
        <f>TRUNC(12477,-1)</f>
        <v>12470</v>
      </c>
      <c r="E99" s="63">
        <f t="shared" si="3"/>
        <v>41220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TRUNC(17318,-1)</f>
        <v>17310</v>
      </c>
      <c r="E102" s="63">
        <f t="shared" si="3"/>
        <v>57220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TRUNC(6854,-1)</f>
        <v>6850</v>
      </c>
      <c r="E104" s="63">
        <f t="shared" si="3"/>
        <v>22640</v>
      </c>
    </row>
    <row r="105" spans="1:7" x14ac:dyDescent="0.3">
      <c r="A105" s="2">
        <v>8</v>
      </c>
      <c r="C105" s="38" t="s">
        <v>46</v>
      </c>
      <c r="D105" s="42">
        <f>TRUNC(3409,-1)</f>
        <v>3400</v>
      </c>
      <c r="E105" s="63">
        <f t="shared" si="3"/>
        <v>11230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TRUNC(39358,-1)</f>
        <v>39350</v>
      </c>
      <c r="E114" s="63">
        <f t="shared" si="3"/>
        <v>130080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TRUNC(3076,-1)</f>
        <v>3070</v>
      </c>
      <c r="E116" s="63">
        <f t="shared" si="3"/>
        <v>10140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TRUNC(185992,-1)</f>
        <v>185990</v>
      </c>
      <c r="E117" s="63">
        <f t="shared" si="3"/>
        <v>614840</v>
      </c>
    </row>
    <row r="118" spans="1:7" ht="17.25" thickBot="1" x14ac:dyDescent="0.35">
      <c r="A118" s="2">
        <v>21</v>
      </c>
      <c r="C118" s="38" t="s">
        <v>47</v>
      </c>
      <c r="D118" s="43">
        <f>TRUNC(4925,-1)</f>
        <v>4920</v>
      </c>
      <c r="E118" s="64">
        <f t="shared" si="3"/>
        <v>16260</v>
      </c>
    </row>
    <row r="119" spans="1:7" x14ac:dyDescent="0.3">
      <c r="A119" s="2">
        <v>22</v>
      </c>
      <c r="C119" s="27" t="s">
        <v>112</v>
      </c>
      <c r="D119" s="39">
        <f>SUM(D98:D118)</f>
        <v>285950</v>
      </c>
      <c r="E119" s="39">
        <f>SUM(E98:E118)</f>
        <v>945250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TRUNC(5479,-1)</f>
        <v>5470</v>
      </c>
      <c r="E122" s="62">
        <f t="shared" ref="E122:E132" si="4">TRUNC(+D122*3.3058,-1)</f>
        <v>18080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TRUNC(1863,-1)</f>
        <v>1860</v>
      </c>
      <c r="E124" s="63">
        <f t="shared" si="4"/>
        <v>6140</v>
      </c>
    </row>
    <row r="125" spans="1:7" x14ac:dyDescent="0.3">
      <c r="A125" s="2">
        <v>4</v>
      </c>
      <c r="C125" s="38" t="s">
        <v>138</v>
      </c>
      <c r="D125" s="42">
        <f>TRUNC(9326,-1)</f>
        <v>9320</v>
      </c>
      <c r="E125" s="63">
        <f t="shared" si="4"/>
        <v>30810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TRUNC(1456,-1)</f>
        <v>1450</v>
      </c>
      <c r="E127" s="63">
        <f t="shared" si="4"/>
        <v>4790</v>
      </c>
    </row>
    <row r="128" spans="1:7" x14ac:dyDescent="0.3">
      <c r="A128" s="2">
        <v>7</v>
      </c>
      <c r="C128" s="38" t="s">
        <v>46</v>
      </c>
      <c r="D128" s="42">
        <f>TRUNC(5501,-1)</f>
        <v>5500</v>
      </c>
      <c r="E128" s="63">
        <f t="shared" si="4"/>
        <v>18180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TRUNC(59259,-1)</f>
        <v>59250</v>
      </c>
      <c r="E130" s="63">
        <f t="shared" si="4"/>
        <v>195860</v>
      </c>
    </row>
    <row r="131" spans="1:7" x14ac:dyDescent="0.3">
      <c r="A131" s="2">
        <v>10</v>
      </c>
      <c r="C131" s="38" t="s">
        <v>148</v>
      </c>
      <c r="D131" s="42">
        <f>TRUNC(20703,-1)</f>
        <v>20700</v>
      </c>
      <c r="E131" s="63">
        <f t="shared" si="4"/>
        <v>68430</v>
      </c>
    </row>
    <row r="132" spans="1:7" ht="18" thickBot="1" x14ac:dyDescent="0.35">
      <c r="A132" s="2">
        <v>11</v>
      </c>
      <c r="C132" s="38" t="s">
        <v>47</v>
      </c>
      <c r="D132" s="43">
        <f>TRUNC(3157+1794,-1)</f>
        <v>4950</v>
      </c>
      <c r="E132" s="64">
        <f t="shared" si="4"/>
        <v>16360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108500</v>
      </c>
      <c r="E133" s="39">
        <f>SUM(E122:E132)</f>
        <v>358650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TRUNC(235+3835+1585,-1)</f>
        <v>5650</v>
      </c>
      <c r="E137" s="63">
        <f t="shared" si="5"/>
        <v>18670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f>TRUNC(3508,-1)</f>
        <v>3500</v>
      </c>
      <c r="E138" s="63">
        <f t="shared" si="5"/>
        <v>11570</v>
      </c>
    </row>
    <row r="139" spans="1:7" x14ac:dyDescent="0.3">
      <c r="A139" s="2">
        <v>4</v>
      </c>
      <c r="C139" s="38" t="s">
        <v>61</v>
      </c>
      <c r="D139" s="42">
        <f>TRUNC(1993,-1)</f>
        <v>1990</v>
      </c>
      <c r="E139" s="63">
        <f t="shared" si="5"/>
        <v>6570</v>
      </c>
    </row>
    <row r="140" spans="1:7" x14ac:dyDescent="0.3">
      <c r="A140" s="2">
        <v>5</v>
      </c>
      <c r="C140" s="38" t="s">
        <v>57</v>
      </c>
      <c r="D140" s="42">
        <f>TRUNC(2376,-1)</f>
        <v>2370</v>
      </c>
      <c r="E140" s="63">
        <f t="shared" si="5"/>
        <v>7830</v>
      </c>
    </row>
    <row r="141" spans="1:7" x14ac:dyDescent="0.3">
      <c r="A141" s="2">
        <v>6</v>
      </c>
      <c r="C141" s="38" t="s">
        <v>59</v>
      </c>
      <c r="D141" s="42">
        <f>TRUNC(3316,-1)</f>
        <v>3310</v>
      </c>
      <c r="E141" s="63">
        <f t="shared" si="5"/>
        <v>10940</v>
      </c>
    </row>
    <row r="142" spans="1:7" x14ac:dyDescent="0.3">
      <c r="A142" s="2">
        <v>7</v>
      </c>
      <c r="C142" s="38" t="s">
        <v>58</v>
      </c>
      <c r="D142" s="42">
        <f>TRUNC(4421,-1)</f>
        <v>4420</v>
      </c>
      <c r="E142" s="63">
        <f t="shared" si="5"/>
        <v>14610</v>
      </c>
    </row>
    <row r="143" spans="1:7" x14ac:dyDescent="0.3">
      <c r="A143" s="2">
        <v>8</v>
      </c>
      <c r="C143" s="38" t="s">
        <v>62</v>
      </c>
      <c r="D143" s="42">
        <f>TRUNC(5563,-1)</f>
        <v>5560</v>
      </c>
      <c r="E143" s="63">
        <f t="shared" si="5"/>
        <v>18380</v>
      </c>
    </row>
    <row r="144" spans="1:7" x14ac:dyDescent="0.3">
      <c r="A144" s="2">
        <v>9</v>
      </c>
      <c r="C144" s="38" t="s">
        <v>63</v>
      </c>
      <c r="D144" s="42">
        <f>TRUNC(19765,-1)</f>
        <v>19760</v>
      </c>
      <c r="E144" s="63">
        <f t="shared" si="5"/>
        <v>65320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46560</v>
      </c>
      <c r="E146" s="39">
        <f>SUM(E136:E145)</f>
        <v>153890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2376+244</f>
        <v>2620</v>
      </c>
      <c r="E149" s="62">
        <f>TRUNC(+D149*3.3058,-1)</f>
        <v>8660</v>
      </c>
    </row>
    <row r="150" spans="1:7" x14ac:dyDescent="0.3">
      <c r="A150" s="2">
        <v>2</v>
      </c>
      <c r="C150" s="38" t="s">
        <v>49</v>
      </c>
      <c r="D150" s="42">
        <f>TRUNC(8047,-1)</f>
        <v>8040</v>
      </c>
      <c r="E150" s="63">
        <f>TRUNC(+D150*3.3058,-1)</f>
        <v>26570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TRUNC(16242+109+995,-1)</f>
        <v>17340</v>
      </c>
      <c r="E152" s="63">
        <f>TRUNC(+D152*3.3058,-1)</f>
        <v>57320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TRUNC(22622,-1)</f>
        <v>22620</v>
      </c>
      <c r="E153" s="64">
        <f>TRUNC(+D153*3.3058,-1)</f>
        <v>74770</v>
      </c>
    </row>
    <row r="154" spans="1:7" x14ac:dyDescent="0.3">
      <c r="A154" s="2">
        <v>6</v>
      </c>
      <c r="C154" s="27" t="s">
        <v>112</v>
      </c>
      <c r="D154" s="39">
        <f>SUM(D149:D153)</f>
        <v>50620</v>
      </c>
      <c r="E154" s="39">
        <f>SUM(E149:E153)</f>
        <v>167320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TRUNC(20905,-1)</f>
        <v>20900</v>
      </c>
      <c r="E157" s="62">
        <f>TRUNC(+D157*3.3058,-1)</f>
        <v>69090</v>
      </c>
    </row>
    <row r="158" spans="1:7" x14ac:dyDescent="0.3">
      <c r="A158" s="2">
        <v>2</v>
      </c>
      <c r="C158" s="38" t="s">
        <v>52</v>
      </c>
      <c r="D158" s="42">
        <f>TRUNC(4395,-1)</f>
        <v>4390</v>
      </c>
      <c r="E158" s="63">
        <f>TRUNC(+D158*3.3058,-1)</f>
        <v>14510</v>
      </c>
    </row>
    <row r="159" spans="1:7" x14ac:dyDescent="0.3">
      <c r="A159" s="2">
        <v>3</v>
      </c>
      <c r="C159" s="38" t="s">
        <v>47</v>
      </c>
      <c r="D159" s="42">
        <f>TRUNC(9585,-1)</f>
        <v>9580</v>
      </c>
      <c r="E159" s="63">
        <f>TRUNC(+D159*3.3058,-1)</f>
        <v>31660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34870</v>
      </c>
      <c r="E161" s="39">
        <f>SUM(E157:E160)</f>
        <v>115260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2020-12-08T02:07:59Z</dcterms:modified>
</cp:coreProperties>
</file>