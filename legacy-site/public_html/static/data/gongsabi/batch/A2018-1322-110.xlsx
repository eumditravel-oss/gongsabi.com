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8" i="4" l="1"/>
  <c r="D159" i="4"/>
  <c r="D157" i="4"/>
  <c r="D152" i="4"/>
  <c r="D149" i="4"/>
  <c r="D144" i="4"/>
  <c r="D143" i="4"/>
  <c r="D139" i="4"/>
  <c r="D137" i="4"/>
  <c r="D142" i="4"/>
  <c r="D140" i="4"/>
  <c r="D128" i="4"/>
  <c r="D124" i="4"/>
  <c r="D125" i="4"/>
  <c r="D122" i="4"/>
  <c r="D130" i="4"/>
  <c r="D118" i="4"/>
  <c r="D104" i="4"/>
  <c r="D103" i="4"/>
  <c r="D102" i="4"/>
  <c r="D100" i="4"/>
  <c r="D99" i="4"/>
  <c r="D98" i="4"/>
  <c r="D92" i="4"/>
  <c r="D91" i="4"/>
  <c r="D89" i="4"/>
  <c r="D73" i="4"/>
  <c r="D72" i="4"/>
  <c r="D69" i="4"/>
  <c r="D63" i="4"/>
  <c r="D58" i="4"/>
  <c r="D53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95" i="4"/>
  <c r="E60" i="4"/>
  <c r="E119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<sst xmlns="http://schemas.openxmlformats.org/spreadsheetml/2006/main" count="391" uniqueCount="266">
  <si>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</si>
  <si>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</si>
  <si>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</si>
  <si>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</si>
  <si>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</si>
  <si>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</si>
  <si>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</si>
  <si>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</si>
  <si>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</si>
  <si>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</si>
  <si>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</si>
  <si>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</si>
  <si>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</si>
  <si>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</si>
  <si>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</si>
  <si>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</si>
  <si>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</si>
  <si>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</si>
  <si>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</si>
  <si>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</si>
  <si>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</si>
  <si>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</si>
  <si>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</si>
  <si>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</si>
  <si>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</si>
  <si>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</si>
  <si>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</si>
  <si>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</si>
  <si>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</si>
  <si>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</si>
  <si>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</si>
  <si>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</si>
  <si>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</si>
  <si>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</si>
  <si>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</si>
  <si>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</si>
  <si>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</si>
  <si>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</si>
  <si>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</si>
  <si>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</si>
  <si>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</si>
  <si>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</si>
  <si>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</si>
  <si>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</si>
  <si>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</si>
  <si>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</si>
  <si>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</si>
  <si>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</si>
  <si>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</si>
  <si>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</si>
  <si>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</si>
  <si>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</si>
  <si>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</si>
  <si>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</si>
  <si>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</si>
  <si>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</si>
  <si>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</si>
  <si>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</si>
  <si>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</si>
  <si>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</si>
  <si>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</si>
  <si>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</si>
  <si>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</si>
  <si>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</si>
  <si>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</si>
  <si>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</si>
  <si>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</si>
  <si>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</si>
  <si>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</si>
  <si>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</si>
  <si>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</si>
  <si>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</si>
  <si>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</si>
  <si>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</si>
  <si>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</si>
  <si>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</si>
  <si>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</si>
  <si>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</si>
  <si>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</si>
  <si>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</si>
  <si>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</si>
  <si>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</si>
  <si>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</si>
  <si>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</si>
  <si>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</si>
  <si>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</si>
  <si>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</si>
  <si>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</si>
  <si>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</si>
  <si>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</si>
  <si>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</si>
  <si>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</si>
  <si>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</si>
  <si>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</si>
  <si>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</si>
  <si>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</si>
  <si>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</si>
  <si>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</si>
  <si>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</si>
  <si>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</si>
  <si>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</si>
  <si>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</si>
  <si>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</si>
  <si>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</si>
  <si>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</si>
  <si>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</si>
  <si>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</si>
  <si>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</si>
  <si>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</si>
  <si>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</si>
  <si>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</si>
  <si>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</si>
  <si>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</si>
  <si>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</si>
  <si>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</si>
  <si>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</si>
  <si>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</si>
  <si>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</si>
  <si>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</si>
  <si>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</si>
  <si>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</si>
  <si>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</si>
  <si>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</si>
  <si>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</si>
  <si>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</si>
  <si>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</si>
  <si>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</si>
  <si>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</si>
  <si>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</si>
  <si>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</si>
  <si>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</si>
  <si>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</si>
  <si>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</si>
  <si>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</si>
  <si>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</si>
  <si>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</si>
  <si>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</si>
  <si>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</si>
  <si>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</si>
  <si>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</si>
  <si>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</si>
  <si>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</si>
  <si>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</si>
  <si>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</si>
  <si>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</si>
  <si>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</si>
  <si>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</si>
  <si>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</si>
  <si>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</si>
  <si>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</si>
  <si>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</si>
  <si>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</si>
  <si>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</si>
  <si>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</si>
  <si>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</si>
  <si>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</si>
  <si>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</si>
  <si>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</si>
  <si>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</si>
  <si>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</si>
  <si>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</si>
  <si>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</si>
  <si>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</si>
  <si>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</si>
  <si>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</si>
  <si>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</si>
  <si>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</si>
  <si>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</si>
  <si>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</si>
  <si>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</si>
  <si>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</si>
  <si>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</si>
  <si>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</si>
  <si>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</si>
  <si>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</si>
  <si>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</si>
  <si>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</si>
  <si>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</si>
  <si>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</si>
  <si>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</si>
  <si>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</si>
  <si>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</si>
  <si>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</si>
  <si>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</si>
  <si>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</si>
  <si>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</si>
  <si>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</si>
  <si>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</si>
  <si>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</si>
  <si>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</si>
  <si>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</si>
  <si>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</si>
  <si>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</si>
  <si>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</si>
  <si>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</si>
  <si>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</si>
  <si>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</si>
  <si>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</si>
  <si>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</si>
  <si>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</si>
  <si>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</si>
  <si>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</si>
  <si>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</si>
  <si>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</si>
  <si>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</si>
  <si>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</si>
  <si>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</si>
  <si>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</si>
  <si>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</si>
  <si>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</si>
  <si>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</si>
  <si>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</si>
  <si>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</si>
  <si>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</si>
  <si>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</si>
  <si>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</si>
  <si>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</si>
  <si>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</si>
  <si>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</si>
  <si>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</si>
  <si>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</si>
  <si>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</si>
  <si>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</si>
  <si>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</si>
  <si>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</si>
  <si>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</si>
  <si>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</si>
  <si>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</si>
  <si>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</si>
  <si>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</si>
  <si>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</si>
  <si>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</si>
  <si>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</si>
  <si>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</si>
  <si>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</si>
  <si>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</si>
  <si>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</si>
  <si>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</si>
  <si>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</si>
  <si>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</si>
  <si>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</si>
  <si>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</si>
  <si>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</si>
  <si>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</si>
  <si>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</si>
  <si>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</si>
  <si>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</si>
  <si>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</si>
  <si>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</si>
  <si>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구리지사 사옥 신축공사</t>
    <phoneticPr fontId="2" type="noConversion"/>
  </si>
  <si>
    <t>업무</t>
  </si>
  <si>
    <t>목공사및수장공사(인테리어공사 포함)</t>
    <phoneticPr fontId="2" type="noConversion"/>
  </si>
  <si>
    <t>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</si>
  <si>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</si>
  <si>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</si>
  <si>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펌프실배관공사,기타공사</t>
    <phoneticPr fontId="2" type="noConversion"/>
  </si>
  <si>
    <t>우수공사,오수공사</t>
    <phoneticPr fontId="2" type="noConversion"/>
  </si>
  <si>
    <t>상수도공사,운반비</t>
    <phoneticPr fontId="2" type="noConversion"/>
  </si>
  <si>
    <t>포장공사</t>
    <phoneticPr fontId="2" type="noConversion"/>
  </si>
  <si>
    <t>조경시설물</t>
    <phoneticPr fontId="2" type="noConversion"/>
  </si>
  <si>
    <t>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</si>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</sst>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1938.73</v>
      </c>
      <c r="D7" s="36">
        <f>+C7/3.3058</f>
        <v>586.46318591566342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1296830</v>
      </c>
      <c r="E25" s="59">
        <f t="shared" si="0"/>
        <v>4287060</v>
      </c>
    </row>
    <row r="26" spans="1:5" x14ac:dyDescent="0.3">
      <c r="B26" s="2">
        <v>3</v>
      </c>
      <c r="C26" s="35" t="s">
        <v>95</v>
      </c>
      <c r="D26" s="45">
        <f>+D66</f>
        <v>16800</v>
      </c>
      <c r="E26" s="59">
        <f t="shared" si="0"/>
        <v>55530</v>
      </c>
    </row>
    <row r="27" spans="1:5" x14ac:dyDescent="0.3">
      <c r="B27" s="2">
        <v>4</v>
      </c>
      <c r="C27" s="35" t="s">
        <v>96</v>
      </c>
      <c r="D27" s="45">
        <f>+D95</f>
        <v>60450</v>
      </c>
      <c r="E27" s="59">
        <f t="shared" si="0"/>
        <v>199830</v>
      </c>
    </row>
    <row r="28" spans="1:5" x14ac:dyDescent="0.3">
      <c r="B28" s="2">
        <v>5</v>
      </c>
      <c r="C28" s="35" t="s">
        <v>97</v>
      </c>
      <c r="D28" s="45">
        <f>+D119</f>
        <v>279730</v>
      </c>
      <c r="E28" s="59">
        <f t="shared" si="0"/>
        <v>924730</v>
      </c>
    </row>
    <row r="29" spans="1:5" x14ac:dyDescent="0.3">
      <c r="B29" s="2">
        <v>6</v>
      </c>
      <c r="C29" s="35" t="s">
        <v>98</v>
      </c>
      <c r="D29" s="45">
        <f>+D133</f>
        <v>107330</v>
      </c>
      <c r="E29" s="59">
        <f t="shared" si="0"/>
        <v>354810</v>
      </c>
    </row>
    <row r="30" spans="1:5" x14ac:dyDescent="0.3">
      <c r="B30" s="2">
        <v>7</v>
      </c>
      <c r="C30" s="35" t="s">
        <v>99</v>
      </c>
      <c r="D30" s="45">
        <f>+D146</f>
        <v>51260</v>
      </c>
      <c r="E30" s="59">
        <f t="shared" si="0"/>
        <v>169450</v>
      </c>
    </row>
    <row r="31" spans="1:5" x14ac:dyDescent="0.3">
      <c r="B31" s="2">
        <v>8</v>
      </c>
      <c r="C31" s="35" t="s">
        <v>100</v>
      </c>
      <c r="D31" s="45">
        <f>+D154</f>
        <v>27980</v>
      </c>
      <c r="E31" s="59">
        <f t="shared" si="0"/>
        <v>92490</v>
      </c>
    </row>
    <row r="32" spans="1:5" x14ac:dyDescent="0.3">
      <c r="B32" s="2">
        <v>9</v>
      </c>
      <c r="C32" s="35" t="s">
        <v>101</v>
      </c>
      <c r="D32" s="45">
        <f>+D161</f>
        <v>76610</v>
      </c>
      <c r="E32" s="59">
        <f t="shared" si="0"/>
        <v>253250</v>
      </c>
    </row>
    <row r="33" spans="1:7" x14ac:dyDescent="0.3">
      <c r="B33" s="2">
        <v>10</v>
      </c>
      <c r="C33" s="35" t="s">
        <v>154</v>
      </c>
      <c r="D33" s="53">
        <f>TRUNC(SUM(D24:D32)*0.275,-1)</f>
        <v>527170</v>
      </c>
      <c r="E33" s="60">
        <f t="shared" si="0"/>
        <v>1742710</v>
      </c>
    </row>
    <row r="34" spans="1:7" x14ac:dyDescent="0.3">
      <c r="C34" s="35" t="s">
        <v>112</v>
      </c>
      <c r="D34" s="44">
        <f>SUM(D24:D33)</f>
        <v>2444160</v>
      </c>
      <c r="E34" s="44">
        <f>SUM(E24:E33)</f>
        <v>8079860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v>0</v>
      </c>
      <c r="E40" s="62">
        <f t="shared" ref="E40:E59" si="1">TRUNC(+D40*3.3058,-1)</f>
        <v>0</v>
      </c>
    </row>
    <row r="41" spans="1:7" x14ac:dyDescent="0.3">
      <c r="A41" s="2">
        <v>2</v>
      </c>
      <c r="C41" s="38" t="s">
        <v>13</v>
      </c>
      <c r="D41" s="42">
        <v>0</v>
      </c>
      <c r="E41" s="63">
        <f t="shared" si="1"/>
        <v>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f>TRUNC(913868,-1)</f>
        <v>913860</v>
      </c>
      <c r="E53" s="63">
        <f t="shared" si="1"/>
        <v>3021030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TRUNC(4126,-1)</f>
        <v>4120</v>
      </c>
      <c r="E58" s="63">
        <f t="shared" si="1"/>
        <v>13610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TRUNC(378853,-1)</f>
        <v>378850</v>
      </c>
      <c r="E59" s="64">
        <f t="shared" si="1"/>
        <v>1252400</v>
      </c>
    </row>
    <row r="60" spans="1:7" x14ac:dyDescent="0.3">
      <c r="A60" s="2">
        <v>21</v>
      </c>
      <c r="C60" s="27" t="s">
        <v>112</v>
      </c>
      <c r="D60" s="39">
        <f>SUM(D40:D59)</f>
        <v>1296830</v>
      </c>
      <c r="E60" s="39">
        <f>SUM(E40:E59)</f>
        <v>4287040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TRUNC(16806,-1)</f>
        <v>16800</v>
      </c>
      <c r="E63" s="62">
        <f>TRUNC(+D63*3.3058,-1)</f>
        <v>55530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16800</v>
      </c>
      <c r="E66" s="65">
        <f>SUM(E63:E65)</f>
        <v>55530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TRUNC(9565,-1)</f>
        <v>9560</v>
      </c>
      <c r="E69" s="62">
        <f t="shared" ref="E69:E94" si="2">TRUNC(+D69*3.3058,-1)</f>
        <v>31600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TRUNC(4561,-1)</f>
        <v>4560</v>
      </c>
      <c r="E72" s="63">
        <f t="shared" si="2"/>
        <v>15070</v>
      </c>
    </row>
    <row r="73" spans="1:7" x14ac:dyDescent="0.3">
      <c r="A73" s="2">
        <v>5</v>
      </c>
      <c r="C73" s="38" t="s">
        <v>34</v>
      </c>
      <c r="D73" s="42">
        <f>TRUNC(12278,-1)</f>
        <v>12270</v>
      </c>
      <c r="E73" s="63">
        <f t="shared" si="2"/>
        <v>40560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TRUNC(8342,-1)</f>
        <v>8340</v>
      </c>
      <c r="E89" s="63">
        <f t="shared" si="2"/>
        <v>27570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TRUNC(11332,-1)</f>
        <v>11330</v>
      </c>
      <c r="E91" s="63">
        <f t="shared" si="2"/>
        <v>37450</v>
      </c>
    </row>
    <row r="92" spans="1:7" x14ac:dyDescent="0.3">
      <c r="A92" s="2">
        <v>24</v>
      </c>
      <c r="C92" s="38" t="s">
        <v>38</v>
      </c>
      <c r="D92" s="42">
        <f>TRUNC(9142,-1)</f>
        <v>9140</v>
      </c>
      <c r="E92" s="63">
        <f t="shared" si="2"/>
        <v>30210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TRUNC(4652+605,-1)</f>
        <v>5250</v>
      </c>
      <c r="E94" s="64">
        <f t="shared" si="2"/>
        <v>17350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60450</v>
      </c>
      <c r="E95" s="39">
        <f>SUM(E69:E94)</f>
        <v>199810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TRUNC(30269,-1)</f>
        <v>30260</v>
      </c>
      <c r="E98" s="62">
        <f t="shared" ref="E98:E118" si="3">TRUNC(+D98*3.3058,-1)</f>
        <v>100030</v>
      </c>
    </row>
    <row r="99" spans="1:7" x14ac:dyDescent="0.3">
      <c r="A99" s="2">
        <v>2</v>
      </c>
      <c r="C99" s="38" t="s">
        <v>40</v>
      </c>
      <c r="D99" s="42">
        <f>TRUNC(3447,-1)</f>
        <v>3440</v>
      </c>
      <c r="E99" s="63">
        <f t="shared" si="3"/>
        <v>11370</v>
      </c>
    </row>
    <row r="100" spans="1:7" x14ac:dyDescent="0.3">
      <c r="A100" s="2">
        <v>3</v>
      </c>
      <c r="C100" s="38" t="s">
        <v>41</v>
      </c>
      <c r="D100" s="42">
        <f>TRUNC(36193,-1)</f>
        <v>36190</v>
      </c>
      <c r="E100" s="63">
        <f t="shared" si="3"/>
        <v>119630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TRUNC(22225,-1)</f>
        <v>22220</v>
      </c>
      <c r="E102" s="63">
        <f t="shared" si="3"/>
        <v>73450</v>
      </c>
    </row>
    <row r="103" spans="1:7" x14ac:dyDescent="0.3">
      <c r="A103" s="2">
        <v>6</v>
      </c>
      <c r="C103" s="38" t="s">
        <v>44</v>
      </c>
      <c r="D103" s="42">
        <f>TRUNC(6249,-1)</f>
        <v>6240</v>
      </c>
      <c r="E103" s="63">
        <f t="shared" si="3"/>
        <v>20620</v>
      </c>
    </row>
    <row r="104" spans="1:7" x14ac:dyDescent="0.3">
      <c r="A104" s="2">
        <v>7</v>
      </c>
      <c r="C104" s="38" t="s">
        <v>45</v>
      </c>
      <c r="D104" s="42">
        <f>TRUNC(7673,-1)</f>
        <v>7670</v>
      </c>
      <c r="E104" s="63">
        <f t="shared" si="3"/>
        <v>25350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TRUNC(166091,-1)</f>
        <v>166090</v>
      </c>
      <c r="E117" s="63">
        <f t="shared" si="3"/>
        <v>549060</v>
      </c>
    </row>
    <row r="118" spans="1:7" ht="17.25" thickBot="1" x14ac:dyDescent="0.35">
      <c r="A118" s="2">
        <v>21</v>
      </c>
      <c r="C118" s="38" t="s">
        <v>47</v>
      </c>
      <c r="D118" s="43">
        <f>TRUNC(7623,-1)</f>
        <v>7620</v>
      </c>
      <c r="E118" s="64">
        <f t="shared" si="3"/>
        <v>25190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279730</v>
      </c>
      <c r="E119" s="39">
        <f>SUM(E98:E118)</f>
        <v>924700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TRUNC(5538,-1)</f>
        <v>5530</v>
      </c>
      <c r="E122" s="62">
        <f t="shared" ref="E122:E132" si="4">TRUNC(+D122*3.3058,-1)</f>
        <v>18280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TRUNC(4039,-1)</f>
        <v>4030</v>
      </c>
      <c r="E124" s="63">
        <f t="shared" si="4"/>
        <v>13320</v>
      </c>
    </row>
    <row r="125" spans="1:7" x14ac:dyDescent="0.3">
      <c r="A125" s="2">
        <v>4</v>
      </c>
      <c r="C125" s="38" t="s">
        <v>138</v>
      </c>
      <c r="D125" s="42">
        <f>TRUNC(7388,-1)</f>
        <v>7380</v>
      </c>
      <c r="E125" s="63">
        <f t="shared" si="4"/>
        <v>24390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TRUNC(6329,-1)</f>
        <v>6320</v>
      </c>
      <c r="E128" s="63">
        <f t="shared" si="4"/>
        <v>20890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TRUNC(23717,-1)</f>
        <v>23710</v>
      </c>
      <c r="E130" s="63">
        <f t="shared" si="4"/>
        <v>78380</v>
      </c>
    </row>
    <row r="131" spans="1:7" x14ac:dyDescent="0.3">
      <c r="A131" s="2">
        <v>10</v>
      </c>
      <c r="C131" s="38" t="s">
        <v>148</v>
      </c>
      <c r="D131" s="42">
        <f>TRUNC(60363,-1)</f>
        <v>60360</v>
      </c>
      <c r="E131" s="63">
        <f t="shared" si="4"/>
        <v>199530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107330</v>
      </c>
      <c r="E133" s="39">
        <f>SUM(E122:E132)</f>
        <v>354790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TRUNC(5048+18780,-1)</f>
        <v>23820</v>
      </c>
      <c r="E137" s="63">
        <f t="shared" si="5"/>
        <v>78740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TRUNC(2930,-1)</f>
        <v>2930</v>
      </c>
      <c r="E139" s="63">
        <f t="shared" si="5"/>
        <v>9680</v>
      </c>
    </row>
    <row r="140" spans="1:7" x14ac:dyDescent="0.3">
      <c r="A140" s="2">
        <v>5</v>
      </c>
      <c r="C140" s="38" t="s">
        <v>57</v>
      </c>
      <c r="D140" s="42">
        <f>TRUNC(6039,-1)</f>
        <v>6030</v>
      </c>
      <c r="E140" s="63">
        <f t="shared" si="5"/>
        <v>19930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TRUNC(7571,-1)</f>
        <v>7570</v>
      </c>
      <c r="E142" s="63">
        <f t="shared" si="5"/>
        <v>25020</v>
      </c>
    </row>
    <row r="143" spans="1:7" x14ac:dyDescent="0.3">
      <c r="A143" s="2">
        <v>8</v>
      </c>
      <c r="C143" s="38" t="s">
        <v>62</v>
      </c>
      <c r="D143" s="42">
        <f>TRUNC(3946,-1)</f>
        <v>3940</v>
      </c>
      <c r="E143" s="63">
        <f t="shared" si="5"/>
        <v>13020</v>
      </c>
    </row>
    <row r="144" spans="1:7" x14ac:dyDescent="0.3">
      <c r="A144" s="2">
        <v>9</v>
      </c>
      <c r="C144" s="38" t="s">
        <v>63</v>
      </c>
      <c r="D144" s="42">
        <f>TRUNC(6979,-1)</f>
        <v>6970</v>
      </c>
      <c r="E144" s="63">
        <f t="shared" si="5"/>
        <v>23040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51260</v>
      </c>
      <c r="E146" s="39">
        <f>SUM(E136:E145)</f>
        <v>169430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TRUNC(18567+5303,-1)</f>
        <v>23870</v>
      </c>
      <c r="E149" s="62">
        <f>TRUNC(+D149*3.3058,-1)</f>
        <v>78900</v>
      </c>
      <c r="F149" s="2" t="s">
        <v>256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TRUNC(4111+5,-1)</f>
        <v>4110</v>
      </c>
      <c r="E152" s="63">
        <f>TRUNC(+D152*3.3058,-1)</f>
        <v>13580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27980</v>
      </c>
      <c r="E154" s="39">
        <f>SUM(E149:E153)</f>
        <v>92480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TRUNC(23257,-1)</f>
        <v>23250</v>
      </c>
      <c r="E157" s="62">
        <f>TRUNC(+D157*3.3058,-1)</f>
        <v>76850</v>
      </c>
    </row>
    <row r="158" spans="1:7" x14ac:dyDescent="0.3">
      <c r="A158" s="2">
        <v>2</v>
      </c>
      <c r="C158" s="38" t="s">
        <v>52</v>
      </c>
      <c r="D158" s="42">
        <f>TRUNC(7041,-1)</f>
        <v>7040</v>
      </c>
      <c r="E158" s="63">
        <f>TRUNC(+D158*3.3058,-1)</f>
        <v>23270</v>
      </c>
      <c r="F158" s="2" t="s">
        <v>259</v>
      </c>
    </row>
    <row r="159" spans="1:7" x14ac:dyDescent="0.3">
      <c r="A159" s="2">
        <v>3</v>
      </c>
      <c r="C159" s="38" t="s">
        <v>47</v>
      </c>
      <c r="D159" s="42">
        <f>TRUNC(46324,-1)</f>
        <v>46320</v>
      </c>
      <c r="E159" s="63">
        <f>TRUNC(+D159*3.3058,-1)</f>
        <v>153120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76610</v>
      </c>
      <c r="E161" s="39">
        <f>SUM(E157:E160)</f>
        <v>253240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2020-12-08T02:24:11Z</dcterms:modified>
</cp:coreProperties>
</file>