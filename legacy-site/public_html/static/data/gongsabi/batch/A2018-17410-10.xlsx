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7" i="4"/>
  <c r="D153" i="4"/>
  <c r="D152" i="4"/>
  <c r="D145" i="4"/>
  <c r="D144" i="4"/>
  <c r="D143" i="4"/>
  <c r="D142" i="4"/>
  <c r="D139" i="4"/>
  <c r="D137" i="4"/>
  <c r="D132" i="4"/>
  <c r="D131" i="4"/>
  <c r="D130" i="4"/>
  <c r="D118" i="4"/>
  <c r="D104" i="4"/>
  <c r="D102" i="4"/>
  <c r="D100" i="4"/>
  <c r="D98" i="4"/>
  <c r="D93" i="4"/>
  <c r="D92" i="4"/>
  <c r="D89" i="4"/>
  <c r="D73" i="4"/>
  <c r="D69" i="4"/>
  <c r="D65" i="4"/>
  <c r="D63" i="4"/>
  <c r="D59" i="4"/>
  <c r="D58" i="4"/>
  <c r="D53" i="4"/>
  <c r="D52" i="4"/>
  <c r="D50" i="4"/>
  <c r="D49" i="4"/>
  <c r="D48" i="4"/>
  <c r="D45" i="4"/>
  <c r="D44" i="4"/>
  <c r="D43" i="4"/>
  <c r="D42" i="4"/>
  <c r="D41" i="4"/>
  <c r="D4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33" i="4" l="1"/>
  <c r="E154" i="4"/>
  <c r="E66" i="4"/>
  <c r="E146" i="4"/>
  <c r="E119" i="4"/>
  <c r="E95" i="4"/>
  <c r="E60" i="4"/>
  <c r="D161" i="4"/>
  <c r="D32" i="4" s="1"/>
  <c r="E32" i="4" s="1"/>
  <c r="D154" i="4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31" i="4"/>
  <c r="E31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D34" i="4" l="1"/>
  <c r="E34" i="4"/>
</calcChain>
</file>

<file path=xl/sharedStrings.xml><?xml version="1.0" encoding="utf-8"?>
<sst xmlns="http://schemas.openxmlformats.org/spreadsheetml/2006/main" count="389" uniqueCount="264">
  <si>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</si>
  <si>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</si>
  <si>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</si>
  <si>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</si>
  <si>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</si>
  <si>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</si>
  <si>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</si>
  <si>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</si>
  <si>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</si>
  <si>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</si>
  <si>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</si>
  <si>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</si>
  <si>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</si>
  <si>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</si>
  <si>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</si>
  <si>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</si>
  <si>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</si>
  <si>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</si>
  <si>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</si>
  <si>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</si>
  <si>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</si>
  <si>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</si>
  <si>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</si>
  <si>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</si>
  <si>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</si>
  <si>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</si>
  <si>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</si>
  <si>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</si>
  <si>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</si>
  <si>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</si>
  <si>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</si>
  <si>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</si>
  <si>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</si>
  <si>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</si>
  <si>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</si>
  <si>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</si>
  <si>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</si>
  <si>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</si>
  <si>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</si>
  <si>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</si>
  <si>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</si>
  <si>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</si>
  <si>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</si>
  <si>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</si>
  <si>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</si>
  <si>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</si>
  <si>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</si>
  <si>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</si>
  <si>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</si>
  <si>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</si>
  <si>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</si>
  <si>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</si>
  <si>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</si>
  <si>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</si>
  <si>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</si>
  <si>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</si>
  <si>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</si>
  <si>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</si>
  <si>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</si>
  <si>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</si>
  <si>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</si>
  <si>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</si>
  <si>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</si>
  <si>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</si>
  <si>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</si>
  <si>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</si>
  <si>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</si>
  <si>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</si>
  <si>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</si>
  <si>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</si>
  <si>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</si>
  <si>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</si>
  <si>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</si>
  <si>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</si>
  <si>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</si>
  <si>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</si>
  <si>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</si>
  <si>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</si>
  <si>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</si>
  <si>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</si>
  <si>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</si>
  <si>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</si>
  <si>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</si>
  <si>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</si>
  <si>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</si>
  <si>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</si>
  <si>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</si>
  <si>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</si>
  <si>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</si>
  <si>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</si>
  <si>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</si>
  <si>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</si>
  <si>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</si>
  <si>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</si>
  <si>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</si>
  <si>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</si>
  <si>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</si>
  <si>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</si>
  <si>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</si>
  <si>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</si>
  <si>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</si>
  <si>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</si>
  <si>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</si>
  <si>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</si>
  <si>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</si>
  <si>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</si>
  <si>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</si>
  <si>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</si>
  <si>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</si>
  <si>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</si>
  <si>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</si>
  <si>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</si>
  <si>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</si>
  <si>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</si>
  <si>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</si>
  <si>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</si>
  <si>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</si>
  <si>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</si>
  <si>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</si>
  <si>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</si>
  <si>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</si>
  <si>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</si>
  <si>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</si>
  <si>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</si>
  <si>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</si>
  <si>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</si>
  <si>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</si>
  <si>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</si>
  <si>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</si>
  <si>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</si>
  <si>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</si>
  <si>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</si>
  <si>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</si>
  <si>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</si>
  <si>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</si>
  <si>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</si>
  <si>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</si>
  <si>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</si>
  <si>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</si>
  <si>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</si>
  <si>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</si>
  <si>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</si>
  <si>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</si>
  <si>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</si>
  <si>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</si>
  <si>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</si>
  <si>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</si>
  <si>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</si>
  <si>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</si>
  <si>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</si>
  <si>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</si>
  <si>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</si>
  <si>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</si>
  <si>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</si>
  <si>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</si>
  <si>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</si>
  <si>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</si>
  <si>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</si>
  <si>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</si>
  <si>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</si>
  <si>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</si>
  <si>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</si>
  <si>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</si>
  <si>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</si>
  <si>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</si>
  <si>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</si>
  <si>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</si>
  <si>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</si>
  <si>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</si>
  <si>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</si>
  <si>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</si>
  <si>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</si>
  <si>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</si>
  <si>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</si>
  <si>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</si>
  <si>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</si>
  <si>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</si>
  <si>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</si>
  <si>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</si>
  <si>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</si>
  <si>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</si>
  <si>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</si>
  <si>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</si>
  <si>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</si>
  <si>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</si>
  <si>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</si>
  <si>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</si>
  <si>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</si>
  <si>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</si>
  <si>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</si>
  <si>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</si>
  <si>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</si>
  <si>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</si>
  <si>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</si>
  <si>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</si>
  <si>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</si>
  <si>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</si>
  <si>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</si>
  <si>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</si>
  <si>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</si>
  <si>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</si>
  <si>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</si>
  <si>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</si>
  <si>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</si>
  <si>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</si>
  <si>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</si>
  <si>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</si>
  <si>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</si>
  <si>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</si>
  <si>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</si>
  <si>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</si>
  <si>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</si>
  <si>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</si>
  <si>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</si>
  <si>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</si>
  <si>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</si>
  <si>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</si>
  <si>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</si>
  <si>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</si>
  <si>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</si>
  <si>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</si>
  <si>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</si>
  <si>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</si>
  <si>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</si>
  <si>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</si>
  <si>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</si>
  <si>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</si>
  <si>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</si>
  <si>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</si>
  <si>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</si>
  <si>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</si>
  <si>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</si>
  <si>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</si>
  <si>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</si>
  <si>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</si>
  <si>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</si>
  <si>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</si>
  <si>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</si>
  <si>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</si>
  <si>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</si>
  <si>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</si>
  <si>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</si>
  <si>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</si>
  <si>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</si>
  <si>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</si>
  <si>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</si>
  <si>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</si>
  <si>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</si>
  <si>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기타</t>
  </si>
  <si>
    <t>오색 자연·휴양체험지구 오색주차장1 조성사업</t>
    <phoneticPr fontId="2" type="noConversion"/>
  </si>
  <si>
    <t>강원도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</si>
  <si>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</si>
  <si>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</si>
  <si>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</si>
  <si>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 해체및철거공사, 골재비및운반비, 작업부산물, 품질시험비, 기타공사</t>
    <phoneticPr fontId="2" type="noConversion"/>
  </si>
  <si>
    <t>공조배관공사</t>
    <phoneticPr fontId="2" type="noConversion"/>
  </si>
  <si>
    <t>CCTV설비공사, 주차관제설비공사</t>
    <phoneticPr fontId="2" type="noConversion"/>
  </si>
  <si>
    <t>무선통신보조설비공사, 기타공사</t>
    <phoneticPr fontId="2" type="noConversion"/>
  </si>
  <si>
    <t>사급자재비, 기타공사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</si>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</sst>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261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249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12073.67</v>
      </c>
      <c r="D7" s="36">
        <f>+C7/3.3058</f>
        <v>3652.2687397906707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262</v>
      </c>
    </row>
    <row r="19" spans="1:5" x14ac:dyDescent="0.3">
      <c r="A19" s="2">
        <v>9</v>
      </c>
      <c r="B19" s="2" t="s">
        <v>263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554330</v>
      </c>
      <c r="E25" s="59">
        <f t="shared" si="0"/>
        <v>1832500</v>
      </c>
    </row>
    <row r="26" spans="1:5" x14ac:dyDescent="0.3">
      <c r="B26" s="2">
        <v>3</v>
      </c>
      <c r="C26" s="35" t="s">
        <v>95</v>
      </c>
      <c r="D26" s="45">
        <f>+D66</f>
        <v>43940</v>
      </c>
      <c r="E26" s="59">
        <f t="shared" si="0"/>
        <v>145250</v>
      </c>
    </row>
    <row r="27" spans="1:5" x14ac:dyDescent="0.3">
      <c r="B27" s="2">
        <v>4</v>
      </c>
      <c r="C27" s="35" t="s">
        <v>96</v>
      </c>
      <c r="D27" s="45">
        <f>+D95</f>
        <v>4400</v>
      </c>
      <c r="E27" s="59">
        <f t="shared" si="0"/>
        <v>14540</v>
      </c>
    </row>
    <row r="28" spans="1:5" x14ac:dyDescent="0.3">
      <c r="B28" s="2">
        <v>5</v>
      </c>
      <c r="C28" s="35" t="s">
        <v>97</v>
      </c>
      <c r="D28" s="45">
        <f>+D119</f>
        <v>29060</v>
      </c>
      <c r="E28" s="59">
        <f t="shared" si="0"/>
        <v>96060</v>
      </c>
    </row>
    <row r="29" spans="1:5" x14ac:dyDescent="0.3">
      <c r="B29" s="2">
        <v>6</v>
      </c>
      <c r="C29" s="35" t="s">
        <v>98</v>
      </c>
      <c r="D29" s="45">
        <f>+D133</f>
        <v>32370</v>
      </c>
      <c r="E29" s="59">
        <f t="shared" si="0"/>
        <v>107000</v>
      </c>
    </row>
    <row r="30" spans="1:5" x14ac:dyDescent="0.3">
      <c r="B30" s="2">
        <v>7</v>
      </c>
      <c r="C30" s="35" t="s">
        <v>99</v>
      </c>
      <c r="D30" s="45">
        <f>+D146</f>
        <v>44470</v>
      </c>
      <c r="E30" s="59">
        <f t="shared" si="0"/>
        <v>147000</v>
      </c>
    </row>
    <row r="31" spans="1:5" x14ac:dyDescent="0.3">
      <c r="B31" s="2">
        <v>8</v>
      </c>
      <c r="C31" s="35" t="s">
        <v>100</v>
      </c>
      <c r="D31" s="45">
        <f>+D154</f>
        <v>7370</v>
      </c>
      <c r="E31" s="59">
        <f t="shared" si="0"/>
        <v>24360</v>
      </c>
    </row>
    <row r="32" spans="1:5" x14ac:dyDescent="0.3">
      <c r="B32" s="2">
        <v>9</v>
      </c>
      <c r="C32" s="35" t="s">
        <v>101</v>
      </c>
      <c r="D32" s="45">
        <f>+D161</f>
        <v>35520</v>
      </c>
      <c r="E32" s="59">
        <f t="shared" si="0"/>
        <v>117420</v>
      </c>
    </row>
    <row r="33" spans="1:7" x14ac:dyDescent="0.3">
      <c r="B33" s="2">
        <v>10</v>
      </c>
      <c r="C33" s="35" t="s">
        <v>154</v>
      </c>
      <c r="D33" s="53">
        <f>TRUNC(SUM(D24:D32)*0.275,-1)</f>
        <v>206650</v>
      </c>
      <c r="E33" s="60">
        <f t="shared" si="0"/>
        <v>683140</v>
      </c>
    </row>
    <row r="34" spans="1:7" x14ac:dyDescent="0.3">
      <c r="C34" s="35" t="s">
        <v>112</v>
      </c>
      <c r="D34" s="44">
        <f>SUM(D24:D33)</f>
        <v>958110</v>
      </c>
      <c r="E34" s="44">
        <f>SUM(E24:E33)</f>
        <v>3167270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259</v>
      </c>
      <c r="E39" s="67" t="s">
        <v>260</v>
      </c>
      <c r="G39" s="68"/>
    </row>
    <row r="40" spans="1:7" x14ac:dyDescent="0.3">
      <c r="A40" s="2">
        <v>1</v>
      </c>
      <c r="C40" s="38" t="s">
        <v>15</v>
      </c>
      <c r="D40" s="40">
        <f>TRUNC(23378,-1)</f>
        <v>23370</v>
      </c>
      <c r="E40" s="62">
        <f t="shared" ref="E40:E59" si="1">TRUNC(+D40*3.3058,-1)</f>
        <v>77250</v>
      </c>
    </row>
    <row r="41" spans="1:7" x14ac:dyDescent="0.3">
      <c r="A41" s="2">
        <v>2</v>
      </c>
      <c r="C41" s="38" t="s">
        <v>13</v>
      </c>
      <c r="D41" s="42">
        <f>TRUNC(39466,-1)</f>
        <v>39460</v>
      </c>
      <c r="E41" s="63">
        <f t="shared" si="1"/>
        <v>130440</v>
      </c>
    </row>
    <row r="42" spans="1:7" x14ac:dyDescent="0.3">
      <c r="A42" s="2">
        <v>3</v>
      </c>
      <c r="C42" s="38" t="s">
        <v>14</v>
      </c>
      <c r="D42" s="42">
        <f>TRUNC(274103,-1)</f>
        <v>274100</v>
      </c>
      <c r="E42" s="63">
        <f t="shared" si="1"/>
        <v>906110</v>
      </c>
    </row>
    <row r="43" spans="1:7" x14ac:dyDescent="0.3">
      <c r="A43" s="2">
        <v>4</v>
      </c>
      <c r="C43" s="38" t="s">
        <v>16</v>
      </c>
      <c r="D43" s="42">
        <f>TRUNC(9675,-1)</f>
        <v>9670</v>
      </c>
      <c r="E43" s="63">
        <f t="shared" si="1"/>
        <v>31960</v>
      </c>
    </row>
    <row r="44" spans="1:7" x14ac:dyDescent="0.3">
      <c r="A44" s="2">
        <v>5</v>
      </c>
      <c r="C44" s="38" t="s">
        <v>17</v>
      </c>
      <c r="D44" s="42">
        <f>TRUNC(6019,-1)</f>
        <v>6010</v>
      </c>
      <c r="E44" s="63">
        <f t="shared" si="1"/>
        <v>19860</v>
      </c>
    </row>
    <row r="45" spans="1:7" x14ac:dyDescent="0.3">
      <c r="A45" s="2">
        <v>6</v>
      </c>
      <c r="C45" s="38" t="s">
        <v>18</v>
      </c>
      <c r="D45" s="42">
        <f>TRUNC(1849,-1)</f>
        <v>1840</v>
      </c>
      <c r="E45" s="63">
        <f t="shared" si="1"/>
        <v>6080</v>
      </c>
    </row>
    <row r="46" spans="1:7" x14ac:dyDescent="0.3">
      <c r="A46" s="2">
        <v>7</v>
      </c>
      <c r="C46" s="38" t="s">
        <v>19</v>
      </c>
      <c r="D46" s="42">
        <v>0</v>
      </c>
      <c r="E46" s="63">
        <f t="shared" si="1"/>
        <v>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TRUNC(44959,-1)</f>
        <v>44950</v>
      </c>
      <c r="E48" s="63">
        <f t="shared" si="1"/>
        <v>148590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TRUNC(6862,-1)</f>
        <v>6860</v>
      </c>
      <c r="E49" s="63">
        <f t="shared" si="1"/>
        <v>22670</v>
      </c>
    </row>
    <row r="50" spans="1:7" x14ac:dyDescent="0.3">
      <c r="A50" s="2">
        <v>11</v>
      </c>
      <c r="C50" s="38" t="s">
        <v>155</v>
      </c>
      <c r="D50" s="42">
        <f>TRUNC(5468,-1)</f>
        <v>5460</v>
      </c>
      <c r="E50" s="63">
        <f t="shared" si="1"/>
        <v>18040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TRUNC(26854,-1)</f>
        <v>26850</v>
      </c>
      <c r="E52" s="63">
        <f t="shared" si="1"/>
        <v>88760</v>
      </c>
    </row>
    <row r="53" spans="1:7" x14ac:dyDescent="0.3">
      <c r="A53" s="2">
        <v>14</v>
      </c>
      <c r="C53" s="38" t="s">
        <v>25</v>
      </c>
      <c r="D53" s="42">
        <f>TRUNC(2677,-1)</f>
        <v>2670</v>
      </c>
      <c r="E53" s="63">
        <f t="shared" si="1"/>
        <v>8820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TRUNC(532+208+2994-2296+559+8691,-1)</f>
        <v>10680</v>
      </c>
      <c r="E58" s="63">
        <f t="shared" si="1"/>
        <v>35300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f>TRUNC(102413,-1)</f>
        <v>102410</v>
      </c>
      <c r="E59" s="64">
        <f t="shared" si="1"/>
        <v>338540</v>
      </c>
    </row>
    <row r="60" spans="1:7" x14ac:dyDescent="0.3">
      <c r="A60" s="2">
        <v>21</v>
      </c>
      <c r="C60" s="27" t="s">
        <v>112</v>
      </c>
      <c r="D60" s="39">
        <f>SUM(D40:D59)</f>
        <v>554330</v>
      </c>
      <c r="E60" s="39">
        <f>SUM(E40:E59)</f>
        <v>1832420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TRUNC(27345,-1)</f>
        <v>27340</v>
      </c>
      <c r="E63" s="62">
        <f>TRUNC(+D63*3.3058,-1)</f>
        <v>90380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TRUNC(16608,-1)</f>
        <v>16600</v>
      </c>
      <c r="E65" s="64">
        <f>TRUNC(+D65*3.3058,-1)</f>
        <v>54870</v>
      </c>
    </row>
    <row r="66" spans="1:7" x14ac:dyDescent="0.3">
      <c r="A66" s="2">
        <v>4</v>
      </c>
      <c r="C66" s="27" t="s">
        <v>112</v>
      </c>
      <c r="D66" s="39">
        <f>SUM(D63:D65)</f>
        <v>43940</v>
      </c>
      <c r="E66" s="65">
        <f>SUM(E63:E65)</f>
        <v>145250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TRUNC(355,-1)</f>
        <v>350</v>
      </c>
      <c r="E69" s="62">
        <f t="shared" ref="E69:E94" si="2">TRUNC(+D69*3.3058,-1)</f>
        <v>1150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f>TRUNC(1104,-1)</f>
        <v>1100</v>
      </c>
      <c r="E73" s="63">
        <f t="shared" si="2"/>
        <v>3630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TRUNC(861,-1)</f>
        <v>860</v>
      </c>
      <c r="E89" s="63">
        <f t="shared" si="2"/>
        <v>2840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f>TRUNC(797,-1)</f>
        <v>790</v>
      </c>
      <c r="E92" s="63">
        <f t="shared" si="2"/>
        <v>2610</v>
      </c>
    </row>
    <row r="93" spans="1:7" x14ac:dyDescent="0.3">
      <c r="A93" s="2">
        <v>25</v>
      </c>
      <c r="C93" s="38" t="s">
        <v>148</v>
      </c>
      <c r="D93" s="42">
        <f>TRUNC(1063,-1)</f>
        <v>1060</v>
      </c>
      <c r="E93" s="63">
        <f t="shared" si="2"/>
        <v>3500</v>
      </c>
    </row>
    <row r="94" spans="1:7" ht="17.25" thickBot="1" x14ac:dyDescent="0.35">
      <c r="A94" s="2">
        <v>26</v>
      </c>
      <c r="C94" s="38" t="s">
        <v>47</v>
      </c>
      <c r="D94" s="43">
        <v>240</v>
      </c>
      <c r="E94" s="64">
        <f t="shared" si="2"/>
        <v>790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4400</v>
      </c>
      <c r="E95" s="39">
        <f>SUM(E69:E94)</f>
        <v>14520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TRUNC(4023,-1)</f>
        <v>4020</v>
      </c>
      <c r="E98" s="62">
        <f t="shared" ref="E98:E118" si="3">TRUNC(+D98*3.3058,-1)</f>
        <v>13280</v>
      </c>
    </row>
    <row r="99" spans="1:7" x14ac:dyDescent="0.3">
      <c r="A99" s="2">
        <v>2</v>
      </c>
      <c r="C99" s="38" t="s">
        <v>40</v>
      </c>
      <c r="D99" s="42">
        <v>0</v>
      </c>
      <c r="E99" s="63">
        <f t="shared" si="3"/>
        <v>0</v>
      </c>
    </row>
    <row r="100" spans="1:7" x14ac:dyDescent="0.3">
      <c r="A100" s="2">
        <v>3</v>
      </c>
      <c r="C100" s="38" t="s">
        <v>41</v>
      </c>
      <c r="D100" s="42">
        <f>TRUNC(17109,-1)</f>
        <v>17100</v>
      </c>
      <c r="E100" s="63">
        <f t="shared" si="3"/>
        <v>56520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TRUNC(806,-1)</f>
        <v>800</v>
      </c>
      <c r="E102" s="63">
        <f t="shared" si="3"/>
        <v>2640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TRUNC(533,-1)</f>
        <v>530</v>
      </c>
      <c r="E104" s="63">
        <f t="shared" si="3"/>
        <v>1750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v>0</v>
      </c>
      <c r="E117" s="63">
        <f t="shared" si="3"/>
        <v>0</v>
      </c>
    </row>
    <row r="118" spans="1:7" ht="17.25" thickBot="1" x14ac:dyDescent="0.35">
      <c r="A118" s="2">
        <v>21</v>
      </c>
      <c r="C118" s="38" t="s">
        <v>47</v>
      </c>
      <c r="D118" s="43">
        <f>TRUNC(6615,-1)</f>
        <v>6610</v>
      </c>
      <c r="E118" s="64">
        <f t="shared" si="3"/>
        <v>21850</v>
      </c>
    </row>
    <row r="119" spans="1:7" x14ac:dyDescent="0.3">
      <c r="A119" s="2">
        <v>22</v>
      </c>
      <c r="C119" s="27" t="s">
        <v>112</v>
      </c>
      <c r="D119" s="39">
        <f>SUM(D98:D118)</f>
        <v>29060</v>
      </c>
      <c r="E119" s="39">
        <f>SUM(E98:E118)</f>
        <v>96040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4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v>0</v>
      </c>
      <c r="E125" s="63">
        <f t="shared" si="4"/>
        <v>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TRUNC(983,-1)</f>
        <v>980</v>
      </c>
      <c r="E130" s="63">
        <f t="shared" si="4"/>
        <v>3230</v>
      </c>
    </row>
    <row r="131" spans="1:7" x14ac:dyDescent="0.3">
      <c r="A131" s="2">
        <v>10</v>
      </c>
      <c r="C131" s="38" t="s">
        <v>148</v>
      </c>
      <c r="D131" s="42">
        <f>TRUNC(25163,-1)</f>
        <v>25160</v>
      </c>
      <c r="E131" s="63">
        <f t="shared" si="4"/>
        <v>83170</v>
      </c>
    </row>
    <row r="132" spans="1:7" ht="18" thickBot="1" x14ac:dyDescent="0.35">
      <c r="A132" s="2">
        <v>11</v>
      </c>
      <c r="C132" s="38" t="s">
        <v>47</v>
      </c>
      <c r="D132" s="43">
        <f>TRUNC(3686+2548,-1)</f>
        <v>6230</v>
      </c>
      <c r="E132" s="64">
        <f t="shared" si="4"/>
        <v>20590</v>
      </c>
      <c r="F132" s="54" t="s">
        <v>256</v>
      </c>
    </row>
    <row r="133" spans="1:7" x14ac:dyDescent="0.3">
      <c r="A133" s="2">
        <v>12</v>
      </c>
      <c r="C133" s="27" t="s">
        <v>112</v>
      </c>
      <c r="D133" s="39">
        <f>SUM(D122:D132)</f>
        <v>32370</v>
      </c>
      <c r="E133" s="39">
        <f>SUM(E122:E132)</f>
        <v>106990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TRUNC(777+2469,-1)</f>
        <v>3240</v>
      </c>
      <c r="E137" s="63">
        <f t="shared" si="5"/>
        <v>10710</v>
      </c>
      <c r="F137" s="2" t="s">
        <v>257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TRUNC(3029,-1)</f>
        <v>3020</v>
      </c>
      <c r="E139" s="63">
        <f t="shared" si="5"/>
        <v>9980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TRUNC(22702,-1)</f>
        <v>22700</v>
      </c>
      <c r="E142" s="63">
        <f t="shared" si="5"/>
        <v>75040</v>
      </c>
    </row>
    <row r="143" spans="1:7" x14ac:dyDescent="0.3">
      <c r="A143" s="2">
        <v>8</v>
      </c>
      <c r="C143" s="38" t="s">
        <v>62</v>
      </c>
      <c r="D143" s="42">
        <f>TRUNC(3251,-1)</f>
        <v>3250</v>
      </c>
      <c r="E143" s="63">
        <f t="shared" si="5"/>
        <v>10740</v>
      </c>
    </row>
    <row r="144" spans="1:7" x14ac:dyDescent="0.3">
      <c r="A144" s="2">
        <v>9</v>
      </c>
      <c r="C144" s="38" t="s">
        <v>63</v>
      </c>
      <c r="D144" s="42">
        <f>TRUNC(11218,-1)</f>
        <v>11210</v>
      </c>
      <c r="E144" s="63">
        <f t="shared" si="5"/>
        <v>37050</v>
      </c>
    </row>
    <row r="145" spans="1:7" ht="17.25" thickBot="1" x14ac:dyDescent="0.35">
      <c r="A145" s="2">
        <v>10</v>
      </c>
      <c r="C145" s="38" t="s">
        <v>148</v>
      </c>
      <c r="D145" s="43">
        <f>TRUNC(1059,-1)</f>
        <v>1050</v>
      </c>
      <c r="E145" s="64">
        <f t="shared" si="5"/>
        <v>3470</v>
      </c>
    </row>
    <row r="146" spans="1:7" x14ac:dyDescent="0.3">
      <c r="A146" s="2">
        <v>11</v>
      </c>
      <c r="C146" s="27" t="s">
        <v>112</v>
      </c>
      <c r="D146" s="39">
        <f>SUM(D136:D145)</f>
        <v>44470</v>
      </c>
      <c r="E146" s="39">
        <f>SUM(E136:E145)</f>
        <v>146990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TRUNC(3609+548,-1)</f>
        <v>4150</v>
      </c>
      <c r="E152" s="63">
        <f>TRUNC(+D152*3.3058,-1)</f>
        <v>13710</v>
      </c>
      <c r="F152" s="2" t="s">
        <v>258</v>
      </c>
    </row>
    <row r="153" spans="1:7" ht="17.25" thickBot="1" x14ac:dyDescent="0.35">
      <c r="A153" s="2">
        <v>5</v>
      </c>
      <c r="C153" s="38" t="s">
        <v>148</v>
      </c>
      <c r="D153" s="43">
        <f>TRUNC(3228,-1)</f>
        <v>3220</v>
      </c>
      <c r="E153" s="64">
        <f>TRUNC(+D153*3.3058,-1)</f>
        <v>10640</v>
      </c>
    </row>
    <row r="154" spans="1:7" x14ac:dyDescent="0.3">
      <c r="A154" s="2">
        <v>6</v>
      </c>
      <c r="C154" s="27" t="s">
        <v>112</v>
      </c>
      <c r="D154" s="39">
        <f>SUM(D149:D153)</f>
        <v>7370</v>
      </c>
      <c r="E154" s="39">
        <f>SUM(E149:E153)</f>
        <v>24350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TRUNC(33737,-1)</f>
        <v>33730</v>
      </c>
      <c r="E157" s="62">
        <f>TRUNC(+D157*3.3058,-1)</f>
        <v>111500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f>TRUNC(1797,-1)</f>
        <v>1790</v>
      </c>
      <c r="E159" s="63">
        <f>TRUNC(+D159*3.3058,-1)</f>
        <v>5910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35520</v>
      </c>
      <c r="E161" s="39">
        <f>SUM(E157:E160)</f>
        <v>117410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2020-12-08T04:04:53Z</dcterms:modified>
</cp:coreProperties>
</file>