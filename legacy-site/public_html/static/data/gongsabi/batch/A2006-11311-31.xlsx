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3" i="4"/>
  <c r="E145" i="4"/>
  <c r="E144" i="4"/>
  <c r="E142" i="4"/>
  <c r="E141" i="4"/>
  <c r="E140" i="4"/>
  <c r="E139" i="4"/>
  <c r="E138" i="4"/>
  <c r="E130" i="4"/>
  <c r="E129" i="4"/>
  <c r="E127" i="4"/>
  <c r="E126" i="4"/>
  <c r="E124" i="4"/>
  <c r="E118" i="4"/>
  <c r="E116" i="4"/>
  <c r="E114" i="4"/>
  <c r="E113" i="4"/>
  <c r="E112" i="4"/>
  <c r="E110" i="4"/>
  <c r="E109" i="4"/>
  <c r="E108" i="4"/>
  <c r="E107" i="4"/>
  <c r="E106" i="4"/>
  <c r="E104" i="4"/>
  <c r="E103" i="4"/>
  <c r="E101" i="4"/>
  <c r="E93" i="4"/>
  <c r="E91" i="4"/>
  <c r="E90" i="4"/>
  <c r="E88" i="4"/>
  <c r="E87" i="4"/>
  <c r="E86" i="4"/>
  <c r="E85" i="4"/>
  <c r="E84" i="4"/>
  <c r="E83" i="4"/>
  <c r="E82" i="4"/>
  <c r="E81" i="4"/>
  <c r="E78" i="4"/>
  <c r="E77" i="4"/>
  <c r="E76" i="4"/>
  <c r="E75" i="4"/>
  <c r="E74" i="4"/>
  <c r="E72" i="4"/>
  <c r="E65" i="4"/>
  <c r="E64" i="4"/>
  <c r="E57" i="4"/>
  <c r="E56" i="4"/>
  <c r="E54" i="4"/>
  <c r="D125" i="4" l="1"/>
  <c r="E125" i="4" s="1"/>
  <c r="D132" i="4"/>
  <c r="E132" i="4" s="1"/>
  <c r="D71" i="4"/>
  <c r="E71" i="4" s="1"/>
  <c r="D94" i="4"/>
  <c r="E94" i="4" s="1"/>
  <c r="D152" i="4"/>
  <c r="E152" i="4" s="1"/>
  <c r="D151" i="4"/>
  <c r="E151" i="4" s="1"/>
  <c r="D150" i="4"/>
  <c r="E150" i="4" s="1"/>
  <c r="D149" i="4"/>
  <c r="E149" i="4" s="1"/>
  <c r="E154" i="4" s="1"/>
  <c r="D143" i="4"/>
  <c r="E143" i="4" s="1"/>
  <c r="D137" i="4"/>
  <c r="E137" i="4" s="1"/>
  <c r="D136" i="4"/>
  <c r="E136" i="4" s="1"/>
  <c r="E146" i="4" s="1"/>
  <c r="D128" i="4"/>
  <c r="E128" i="4" s="1"/>
  <c r="D131" i="4"/>
  <c r="E131" i="4" s="1"/>
  <c r="D123" i="4"/>
  <c r="E123" i="4" s="1"/>
  <c r="D122" i="4"/>
  <c r="E122" i="4" s="1"/>
  <c r="D117" i="4"/>
  <c r="E117" i="4" s="1"/>
  <c r="D115" i="4"/>
  <c r="E115" i="4" s="1"/>
  <c r="D111" i="4"/>
  <c r="E111" i="4" s="1"/>
  <c r="D105" i="4"/>
  <c r="E105" i="4" s="1"/>
  <c r="D102" i="4"/>
  <c r="E102" i="4" s="1"/>
  <c r="D100" i="4"/>
  <c r="E100" i="4" s="1"/>
  <c r="D99" i="4"/>
  <c r="E99" i="4" s="1"/>
  <c r="D98" i="4"/>
  <c r="E98" i="4" s="1"/>
  <c r="D89" i="4"/>
  <c r="E89" i="4" s="1"/>
  <c r="D92" i="4"/>
  <c r="E92" i="4" s="1"/>
  <c r="D80" i="4"/>
  <c r="E80" i="4" s="1"/>
  <c r="D79" i="4"/>
  <c r="E79" i="4" s="1"/>
  <c r="D73" i="4"/>
  <c r="E73" i="4" s="1"/>
  <c r="D70" i="4"/>
  <c r="E70" i="4" s="1"/>
  <c r="D69" i="4"/>
  <c r="E69" i="4" s="1"/>
  <c r="D63" i="4"/>
  <c r="E63" i="4" s="1"/>
  <c r="E66" i="4" s="1"/>
  <c r="D59" i="4"/>
  <c r="E59" i="4" s="1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E60" i="4" s="1"/>
  <c r="D37" i="4"/>
  <c r="E37" i="4" s="1"/>
  <c r="D161" i="4"/>
  <c r="D146" i="4"/>
  <c r="D30" i="4" s="1"/>
  <c r="E30" i="4" s="1"/>
  <c r="D66" i="4"/>
  <c r="D26" i="4" s="1"/>
  <c r="E26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95" i="4" l="1"/>
  <c r="D27" i="4" s="1"/>
  <c r="E27" i="4" s="1"/>
  <c r="D133" i="4"/>
  <c r="D29" i="4" s="1"/>
  <c r="E29" i="4" s="1"/>
  <c r="D154" i="4"/>
  <c r="D31" i="4" s="1"/>
  <c r="E31" i="4" s="1"/>
  <c r="D60" i="4"/>
  <c r="D25" i="4" s="1"/>
  <c r="E25" i="4" s="1"/>
  <c r="E95" i="4"/>
  <c r="E119" i="4"/>
  <c r="D119" i="4"/>
  <c r="D28" i="4" s="1"/>
  <c r="E28" i="4" s="1"/>
  <c r="E133" i="4"/>
  <c r="E34" i="4" l="1"/>
  <c r="D33" i="4"/>
  <c r="E33" i="4" s="1"/>
  <c r="D34" i="4"/>
</calcChain>
</file>

<file path=xl/sharedStrings.xml><?xml version="1.0" encoding="utf-8"?>
<sst xmlns="http://schemas.openxmlformats.org/spreadsheetml/2006/main" count="396" uniqueCount="270">
  <si>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</si>
  <si>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</si>
  <si>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</si>
  <si>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</si>
  <si>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</si>
  <si>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</si>
  <si>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</si>
  <si>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</si>
  <si>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</si>
  <si>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</si>
  <si>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</si>
  <si>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</si>
  <si>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</si>
  <si>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</si>
  <si>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</si>
  <si>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</si>
  <si>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</si>
  <si>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</si>
  <si>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</si>
  <si>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</si>
  <si>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</si>
  <si>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</si>
  <si>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</si>
  <si>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</si>
  <si>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</si>
  <si>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</si>
  <si>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</si>
  <si>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</si>
  <si>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</si>
  <si>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</si>
  <si>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</si>
  <si>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</si>
  <si>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</si>
  <si>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</si>
  <si>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</si>
  <si>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</si>
  <si>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</si>
  <si>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</si>
  <si>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</si>
  <si>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</si>
  <si>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</si>
  <si>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</si>
  <si>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</si>
  <si>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</si>
  <si>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</si>
  <si>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</si>
  <si>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</si>
  <si>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</si>
  <si>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</si>
  <si>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</si>
  <si>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</si>
  <si>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</si>
  <si>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</si>
  <si>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</si>
  <si>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</si>
  <si>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</si>
  <si>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</si>
  <si>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</si>
  <si>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</si>
  <si>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</si>
  <si>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</si>
  <si>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</si>
  <si>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</si>
  <si>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</si>
  <si>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</si>
  <si>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</si>
  <si>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</si>
  <si>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</si>
  <si>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</si>
  <si>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</si>
  <si>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</si>
  <si>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</si>
  <si>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</si>
  <si>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</si>
  <si>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</si>
  <si>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</si>
  <si>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</si>
  <si>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</si>
  <si>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</si>
  <si>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</si>
  <si>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</si>
  <si>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</si>
  <si>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</si>
  <si>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</si>
  <si>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</si>
  <si>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</si>
  <si>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</si>
  <si>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</si>
  <si>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</si>
  <si>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</si>
  <si>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</si>
  <si>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</si>
  <si>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</si>
  <si>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</si>
  <si>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</si>
  <si>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</si>
  <si>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</si>
  <si>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</si>
  <si>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</si>
  <si>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</si>
  <si>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</si>
  <si>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</si>
  <si>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</si>
  <si>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</si>
  <si>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</si>
  <si>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</si>
  <si>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</si>
  <si>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</si>
  <si>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</si>
  <si>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</si>
  <si>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</si>
  <si>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</si>
  <si>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</si>
  <si>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</si>
  <si>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</si>
  <si>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</si>
  <si>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</si>
  <si>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</si>
  <si>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</si>
  <si>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</si>
  <si>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</si>
  <si>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</si>
  <si>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</si>
  <si>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</si>
  <si>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</si>
  <si>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</si>
  <si>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</si>
  <si>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</si>
  <si>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</si>
  <si>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</si>
  <si>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</si>
  <si>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</si>
  <si>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</si>
  <si>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</si>
  <si>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</si>
  <si>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</si>
  <si>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</si>
  <si>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</si>
  <si>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</si>
  <si>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</si>
  <si>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</si>
  <si>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</si>
  <si>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</si>
  <si>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</si>
  <si>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</si>
  <si>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</si>
  <si>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</si>
  <si>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</si>
  <si>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</si>
  <si>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</si>
  <si>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</si>
  <si>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</si>
  <si>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</si>
  <si>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</si>
  <si>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</si>
  <si>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</si>
  <si>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</si>
  <si>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</si>
  <si>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</si>
  <si>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</si>
  <si>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</si>
  <si>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</si>
  <si>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</si>
  <si>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</si>
  <si>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</si>
  <si>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</si>
  <si>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</si>
  <si>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</si>
  <si>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</si>
  <si>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</si>
  <si>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</si>
  <si>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</si>
  <si>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</si>
  <si>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</si>
  <si>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</si>
  <si>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</si>
  <si>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</si>
  <si>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</si>
  <si>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</si>
  <si>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</si>
  <si>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</si>
  <si>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</si>
  <si>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</si>
  <si>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</si>
  <si>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</si>
  <si>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</si>
  <si>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</si>
  <si>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</si>
  <si>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</si>
  <si>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</si>
  <si>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</si>
  <si>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</si>
  <si>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</si>
  <si>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</si>
  <si>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</si>
  <si>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</si>
  <si>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</si>
  <si>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</si>
  <si>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</si>
  <si>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</si>
  <si>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</si>
  <si>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</si>
  <si>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</si>
  <si>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</si>
  <si>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</si>
  <si>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</si>
  <si>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</si>
  <si>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</si>
  <si>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</si>
  <si>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</si>
  <si>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</si>
  <si>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</si>
  <si>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</si>
  <si>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</si>
  <si>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</si>
  <si>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</si>
  <si>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</si>
  <si>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</si>
  <si>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</si>
  <si>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</si>
  <si>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</si>
  <si>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</si>
  <si>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</si>
  <si>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</si>
  <si>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</si>
  <si>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</si>
  <si>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</si>
  <si>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</si>
  <si>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</si>
  <si>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</si>
  <si>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</si>
  <si>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</si>
  <si>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</si>
  <si>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</si>
  <si>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</si>
  <si>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</si>
  <si>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</si>
  <si>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</si>
  <si>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</si>
  <si>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</si>
  <si>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</si>
  <si>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</si>
  <si>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</si>
  <si>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</si>
  <si>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</si>
  <si>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</si>
  <si>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</si>
  <si>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</si>
  <si>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</si>
  <si>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00초등학교 신축공사</t>
  </si>
  <si>
    <t>충청도</t>
  </si>
  <si>
    <t>토 및 지정공사, 잡공사, 부대시설공사, 작업부산물, 골재 및 운반비</t>
    <phoneticPr fontId="2" type="noConversion"/>
  </si>
  <si>
    <t>도급자설치관급, 관급자설치관급</t>
    <phoneticPr fontId="2" type="noConversion"/>
  </si>
  <si>
    <t>연못공사, 운반비, 부산물공제, 지하수개발공사</t>
    <phoneticPr fontId="2" type="noConversion"/>
  </si>
  <si>
    <t>화장실환기공사, 조리실환기공사</t>
    <phoneticPr fontId="2" type="noConversion"/>
  </si>
  <si>
    <t>전력및동력설비공사</t>
  </si>
  <si>
    <t>주방동력설비공사</t>
  </si>
  <si>
    <t>자탐설비공사</t>
  </si>
  <si>
    <t>유도등 및 비상조명등 설비공사</t>
  </si>
  <si>
    <t>전화 설비공사, LAN 설비공사</t>
    <phoneticPr fontId="2" type="noConversion"/>
  </si>
  <si>
    <t>관급자설치관급</t>
  </si>
  <si>
    <t>냉난방드레인배관공사, 저수위경보시설공사, 필림난방공사, 주방기구설치공사</t>
    <phoneticPr fontId="2" type="noConversion"/>
  </si>
  <si>
    <t>기계실위생배관공사</t>
    <phoneticPr fontId="2" type="noConversion"/>
  </si>
  <si>
    <t>도난경보 설비공사</t>
    <phoneticPr fontId="2" type="noConversion"/>
  </si>
  <si>
    <t>방송설비, 전관방송 및 영상 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</si>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</sst>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9357</v>
      </c>
      <c r="D7" s="36">
        <f>+C7/3.3058</f>
        <v>2830.479762841067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180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1710</v>
      </c>
      <c r="E24" s="58">
        <f t="shared" ref="E24:E33" si="0">TRUNC(+D24*3.3058,-1)</f>
        <v>5650</v>
      </c>
    </row>
    <row r="25" spans="1:5" x14ac:dyDescent="0.3">
      <c r="B25" s="2">
        <v>2</v>
      </c>
      <c r="C25" s="35" t="s">
        <v>111</v>
      </c>
      <c r="D25" s="45">
        <f>+D60</f>
        <v>505680</v>
      </c>
      <c r="E25" s="59">
        <f t="shared" si="0"/>
        <v>1671670</v>
      </c>
    </row>
    <row r="26" spans="1:5" x14ac:dyDescent="0.3">
      <c r="B26" s="2">
        <v>3</v>
      </c>
      <c r="C26" s="35" t="s">
        <v>95</v>
      </c>
      <c r="D26" s="45">
        <f>+D66</f>
        <v>4490</v>
      </c>
      <c r="E26" s="59">
        <f t="shared" si="0"/>
        <v>14840</v>
      </c>
    </row>
    <row r="27" spans="1:5" x14ac:dyDescent="0.3">
      <c r="B27" s="2">
        <v>4</v>
      </c>
      <c r="C27" s="35" t="s">
        <v>96</v>
      </c>
      <c r="D27" s="45">
        <f>+D95</f>
        <v>49350</v>
      </c>
      <c r="E27" s="59">
        <f t="shared" si="0"/>
        <v>163140</v>
      </c>
    </row>
    <row r="28" spans="1:5" x14ac:dyDescent="0.3">
      <c r="B28" s="2">
        <v>5</v>
      </c>
      <c r="C28" s="35" t="s">
        <v>97</v>
      </c>
      <c r="D28" s="45">
        <f>+D119</f>
        <v>51890</v>
      </c>
      <c r="E28" s="59">
        <f t="shared" si="0"/>
        <v>171530</v>
      </c>
    </row>
    <row r="29" spans="1:5" x14ac:dyDescent="0.3">
      <c r="B29" s="2">
        <v>6</v>
      </c>
      <c r="C29" s="35" t="s">
        <v>98</v>
      </c>
      <c r="D29" s="45">
        <f>+D133</f>
        <v>19750</v>
      </c>
      <c r="E29" s="59">
        <f t="shared" si="0"/>
        <v>65280</v>
      </c>
    </row>
    <row r="30" spans="1:5" x14ac:dyDescent="0.3">
      <c r="B30" s="2">
        <v>7</v>
      </c>
      <c r="C30" s="35" t="s">
        <v>99</v>
      </c>
      <c r="D30" s="45">
        <f>+D146</f>
        <v>20070</v>
      </c>
      <c r="E30" s="59">
        <f t="shared" si="0"/>
        <v>66340</v>
      </c>
    </row>
    <row r="31" spans="1:5" x14ac:dyDescent="0.3">
      <c r="B31" s="2">
        <v>8</v>
      </c>
      <c r="C31" s="35" t="s">
        <v>100</v>
      </c>
      <c r="D31" s="45">
        <f>+D154</f>
        <v>48060</v>
      </c>
      <c r="E31" s="59">
        <f t="shared" si="0"/>
        <v>158870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192770</v>
      </c>
      <c r="E33" s="60">
        <f t="shared" si="0"/>
        <v>637250</v>
      </c>
    </row>
    <row r="34" spans="1:7" x14ac:dyDescent="0.3">
      <c r="C34" s="35" t="s">
        <v>112</v>
      </c>
      <c r="D34" s="44">
        <f>SUM(D24:D33)</f>
        <v>893770</v>
      </c>
      <c r="E34" s="44">
        <f>SUM(E24:E33)</f>
        <v>2954570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TRUNC(1713.40215881158,-1)</f>
        <v>1710</v>
      </c>
      <c r="E37" s="61">
        <f>TRUNC(+D37*3.3058,-1)</f>
        <v>5650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265</v>
      </c>
      <c r="E39" s="67" t="s">
        <v>266</v>
      </c>
      <c r="G39" s="68"/>
    </row>
    <row r="40" spans="1:7" x14ac:dyDescent="0.3">
      <c r="A40" s="2">
        <v>1</v>
      </c>
      <c r="C40" s="38" t="s">
        <v>15</v>
      </c>
      <c r="D40" s="40">
        <f>TRUNC(20313.4552741263,-1)</f>
        <v>20310</v>
      </c>
      <c r="E40" s="62">
        <f t="shared" ref="E40:E59" si="1">TRUNC(+D40*3.3058,-1)</f>
        <v>67140</v>
      </c>
    </row>
    <row r="41" spans="1:7" x14ac:dyDescent="0.3">
      <c r="A41" s="2">
        <v>2</v>
      </c>
      <c r="C41" s="38" t="s">
        <v>13</v>
      </c>
      <c r="D41" s="42">
        <f>TRUNC(107472.187987603,-1)</f>
        <v>107470</v>
      </c>
      <c r="E41" s="63">
        <f t="shared" si="1"/>
        <v>355270</v>
      </c>
    </row>
    <row r="42" spans="1:7" x14ac:dyDescent="0.3">
      <c r="A42" s="2">
        <v>3</v>
      </c>
      <c r="C42" s="38" t="s">
        <v>14</v>
      </c>
      <c r="D42" s="42">
        <f>TRUNC(13217.4081436358,-1)</f>
        <v>13210</v>
      </c>
      <c r="E42" s="63">
        <f t="shared" si="1"/>
        <v>43660</v>
      </c>
    </row>
    <row r="43" spans="1:7" x14ac:dyDescent="0.3">
      <c r="A43" s="2">
        <v>4</v>
      </c>
      <c r="C43" s="38" t="s">
        <v>16</v>
      </c>
      <c r="D43" s="42">
        <f>TRUNC(26353.7000106872,-1)</f>
        <v>26350</v>
      </c>
      <c r="E43" s="63">
        <f t="shared" si="1"/>
        <v>87100</v>
      </c>
    </row>
    <row r="44" spans="1:7" x14ac:dyDescent="0.3">
      <c r="A44" s="2">
        <v>5</v>
      </c>
      <c r="C44" s="38" t="s">
        <v>17</v>
      </c>
      <c r="D44" s="42">
        <f>TRUNC(8315.98514481137,-1)</f>
        <v>8310</v>
      </c>
      <c r="E44" s="63">
        <f t="shared" si="1"/>
        <v>27470</v>
      </c>
    </row>
    <row r="45" spans="1:7" x14ac:dyDescent="0.3">
      <c r="A45" s="2">
        <v>6</v>
      </c>
      <c r="C45" s="38" t="s">
        <v>18</v>
      </c>
      <c r="D45" s="42">
        <f>TRUNC(7059.60094047237,-1)</f>
        <v>7050</v>
      </c>
      <c r="E45" s="63">
        <f t="shared" si="1"/>
        <v>23300</v>
      </c>
    </row>
    <row r="46" spans="1:7" x14ac:dyDescent="0.3">
      <c r="A46" s="2">
        <v>7</v>
      </c>
      <c r="C46" s="38" t="s">
        <v>19</v>
      </c>
      <c r="D46" s="42">
        <f>TRUNC(14289.6133376082,-1)</f>
        <v>14280</v>
      </c>
      <c r="E46" s="63">
        <f t="shared" si="1"/>
        <v>47200</v>
      </c>
    </row>
    <row r="47" spans="1:7" x14ac:dyDescent="0.3">
      <c r="A47" s="2">
        <v>8</v>
      </c>
      <c r="C47" s="38" t="s">
        <v>20</v>
      </c>
      <c r="D47" s="42">
        <f>TRUNC(29642.6899647323,-1)</f>
        <v>29640</v>
      </c>
      <c r="E47" s="63">
        <f t="shared" si="1"/>
        <v>97980</v>
      </c>
    </row>
    <row r="48" spans="1:7" x14ac:dyDescent="0.3">
      <c r="A48" s="2">
        <v>9</v>
      </c>
      <c r="C48" s="38" t="s">
        <v>21</v>
      </c>
      <c r="D48" s="42">
        <f>TRUNC(42212.45089238,-1)</f>
        <v>42210</v>
      </c>
      <c r="E48" s="63">
        <f t="shared" si="1"/>
        <v>139530</v>
      </c>
    </row>
    <row r="49" spans="1:7" x14ac:dyDescent="0.3">
      <c r="A49" s="2">
        <v>10</v>
      </c>
      <c r="C49" s="38" t="s">
        <v>22</v>
      </c>
      <c r="D49" s="42">
        <f>TRUNC(17853.4460831463,-1)</f>
        <v>17850</v>
      </c>
      <c r="E49" s="63">
        <f t="shared" si="1"/>
        <v>59000</v>
      </c>
    </row>
    <row r="50" spans="1:7" x14ac:dyDescent="0.3">
      <c r="A50" s="2">
        <v>11</v>
      </c>
      <c r="C50" s="38" t="s">
        <v>155</v>
      </c>
      <c r="D50" s="42">
        <f>TRUNC(43555.3103558833,-1)</f>
        <v>43550</v>
      </c>
      <c r="E50" s="63">
        <f t="shared" si="1"/>
        <v>143960</v>
      </c>
    </row>
    <row r="51" spans="1:7" x14ac:dyDescent="0.3">
      <c r="A51" s="2">
        <v>12</v>
      </c>
      <c r="C51" s="38" t="s">
        <v>23</v>
      </c>
      <c r="D51" s="42">
        <f>TRUNC(9875.72138505931,-1)</f>
        <v>9870</v>
      </c>
      <c r="E51" s="63">
        <f t="shared" si="1"/>
        <v>32620</v>
      </c>
    </row>
    <row r="52" spans="1:7" x14ac:dyDescent="0.3">
      <c r="A52" s="2">
        <v>13</v>
      </c>
      <c r="C52" s="38" t="s">
        <v>24</v>
      </c>
      <c r="D52" s="42">
        <f>TRUNC(5029.6128032489,-1)</f>
        <v>5020</v>
      </c>
      <c r="E52" s="63">
        <f t="shared" si="1"/>
        <v>16590</v>
      </c>
    </row>
    <row r="53" spans="1:7" x14ac:dyDescent="0.3">
      <c r="A53" s="2">
        <v>14</v>
      </c>
      <c r="C53" s="38" t="s">
        <v>25</v>
      </c>
      <c r="D53" s="42">
        <f>TRUNC(32162.0112215454,-1)</f>
        <v>32160</v>
      </c>
      <c r="E53" s="63">
        <f t="shared" si="1"/>
        <v>106310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TRUNC(3866.9557550497,-1)</f>
        <v>3860</v>
      </c>
      <c r="E55" s="63">
        <f t="shared" si="1"/>
        <v>12760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TRUNC(9027.37843325852+5607.47194613658+6713.47397670193-461.83605856578+2159.19493427381,-1)</f>
        <v>23040</v>
      </c>
      <c r="E58" s="63">
        <f t="shared" si="1"/>
        <v>76160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TRUNC(89092.3372875922+12407.7161483381,-1)</f>
        <v>101500</v>
      </c>
      <c r="E59" s="64">
        <f t="shared" si="1"/>
        <v>335530</v>
      </c>
      <c r="F59" s="2" t="s">
        <v>252</v>
      </c>
    </row>
    <row r="60" spans="1:7" x14ac:dyDescent="0.3">
      <c r="A60" s="2">
        <v>21</v>
      </c>
      <c r="C60" s="27" t="s">
        <v>112</v>
      </c>
      <c r="D60" s="39">
        <f>SUM(D40:D59)</f>
        <v>505680</v>
      </c>
      <c r="E60" s="39">
        <f>SUM(E40:E59)</f>
        <v>1671580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TRUNC(4496.35438708988,-1)</f>
        <v>4490</v>
      </c>
      <c r="E63" s="62">
        <f>TRUNC(+D63*3.3058,-1)</f>
        <v>14840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4490</v>
      </c>
      <c r="E66" s="65">
        <f>SUM(E63:E65)</f>
        <v>14840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TRUNC(10397.2606604681,-1)</f>
        <v>10390</v>
      </c>
      <c r="E69" s="62">
        <f>TRUNC(+D69*3.3058,-1)</f>
        <v>34340</v>
      </c>
    </row>
    <row r="70" spans="1:7" ht="16.5" customHeight="1" x14ac:dyDescent="0.3">
      <c r="A70" s="2">
        <v>2</v>
      </c>
      <c r="C70" s="38" t="s">
        <v>31</v>
      </c>
      <c r="D70" s="42">
        <f>TRUNC(1726.03793951053,-1)</f>
        <v>1720</v>
      </c>
      <c r="E70" s="63">
        <f>TRUNC(+D70*3.3058,-1)</f>
        <v>5680</v>
      </c>
    </row>
    <row r="71" spans="1:7" x14ac:dyDescent="0.3">
      <c r="A71" s="2">
        <v>3</v>
      </c>
      <c r="C71" s="38" t="s">
        <v>32</v>
      </c>
      <c r="D71" s="42">
        <f>TRUNC(4027.75269851448,-1)</f>
        <v>4020</v>
      </c>
      <c r="E71" s="63">
        <f t="shared" ref="E71:E73" si="2">TRUNC(+D71*3.3058,-1)</f>
        <v>13280</v>
      </c>
      <c r="F71" s="2" t="s">
        <v>262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TRUNC(12330.1413914716,-1)</f>
        <v>12330</v>
      </c>
      <c r="E73" s="63">
        <f t="shared" si="2"/>
        <v>40760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f>TRUNC(602.100032061558+870.967938441808,-1)</f>
        <v>1470</v>
      </c>
      <c r="E79" s="63">
        <f t="shared" si="3"/>
        <v>4850</v>
      </c>
      <c r="F79" s="2" t="s">
        <v>254</v>
      </c>
    </row>
    <row r="80" spans="1:7" x14ac:dyDescent="0.3">
      <c r="A80" s="2">
        <v>12</v>
      </c>
      <c r="C80" s="38" t="s">
        <v>128</v>
      </c>
      <c r="D80" s="42">
        <f>TRUNC(394.095115955969,-1)</f>
        <v>390</v>
      </c>
      <c r="E80" s="63">
        <f t="shared" si="3"/>
        <v>1280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f>TRUNC(9314.60639093727,-1)</f>
        <v>9310</v>
      </c>
      <c r="E89" s="63">
        <f t="shared" si="3"/>
        <v>30770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>TRUNC(+D90*3.3058,-1)</f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>TRUNC(+D91*3.3058,-1)</f>
        <v>0</v>
      </c>
    </row>
    <row r="92" spans="1:7" x14ac:dyDescent="0.3">
      <c r="A92" s="2">
        <v>24</v>
      </c>
      <c r="C92" s="38" t="s">
        <v>38</v>
      </c>
      <c r="D92" s="42">
        <f>TRUNC(5716.40044886181,-1)</f>
        <v>5710</v>
      </c>
      <c r="E92" s="63">
        <f>TRUNC(+D92*3.3058,-1)</f>
        <v>18870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>TRUNC(+D93*3.3058,-1)</f>
        <v>0</v>
      </c>
    </row>
    <row r="94" spans="1:7" ht="17.25" thickBot="1" x14ac:dyDescent="0.35">
      <c r="A94" s="2">
        <v>26</v>
      </c>
      <c r="C94" s="38" t="s">
        <v>47</v>
      </c>
      <c r="D94" s="43">
        <f>TRUNC(1638.85508175697+150.830714972748+253.679811905525+1975.31249332051,-1)</f>
        <v>4010</v>
      </c>
      <c r="E94" s="64">
        <f>TRUNC(+D94*3.3058,-1)</f>
        <v>13250</v>
      </c>
      <c r="F94" s="2" t="s">
        <v>261</v>
      </c>
    </row>
    <row r="95" spans="1:7" x14ac:dyDescent="0.3">
      <c r="A95" s="2">
        <v>27</v>
      </c>
      <c r="C95" s="27" t="s">
        <v>112</v>
      </c>
      <c r="D95" s="39">
        <f>SUM(D69:D94)</f>
        <v>49350</v>
      </c>
      <c r="E95" s="39">
        <f>SUM(E69:E94)</f>
        <v>163080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TRUNC(6645.08357379502,-1)</f>
        <v>6640</v>
      </c>
      <c r="E98" s="62">
        <f t="shared" ref="E98:E118" si="4">TRUNC(+D98*3.3058,-1)</f>
        <v>21950</v>
      </c>
      <c r="F98" s="2" t="s">
        <v>255</v>
      </c>
    </row>
    <row r="99" spans="1:7" x14ac:dyDescent="0.3">
      <c r="A99" s="2">
        <v>2</v>
      </c>
      <c r="C99" s="38" t="s">
        <v>40</v>
      </c>
      <c r="D99" s="42">
        <f>TRUNC(685.484450144277,-1)</f>
        <v>680</v>
      </c>
      <c r="E99" s="63">
        <f t="shared" si="4"/>
        <v>2240</v>
      </c>
      <c r="F99" s="2" t="s">
        <v>256</v>
      </c>
    </row>
    <row r="100" spans="1:7" x14ac:dyDescent="0.3">
      <c r="A100" s="2">
        <v>3</v>
      </c>
      <c r="C100" s="38" t="s">
        <v>41</v>
      </c>
      <c r="D100" s="42">
        <f>TRUNC(15605.1571016351,-1)</f>
        <v>15600</v>
      </c>
      <c r="E100" s="63">
        <f t="shared" si="4"/>
        <v>51570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f>TRUNC(5332.36453991664,-1)</f>
        <v>5330</v>
      </c>
      <c r="E102" s="63">
        <f t="shared" si="4"/>
        <v>17610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f>TRUNC(1440.5278401197,-1)</f>
        <v>1440</v>
      </c>
      <c r="E105" s="63">
        <f t="shared" si="4"/>
        <v>4760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630</v>
      </c>
      <c r="E108" s="63">
        <f t="shared" si="4"/>
        <v>2080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f>TRUNC(2131.58779523351,-1)</f>
        <v>2130</v>
      </c>
      <c r="E111" s="63">
        <f t="shared" si="4"/>
        <v>7040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f>TRUNC(3802.07897830501,-1)</f>
        <v>3800</v>
      </c>
      <c r="E115" s="63">
        <f t="shared" si="4"/>
        <v>12560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4"/>
        <v>0</v>
      </c>
    </row>
    <row r="117" spans="1:7" x14ac:dyDescent="0.3">
      <c r="A117" s="2">
        <v>20</v>
      </c>
      <c r="C117" s="38" t="s">
        <v>148</v>
      </c>
      <c r="D117" s="42">
        <f>TRUNC(12719.8461045207+2924.69808699369,-1)</f>
        <v>15640</v>
      </c>
      <c r="E117" s="63">
        <f t="shared" si="4"/>
        <v>51700</v>
      </c>
      <c r="F117" s="2" t="s">
        <v>252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4"/>
        <v>0</v>
      </c>
    </row>
    <row r="119" spans="1:7" x14ac:dyDescent="0.3">
      <c r="A119" s="2">
        <v>22</v>
      </c>
      <c r="C119" s="27" t="s">
        <v>112</v>
      </c>
      <c r="D119" s="39">
        <f>SUM(D98:D118)</f>
        <v>51890</v>
      </c>
      <c r="E119" s="39">
        <f>SUM(E98:E118)</f>
        <v>171510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TRUNC(1455.30159239072,-1)</f>
        <v>1450</v>
      </c>
      <c r="E122" s="62">
        <f t="shared" ref="E122:E132" si="5">TRUNC(+D122*3.3058,-1)</f>
        <v>4790</v>
      </c>
    </row>
    <row r="123" spans="1:7" x14ac:dyDescent="0.3">
      <c r="A123" s="2">
        <v>2</v>
      </c>
      <c r="C123" s="38" t="s">
        <v>124</v>
      </c>
      <c r="D123" s="42">
        <f>TRUNC(3079.15079619536+3128.10601688575,-1)</f>
        <v>6200</v>
      </c>
      <c r="E123" s="63">
        <f t="shared" si="5"/>
        <v>20490</v>
      </c>
      <c r="F123" s="2" t="s">
        <v>259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f>TRUNC(3259.87463930747+539.861066581169,-1)</f>
        <v>3790</v>
      </c>
      <c r="E125" s="63">
        <f t="shared" si="5"/>
        <v>12520</v>
      </c>
      <c r="F125" s="2" t="s">
        <v>264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f>TRUNC(400.582772256065,-1)</f>
        <v>400</v>
      </c>
      <c r="E128" s="63">
        <f t="shared" si="5"/>
        <v>1320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5"/>
        <v>0</v>
      </c>
    </row>
    <row r="131" spans="1:7" x14ac:dyDescent="0.3">
      <c r="A131" s="2">
        <v>10</v>
      </c>
      <c r="C131" s="38" t="s">
        <v>148</v>
      </c>
      <c r="D131" s="42">
        <f>TRUNC(7263.97349577856,-1)</f>
        <v>7260</v>
      </c>
      <c r="E131" s="63">
        <f t="shared" si="5"/>
        <v>24000</v>
      </c>
      <c r="F131" s="2" t="s">
        <v>260</v>
      </c>
    </row>
    <row r="132" spans="1:7" ht="18" thickBot="1" x14ac:dyDescent="0.35">
      <c r="A132" s="2">
        <v>11</v>
      </c>
      <c r="C132" s="38" t="s">
        <v>47</v>
      </c>
      <c r="D132" s="43">
        <f>TRUNC(650.463396387731,-1)</f>
        <v>650</v>
      </c>
      <c r="E132" s="64">
        <f t="shared" si="5"/>
        <v>2140</v>
      </c>
      <c r="F132" s="54" t="s">
        <v>263</v>
      </c>
    </row>
    <row r="133" spans="1:7" x14ac:dyDescent="0.3">
      <c r="A133" s="2">
        <v>12</v>
      </c>
      <c r="C133" s="27" t="s">
        <v>112</v>
      </c>
      <c r="D133" s="39">
        <f>SUM(D122:D132)</f>
        <v>19750</v>
      </c>
      <c r="E133" s="39">
        <f>SUM(E122:E132)</f>
        <v>65260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TRUNC(11023.7560115422,-1)</f>
        <v>11020</v>
      </c>
      <c r="E136" s="62">
        <f t="shared" ref="E136:E145" si="6">TRUNC(+D136*3.3058,-1)</f>
        <v>36420</v>
      </c>
    </row>
    <row r="137" spans="1:7" x14ac:dyDescent="0.3">
      <c r="A137" s="2">
        <v>2</v>
      </c>
      <c r="C137" s="38" t="s">
        <v>47</v>
      </c>
      <c r="D137" s="42">
        <f>TRUNC(6065.02084001282,-1)</f>
        <v>6060</v>
      </c>
      <c r="E137" s="63">
        <f t="shared" si="6"/>
        <v>20030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f>TRUNC(2997.30362295608,-1)</f>
        <v>2990</v>
      </c>
      <c r="E143" s="63">
        <f t="shared" si="6"/>
        <v>9880</v>
      </c>
      <c r="F143" s="2" t="s">
        <v>258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20070</v>
      </c>
      <c r="E146" s="39">
        <f>SUM(E136:E145)</f>
        <v>66330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TRUNC(10738.7393395319+3295.66666666667,-1)</f>
        <v>14030</v>
      </c>
      <c r="E149" s="62">
        <f>TRUNC(+D149*3.3058,-1)</f>
        <v>46380</v>
      </c>
    </row>
    <row r="150" spans="1:7" x14ac:dyDescent="0.3">
      <c r="A150" s="2">
        <v>2</v>
      </c>
      <c r="C150" s="38" t="s">
        <v>49</v>
      </c>
      <c r="D150" s="42">
        <f>TRUNC(15760.450144277,-1)</f>
        <v>15760</v>
      </c>
      <c r="E150" s="63">
        <f>TRUNC(+D150*3.3058,-1)</f>
        <v>52090</v>
      </c>
    </row>
    <row r="151" spans="1:7" x14ac:dyDescent="0.3">
      <c r="A151" s="2">
        <v>3</v>
      </c>
      <c r="C151" s="38" t="s">
        <v>50</v>
      </c>
      <c r="D151" s="42">
        <f>TRUNC(11693.2191941862,-1)</f>
        <v>11690</v>
      </c>
      <c r="E151" s="63">
        <f>TRUNC(+D151*3.3058,-1)</f>
        <v>38640</v>
      </c>
    </row>
    <row r="152" spans="1:7" x14ac:dyDescent="0.3">
      <c r="A152" s="2">
        <v>4</v>
      </c>
      <c r="C152" s="38" t="s">
        <v>47</v>
      </c>
      <c r="D152" s="42">
        <f>TRUNC(2759.41070856044+1434.35631078337-8.01752698514481+2400.30041680026,-1)</f>
        <v>6580</v>
      </c>
      <c r="E152" s="63">
        <f>TRUNC(+D152*3.3058,-1)</f>
        <v>21750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48060</v>
      </c>
      <c r="E154" s="39">
        <f>SUM(E149:E153)</f>
        <v>158860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2020-12-07T09:12:22Z</dcterms:modified>
</cp:coreProperties>
</file>