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8" i="4" l="1"/>
  <c r="D157" i="4"/>
  <c r="D152" i="4"/>
  <c r="D151" i="4"/>
  <c r="D150" i="4"/>
  <c r="D149" i="4"/>
  <c r="D144" i="4"/>
  <c r="D143" i="4"/>
  <c r="D142" i="4"/>
  <c r="D140" i="4"/>
  <c r="D138" i="4"/>
  <c r="D137" i="4"/>
  <c r="D132" i="4"/>
  <c r="D131" i="4"/>
  <c r="D130" i="4"/>
  <c r="D128" i="4"/>
  <c r="D127" i="4"/>
  <c r="D125" i="4"/>
  <c r="D124" i="4"/>
  <c r="D122" i="4"/>
  <c r="D117" i="4"/>
  <c r="D116" i="4"/>
  <c r="D114" i="4"/>
  <c r="D105" i="4"/>
  <c r="D104" i="4"/>
  <c r="D100" i="4"/>
  <c r="D102" i="4"/>
  <c r="D99" i="4"/>
  <c r="D98" i="4"/>
  <c r="D94" i="4"/>
  <c r="D92" i="4"/>
  <c r="D91" i="4"/>
  <c r="D89" i="4"/>
  <c r="D76" i="4"/>
  <c r="D75" i="4"/>
  <c r="D73" i="4"/>
  <c r="D71" i="4"/>
  <c r="D70" i="4"/>
  <c r="D69" i="4"/>
  <c r="D63" i="4"/>
  <c r="D59" i="4"/>
  <c r="D58" i="4"/>
  <c r="D53" i="4"/>
  <c r="D52" i="4"/>
  <c r="D49" i="4"/>
  <c r="D48" i="4"/>
  <c r="D46" i="4"/>
  <c r="D45" i="4"/>
  <c r="D43" i="4"/>
  <c r="D42" i="4"/>
  <c r="D41" i="4"/>
  <c r="D40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E34" i="4" l="1"/>
  <c r="D34" i="4"/>
</calcChain>
</file>

<file path=xl/sharedStrings.xml><?xml version="1.0" encoding="utf-8"?>
<sst xmlns="http://schemas.openxmlformats.org/spreadsheetml/2006/main" count="392" uniqueCount="268">
  <si>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</si>
  <si>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</si>
  <si>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</si>
  <si>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</si>
  <si>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</si>
  <si>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</si>
  <si>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</si>
  <si>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</si>
  <si>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</si>
  <si>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</si>
  <si>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</si>
  <si>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</si>
  <si>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</si>
  <si>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</si>
  <si>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</si>
  <si>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</si>
  <si>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</si>
  <si>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</si>
  <si>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</si>
  <si>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</si>
  <si>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</si>
  <si>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</si>
  <si>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</si>
  <si>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</si>
  <si>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</si>
  <si>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</si>
  <si>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</si>
  <si>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</si>
  <si>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</si>
  <si>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</si>
  <si>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</si>
  <si>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</si>
  <si>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</si>
  <si>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</si>
  <si>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</si>
  <si>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</si>
  <si>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</si>
  <si>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</si>
  <si>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</si>
  <si>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</si>
  <si>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</si>
  <si>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</si>
  <si>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</si>
  <si>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</si>
  <si>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</si>
  <si>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</si>
  <si>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</si>
  <si>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</si>
  <si>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</si>
  <si>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</si>
  <si>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</si>
  <si>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</si>
  <si>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</si>
  <si>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</si>
  <si>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</si>
  <si>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</si>
  <si>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</si>
  <si>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</si>
  <si>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</si>
  <si>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</si>
  <si>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</si>
  <si>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</si>
  <si>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</si>
  <si>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</si>
  <si>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</si>
  <si>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</si>
  <si>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</si>
  <si>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</si>
  <si>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</si>
  <si>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</si>
  <si>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</si>
  <si>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</si>
  <si>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</si>
  <si>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</si>
  <si>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</si>
  <si>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</si>
  <si>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</si>
  <si>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</si>
  <si>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</si>
  <si>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</si>
  <si>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</si>
  <si>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</si>
  <si>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</si>
  <si>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</si>
  <si>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</si>
  <si>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</si>
  <si>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</si>
  <si>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</si>
  <si>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</si>
  <si>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</si>
  <si>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</si>
  <si>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</si>
  <si>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</si>
  <si>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</si>
  <si>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</si>
  <si>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</si>
  <si>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</si>
  <si>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</si>
  <si>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</si>
  <si>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</si>
  <si>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</si>
  <si>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</si>
  <si>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</si>
  <si>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</si>
  <si>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</si>
  <si>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</si>
  <si>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</si>
  <si>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</si>
  <si>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</si>
  <si>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</si>
  <si>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</si>
  <si>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</si>
  <si>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</si>
  <si>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</si>
  <si>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</si>
  <si>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</si>
  <si>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</si>
  <si>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</si>
  <si>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</si>
  <si>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</si>
  <si>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</si>
  <si>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</si>
  <si>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</si>
  <si>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</si>
  <si>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</si>
  <si>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</si>
  <si>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</si>
  <si>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</si>
  <si>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</si>
  <si>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</si>
  <si>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</si>
  <si>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</si>
  <si>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</si>
  <si>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</si>
  <si>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</si>
  <si>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</si>
  <si>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</si>
  <si>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</si>
  <si>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</si>
  <si>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</si>
  <si>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</si>
  <si>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</si>
  <si>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</si>
  <si>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</si>
  <si>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</si>
  <si>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</si>
  <si>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</si>
  <si>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</si>
  <si>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</si>
  <si>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</si>
  <si>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</si>
  <si>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</si>
  <si>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</si>
  <si>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</si>
  <si>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</si>
  <si>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</si>
  <si>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</si>
  <si>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</si>
  <si>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</si>
  <si>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</si>
  <si>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</si>
  <si>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</si>
  <si>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</si>
  <si>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</si>
  <si>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</si>
  <si>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</si>
  <si>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</si>
  <si>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</si>
  <si>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</si>
  <si>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</si>
  <si>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</si>
  <si>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</si>
  <si>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</si>
  <si>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</si>
  <si>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</si>
  <si>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</si>
  <si>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</si>
  <si>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</si>
  <si>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</si>
  <si>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</si>
  <si>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</si>
  <si>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</si>
  <si>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</si>
  <si>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</si>
  <si>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</si>
  <si>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</si>
  <si>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</si>
  <si>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</si>
  <si>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</si>
  <si>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</si>
  <si>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</si>
  <si>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</si>
  <si>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</si>
  <si>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</si>
  <si>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</si>
  <si>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</si>
  <si>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</si>
  <si>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</si>
  <si>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</si>
  <si>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</si>
  <si>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</si>
  <si>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</si>
  <si>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</si>
  <si>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</si>
  <si>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</si>
  <si>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</si>
  <si>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</si>
  <si>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</si>
  <si>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</si>
  <si>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</si>
  <si>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</si>
  <si>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</si>
  <si>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</si>
  <si>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</si>
  <si>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</si>
  <si>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</si>
  <si>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</si>
  <si>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</si>
  <si>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</si>
  <si>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</si>
  <si>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</si>
  <si>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</si>
  <si>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</si>
  <si>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</si>
  <si>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</si>
  <si>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</si>
  <si>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</si>
  <si>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</si>
  <si>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</si>
  <si>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</si>
  <si>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</si>
  <si>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</si>
  <si>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</si>
  <si>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</si>
  <si>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</si>
  <si>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</si>
  <si>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</si>
  <si>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</si>
  <si>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</si>
  <si>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</si>
  <si>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</si>
  <si>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</si>
  <si>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</si>
  <si>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</si>
  <si>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</si>
  <si>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</si>
  <si>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</si>
  <si>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</si>
  <si>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항 목</t>
    <phoneticPr fontId="2" type="noConversion"/>
  </si>
  <si>
    <t>원/ m2</t>
    <phoneticPr fontId="2" type="noConversion"/>
  </si>
  <si>
    <t>원 /평</t>
    <phoneticPr fontId="2" type="noConversion"/>
  </si>
  <si>
    <t>지붕및홈통공사 포함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</si>
  <si>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</si>
  <si>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</si>
  <si>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CCTV설비공사, 기타공사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</si>
  <si>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</si>
  <si>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</si>
  <si>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KSRS 환경개선사업</t>
    <phoneticPr fontId="2" type="noConversion"/>
  </si>
  <si>
    <t>기타</t>
  </si>
  <si>
    <t>기초공사, 골재비및운반비, 작업부산물, 품질시험비, 기타공사</t>
    <phoneticPr fontId="2" type="noConversion"/>
  </si>
  <si>
    <t>우수처리시설공사,기타공사</t>
    <phoneticPr fontId="2" type="noConversion"/>
  </si>
  <si>
    <t>옥외보안등설비공사</t>
    <phoneticPr fontId="2" type="noConversion"/>
  </si>
  <si>
    <t>펌프실배관공사</t>
    <phoneticPr fontId="2" type="noConversion"/>
  </si>
  <si>
    <t>상수도공사, 사급자재비, 운반비, 기타공사</t>
    <phoneticPr fontId="2" type="noConversion"/>
  </si>
  <si>
    <t>강원도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</si>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</sst>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265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257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3495.92</v>
      </c>
      <c r="D7" s="36">
        <f>+C7/3.3058</f>
        <v>1057.5110412003146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264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202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266</v>
      </c>
    </row>
    <row r="19" spans="1:5" x14ac:dyDescent="0.3">
      <c r="A19" s="2">
        <v>9</v>
      </c>
      <c r="B19" s="2" t="s">
        <v>267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1238710</v>
      </c>
      <c r="E25" s="59">
        <f t="shared" si="0"/>
        <v>4094920</v>
      </c>
    </row>
    <row r="26" spans="1:5" x14ac:dyDescent="0.3">
      <c r="B26" s="2">
        <v>3</v>
      </c>
      <c r="C26" s="35" t="s">
        <v>95</v>
      </c>
      <c r="D26" s="45">
        <f>+D66</f>
        <v>71150</v>
      </c>
      <c r="E26" s="59">
        <f t="shared" si="0"/>
        <v>235200</v>
      </c>
    </row>
    <row r="27" spans="1:5" x14ac:dyDescent="0.3">
      <c r="B27" s="2">
        <v>4</v>
      </c>
      <c r="C27" s="35" t="s">
        <v>96</v>
      </c>
      <c r="D27" s="45">
        <f>+D95</f>
        <v>153670</v>
      </c>
      <c r="E27" s="59">
        <f t="shared" si="0"/>
        <v>508000</v>
      </c>
    </row>
    <row r="28" spans="1:5" x14ac:dyDescent="0.3">
      <c r="B28" s="2">
        <v>5</v>
      </c>
      <c r="C28" s="35" t="s">
        <v>97</v>
      </c>
      <c r="D28" s="45">
        <f>+D119</f>
        <v>261600</v>
      </c>
      <c r="E28" s="59">
        <f t="shared" si="0"/>
        <v>864790</v>
      </c>
    </row>
    <row r="29" spans="1:5" x14ac:dyDescent="0.3">
      <c r="B29" s="2">
        <v>6</v>
      </c>
      <c r="C29" s="35" t="s">
        <v>98</v>
      </c>
      <c r="D29" s="45">
        <f>+D133</f>
        <v>211180</v>
      </c>
      <c r="E29" s="59">
        <f t="shared" si="0"/>
        <v>698110</v>
      </c>
    </row>
    <row r="30" spans="1:5" x14ac:dyDescent="0.3">
      <c r="B30" s="2">
        <v>7</v>
      </c>
      <c r="C30" s="35" t="s">
        <v>99</v>
      </c>
      <c r="D30" s="45">
        <f>+D146</f>
        <v>31700</v>
      </c>
      <c r="E30" s="59">
        <f t="shared" si="0"/>
        <v>104790</v>
      </c>
    </row>
    <row r="31" spans="1:5" x14ac:dyDescent="0.3">
      <c r="B31" s="2">
        <v>8</v>
      </c>
      <c r="C31" s="35" t="s">
        <v>100</v>
      </c>
      <c r="D31" s="45">
        <f>+D154</f>
        <v>97260</v>
      </c>
      <c r="E31" s="59">
        <f t="shared" si="0"/>
        <v>321520</v>
      </c>
    </row>
    <row r="32" spans="1:5" x14ac:dyDescent="0.3">
      <c r="B32" s="2">
        <v>9</v>
      </c>
      <c r="C32" s="35" t="s">
        <v>101</v>
      </c>
      <c r="D32" s="45">
        <f>+D161</f>
        <v>23460</v>
      </c>
      <c r="E32" s="59">
        <f t="shared" si="0"/>
        <v>77550</v>
      </c>
    </row>
    <row r="33" spans="1:7" x14ac:dyDescent="0.3">
      <c r="B33" s="2">
        <v>10</v>
      </c>
      <c r="C33" s="35" t="s">
        <v>154</v>
      </c>
      <c r="D33" s="53">
        <f>TRUNC(SUM(D24:D32)*0.275,-1)</f>
        <v>574400</v>
      </c>
      <c r="E33" s="60">
        <f t="shared" si="0"/>
        <v>1898850</v>
      </c>
    </row>
    <row r="34" spans="1:7" x14ac:dyDescent="0.3">
      <c r="C34" s="35" t="s">
        <v>112</v>
      </c>
      <c r="D34" s="44">
        <f>SUM(D24:D33)</f>
        <v>2663130</v>
      </c>
      <c r="E34" s="44">
        <f>SUM(E24:E33)</f>
        <v>8803730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248</v>
      </c>
      <c r="D39" s="57" t="s">
        <v>249</v>
      </c>
      <c r="E39" s="57" t="s">
        <v>250</v>
      </c>
      <c r="G39" s="55"/>
    </row>
    <row r="40" spans="1:7" x14ac:dyDescent="0.3">
      <c r="A40" s="2">
        <v>1</v>
      </c>
      <c r="C40" s="38" t="s">
        <v>15</v>
      </c>
      <c r="D40" s="40">
        <f>TRUNC(92118,-1)</f>
        <v>92110</v>
      </c>
      <c r="E40" s="62">
        <f t="shared" ref="E40:E59" si="1">TRUNC(+D40*3.3058,-1)</f>
        <v>304490</v>
      </c>
    </row>
    <row r="41" spans="1:7" x14ac:dyDescent="0.3">
      <c r="A41" s="2">
        <v>2</v>
      </c>
      <c r="C41" s="38" t="s">
        <v>13</v>
      </c>
      <c r="D41" s="42">
        <f>TRUNC(119117,-1)</f>
        <v>119110</v>
      </c>
      <c r="E41" s="63">
        <f t="shared" si="1"/>
        <v>393750</v>
      </c>
    </row>
    <row r="42" spans="1:7" x14ac:dyDescent="0.3">
      <c r="A42" s="2">
        <v>3</v>
      </c>
      <c r="C42" s="38" t="s">
        <v>14</v>
      </c>
      <c r="D42" s="42">
        <f>TRUNC(76877,-1)</f>
        <v>76870</v>
      </c>
      <c r="E42" s="63">
        <f t="shared" si="1"/>
        <v>254110</v>
      </c>
    </row>
    <row r="43" spans="1:7" x14ac:dyDescent="0.3">
      <c r="A43" s="2">
        <v>4</v>
      </c>
      <c r="C43" s="38" t="s">
        <v>16</v>
      </c>
      <c r="D43" s="42">
        <f>TRUNC(35593,-1)</f>
        <v>35590</v>
      </c>
      <c r="E43" s="63">
        <f t="shared" si="1"/>
        <v>117650</v>
      </c>
    </row>
    <row r="44" spans="1:7" x14ac:dyDescent="0.3">
      <c r="A44" s="2">
        <v>5</v>
      </c>
      <c r="C44" s="38" t="s">
        <v>17</v>
      </c>
      <c r="D44" s="42">
        <v>49840</v>
      </c>
      <c r="E44" s="63">
        <f t="shared" si="1"/>
        <v>164760</v>
      </c>
    </row>
    <row r="45" spans="1:7" x14ac:dyDescent="0.3">
      <c r="A45" s="2">
        <v>6</v>
      </c>
      <c r="C45" s="38" t="s">
        <v>18</v>
      </c>
      <c r="D45" s="42">
        <f>TRUNC(39935,-1)</f>
        <v>39930</v>
      </c>
      <c r="E45" s="63">
        <f t="shared" si="1"/>
        <v>132000</v>
      </c>
    </row>
    <row r="46" spans="1:7" x14ac:dyDescent="0.3">
      <c r="A46" s="2">
        <v>7</v>
      </c>
      <c r="C46" s="38" t="s">
        <v>19</v>
      </c>
      <c r="D46" s="42">
        <f>TRUNC(49264,-1)</f>
        <v>49260</v>
      </c>
      <c r="E46" s="63">
        <f t="shared" si="1"/>
        <v>162840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TRUNC(56141,-1)</f>
        <v>56140</v>
      </c>
      <c r="E48" s="63">
        <f t="shared" si="1"/>
        <v>185580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TRUNC(27613,-1)</f>
        <v>27610</v>
      </c>
      <c r="E49" s="63">
        <f t="shared" si="1"/>
        <v>91270</v>
      </c>
    </row>
    <row r="50" spans="1:7" x14ac:dyDescent="0.3">
      <c r="A50" s="2">
        <v>11</v>
      </c>
      <c r="C50" s="38" t="s">
        <v>155</v>
      </c>
      <c r="D50" s="42">
        <v>74870</v>
      </c>
      <c r="E50" s="63">
        <f t="shared" si="1"/>
        <v>247500</v>
      </c>
      <c r="F50" s="2" t="s">
        <v>255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TRUNC(17895,-1)</f>
        <v>17890</v>
      </c>
      <c r="E52" s="63">
        <f t="shared" si="1"/>
        <v>59140</v>
      </c>
    </row>
    <row r="53" spans="1:7" x14ac:dyDescent="0.3">
      <c r="A53" s="2">
        <v>14</v>
      </c>
      <c r="C53" s="38" t="s">
        <v>25</v>
      </c>
      <c r="D53" s="42">
        <f>TRUNC(109055,-1)</f>
        <v>109050</v>
      </c>
      <c r="E53" s="63">
        <f t="shared" si="1"/>
        <v>360490</v>
      </c>
      <c r="F53" s="2" t="s">
        <v>256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TRUNC(10665+5279-840+1893+4855,-1)</f>
        <v>21850</v>
      </c>
      <c r="E58" s="63">
        <f t="shared" si="1"/>
        <v>72230</v>
      </c>
      <c r="F58" s="2" t="s">
        <v>259</v>
      </c>
    </row>
    <row r="59" spans="1:7" ht="17.25" thickBot="1" x14ac:dyDescent="0.35">
      <c r="A59" s="2">
        <v>20</v>
      </c>
      <c r="C59" s="38" t="s">
        <v>148</v>
      </c>
      <c r="D59" s="43">
        <f>TRUNC(468593,-1)</f>
        <v>468590</v>
      </c>
      <c r="E59" s="64">
        <f t="shared" si="1"/>
        <v>1549060</v>
      </c>
    </row>
    <row r="60" spans="1:7" x14ac:dyDescent="0.3">
      <c r="A60" s="2">
        <v>21</v>
      </c>
      <c r="C60" s="27" t="s">
        <v>112</v>
      </c>
      <c r="D60" s="39">
        <f>SUM(D40:D59)</f>
        <v>1238710</v>
      </c>
      <c r="E60" s="39">
        <f>SUM(E40:E59)</f>
        <v>4094870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TRUNC(71152,-1)</f>
        <v>71150</v>
      </c>
      <c r="E63" s="62">
        <f>TRUNC(+D63*3.3058,-1)</f>
        <v>235200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71150</v>
      </c>
      <c r="E66" s="65">
        <f>SUM(E63:E65)</f>
        <v>235200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TRUNC(9369,-1)</f>
        <v>9360</v>
      </c>
      <c r="E69" s="62">
        <f t="shared" ref="E69:E94" si="2">TRUNC(+D69*3.3058,-1)</f>
        <v>30940</v>
      </c>
    </row>
    <row r="70" spans="1:7" ht="16.5" customHeight="1" x14ac:dyDescent="0.3">
      <c r="A70" s="2">
        <v>2</v>
      </c>
      <c r="C70" s="38" t="s">
        <v>31</v>
      </c>
      <c r="D70" s="42">
        <f>TRUNC(59,-1)</f>
        <v>50</v>
      </c>
      <c r="E70" s="63">
        <f t="shared" si="2"/>
        <v>160</v>
      </c>
    </row>
    <row r="71" spans="1:7" x14ac:dyDescent="0.3">
      <c r="A71" s="2">
        <v>3</v>
      </c>
      <c r="C71" s="38" t="s">
        <v>32</v>
      </c>
      <c r="D71" s="42">
        <f>TRUNC(5993,-1)</f>
        <v>5990</v>
      </c>
      <c r="E71" s="63">
        <f t="shared" si="2"/>
        <v>19800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f>TRUNC(8902,-1)</f>
        <v>8900</v>
      </c>
      <c r="E73" s="63">
        <f t="shared" si="2"/>
        <v>29420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TRUNC(1161,-1)</f>
        <v>1160</v>
      </c>
      <c r="E75" s="63">
        <f t="shared" si="2"/>
        <v>3830</v>
      </c>
    </row>
    <row r="76" spans="1:7" x14ac:dyDescent="0.3">
      <c r="A76" s="2">
        <v>8</v>
      </c>
      <c r="C76" s="38" t="s">
        <v>119</v>
      </c>
      <c r="D76" s="42">
        <f>TRUNC(75221,-1)</f>
        <v>75220</v>
      </c>
      <c r="E76" s="63">
        <f t="shared" si="2"/>
        <v>248660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TRUNC(6273,-1)</f>
        <v>6270</v>
      </c>
      <c r="E89" s="63">
        <f t="shared" si="2"/>
        <v>20720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TRUNC(11757,-1)</f>
        <v>11750</v>
      </c>
      <c r="E91" s="63">
        <f t="shared" si="2"/>
        <v>38840</v>
      </c>
    </row>
    <row r="92" spans="1:7" x14ac:dyDescent="0.3">
      <c r="A92" s="2">
        <v>24</v>
      </c>
      <c r="C92" s="38" t="s">
        <v>38</v>
      </c>
      <c r="D92" s="42">
        <f>TRUNC(5588,-1)</f>
        <v>5580</v>
      </c>
      <c r="E92" s="63">
        <f t="shared" si="2"/>
        <v>18440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TRUNC(17786+11613,-1)</f>
        <v>29390</v>
      </c>
      <c r="E94" s="64">
        <f t="shared" si="2"/>
        <v>97150</v>
      </c>
      <c r="F94" s="2" t="s">
        <v>260</v>
      </c>
    </row>
    <row r="95" spans="1:7" x14ac:dyDescent="0.3">
      <c r="A95" s="2">
        <v>27</v>
      </c>
      <c r="C95" s="27" t="s">
        <v>112</v>
      </c>
      <c r="D95" s="39">
        <f>SUM(D69:D94)</f>
        <v>153670</v>
      </c>
      <c r="E95" s="39">
        <f>SUM(E69:E94)</f>
        <v>507960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TRUNC(16444,-1)</f>
        <v>16440</v>
      </c>
      <c r="E98" s="62">
        <f t="shared" ref="E98:E118" si="3">TRUNC(+D98*3.3058,-1)</f>
        <v>54340</v>
      </c>
    </row>
    <row r="99" spans="1:7" x14ac:dyDescent="0.3">
      <c r="A99" s="2">
        <v>2</v>
      </c>
      <c r="C99" s="38" t="s">
        <v>40</v>
      </c>
      <c r="D99" s="42">
        <f>TRUNC(19956,-1)</f>
        <v>19950</v>
      </c>
      <c r="E99" s="63">
        <f t="shared" si="3"/>
        <v>65950</v>
      </c>
    </row>
    <row r="100" spans="1:7" x14ac:dyDescent="0.3">
      <c r="A100" s="2">
        <v>3</v>
      </c>
      <c r="C100" s="38" t="s">
        <v>41</v>
      </c>
      <c r="D100" s="42">
        <f>TRUNC(29774,-1)</f>
        <v>29770</v>
      </c>
      <c r="E100" s="63">
        <f t="shared" si="3"/>
        <v>98410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TRUNC(12552,-1)</f>
        <v>12550</v>
      </c>
      <c r="E102" s="63">
        <f t="shared" si="3"/>
        <v>41480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TRUNC(22261,-1)</f>
        <v>22260</v>
      </c>
      <c r="E104" s="63">
        <f t="shared" si="3"/>
        <v>73580</v>
      </c>
    </row>
    <row r="105" spans="1:7" x14ac:dyDescent="0.3">
      <c r="A105" s="2">
        <v>8</v>
      </c>
      <c r="C105" s="38" t="s">
        <v>46</v>
      </c>
      <c r="D105" s="42">
        <f>TRUNC(7415,-1)</f>
        <v>7410</v>
      </c>
      <c r="E105" s="63">
        <f t="shared" si="3"/>
        <v>24490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TRUNC(1437,-1)</f>
        <v>1430</v>
      </c>
      <c r="E114" s="63">
        <f t="shared" si="3"/>
        <v>4720</v>
      </c>
      <c r="F114" s="2" t="s">
        <v>261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TRUNC(12409,-1)</f>
        <v>12400</v>
      </c>
      <c r="E116" s="63">
        <f t="shared" si="3"/>
        <v>40990</v>
      </c>
      <c r="F116" s="2" t="s">
        <v>252</v>
      </c>
    </row>
    <row r="117" spans="1:7" x14ac:dyDescent="0.3">
      <c r="A117" s="2">
        <v>20</v>
      </c>
      <c r="C117" s="38" t="s">
        <v>148</v>
      </c>
      <c r="D117" s="42">
        <f>TRUNC(139393,-1)</f>
        <v>139390</v>
      </c>
      <c r="E117" s="63">
        <f t="shared" si="3"/>
        <v>460790</v>
      </c>
    </row>
    <row r="118" spans="1:7" ht="17.25" thickBot="1" x14ac:dyDescent="0.35">
      <c r="A118" s="2">
        <v>21</v>
      </c>
      <c r="C118" s="38" t="s">
        <v>47</v>
      </c>
      <c r="D118" s="43">
        <v>0</v>
      </c>
      <c r="E118" s="64">
        <f t="shared" si="3"/>
        <v>0</v>
      </c>
    </row>
    <row r="119" spans="1:7" x14ac:dyDescent="0.3">
      <c r="A119" s="2">
        <v>22</v>
      </c>
      <c r="C119" s="27" t="s">
        <v>112</v>
      </c>
      <c r="D119" s="39">
        <f>SUM(D98:D118)</f>
        <v>261600</v>
      </c>
      <c r="E119" s="39">
        <f>SUM(E98:E118)</f>
        <v>864750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TRUNC(4407,-1)</f>
        <v>4400</v>
      </c>
      <c r="E122" s="62">
        <f t="shared" ref="E122:E132" si="4">TRUNC(+D122*3.3058,-1)</f>
        <v>14540</v>
      </c>
      <c r="F122" s="2" t="s">
        <v>253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TRUNC(4314,-1)</f>
        <v>4310</v>
      </c>
      <c r="E124" s="63">
        <f t="shared" si="4"/>
        <v>14240</v>
      </c>
    </row>
    <row r="125" spans="1:7" x14ac:dyDescent="0.3">
      <c r="A125" s="2">
        <v>4</v>
      </c>
      <c r="C125" s="38" t="s">
        <v>138</v>
      </c>
      <c r="D125" s="42">
        <f>TRUNC(6352,-1)</f>
        <v>6350</v>
      </c>
      <c r="E125" s="63">
        <f t="shared" si="4"/>
        <v>20990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f>TRUNC(9737,-1)</f>
        <v>9730</v>
      </c>
      <c r="E127" s="63">
        <f t="shared" si="4"/>
        <v>32160</v>
      </c>
    </row>
    <row r="128" spans="1:7" x14ac:dyDescent="0.3">
      <c r="A128" s="2">
        <v>7</v>
      </c>
      <c r="C128" s="38" t="s">
        <v>46</v>
      </c>
      <c r="D128" s="42">
        <f>TRUNC(11166,-1)</f>
        <v>11160</v>
      </c>
      <c r="E128" s="63">
        <f t="shared" si="4"/>
        <v>36890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TRUNC(29849,-1)</f>
        <v>29840</v>
      </c>
      <c r="E130" s="63">
        <f t="shared" si="4"/>
        <v>98640</v>
      </c>
    </row>
    <row r="131" spans="1:7" x14ac:dyDescent="0.3">
      <c r="A131" s="2">
        <v>10</v>
      </c>
      <c r="C131" s="38" t="s">
        <v>148</v>
      </c>
      <c r="D131" s="42">
        <f>TRUNC(141996,-1)</f>
        <v>141990</v>
      </c>
      <c r="E131" s="63">
        <f t="shared" si="4"/>
        <v>469390</v>
      </c>
    </row>
    <row r="132" spans="1:7" ht="18" thickBot="1" x14ac:dyDescent="0.35">
      <c r="A132" s="2">
        <v>11</v>
      </c>
      <c r="C132" s="38" t="s">
        <v>47</v>
      </c>
      <c r="D132" s="43">
        <f>TRUNC(3401,-1)</f>
        <v>3400</v>
      </c>
      <c r="E132" s="64">
        <f t="shared" si="4"/>
        <v>11230</v>
      </c>
      <c r="F132" s="54" t="s">
        <v>254</v>
      </c>
    </row>
    <row r="133" spans="1:7" x14ac:dyDescent="0.3">
      <c r="A133" s="2">
        <v>12</v>
      </c>
      <c r="C133" s="27" t="s">
        <v>112</v>
      </c>
      <c r="D133" s="39">
        <f>SUM(D122:D132)</f>
        <v>211180</v>
      </c>
      <c r="E133" s="39">
        <f>SUM(E122:E132)</f>
        <v>698080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TRUNC(3062,-1)</f>
        <v>3060</v>
      </c>
      <c r="E137" s="63">
        <f t="shared" si="5"/>
        <v>10110</v>
      </c>
      <c r="F137" s="2" t="s">
        <v>262</v>
      </c>
    </row>
    <row r="138" spans="1:7" x14ac:dyDescent="0.3">
      <c r="A138" s="2">
        <v>3</v>
      </c>
      <c r="C138" s="38" t="s">
        <v>60</v>
      </c>
      <c r="D138" s="42">
        <f>TRUNC(6015,-1)</f>
        <v>6010</v>
      </c>
      <c r="E138" s="63">
        <f t="shared" si="5"/>
        <v>19860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TRUNC(2513,-1)</f>
        <v>2510</v>
      </c>
      <c r="E140" s="63">
        <f t="shared" si="5"/>
        <v>8290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TRUNC(3596,-1)</f>
        <v>3590</v>
      </c>
      <c r="E142" s="63">
        <f t="shared" si="5"/>
        <v>11860</v>
      </c>
    </row>
    <row r="143" spans="1:7" x14ac:dyDescent="0.3">
      <c r="A143" s="2">
        <v>8</v>
      </c>
      <c r="C143" s="38" t="s">
        <v>62</v>
      </c>
      <c r="D143" s="42">
        <f>TRUNC(4266,-1)</f>
        <v>4260</v>
      </c>
      <c r="E143" s="63">
        <f t="shared" si="5"/>
        <v>14080</v>
      </c>
    </row>
    <row r="144" spans="1:7" x14ac:dyDescent="0.3">
      <c r="A144" s="2">
        <v>9</v>
      </c>
      <c r="C144" s="38" t="s">
        <v>63</v>
      </c>
      <c r="D144" s="42">
        <f>TRUNC(12274,-1)</f>
        <v>12270</v>
      </c>
      <c r="E144" s="63">
        <f t="shared" si="5"/>
        <v>40560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31700</v>
      </c>
      <c r="E146" s="39">
        <f>SUM(E136:E145)</f>
        <v>104760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TRUNC(11465,-1)</f>
        <v>11460</v>
      </c>
      <c r="E149" s="62">
        <f>TRUNC(+D149*3.3058,-1)</f>
        <v>37880</v>
      </c>
    </row>
    <row r="150" spans="1:7" x14ac:dyDescent="0.3">
      <c r="A150" s="2">
        <v>2</v>
      </c>
      <c r="C150" s="38" t="s">
        <v>49</v>
      </c>
      <c r="D150" s="42">
        <f>TRUNC(9365,-1)</f>
        <v>9360</v>
      </c>
      <c r="E150" s="63">
        <f>TRUNC(+D150*3.3058,-1)</f>
        <v>30940</v>
      </c>
    </row>
    <row r="151" spans="1:7" x14ac:dyDescent="0.3">
      <c r="A151" s="2">
        <v>3</v>
      </c>
      <c r="C151" s="38" t="s">
        <v>50</v>
      </c>
      <c r="D151" s="42">
        <f>TRUNC(56081,-1)</f>
        <v>56080</v>
      </c>
      <c r="E151" s="63">
        <f>TRUNC(+D151*3.3058,-1)</f>
        <v>185380</v>
      </c>
    </row>
    <row r="152" spans="1:7" x14ac:dyDescent="0.3">
      <c r="A152" s="2">
        <v>4</v>
      </c>
      <c r="C152" s="38" t="s">
        <v>47</v>
      </c>
      <c r="D152" s="42">
        <f>TRUNC(473+18490+799+599,-1)</f>
        <v>20360</v>
      </c>
      <c r="E152" s="63">
        <f>TRUNC(+D152*3.3058,-1)</f>
        <v>67300</v>
      </c>
      <c r="F152" s="2" t="s">
        <v>263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97260</v>
      </c>
      <c r="E154" s="39">
        <f>SUM(E149:E153)</f>
        <v>321500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TRUNC(11729,-1)</f>
        <v>11720</v>
      </c>
      <c r="E157" s="62">
        <f>TRUNC(+D157*3.3058,-1)</f>
        <v>38740</v>
      </c>
    </row>
    <row r="158" spans="1:7" x14ac:dyDescent="0.3">
      <c r="A158" s="2">
        <v>2</v>
      </c>
      <c r="C158" s="38" t="s">
        <v>52</v>
      </c>
      <c r="D158" s="42">
        <f>TRUNC(11748,-1)</f>
        <v>11740</v>
      </c>
      <c r="E158" s="63">
        <f>TRUNC(+D158*3.3058,-1)</f>
        <v>38810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23460</v>
      </c>
      <c r="E161" s="39">
        <f>SUM(E157:E160)</f>
        <v>77550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2020-12-07T10:19:54Z</dcterms:modified>
</cp:coreProperties>
</file>