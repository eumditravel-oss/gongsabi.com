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2" i="4"/>
  <c r="E151" i="4"/>
  <c r="E150" i="4"/>
  <c r="E149" i="4"/>
  <c r="E145" i="4"/>
  <c r="E141" i="4"/>
  <c r="E140" i="4"/>
  <c r="E139" i="4"/>
  <c r="E138" i="4"/>
  <c r="E136" i="4"/>
  <c r="E129" i="4"/>
  <c r="E124" i="4"/>
  <c r="E123" i="4"/>
  <c r="E115" i="4"/>
  <c r="E114" i="4"/>
  <c r="E113" i="4"/>
  <c r="E112" i="4"/>
  <c r="E111" i="4"/>
  <c r="E110" i="4"/>
  <c r="E109" i="4"/>
  <c r="E108" i="4"/>
  <c r="E107" i="4"/>
  <c r="E106" i="4"/>
  <c r="E103" i="4"/>
  <c r="E101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65" i="4"/>
  <c r="E64" i="4"/>
  <c r="E63" i="4"/>
  <c r="E57" i="4"/>
  <c r="E56" i="4"/>
  <c r="E55" i="4"/>
  <c r="E54" i="4"/>
  <c r="E51" i="4"/>
  <c r="E47" i="4"/>
  <c r="E37" i="4"/>
  <c r="E66" i="4" l="1"/>
  <c r="E154" i="4"/>
  <c r="D159" i="4"/>
  <c r="D158" i="4"/>
  <c r="E158" i="4" s="1"/>
  <c r="D157" i="4"/>
  <c r="E157" i="4" s="1"/>
  <c r="D154" i="4"/>
  <c r="D31" i="4" s="1"/>
  <c r="E31" i="4" s="1"/>
  <c r="D144" i="4"/>
  <c r="E144" i="4" s="1"/>
  <c r="D143" i="4"/>
  <c r="E143" i="4" s="1"/>
  <c r="D142" i="4"/>
  <c r="E142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2" i="4"/>
  <c r="D118" i="4"/>
  <c r="E118" i="4" s="1"/>
  <c r="D117" i="4"/>
  <c r="E117" i="4" s="1"/>
  <c r="D116" i="4"/>
  <c r="E116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90" i="4"/>
  <c r="E90" i="4" s="1"/>
  <c r="D89" i="4"/>
  <c r="E89" i="4" s="1"/>
  <c r="D76" i="4"/>
  <c r="E76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6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6" i="4"/>
  <c r="E26" i="4" s="1"/>
  <c r="D24" i="4"/>
  <c r="E24" i="4" s="1"/>
  <c r="D7" i="4"/>
  <c r="D146" i="4" l="1"/>
  <c r="D30" i="4" s="1"/>
  <c r="E30" i="4" s="1"/>
  <c r="E137" i="4"/>
  <c r="E146" i="4" s="1"/>
  <c r="D95" i="4"/>
  <c r="D27" i="4" s="1"/>
  <c r="E27" i="4" s="1"/>
  <c r="E69" i="4"/>
  <c r="E95" i="4" s="1"/>
  <c r="D119" i="4"/>
  <c r="D28" i="4" s="1"/>
  <c r="E28" i="4" s="1"/>
  <c r="E98" i="4"/>
  <c r="E119" i="4" s="1"/>
  <c r="D161" i="4"/>
  <c r="D32" i="4" s="1"/>
  <c r="E32" i="4" s="1"/>
  <c r="E159" i="4"/>
  <c r="E161" i="4"/>
  <c r="D60" i="4"/>
  <c r="D25" i="4" s="1"/>
  <c r="E25" i="4" s="1"/>
  <c r="E40" i="4"/>
  <c r="E60" i="4" s="1"/>
  <c r="D133" i="4"/>
  <c r="D29" i="4" s="1"/>
  <c r="E29" i="4" s="1"/>
  <c r="E122" i="4"/>
  <c r="E133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<sst xmlns="http://schemas.openxmlformats.org/spreadsheetml/2006/main" count="391" uniqueCount="265">
  <si>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</si>
  <si>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</si>
  <si>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</si>
  <si>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</si>
  <si>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</si>
  <si>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</si>
  <si>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</si>
  <si>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</si>
  <si>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</si>
  <si>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</si>
  <si>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</si>
  <si>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</si>
  <si>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</si>
  <si>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</si>
  <si>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</si>
  <si>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</si>
  <si>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</si>
  <si>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</si>
  <si>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</si>
  <si>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</si>
  <si>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</si>
  <si>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</si>
  <si>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</si>
  <si>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</si>
  <si>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</si>
  <si>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</si>
  <si>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</si>
  <si>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</si>
  <si>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</si>
  <si>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</si>
  <si>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</si>
  <si>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</si>
  <si>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</si>
  <si>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</si>
  <si>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</si>
  <si>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</si>
  <si>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</si>
  <si>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</si>
  <si>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</si>
  <si>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</si>
  <si>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</si>
  <si>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</si>
  <si>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</si>
  <si>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</si>
  <si>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</si>
  <si>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</si>
  <si>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</si>
  <si>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</si>
  <si>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</si>
  <si>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</si>
  <si>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</si>
  <si>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</si>
  <si>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</si>
  <si>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</si>
  <si>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</si>
  <si>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</si>
  <si>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</si>
  <si>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</si>
  <si>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</si>
  <si>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</si>
  <si>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</si>
  <si>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</si>
  <si>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</si>
  <si>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</si>
  <si>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</si>
  <si>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</si>
  <si>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</si>
  <si>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</si>
  <si>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</si>
  <si>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</si>
  <si>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</si>
  <si>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</si>
  <si>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</si>
  <si>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</si>
  <si>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</si>
  <si>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</si>
  <si>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</si>
  <si>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</si>
  <si>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</si>
  <si>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</si>
  <si>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</si>
  <si>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</si>
  <si>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</si>
  <si>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</si>
  <si>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</si>
  <si>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</si>
  <si>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</si>
  <si>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</si>
  <si>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</si>
  <si>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</si>
  <si>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</si>
  <si>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</si>
  <si>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</si>
  <si>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</si>
  <si>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</si>
  <si>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</si>
  <si>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</si>
  <si>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</si>
  <si>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</si>
  <si>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</si>
  <si>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</si>
  <si>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</si>
  <si>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</si>
  <si>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</si>
  <si>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</si>
  <si>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</si>
  <si>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</si>
  <si>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</si>
  <si>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</si>
  <si>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</si>
  <si>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</si>
  <si>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</si>
  <si>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</si>
  <si>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</si>
  <si>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</si>
  <si>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</si>
  <si>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</si>
  <si>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</si>
  <si>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</si>
  <si>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</si>
  <si>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</si>
  <si>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</si>
  <si>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</si>
  <si>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</si>
  <si>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</si>
  <si>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</si>
  <si>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</si>
  <si>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</si>
  <si>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</si>
  <si>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</si>
  <si>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</si>
  <si>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</si>
  <si>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</si>
  <si>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</si>
  <si>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</si>
  <si>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</si>
  <si>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</si>
  <si>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</si>
  <si>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</si>
  <si>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</si>
  <si>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</si>
  <si>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</si>
  <si>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</si>
  <si>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</si>
  <si>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</si>
  <si>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</si>
  <si>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</si>
  <si>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</si>
  <si>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</si>
  <si>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</si>
  <si>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</si>
  <si>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</si>
  <si>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</si>
  <si>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</si>
  <si>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</si>
  <si>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</si>
  <si>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</si>
  <si>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</si>
  <si>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</si>
  <si>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</si>
  <si>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</si>
  <si>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</si>
  <si>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</si>
  <si>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</si>
  <si>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</si>
  <si>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</si>
  <si>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</si>
  <si>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</si>
  <si>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</si>
  <si>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</si>
  <si>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</si>
  <si>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</si>
  <si>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</si>
  <si>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</si>
  <si>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</si>
  <si>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</si>
  <si>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</si>
  <si>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</si>
  <si>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</si>
  <si>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</si>
  <si>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</si>
  <si>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</si>
  <si>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</si>
  <si>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</si>
  <si>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</si>
  <si>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</si>
  <si>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</si>
  <si>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</si>
  <si>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</si>
  <si>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</si>
  <si>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</si>
  <si>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</si>
  <si>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</si>
  <si>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</si>
  <si>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</si>
  <si>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</si>
  <si>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</si>
  <si>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</si>
  <si>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</si>
  <si>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</si>
  <si>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</si>
  <si>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</si>
  <si>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</si>
  <si>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</si>
  <si>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</si>
  <si>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</si>
  <si>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</si>
  <si>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</si>
  <si>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</si>
  <si>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</si>
  <si>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</si>
  <si>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</si>
  <si>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</si>
  <si>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</si>
  <si>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</si>
  <si>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</si>
  <si>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</si>
  <si>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</si>
  <si>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</si>
  <si>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</si>
  <si>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</si>
  <si>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</si>
  <si>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</si>
  <si>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</si>
  <si>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</si>
  <si>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</si>
  <si>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</si>
  <si>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</si>
  <si>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</si>
  <si>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</si>
  <si>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</si>
  <si>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</si>
  <si>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</si>
  <si>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</si>
  <si>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</si>
  <si>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</si>
  <si>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</si>
  <si>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</si>
  <si>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</si>
  <si>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</si>
  <si>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</si>
  <si>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</si>
  <si>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</si>
  <si>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</si>
  <si>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</si>
  <si>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대전지방법원 천안지원청사 신축공사</t>
  </si>
  <si>
    <t>업무</t>
  </si>
  <si>
    <t>충청도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</si>
  <si>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</si>
  <si>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</si>
  <si>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</si>
  <si>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</si>
  <si>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기초공사,골재비및운반비,품질시험비,기타공사</t>
    <phoneticPr fontId="2" type="noConversion"/>
  </si>
  <si>
    <t>공조배관공사, 우수처리시설공사,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</si>
  <si>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</si>
  <si>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</si>
  <si>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</si>
  <si>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무선통신보조설비공사</t>
    <phoneticPr fontId="2" type="noConversion"/>
  </si>
  <si>
    <t>포장공사, 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</si>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</sst>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24130.77</v>
      </c>
      <c r="D7" s="36">
        <f>+C7/3.3058</f>
        <v>7299.5250771371529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1105570</v>
      </c>
      <c r="E25" s="60">
        <f t="shared" si="0"/>
        <v>3654790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257790</v>
      </c>
      <c r="E27" s="60">
        <f t="shared" si="0"/>
        <v>852200</v>
      </c>
    </row>
    <row r="28" spans="1:5" x14ac:dyDescent="0.3">
      <c r="B28" s="2">
        <v>5</v>
      </c>
      <c r="C28" s="35" t="s">
        <v>97</v>
      </c>
      <c r="D28" s="45">
        <f>+D119</f>
        <v>198100</v>
      </c>
      <c r="E28" s="60">
        <f t="shared" si="0"/>
        <v>654870</v>
      </c>
    </row>
    <row r="29" spans="1:5" x14ac:dyDescent="0.3">
      <c r="B29" s="2">
        <v>6</v>
      </c>
      <c r="C29" s="35" t="s">
        <v>98</v>
      </c>
      <c r="D29" s="45">
        <f>+D133</f>
        <v>80480</v>
      </c>
      <c r="E29" s="60">
        <f t="shared" si="0"/>
        <v>266050</v>
      </c>
    </row>
    <row r="30" spans="1:5" x14ac:dyDescent="0.3">
      <c r="B30" s="2">
        <v>7</v>
      </c>
      <c r="C30" s="35" t="s">
        <v>99</v>
      </c>
      <c r="D30" s="45">
        <f>+D146</f>
        <v>55690</v>
      </c>
      <c r="E30" s="60">
        <f t="shared" si="0"/>
        <v>184100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34750</v>
      </c>
      <c r="E32" s="60">
        <f t="shared" si="0"/>
        <v>114870</v>
      </c>
    </row>
    <row r="33" spans="1:7" x14ac:dyDescent="0.3">
      <c r="B33" s="2">
        <v>10</v>
      </c>
      <c r="C33" s="35" t="s">
        <v>153</v>
      </c>
      <c r="D33" s="53">
        <f>TRUNC(SUM(D24:D32)*0.275,-1)</f>
        <v>476400</v>
      </c>
      <c r="E33" s="61">
        <f t="shared" si="0"/>
        <v>1574880</v>
      </c>
    </row>
    <row r="34" spans="1:7" x14ac:dyDescent="0.3">
      <c r="C34" s="35" t="s">
        <v>112</v>
      </c>
      <c r="D34" s="44">
        <f>SUM(D24:D33)</f>
        <v>2208780</v>
      </c>
      <c r="E34" s="44">
        <f>SUM(E24:E33)</f>
        <v>7301760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234</v>
      </c>
      <c r="E36" s="56" t="s">
        <v>259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TRUNC(61445,-1)</f>
        <v>61440</v>
      </c>
      <c r="E40" s="63">
        <f t="shared" ref="E40:E59" si="1">TRUNC(+D40*3.3058,-1)</f>
        <v>203100</v>
      </c>
    </row>
    <row r="41" spans="1:7" x14ac:dyDescent="0.3">
      <c r="A41" s="2">
        <v>2</v>
      </c>
      <c r="C41" s="38" t="s">
        <v>13</v>
      </c>
      <c r="D41" s="42">
        <f>TRUNC(92826,-1)</f>
        <v>92820</v>
      </c>
      <c r="E41" s="64">
        <f t="shared" si="1"/>
        <v>306840</v>
      </c>
    </row>
    <row r="42" spans="1:7" x14ac:dyDescent="0.3">
      <c r="A42" s="2">
        <v>3</v>
      </c>
      <c r="C42" s="38" t="s">
        <v>14</v>
      </c>
      <c r="D42" s="42">
        <f>TRUNC(25725,-1)</f>
        <v>25720</v>
      </c>
      <c r="E42" s="64">
        <f t="shared" si="1"/>
        <v>85020</v>
      </c>
    </row>
    <row r="43" spans="1:7" x14ac:dyDescent="0.3">
      <c r="A43" s="2">
        <v>4</v>
      </c>
      <c r="C43" s="38" t="s">
        <v>16</v>
      </c>
      <c r="D43" s="42">
        <f>TRUNC(20560,-1)</f>
        <v>20560</v>
      </c>
      <c r="E43" s="64">
        <f t="shared" si="1"/>
        <v>67960</v>
      </c>
    </row>
    <row r="44" spans="1:7" x14ac:dyDescent="0.3">
      <c r="A44" s="2">
        <v>5</v>
      </c>
      <c r="C44" s="38" t="s">
        <v>17</v>
      </c>
      <c r="D44" s="42">
        <f>TRUNC(19504,-1)</f>
        <v>19500</v>
      </c>
      <c r="E44" s="64">
        <f t="shared" si="1"/>
        <v>64460</v>
      </c>
    </row>
    <row r="45" spans="1:7" x14ac:dyDescent="0.3">
      <c r="A45" s="2">
        <v>6</v>
      </c>
      <c r="C45" s="38" t="s">
        <v>18</v>
      </c>
      <c r="D45" s="42">
        <f>TRUNC(6684,-1)</f>
        <v>6680</v>
      </c>
      <c r="E45" s="64">
        <f t="shared" si="1"/>
        <v>22080</v>
      </c>
    </row>
    <row r="46" spans="1:7" x14ac:dyDescent="0.3">
      <c r="A46" s="2">
        <v>7</v>
      </c>
      <c r="C46" s="38" t="s">
        <v>19</v>
      </c>
      <c r="D46" s="42">
        <f>TRUNC(109786,-1)</f>
        <v>109780</v>
      </c>
      <c r="E46" s="64">
        <f t="shared" si="1"/>
        <v>362910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TRUNC(41964,-1)</f>
        <v>41960</v>
      </c>
      <c r="E48" s="64">
        <f t="shared" si="1"/>
        <v>138710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TRUNC(18886,-1)</f>
        <v>18880</v>
      </c>
      <c r="E49" s="64">
        <f t="shared" si="1"/>
        <v>62410</v>
      </c>
    </row>
    <row r="50" spans="1:7" x14ac:dyDescent="0.3">
      <c r="A50" s="2">
        <v>11</v>
      </c>
      <c r="C50" s="38" t="s">
        <v>154</v>
      </c>
      <c r="D50" s="42">
        <f>TRUNC(34497,-1)</f>
        <v>34490</v>
      </c>
      <c r="E50" s="64">
        <f t="shared" si="1"/>
        <v>114010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TRUNC(11886,-1)</f>
        <v>11880</v>
      </c>
      <c r="E52" s="64">
        <f t="shared" si="1"/>
        <v>39270</v>
      </c>
    </row>
    <row r="53" spans="1:7" x14ac:dyDescent="0.3">
      <c r="A53" s="2">
        <v>14</v>
      </c>
      <c r="C53" s="38" t="s">
        <v>25</v>
      </c>
      <c r="D53" s="42">
        <f>TRUNC(205348,-1)</f>
        <v>205340</v>
      </c>
      <c r="E53" s="64">
        <f t="shared" si="1"/>
        <v>678810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TRUNC(531+3861+4491+27105,-1)</f>
        <v>35980</v>
      </c>
      <c r="E58" s="64">
        <f t="shared" si="1"/>
        <v>118940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TRUNC(420548,-1)</f>
        <v>420540</v>
      </c>
      <c r="E59" s="65">
        <f t="shared" si="1"/>
        <v>1390220</v>
      </c>
    </row>
    <row r="60" spans="1:7" x14ac:dyDescent="0.3">
      <c r="A60" s="2">
        <v>21</v>
      </c>
      <c r="C60" s="27" t="s">
        <v>112</v>
      </c>
      <c r="D60" s="39">
        <f>SUM(D40:D59)</f>
        <v>1105570</v>
      </c>
      <c r="E60" s="39">
        <f>SUM(E40:E59)</f>
        <v>3654740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234</v>
      </c>
      <c r="E62" s="56" t="s">
        <v>259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234</v>
      </c>
      <c r="E68" s="56" t="s">
        <v>259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TRUNC(36552,-1)</f>
        <v>36550</v>
      </c>
      <c r="E69" s="63">
        <f t="shared" ref="E69:E94" si="2">TRUNC(+D69*3.3058,-1)</f>
        <v>120820</v>
      </c>
    </row>
    <row r="70" spans="1:7" ht="16.5" customHeight="1" x14ac:dyDescent="0.3">
      <c r="A70" s="2">
        <v>2</v>
      </c>
      <c r="C70" s="38" t="s">
        <v>31</v>
      </c>
      <c r="D70" s="42">
        <f>TRUNC(211,-1)</f>
        <v>210</v>
      </c>
      <c r="E70" s="64">
        <f t="shared" si="2"/>
        <v>690</v>
      </c>
    </row>
    <row r="71" spans="1:7" x14ac:dyDescent="0.3">
      <c r="A71" s="2">
        <v>3</v>
      </c>
      <c r="C71" s="38" t="s">
        <v>32</v>
      </c>
      <c r="D71" s="42">
        <f>TRUNC(31355,-1)</f>
        <v>31350</v>
      </c>
      <c r="E71" s="64">
        <f t="shared" si="2"/>
        <v>103630</v>
      </c>
    </row>
    <row r="72" spans="1:7" x14ac:dyDescent="0.3">
      <c r="A72" s="2">
        <v>4</v>
      </c>
      <c r="C72" s="38" t="s">
        <v>33</v>
      </c>
      <c r="D72" s="42">
        <f>TRUNC(462,-1)</f>
        <v>460</v>
      </c>
      <c r="E72" s="64">
        <f t="shared" si="2"/>
        <v>1520</v>
      </c>
    </row>
    <row r="73" spans="1:7" x14ac:dyDescent="0.3">
      <c r="A73" s="2">
        <v>5</v>
      </c>
      <c r="C73" s="38" t="s">
        <v>34</v>
      </c>
      <c r="D73" s="42">
        <f>TRUNC(5707,-1)</f>
        <v>5700</v>
      </c>
      <c r="E73" s="64">
        <f t="shared" si="2"/>
        <v>18840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TRUNC(4885,-1)</f>
        <v>4880</v>
      </c>
      <c r="E75" s="64">
        <f t="shared" si="2"/>
        <v>16130</v>
      </c>
    </row>
    <row r="76" spans="1:7" x14ac:dyDescent="0.3">
      <c r="A76" s="2">
        <v>8</v>
      </c>
      <c r="C76" s="38" t="s">
        <v>119</v>
      </c>
      <c r="D76" s="42">
        <f>TRUNC(26700,-1)</f>
        <v>26700</v>
      </c>
      <c r="E76" s="64">
        <f t="shared" si="2"/>
        <v>88260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TRUNC(10329,-1)</f>
        <v>10320</v>
      </c>
      <c r="E89" s="64">
        <f t="shared" si="2"/>
        <v>34110</v>
      </c>
    </row>
    <row r="90" spans="1:7" x14ac:dyDescent="0.3">
      <c r="A90" s="2">
        <v>22</v>
      </c>
      <c r="C90" s="38" t="s">
        <v>36</v>
      </c>
      <c r="D90" s="42">
        <f>TRUNC(1128,-1)</f>
        <v>1120</v>
      </c>
      <c r="E90" s="64">
        <f t="shared" si="2"/>
        <v>3700</v>
      </c>
    </row>
    <row r="91" spans="1:7" x14ac:dyDescent="0.3">
      <c r="A91" s="2">
        <v>23</v>
      </c>
      <c r="C91" s="38" t="s">
        <v>37</v>
      </c>
      <c r="D91" s="42">
        <f>TRUNC(65449,-1)</f>
        <v>65440</v>
      </c>
      <c r="E91" s="64">
        <f t="shared" si="2"/>
        <v>216330</v>
      </c>
    </row>
    <row r="92" spans="1:7" x14ac:dyDescent="0.3">
      <c r="A92" s="2">
        <v>24</v>
      </c>
      <c r="C92" s="38" t="s">
        <v>38</v>
      </c>
      <c r="D92" s="42">
        <f>TRUNC(6893,-1)</f>
        <v>6890</v>
      </c>
      <c r="E92" s="64">
        <f t="shared" si="2"/>
        <v>22770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TRUNC(42572+1734+138+23727,-1)</f>
        <v>68170</v>
      </c>
      <c r="E94" s="65">
        <f t="shared" si="2"/>
        <v>225350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257790</v>
      </c>
      <c r="E95" s="39">
        <f>SUM(E69:E94)</f>
        <v>852150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234</v>
      </c>
      <c r="E97" s="56" t="s">
        <v>259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TRUNC(14622,-1)</f>
        <v>14620</v>
      </c>
      <c r="E98" s="63">
        <f t="shared" ref="E98:E118" si="3">TRUNC(+D98*3.3058,-1)</f>
        <v>48330</v>
      </c>
    </row>
    <row r="99" spans="1:7" x14ac:dyDescent="0.3">
      <c r="A99" s="2">
        <v>2</v>
      </c>
      <c r="C99" s="38" t="s">
        <v>40</v>
      </c>
      <c r="D99" s="42">
        <f>TRUNC(7043,-1)</f>
        <v>7040</v>
      </c>
      <c r="E99" s="64">
        <f t="shared" si="3"/>
        <v>23270</v>
      </c>
    </row>
    <row r="100" spans="1:7" x14ac:dyDescent="0.3">
      <c r="A100" s="2">
        <v>3</v>
      </c>
      <c r="C100" s="38" t="s">
        <v>41</v>
      </c>
      <c r="D100" s="42">
        <f>TRUNC(39401,-1)</f>
        <v>39400</v>
      </c>
      <c r="E100" s="64">
        <f t="shared" si="3"/>
        <v>130240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TRUNC(23593,-1)</f>
        <v>23590</v>
      </c>
      <c r="E102" s="64">
        <f t="shared" si="3"/>
        <v>77980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TRUNC(2193,-1)</f>
        <v>2190</v>
      </c>
      <c r="E104" s="64">
        <f t="shared" si="3"/>
        <v>7230</v>
      </c>
    </row>
    <row r="105" spans="1:7" x14ac:dyDescent="0.3">
      <c r="A105" s="2">
        <v>8</v>
      </c>
      <c r="C105" s="38" t="s">
        <v>46</v>
      </c>
      <c r="D105" s="42">
        <f>TRUNC(5616,-1)</f>
        <v>5610</v>
      </c>
      <c r="E105" s="64">
        <f t="shared" si="3"/>
        <v>18540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6550</v>
      </c>
      <c r="E114" s="64">
        <f t="shared" si="3"/>
        <v>21650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TRUNC(4967,-1)</f>
        <v>4960</v>
      </c>
      <c r="E116" s="64">
        <f t="shared" si="3"/>
        <v>16390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TRUNC(93825,-1)</f>
        <v>93820</v>
      </c>
      <c r="E117" s="64">
        <f t="shared" si="3"/>
        <v>310150</v>
      </c>
    </row>
    <row r="118" spans="1:7" ht="17.25" thickBot="1" x14ac:dyDescent="0.35">
      <c r="A118" s="2">
        <v>21</v>
      </c>
      <c r="C118" s="38" t="s">
        <v>47</v>
      </c>
      <c r="D118" s="43">
        <f>TRUNC(324,-1)</f>
        <v>320</v>
      </c>
      <c r="E118" s="65">
        <f t="shared" si="3"/>
        <v>1050</v>
      </c>
    </row>
    <row r="119" spans="1:7" x14ac:dyDescent="0.3">
      <c r="A119" s="2">
        <v>22</v>
      </c>
      <c r="C119" s="27" t="s">
        <v>112</v>
      </c>
      <c r="D119" s="39">
        <f>SUM(D98:D118)</f>
        <v>198100</v>
      </c>
      <c r="E119" s="39">
        <f>SUM(E98:E118)</f>
        <v>654830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234</v>
      </c>
      <c r="E121" s="56" t="s">
        <v>259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TRUNC(1467,-1)</f>
        <v>1460</v>
      </c>
      <c r="E122" s="63">
        <f t="shared" ref="E122:E132" si="4">TRUNC(+D122*3.3058,-1)</f>
        <v>4820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TRUNC(6103,-1)</f>
        <v>6100</v>
      </c>
      <c r="E125" s="64">
        <f t="shared" si="4"/>
        <v>20160</v>
      </c>
    </row>
    <row r="126" spans="1:7" x14ac:dyDescent="0.3">
      <c r="A126" s="2">
        <v>5</v>
      </c>
      <c r="C126" s="38" t="s">
        <v>53</v>
      </c>
      <c r="D126" s="42">
        <f>TRUNC(3983,-1)</f>
        <v>3980</v>
      </c>
      <c r="E126" s="64">
        <f t="shared" si="4"/>
        <v>13150</v>
      </c>
    </row>
    <row r="127" spans="1:7" x14ac:dyDescent="0.3">
      <c r="A127" s="2">
        <v>6</v>
      </c>
      <c r="C127" s="38" t="s">
        <v>56</v>
      </c>
      <c r="D127" s="42">
        <f>TRUNC(8258,-1)</f>
        <v>8250</v>
      </c>
      <c r="E127" s="64">
        <f t="shared" si="4"/>
        <v>27270</v>
      </c>
    </row>
    <row r="128" spans="1:7" x14ac:dyDescent="0.3">
      <c r="A128" s="2">
        <v>7</v>
      </c>
      <c r="C128" s="38" t="s">
        <v>46</v>
      </c>
      <c r="D128" s="42">
        <f>TRUNC(3165,-1)</f>
        <v>3160</v>
      </c>
      <c r="E128" s="64">
        <f t="shared" si="4"/>
        <v>10440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TRUNC(12802,-1)</f>
        <v>12800</v>
      </c>
      <c r="E130" s="64">
        <f t="shared" si="4"/>
        <v>42310</v>
      </c>
    </row>
    <row r="131" spans="1:7" x14ac:dyDescent="0.3">
      <c r="A131" s="2">
        <v>10</v>
      </c>
      <c r="C131" s="38" t="s">
        <v>148</v>
      </c>
      <c r="D131" s="42">
        <f>TRUNC(39977,-1)</f>
        <v>39970</v>
      </c>
      <c r="E131" s="64">
        <f t="shared" si="4"/>
        <v>132130</v>
      </c>
    </row>
    <row r="132" spans="1:7" ht="17.25" thickBot="1" x14ac:dyDescent="0.35">
      <c r="A132" s="2">
        <v>11</v>
      </c>
      <c r="C132" s="38" t="s">
        <v>47</v>
      </c>
      <c r="D132" s="43">
        <f>TRUNC(1374+3386,-1)</f>
        <v>4760</v>
      </c>
      <c r="E132" s="65">
        <f t="shared" si="4"/>
        <v>15730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80480</v>
      </c>
      <c r="E133" s="39">
        <f>SUM(E122:E132)</f>
        <v>266010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234</v>
      </c>
      <c r="E135" s="56" t="s">
        <v>259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TRUNC(1255,-1)</f>
        <v>1250</v>
      </c>
      <c r="E137" s="64">
        <f t="shared" si="5"/>
        <v>4130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TRUNC(38085,-1)</f>
        <v>38080</v>
      </c>
      <c r="E142" s="64">
        <f t="shared" si="5"/>
        <v>125880</v>
      </c>
    </row>
    <row r="143" spans="1:7" x14ac:dyDescent="0.3">
      <c r="A143" s="2">
        <v>8</v>
      </c>
      <c r="C143" s="38" t="s">
        <v>62</v>
      </c>
      <c r="D143" s="42">
        <f>TRUNC(5285,-1)</f>
        <v>5280</v>
      </c>
      <c r="E143" s="64">
        <f t="shared" si="5"/>
        <v>17450</v>
      </c>
    </row>
    <row r="144" spans="1:7" x14ac:dyDescent="0.3">
      <c r="A144" s="2">
        <v>9</v>
      </c>
      <c r="C144" s="38" t="s">
        <v>63</v>
      </c>
      <c r="D144" s="42">
        <f>TRUNC(11083,-1)</f>
        <v>11080</v>
      </c>
      <c r="E144" s="64">
        <f t="shared" si="5"/>
        <v>36620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55690</v>
      </c>
      <c r="E146" s="39">
        <f>SUM(E136:E145)</f>
        <v>184080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234</v>
      </c>
      <c r="E148" s="56" t="s">
        <v>259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  <c r="F152" s="58"/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234</v>
      </c>
      <c r="E156" s="56" t="s">
        <v>259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TRUNC(19750,-1)</f>
        <v>19750</v>
      </c>
      <c r="E157" s="63">
        <f>TRUNC(+D157*3.3058,-1)</f>
        <v>65280</v>
      </c>
    </row>
    <row r="158" spans="1:7" x14ac:dyDescent="0.3">
      <c r="A158" s="2">
        <v>2</v>
      </c>
      <c r="C158" s="38" t="s">
        <v>52</v>
      </c>
      <c r="D158" s="42">
        <f>TRUNC(8848,-1)</f>
        <v>8840</v>
      </c>
      <c r="E158" s="64">
        <f>TRUNC(+D158*3.3058,-1)</f>
        <v>29220</v>
      </c>
    </row>
    <row r="159" spans="1:7" x14ac:dyDescent="0.3">
      <c r="A159" s="2">
        <v>3</v>
      </c>
      <c r="C159" s="38" t="s">
        <v>47</v>
      </c>
      <c r="D159" s="42">
        <f>TRUNC(5267+902,-1)</f>
        <v>6160</v>
      </c>
      <c r="E159" s="64">
        <f>TRUNC(+D159*3.3058,-1)</f>
        <v>20360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34750</v>
      </c>
      <c r="E161" s="39">
        <f>SUM(E157:E160)</f>
        <v>114860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2020-12-07T10:20:26Z</dcterms:modified>
</cp:coreProperties>
</file>