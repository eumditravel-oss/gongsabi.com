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45" i="4"/>
  <c r="D153" i="4"/>
  <c r="D160" i="4"/>
  <c r="D159" i="4"/>
  <c r="D158" i="4"/>
  <c r="D157" i="4"/>
  <c r="D152" i="4"/>
  <c r="D150" i="4"/>
  <c r="D149" i="4"/>
  <c r="D137" i="4"/>
  <c r="D144" i="4"/>
  <c r="D143" i="4"/>
  <c r="D139" i="4"/>
  <c r="D141" i="4"/>
  <c r="D142" i="4"/>
  <c r="D140" i="4"/>
  <c r="D132" i="4"/>
  <c r="D130" i="4"/>
  <c r="D118" i="4"/>
  <c r="D104" i="4"/>
  <c r="D102" i="4"/>
  <c r="D100" i="4"/>
  <c r="D99" i="4"/>
  <c r="D98" i="4"/>
  <c r="D94" i="4"/>
  <c r="D92" i="4"/>
  <c r="D91" i="4"/>
  <c r="D89" i="4"/>
  <c r="D73" i="4"/>
  <c r="D72" i="4"/>
  <c r="D71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29" i="4"/>
  <c r="E29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<sst xmlns="http://schemas.openxmlformats.org/spreadsheetml/2006/main" count="393" uniqueCount="266">
  <si>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</si>
  <si>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</si>
  <si>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</si>
  <si>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</si>
  <si>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</si>
  <si>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</si>
  <si>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</si>
  <si>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</si>
  <si>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</si>
  <si>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</si>
  <si>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</si>
  <si>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</si>
  <si>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</si>
  <si>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</si>
  <si>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</si>
  <si>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</si>
  <si>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</si>
  <si>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</si>
  <si>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</si>
  <si>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</si>
  <si>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</si>
  <si>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</si>
  <si>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</si>
  <si>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</si>
  <si>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</si>
  <si>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</si>
  <si>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</si>
  <si>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</si>
  <si>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</si>
  <si>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</si>
  <si>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</si>
  <si>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</si>
  <si>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</si>
  <si>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</si>
  <si>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</si>
  <si>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</si>
  <si>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</si>
  <si>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</si>
  <si>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</si>
  <si>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</si>
  <si>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</si>
  <si>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</si>
  <si>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</si>
  <si>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</si>
  <si>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</si>
  <si>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</si>
  <si>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</si>
  <si>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</si>
  <si>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</si>
  <si>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</si>
  <si>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</si>
  <si>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</si>
  <si>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</si>
  <si>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</si>
  <si>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</si>
  <si>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</si>
  <si>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</si>
  <si>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</si>
  <si>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</si>
  <si>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</si>
  <si>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</si>
  <si>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</si>
  <si>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</si>
  <si>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</si>
  <si>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</si>
  <si>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</si>
  <si>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</si>
  <si>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</si>
  <si>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</si>
  <si>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</si>
  <si>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</si>
  <si>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</si>
  <si>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</si>
  <si>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</si>
  <si>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</si>
  <si>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</si>
  <si>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</si>
  <si>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</si>
  <si>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</si>
  <si>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</si>
  <si>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</si>
  <si>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</si>
  <si>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</si>
  <si>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</si>
  <si>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</si>
  <si>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</si>
  <si>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</si>
  <si>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</si>
  <si>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</si>
  <si>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</si>
  <si>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</si>
  <si>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</si>
  <si>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</si>
  <si>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</si>
  <si>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</si>
  <si>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</si>
  <si>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</si>
  <si>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</si>
  <si>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</si>
  <si>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</si>
  <si>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</si>
  <si>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</si>
  <si>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</si>
  <si>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</si>
  <si>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</si>
  <si>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</si>
  <si>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</si>
  <si>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</si>
  <si>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</si>
  <si>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</si>
  <si>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</si>
  <si>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</si>
  <si>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</si>
  <si>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</si>
  <si>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</si>
  <si>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</si>
  <si>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</si>
  <si>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</si>
  <si>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</si>
  <si>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</si>
  <si>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</si>
  <si>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</si>
  <si>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</si>
  <si>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</si>
  <si>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</si>
  <si>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</si>
  <si>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</si>
  <si>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</si>
  <si>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</si>
  <si>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</si>
  <si>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</si>
  <si>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</si>
  <si>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</si>
  <si>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</si>
  <si>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</si>
  <si>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</si>
  <si>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</si>
  <si>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</si>
  <si>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</si>
  <si>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</si>
  <si>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</si>
  <si>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</si>
  <si>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</si>
  <si>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</si>
  <si>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</si>
  <si>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</si>
  <si>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</si>
  <si>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</si>
  <si>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</si>
  <si>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</si>
  <si>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</si>
  <si>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</si>
  <si>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</si>
  <si>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</si>
  <si>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</si>
  <si>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</si>
  <si>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</si>
  <si>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</si>
  <si>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</si>
  <si>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</si>
  <si>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</si>
  <si>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</si>
  <si>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</si>
  <si>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</si>
  <si>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</si>
  <si>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</si>
  <si>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</si>
  <si>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</si>
  <si>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</si>
  <si>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</si>
  <si>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</si>
  <si>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</si>
  <si>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</si>
  <si>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</si>
  <si>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</si>
  <si>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</si>
  <si>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</si>
  <si>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</si>
  <si>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</si>
  <si>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</si>
  <si>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</si>
  <si>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</si>
  <si>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</si>
  <si>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</si>
  <si>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</si>
  <si>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</si>
  <si>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</si>
  <si>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</si>
  <si>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</si>
  <si>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</si>
  <si>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</si>
  <si>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</si>
  <si>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</si>
  <si>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</si>
  <si>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</si>
  <si>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</si>
  <si>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</si>
  <si>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</si>
  <si>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</si>
  <si>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</si>
  <si>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</si>
  <si>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</si>
  <si>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</si>
  <si>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</si>
  <si>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</si>
  <si>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</si>
  <si>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</si>
  <si>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</si>
  <si>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</si>
  <si>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</si>
  <si>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</si>
  <si>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</si>
  <si>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</si>
  <si>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</si>
  <si>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</si>
  <si>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</si>
  <si>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</si>
  <si>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</si>
  <si>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</si>
  <si>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</si>
  <si>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</si>
  <si>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</si>
  <si>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</si>
  <si>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</si>
  <si>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</si>
  <si>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</si>
  <si>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</si>
  <si>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</si>
  <si>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</si>
  <si>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</si>
  <si>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</si>
  <si>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</si>
  <si>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</si>
  <si>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</si>
  <si>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</si>
  <si>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</si>
  <si>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</si>
  <si>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</si>
  <si>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</si>
  <si>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</si>
  <si>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</si>
  <si>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</si>
  <si>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</si>
  <si>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</si>
  <si>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</si>
  <si>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</si>
  <si>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</si>
  <si>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</si>
  <si>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</si>
  <si>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</si>
  <si>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가평군 전통시장 창업경제타운 조성사업</t>
    <phoneticPr fontId="2" type="noConversion"/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</si>
  <si>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</si>
  <si>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</si>
  <si>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</si>
  <si>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골재비및운반비,작업부산물,품질시험비,기타공사</t>
    <phoneticPr fontId="2" type="noConversion"/>
  </si>
  <si>
    <t>기타공사</t>
    <phoneticPr fontId="2" type="noConversion"/>
  </si>
  <si>
    <t xml:space="preserve">원격검침 설비공사,기타공사 </t>
    <phoneticPr fontId="2" type="noConversion"/>
  </si>
  <si>
    <t>옥외소화배관공사,기타공사</t>
    <phoneticPr fontId="2" type="noConversion"/>
  </si>
  <si>
    <t>우수공사,오수공사</t>
    <phoneticPr fontId="2" type="noConversion"/>
  </si>
  <si>
    <t>상수도공사,사급자재비,기타공사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</si>
  <si>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</si>
  <si>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</si>
  <si>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CCTV설비공사,주차관제설비공사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</si>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</sst>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5436.45</v>
      </c>
      <c r="D7" s="36">
        <f>+C7/3.3058</f>
        <v>1644.518724665739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897880</v>
      </c>
      <c r="E25" s="59">
        <f t="shared" si="0"/>
        <v>2968210</v>
      </c>
    </row>
    <row r="26" spans="1:5" x14ac:dyDescent="0.3">
      <c r="B26" s="2">
        <v>3</v>
      </c>
      <c r="C26" s="35" t="s">
        <v>95</v>
      </c>
      <c r="D26" s="45">
        <f>+D66</f>
        <v>214000</v>
      </c>
      <c r="E26" s="59">
        <f t="shared" si="0"/>
        <v>707440</v>
      </c>
    </row>
    <row r="27" spans="1:5" x14ac:dyDescent="0.3">
      <c r="B27" s="2">
        <v>4</v>
      </c>
      <c r="C27" s="35" t="s">
        <v>96</v>
      </c>
      <c r="D27" s="45">
        <f>+D95</f>
        <v>217450</v>
      </c>
      <c r="E27" s="59">
        <f t="shared" si="0"/>
        <v>718840</v>
      </c>
    </row>
    <row r="28" spans="1:5" x14ac:dyDescent="0.3">
      <c r="B28" s="2">
        <v>5</v>
      </c>
      <c r="C28" s="35" t="s">
        <v>97</v>
      </c>
      <c r="D28" s="45">
        <f>+D119</f>
        <v>211510</v>
      </c>
      <c r="E28" s="59">
        <f t="shared" si="0"/>
        <v>699200</v>
      </c>
    </row>
    <row r="29" spans="1:5" x14ac:dyDescent="0.3">
      <c r="B29" s="2">
        <v>6</v>
      </c>
      <c r="C29" s="35" t="s">
        <v>98</v>
      </c>
      <c r="D29" s="45">
        <f>+D133</f>
        <v>64230</v>
      </c>
      <c r="E29" s="59">
        <f t="shared" si="0"/>
        <v>212330</v>
      </c>
    </row>
    <row r="30" spans="1:5" x14ac:dyDescent="0.3">
      <c r="B30" s="2">
        <v>7</v>
      </c>
      <c r="C30" s="35" t="s">
        <v>99</v>
      </c>
      <c r="D30" s="45">
        <f>+D146</f>
        <v>81100</v>
      </c>
      <c r="E30" s="59">
        <f t="shared" si="0"/>
        <v>268100</v>
      </c>
    </row>
    <row r="31" spans="1:5" x14ac:dyDescent="0.3">
      <c r="B31" s="2">
        <v>8</v>
      </c>
      <c r="C31" s="35" t="s">
        <v>100</v>
      </c>
      <c r="D31" s="45">
        <f>+D154</f>
        <v>35620</v>
      </c>
      <c r="E31" s="59">
        <f t="shared" si="0"/>
        <v>117750</v>
      </c>
    </row>
    <row r="32" spans="1:5" x14ac:dyDescent="0.3">
      <c r="B32" s="2">
        <v>9</v>
      </c>
      <c r="C32" s="35" t="s">
        <v>101</v>
      </c>
      <c r="D32" s="45">
        <f>+D161</f>
        <v>35720</v>
      </c>
      <c r="E32" s="59">
        <f t="shared" si="0"/>
        <v>118080</v>
      </c>
    </row>
    <row r="33" spans="1:7" x14ac:dyDescent="0.3">
      <c r="B33" s="2">
        <v>10</v>
      </c>
      <c r="C33" s="35" t="s">
        <v>154</v>
      </c>
      <c r="D33" s="53">
        <f>TRUNC(SUM(D24:D32)*0.275,-1)</f>
        <v>483310</v>
      </c>
      <c r="E33" s="60">
        <f t="shared" si="0"/>
        <v>1597720</v>
      </c>
    </row>
    <row r="34" spans="1:7" x14ac:dyDescent="0.3">
      <c r="C34" s="35" t="s">
        <v>112</v>
      </c>
      <c r="D34" s="44">
        <f>SUM(D24:D33)</f>
        <v>2240820</v>
      </c>
      <c r="E34" s="44">
        <f>SUM(E24:E33)</f>
        <v>7407670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236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TRUNC(86114,-1)</f>
        <v>86110</v>
      </c>
      <c r="E40" s="62">
        <f t="shared" ref="E40:E59" si="1">TRUNC(+D40*3.3058,-1)</f>
        <v>284660</v>
      </c>
    </row>
    <row r="41" spans="1:7" x14ac:dyDescent="0.3">
      <c r="A41" s="2">
        <v>2</v>
      </c>
      <c r="C41" s="38" t="s">
        <v>13</v>
      </c>
      <c r="D41" s="42">
        <f>TRUNC(190281,-1)</f>
        <v>190280</v>
      </c>
      <c r="E41" s="63">
        <f t="shared" si="1"/>
        <v>629020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TRUNC(14394,-1)</f>
        <v>14390</v>
      </c>
      <c r="E43" s="63">
        <f t="shared" si="1"/>
        <v>47570</v>
      </c>
    </row>
    <row r="44" spans="1:7" x14ac:dyDescent="0.3">
      <c r="A44" s="2">
        <v>5</v>
      </c>
      <c r="C44" s="38" t="s">
        <v>17</v>
      </c>
      <c r="D44" s="42">
        <f>TRUNC(39269,-1)</f>
        <v>39260</v>
      </c>
      <c r="E44" s="63">
        <f t="shared" si="1"/>
        <v>129780</v>
      </c>
    </row>
    <row r="45" spans="1:7" x14ac:dyDescent="0.3">
      <c r="A45" s="2">
        <v>6</v>
      </c>
      <c r="C45" s="38" t="s">
        <v>18</v>
      </c>
      <c r="D45" s="42">
        <f>TRUNC(5920,-1)</f>
        <v>5920</v>
      </c>
      <c r="E45" s="63">
        <f t="shared" si="1"/>
        <v>19570</v>
      </c>
    </row>
    <row r="46" spans="1:7" x14ac:dyDescent="0.3">
      <c r="A46" s="2">
        <v>7</v>
      </c>
      <c r="C46" s="38" t="s">
        <v>19</v>
      </c>
      <c r="D46" s="42">
        <f>TRUNC(41633,-1)</f>
        <v>41630</v>
      </c>
      <c r="E46" s="63">
        <f t="shared" si="1"/>
        <v>137620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TRUNC(33718,-1)</f>
        <v>33710</v>
      </c>
      <c r="E48" s="63">
        <f t="shared" si="1"/>
        <v>111430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TRUNC(28057,-1)</f>
        <v>28050</v>
      </c>
      <c r="E49" s="63">
        <f t="shared" si="1"/>
        <v>92720</v>
      </c>
    </row>
    <row r="50" spans="1:7" x14ac:dyDescent="0.3">
      <c r="A50" s="2">
        <v>11</v>
      </c>
      <c r="C50" s="38" t="s">
        <v>155</v>
      </c>
      <c r="D50" s="42">
        <f>TRUNC(57084,-1)</f>
        <v>57080</v>
      </c>
      <c r="E50" s="63">
        <f t="shared" si="1"/>
        <v>188690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TRUNC(15143,-1)</f>
        <v>15140</v>
      </c>
      <c r="E52" s="63">
        <f t="shared" si="1"/>
        <v>50040</v>
      </c>
    </row>
    <row r="53" spans="1:7" x14ac:dyDescent="0.3">
      <c r="A53" s="2">
        <v>14</v>
      </c>
      <c r="C53" s="38" t="s">
        <v>25</v>
      </c>
      <c r="D53" s="42">
        <f>TRUNC(78818,-1)</f>
        <v>78810</v>
      </c>
      <c r="E53" s="63">
        <f t="shared" si="1"/>
        <v>260530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TRUNC(6131-750+572+15900,-1)</f>
        <v>21850</v>
      </c>
      <c r="E58" s="63">
        <f t="shared" si="1"/>
        <v>72230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TRUNC(285655,-1)</f>
        <v>285650</v>
      </c>
      <c r="E59" s="64">
        <f t="shared" si="1"/>
        <v>944300</v>
      </c>
    </row>
    <row r="60" spans="1:7" x14ac:dyDescent="0.3">
      <c r="A60" s="2">
        <v>21</v>
      </c>
      <c r="C60" s="27" t="s">
        <v>112</v>
      </c>
      <c r="D60" s="39">
        <f>SUM(D40:D59)</f>
        <v>897880</v>
      </c>
      <c r="E60" s="39">
        <f>SUM(E40:E59)</f>
        <v>2968160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TRUNC(54516,-1)</f>
        <v>54510</v>
      </c>
      <c r="E63" s="62">
        <f>TRUNC(+D63*3.3058,-1)</f>
        <v>180190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TRUNC(159495,-1)</f>
        <v>159490</v>
      </c>
      <c r="E65" s="64">
        <f>TRUNC(+D65*3.3058,-1)</f>
        <v>527240</v>
      </c>
    </row>
    <row r="66" spans="1:7" x14ac:dyDescent="0.3">
      <c r="A66" s="2">
        <v>4</v>
      </c>
      <c r="C66" s="27" t="s">
        <v>112</v>
      </c>
      <c r="D66" s="39">
        <f>SUM(D63:D65)</f>
        <v>214000</v>
      </c>
      <c r="E66" s="65">
        <f>SUM(E63:E65)</f>
        <v>707430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TRUNC(2828,-1)</f>
        <v>2820</v>
      </c>
      <c r="E69" s="62">
        <f t="shared" ref="E69:E94" si="2">TRUNC(+D69*3.3058,-1)</f>
        <v>9320</v>
      </c>
    </row>
    <row r="70" spans="1:7" ht="16.5" customHeight="1" x14ac:dyDescent="0.3">
      <c r="A70" s="2">
        <v>2</v>
      </c>
      <c r="C70" s="38" t="s">
        <v>31</v>
      </c>
      <c r="D70" s="42">
        <f>TRUNC(158,-1)</f>
        <v>150</v>
      </c>
      <c r="E70" s="63">
        <f t="shared" si="2"/>
        <v>490</v>
      </c>
    </row>
    <row r="71" spans="1:7" x14ac:dyDescent="0.3">
      <c r="A71" s="2">
        <v>3</v>
      </c>
      <c r="C71" s="38" t="s">
        <v>32</v>
      </c>
      <c r="D71" s="42">
        <f>TRUNC(6246,-1)</f>
        <v>6240</v>
      </c>
      <c r="E71" s="63">
        <f t="shared" si="2"/>
        <v>20620</v>
      </c>
    </row>
    <row r="72" spans="1:7" x14ac:dyDescent="0.3">
      <c r="A72" s="2">
        <v>4</v>
      </c>
      <c r="C72" s="38" t="s">
        <v>33</v>
      </c>
      <c r="D72" s="42">
        <f>TRUNC(5321,-1)</f>
        <v>5320</v>
      </c>
      <c r="E72" s="63">
        <f t="shared" si="2"/>
        <v>17580</v>
      </c>
    </row>
    <row r="73" spans="1:7" x14ac:dyDescent="0.3">
      <c r="A73" s="2">
        <v>5</v>
      </c>
      <c r="C73" s="38" t="s">
        <v>34</v>
      </c>
      <c r="D73" s="42">
        <f>TRUNC(7321,-1)</f>
        <v>7320</v>
      </c>
      <c r="E73" s="63">
        <f t="shared" si="2"/>
        <v>24190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TRUNC(9087,-1)</f>
        <v>9080</v>
      </c>
      <c r="E89" s="63">
        <f t="shared" si="2"/>
        <v>30010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TRUNC(11254,-1)</f>
        <v>11250</v>
      </c>
      <c r="E91" s="63">
        <f t="shared" si="2"/>
        <v>37190</v>
      </c>
    </row>
    <row r="92" spans="1:7" x14ac:dyDescent="0.3">
      <c r="A92" s="2">
        <v>24</v>
      </c>
      <c r="C92" s="38" t="s">
        <v>38</v>
      </c>
      <c r="D92" s="42">
        <f>TRUNC(6115,-1)</f>
        <v>6110</v>
      </c>
      <c r="E92" s="63">
        <f t="shared" si="2"/>
        <v>20190</v>
      </c>
    </row>
    <row r="93" spans="1:7" x14ac:dyDescent="0.3">
      <c r="A93" s="2">
        <v>25</v>
      </c>
      <c r="C93" s="38" t="s">
        <v>148</v>
      </c>
      <c r="D93" s="42">
        <f>TRUNC(166738,-1)</f>
        <v>166730</v>
      </c>
      <c r="E93" s="63">
        <f t="shared" si="2"/>
        <v>551170</v>
      </c>
    </row>
    <row r="94" spans="1:7" ht="17.25" thickBot="1" x14ac:dyDescent="0.35">
      <c r="A94" s="2">
        <v>26</v>
      </c>
      <c r="C94" s="38" t="s">
        <v>47</v>
      </c>
      <c r="D94" s="43">
        <f>TRUNC(2439,-1)</f>
        <v>2430</v>
      </c>
      <c r="E94" s="64">
        <f t="shared" si="2"/>
        <v>8030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217450</v>
      </c>
      <c r="E95" s="39">
        <f>SUM(E69:E94)</f>
        <v>718790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TRUNC(33118,-1)</f>
        <v>33110</v>
      </c>
      <c r="E98" s="62">
        <f t="shared" ref="E98:E118" si="3">TRUNC(+D98*3.3058,-1)</f>
        <v>109450</v>
      </c>
    </row>
    <row r="99" spans="1:7" x14ac:dyDescent="0.3">
      <c r="A99" s="2">
        <v>2</v>
      </c>
      <c r="C99" s="38" t="s">
        <v>40</v>
      </c>
      <c r="D99" s="42">
        <f>TRUNC(10812,-1)</f>
        <v>10810</v>
      </c>
      <c r="E99" s="63">
        <f t="shared" si="3"/>
        <v>35730</v>
      </c>
    </row>
    <row r="100" spans="1:7" x14ac:dyDescent="0.3">
      <c r="A100" s="2">
        <v>3</v>
      </c>
      <c r="C100" s="38" t="s">
        <v>41</v>
      </c>
      <c r="D100" s="42">
        <f>TRUNC(36613,-1)</f>
        <v>36610</v>
      </c>
      <c r="E100" s="63">
        <f t="shared" si="3"/>
        <v>121020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TRUNC(13707,-1)</f>
        <v>13700</v>
      </c>
      <c r="E102" s="63">
        <f t="shared" si="3"/>
        <v>45280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TRUNC(5482,-1)</f>
        <v>5480</v>
      </c>
      <c r="E104" s="63">
        <f t="shared" si="3"/>
        <v>18110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TRUNC(106626,-1)</f>
        <v>106620</v>
      </c>
      <c r="E117" s="63">
        <f t="shared" si="3"/>
        <v>352460</v>
      </c>
    </row>
    <row r="118" spans="1:7" ht="17.25" thickBot="1" x14ac:dyDescent="0.35">
      <c r="A118" s="2">
        <v>21</v>
      </c>
      <c r="C118" s="38" t="s">
        <v>47</v>
      </c>
      <c r="D118" s="43">
        <f>TRUNC(3997+1186,-1)</f>
        <v>5180</v>
      </c>
      <c r="E118" s="64">
        <f t="shared" si="3"/>
        <v>17120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211510</v>
      </c>
      <c r="E119" s="39">
        <f>SUM(E98:E118)</f>
        <v>699170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TRUNC(28132,-1)</f>
        <v>28130</v>
      </c>
      <c r="E130" s="63">
        <f t="shared" si="4"/>
        <v>92990</v>
      </c>
    </row>
    <row r="131" spans="1:7" x14ac:dyDescent="0.3">
      <c r="A131" s="2">
        <v>10</v>
      </c>
      <c r="C131" s="38" t="s">
        <v>148</v>
      </c>
      <c r="D131" s="42">
        <f>TRUNC(32514,-1)</f>
        <v>32510</v>
      </c>
      <c r="E131" s="63">
        <f t="shared" si="4"/>
        <v>107470</v>
      </c>
    </row>
    <row r="132" spans="1:7" ht="18" thickBot="1" x14ac:dyDescent="0.35">
      <c r="A132" s="2">
        <v>11</v>
      </c>
      <c r="C132" s="38" t="s">
        <v>47</v>
      </c>
      <c r="D132" s="43">
        <f>TRUNC(1895+1702,-1)</f>
        <v>3590</v>
      </c>
      <c r="E132" s="64">
        <f t="shared" si="4"/>
        <v>11860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64230</v>
      </c>
      <c r="E133" s="39">
        <f>SUM(E122:E132)</f>
        <v>212320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TRUNC(321+8111,-1)</f>
        <v>8430</v>
      </c>
      <c r="E137" s="63">
        <f t="shared" si="5"/>
        <v>27860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TRUNC(1801,-1)</f>
        <v>1800</v>
      </c>
      <c r="E139" s="63">
        <f t="shared" si="5"/>
        <v>5950</v>
      </c>
    </row>
    <row r="140" spans="1:7" x14ac:dyDescent="0.3">
      <c r="A140" s="2">
        <v>5</v>
      </c>
      <c r="C140" s="38" t="s">
        <v>57</v>
      </c>
      <c r="D140" s="42">
        <f>TRUNC(5946,-1)</f>
        <v>5940</v>
      </c>
      <c r="E140" s="63">
        <f t="shared" si="5"/>
        <v>19630</v>
      </c>
    </row>
    <row r="141" spans="1:7" x14ac:dyDescent="0.3">
      <c r="A141" s="2">
        <v>6</v>
      </c>
      <c r="C141" s="38" t="s">
        <v>59</v>
      </c>
      <c r="D141" s="42">
        <f>TRUNC(26197,-1)</f>
        <v>26190</v>
      </c>
      <c r="E141" s="63">
        <f t="shared" si="5"/>
        <v>86570</v>
      </c>
    </row>
    <row r="142" spans="1:7" x14ac:dyDescent="0.3">
      <c r="A142" s="2">
        <v>7</v>
      </c>
      <c r="C142" s="38" t="s">
        <v>58</v>
      </c>
      <c r="D142" s="42">
        <f>TRUNC(9036,-1)</f>
        <v>9030</v>
      </c>
      <c r="E142" s="63">
        <f t="shared" si="5"/>
        <v>29850</v>
      </c>
    </row>
    <row r="143" spans="1:7" x14ac:dyDescent="0.3">
      <c r="A143" s="2">
        <v>8</v>
      </c>
      <c r="C143" s="38" t="s">
        <v>62</v>
      </c>
      <c r="D143" s="42">
        <f>TRUNC(5730,-1)</f>
        <v>5730</v>
      </c>
      <c r="E143" s="63">
        <f t="shared" si="5"/>
        <v>18940</v>
      </c>
    </row>
    <row r="144" spans="1:7" x14ac:dyDescent="0.3">
      <c r="A144" s="2">
        <v>9</v>
      </c>
      <c r="C144" s="38" t="s">
        <v>63</v>
      </c>
      <c r="D144" s="42">
        <f>TRUNC(20644,-1)</f>
        <v>20640</v>
      </c>
      <c r="E144" s="63">
        <f t="shared" si="5"/>
        <v>68230</v>
      </c>
    </row>
    <row r="145" spans="1:7" ht="17.25" thickBot="1" x14ac:dyDescent="0.35">
      <c r="A145" s="2">
        <v>10</v>
      </c>
      <c r="C145" s="38" t="s">
        <v>148</v>
      </c>
      <c r="D145" s="43">
        <f>TRUNC(3344,-1)</f>
        <v>3340</v>
      </c>
      <c r="E145" s="64">
        <f t="shared" si="5"/>
        <v>11040</v>
      </c>
    </row>
    <row r="146" spans="1:7" x14ac:dyDescent="0.3">
      <c r="A146" s="2">
        <v>11</v>
      </c>
      <c r="C146" s="27" t="s">
        <v>112</v>
      </c>
      <c r="D146" s="39">
        <f>SUM(D136:D145)</f>
        <v>81100</v>
      </c>
      <c r="E146" s="39">
        <f>SUM(E136:E145)</f>
        <v>268070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TRUNC(7419+1260,-1)</f>
        <v>8670</v>
      </c>
      <c r="E149" s="62">
        <f>TRUNC(+D149*3.3058,-1)</f>
        <v>28660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TRUNC(621,-1)</f>
        <v>620</v>
      </c>
      <c r="E150" s="63">
        <f>TRUNC(+D150*3.3058,-1)</f>
        <v>2040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TRUNC(1356+725+527,-1)</f>
        <v>2600</v>
      </c>
      <c r="E152" s="63">
        <f>TRUNC(+D152*3.3058,-1)</f>
        <v>8590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TRUNC(23739,-1)</f>
        <v>23730</v>
      </c>
      <c r="E153" s="64">
        <f>TRUNC(+D153*3.3058,-1)</f>
        <v>78440</v>
      </c>
    </row>
    <row r="154" spans="1:7" x14ac:dyDescent="0.3">
      <c r="A154" s="2">
        <v>6</v>
      </c>
      <c r="C154" s="27" t="s">
        <v>112</v>
      </c>
      <c r="D154" s="39">
        <f>SUM(D149:D153)</f>
        <v>35620</v>
      </c>
      <c r="E154" s="39">
        <f>SUM(E149:E153)</f>
        <v>117730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TRUNC(5269,-1)</f>
        <v>5260</v>
      </c>
      <c r="E157" s="62">
        <f>TRUNC(+D157*3.3058,-1)</f>
        <v>17380</v>
      </c>
    </row>
    <row r="158" spans="1:7" x14ac:dyDescent="0.3">
      <c r="A158" s="2">
        <v>2</v>
      </c>
      <c r="C158" s="38" t="s">
        <v>52</v>
      </c>
      <c r="D158" s="42">
        <f>TRUNC(1437,-1)</f>
        <v>1430</v>
      </c>
      <c r="E158" s="63">
        <f>TRUNC(+D158*3.3058,-1)</f>
        <v>4720</v>
      </c>
      <c r="F158" s="2" t="s">
        <v>261</v>
      </c>
    </row>
    <row r="159" spans="1:7" x14ac:dyDescent="0.3">
      <c r="A159" s="2">
        <v>3</v>
      </c>
      <c r="C159" s="38" t="s">
        <v>47</v>
      </c>
      <c r="D159" s="42">
        <f>TRUNC(7258+13830,-1)</f>
        <v>21080</v>
      </c>
      <c r="E159" s="63">
        <f>TRUNC(+D159*3.3058,-1)</f>
        <v>69680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f>TRUNC(7957,-1)</f>
        <v>7950</v>
      </c>
      <c r="E160" s="64">
        <f>TRUNC(+D160*3.3058,-1)</f>
        <v>26280</v>
      </c>
    </row>
    <row r="161" spans="1:5" x14ac:dyDescent="0.3">
      <c r="A161" s="2">
        <v>5</v>
      </c>
      <c r="C161" s="27" t="s">
        <v>112</v>
      </c>
      <c r="D161" s="39">
        <f>SUM(D157:D160)</f>
        <v>35720</v>
      </c>
      <c r="E161" s="39">
        <f>SUM(E157:E160)</f>
        <v>118060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2020-12-08T04:34:29Z</dcterms:modified>
</cp:coreProperties>
</file>