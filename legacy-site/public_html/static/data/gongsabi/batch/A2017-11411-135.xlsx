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30" i="4"/>
  <c r="D117" i="4"/>
  <c r="D116" i="4"/>
  <c r="D59" i="4"/>
  <c r="D58" i="4"/>
  <c r="D159" i="4"/>
  <c r="D158" i="4"/>
  <c r="D157" i="4"/>
  <c r="D151" i="4"/>
  <c r="D150" i="4"/>
  <c r="D149" i="4"/>
  <c r="D144" i="4"/>
  <c r="D141" i="4"/>
  <c r="D140" i="4"/>
  <c r="D139" i="4"/>
  <c r="D137" i="4"/>
  <c r="D132" i="4"/>
  <c r="D128" i="4"/>
  <c r="D125" i="4"/>
  <c r="D124" i="4"/>
  <c r="D122" i="4"/>
  <c r="D118" i="4"/>
  <c r="D114" i="4"/>
  <c r="D105" i="4"/>
  <c r="D104" i="4"/>
  <c r="D102" i="4"/>
  <c r="D100" i="4"/>
  <c r="D99" i="4"/>
  <c r="D98" i="4"/>
  <c r="D94" i="4"/>
  <c r="D92" i="4"/>
  <c r="D91" i="4"/>
  <c r="D89" i="4"/>
  <c r="D76" i="4"/>
  <c r="D73" i="4"/>
  <c r="D72" i="4"/>
  <c r="D71" i="4"/>
  <c r="D70" i="4"/>
  <c r="D69" i="4"/>
  <c r="D63" i="4"/>
  <c r="D53" i="4"/>
  <c r="D52" i="4"/>
  <c r="D50" i="4"/>
  <c r="D49" i="4"/>
  <c r="D48" i="4"/>
  <c r="D46" i="4"/>
  <c r="D45" i="4"/>
  <c r="D44" i="4"/>
  <c r="D43" i="4"/>
  <c r="D42" i="4"/>
  <c r="D41" i="4"/>
  <c r="D40" i="4"/>
  <c r="D152" i="4"/>
  <c r="E54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<sst xmlns="http://schemas.openxmlformats.org/spreadsheetml/2006/main" count="393" uniqueCount="270">
  <si>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</si>
  <si>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</si>
  <si>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</si>
  <si>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</si>
  <si>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</si>
  <si>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</si>
  <si>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</si>
  <si>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</si>
  <si>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</si>
  <si>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</si>
  <si>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</si>
  <si>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</si>
  <si>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</si>
  <si>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</si>
  <si>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</si>
  <si>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</si>
  <si>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</si>
  <si>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</si>
  <si>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</si>
  <si>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</si>
  <si>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</si>
  <si>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</si>
  <si>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</si>
  <si>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</si>
  <si>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</si>
  <si>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</si>
  <si>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</si>
  <si>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</si>
  <si>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</si>
  <si>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</si>
  <si>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</si>
  <si>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</si>
  <si>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</si>
  <si>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</si>
  <si>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</si>
  <si>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</si>
  <si>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</si>
  <si>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</si>
  <si>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</si>
  <si>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</si>
  <si>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</si>
  <si>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</si>
  <si>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</si>
  <si>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</si>
  <si>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</si>
  <si>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</si>
  <si>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</si>
  <si>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</si>
  <si>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</si>
  <si>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</si>
  <si>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</si>
  <si>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</si>
  <si>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</si>
  <si>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</si>
  <si>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</si>
  <si>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</si>
  <si>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</si>
  <si>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</si>
  <si>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</si>
  <si>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</si>
  <si>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</si>
  <si>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</si>
  <si>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</si>
  <si>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</si>
  <si>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</si>
  <si>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</si>
  <si>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</si>
  <si>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</si>
  <si>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</si>
  <si>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</si>
  <si>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</si>
  <si>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</si>
  <si>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</si>
  <si>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</si>
  <si>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</si>
  <si>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</si>
  <si>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</si>
  <si>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</si>
  <si>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</si>
  <si>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</si>
  <si>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</si>
  <si>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</si>
  <si>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</si>
  <si>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</si>
  <si>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</si>
  <si>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</si>
  <si>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</si>
  <si>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</si>
  <si>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</si>
  <si>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</si>
  <si>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</si>
  <si>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</si>
  <si>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</si>
  <si>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</si>
  <si>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</si>
  <si>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</si>
  <si>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</si>
  <si>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</si>
  <si>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</si>
  <si>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</si>
  <si>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</si>
  <si>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</si>
  <si>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</si>
  <si>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</si>
  <si>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</si>
  <si>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</si>
  <si>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</si>
  <si>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</si>
  <si>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</si>
  <si>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</si>
  <si>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</si>
  <si>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</si>
  <si>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</si>
  <si>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</si>
  <si>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</si>
  <si>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</si>
  <si>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</si>
  <si>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</si>
  <si>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</si>
  <si>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</si>
  <si>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</si>
  <si>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</si>
  <si>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</si>
  <si>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</si>
  <si>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</si>
  <si>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</si>
  <si>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</si>
  <si>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</si>
  <si>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</si>
  <si>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</si>
  <si>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</si>
  <si>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</si>
  <si>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</si>
  <si>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</si>
  <si>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</si>
  <si>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</si>
  <si>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</si>
  <si>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</si>
  <si>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</si>
  <si>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</si>
  <si>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</si>
  <si>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</si>
  <si>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</si>
  <si>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</si>
  <si>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</si>
  <si>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</si>
  <si>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</si>
  <si>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</si>
  <si>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</si>
  <si>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</si>
  <si>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</si>
  <si>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</si>
  <si>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</si>
  <si>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</si>
  <si>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</si>
  <si>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</si>
  <si>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</si>
  <si>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</si>
  <si>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</si>
  <si>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</si>
  <si>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</si>
  <si>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</si>
  <si>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</si>
  <si>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</si>
  <si>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</si>
  <si>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</si>
  <si>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</si>
  <si>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</si>
  <si>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</si>
  <si>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</si>
  <si>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</si>
  <si>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</si>
  <si>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</si>
  <si>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</si>
  <si>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</si>
  <si>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</si>
  <si>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</si>
  <si>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</si>
  <si>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</si>
  <si>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</si>
  <si>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</si>
  <si>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</si>
  <si>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</si>
  <si>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</si>
  <si>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</si>
  <si>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</si>
  <si>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</si>
  <si>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</si>
  <si>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</si>
  <si>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</si>
  <si>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</si>
  <si>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</si>
  <si>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</si>
  <si>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</si>
  <si>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</si>
  <si>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</si>
  <si>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</si>
  <si>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</si>
  <si>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</si>
  <si>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</si>
  <si>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</si>
  <si>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</si>
  <si>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</si>
  <si>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</si>
  <si>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</si>
  <si>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</si>
  <si>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</si>
  <si>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</si>
  <si>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</si>
  <si>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</si>
  <si>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</si>
  <si>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</si>
  <si>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</si>
  <si>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</si>
  <si>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</si>
  <si>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</si>
  <si>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</si>
  <si>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</si>
  <si>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</si>
  <si>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</si>
  <si>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</si>
  <si>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</si>
  <si>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</si>
  <si>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</si>
  <si>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</si>
  <si>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</si>
  <si>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</si>
  <si>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</si>
  <si>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</si>
  <si>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</si>
  <si>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</si>
  <si>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</si>
  <si>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</si>
  <si>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</si>
  <si>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</si>
  <si>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</si>
  <si>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</si>
  <si>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</si>
  <si>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</si>
  <si>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</si>
  <si>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</si>
  <si>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</si>
  <si>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</si>
  <si>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</si>
  <si>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</si>
  <si>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</si>
  <si>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</si>
  <si>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</si>
  <si>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</si>
  <si>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</si>
  <si>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</si>
  <si>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</si>
  <si>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</si>
  <si>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</si>
  <si>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옥외소화배관공사, 펌프실배관공사, 기타공사</t>
    <phoneticPr fontId="2" type="noConversion"/>
  </si>
  <si>
    <t>포장공사, 기타공사</t>
    <phoneticPr fontId="2" type="noConversion"/>
  </si>
  <si>
    <t>교육연구</t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</si>
  <si>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</si>
  <si>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</si>
  <si>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</si>
  <si>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</si>
  <si>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 xml:space="preserve"> 가칭 모산중학교 교사 신축공사</t>
    <phoneticPr fontId="2" type="noConversion"/>
  </si>
  <si>
    <t>충청도</t>
  </si>
  <si>
    <t>기초공사, 폐기물처리비, 골재비및운반비, 작업부산물, 품질시험비, 기타공사</t>
    <phoneticPr fontId="2" type="noConversion"/>
  </si>
  <si>
    <t>공조배관공사, 난방배관공사, 기타공사</t>
    <phoneticPr fontId="2" type="noConversion"/>
  </si>
  <si>
    <t>CCTV설비공사</t>
    <phoneticPr fontId="2" type="noConversion"/>
  </si>
  <si>
    <t>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</si>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</sst>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261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13764.75</v>
      </c>
      <c r="D7" s="36">
        <f>+C7/3.3058</f>
        <v>4163.8181378183799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262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793170</v>
      </c>
      <c r="E25" s="59">
        <f t="shared" si="0"/>
        <v>2622060</v>
      </c>
    </row>
    <row r="26" spans="1:5" x14ac:dyDescent="0.3">
      <c r="B26" s="2">
        <v>3</v>
      </c>
      <c r="C26" s="35" t="s">
        <v>95</v>
      </c>
      <c r="D26" s="45">
        <f>+D66</f>
        <v>4550</v>
      </c>
      <c r="E26" s="59">
        <f t="shared" si="0"/>
        <v>15040</v>
      </c>
    </row>
    <row r="27" spans="1:5" x14ac:dyDescent="0.3">
      <c r="B27" s="2">
        <v>4</v>
      </c>
      <c r="C27" s="35" t="s">
        <v>96</v>
      </c>
      <c r="D27" s="45">
        <f>+D95</f>
        <v>102350</v>
      </c>
      <c r="E27" s="59">
        <f t="shared" si="0"/>
        <v>338340</v>
      </c>
    </row>
    <row r="28" spans="1:5" x14ac:dyDescent="0.3">
      <c r="B28" s="2">
        <v>5</v>
      </c>
      <c r="C28" s="35" t="s">
        <v>97</v>
      </c>
      <c r="D28" s="45">
        <f>+D119</f>
        <v>124310</v>
      </c>
      <c r="E28" s="59">
        <f t="shared" si="0"/>
        <v>410940</v>
      </c>
    </row>
    <row r="29" spans="1:5" x14ac:dyDescent="0.3">
      <c r="B29" s="2">
        <v>6</v>
      </c>
      <c r="C29" s="35" t="s">
        <v>98</v>
      </c>
      <c r="D29" s="45">
        <f>+D133</f>
        <v>50620</v>
      </c>
      <c r="E29" s="59">
        <f t="shared" si="0"/>
        <v>167330</v>
      </c>
    </row>
    <row r="30" spans="1:5" x14ac:dyDescent="0.3">
      <c r="B30" s="2">
        <v>7</v>
      </c>
      <c r="C30" s="35" t="s">
        <v>99</v>
      </c>
      <c r="D30" s="45">
        <f>+D146</f>
        <v>44840</v>
      </c>
      <c r="E30" s="59">
        <f t="shared" si="0"/>
        <v>148230</v>
      </c>
    </row>
    <row r="31" spans="1:5" x14ac:dyDescent="0.3">
      <c r="B31" s="2">
        <v>8</v>
      </c>
      <c r="C31" s="35" t="s">
        <v>100</v>
      </c>
      <c r="D31" s="45">
        <f>+D154</f>
        <v>24570</v>
      </c>
      <c r="E31" s="59">
        <f t="shared" si="0"/>
        <v>81220</v>
      </c>
    </row>
    <row r="32" spans="1:5" x14ac:dyDescent="0.3">
      <c r="B32" s="2">
        <v>9</v>
      </c>
      <c r="C32" s="35" t="s">
        <v>101</v>
      </c>
      <c r="D32" s="45">
        <f>+D161</f>
        <v>29580</v>
      </c>
      <c r="E32" s="59">
        <f t="shared" si="0"/>
        <v>97780</v>
      </c>
    </row>
    <row r="33" spans="1:7" x14ac:dyDescent="0.3">
      <c r="B33" s="2">
        <v>10</v>
      </c>
      <c r="C33" s="35" t="s">
        <v>154</v>
      </c>
      <c r="D33" s="53">
        <f>TRUNC(SUM(D24:D32)*0.275,-1)</f>
        <v>322840</v>
      </c>
      <c r="E33" s="60">
        <f t="shared" si="0"/>
        <v>1067240</v>
      </c>
    </row>
    <row r="34" spans="1:7" x14ac:dyDescent="0.3">
      <c r="C34" s="35" t="s">
        <v>112</v>
      </c>
      <c r="D34" s="44">
        <f>SUM(D24:D33)</f>
        <v>1496830</v>
      </c>
      <c r="E34" s="44">
        <f>SUM(E24:E33)</f>
        <v>4948180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257</v>
      </c>
      <c r="C39" s="56" t="s">
        <v>258</v>
      </c>
      <c r="D39" s="57" t="s">
        <v>259</v>
      </c>
      <c r="E39" s="57" t="s">
        <v>260</v>
      </c>
      <c r="G39" s="55"/>
    </row>
    <row r="40" spans="1:7" x14ac:dyDescent="0.3">
      <c r="A40" s="2">
        <v>1</v>
      </c>
      <c r="C40" s="38" t="s">
        <v>15</v>
      </c>
      <c r="D40" s="40">
        <f>TRUNC(31748,-1)</f>
        <v>31740</v>
      </c>
      <c r="E40" s="62">
        <f t="shared" ref="E40:E59" si="1">TRUNC(+D40*3.3058,-1)</f>
        <v>104920</v>
      </c>
    </row>
    <row r="41" spans="1:7" x14ac:dyDescent="0.3">
      <c r="A41" s="2">
        <v>2</v>
      </c>
      <c r="C41" s="38" t="s">
        <v>13</v>
      </c>
      <c r="D41" s="42">
        <f>TRUNC(110608,-1)</f>
        <v>110600</v>
      </c>
      <c r="E41" s="63">
        <f t="shared" si="1"/>
        <v>365620</v>
      </c>
    </row>
    <row r="42" spans="1:7" x14ac:dyDescent="0.3">
      <c r="A42" s="2">
        <v>3</v>
      </c>
      <c r="C42" s="38" t="s">
        <v>14</v>
      </c>
      <c r="D42" s="42">
        <f>TRUNC(7209,-1)</f>
        <v>7200</v>
      </c>
      <c r="E42" s="63">
        <f t="shared" si="1"/>
        <v>23800</v>
      </c>
    </row>
    <row r="43" spans="1:7" x14ac:dyDescent="0.3">
      <c r="A43" s="2">
        <v>4</v>
      </c>
      <c r="C43" s="38" t="s">
        <v>16</v>
      </c>
      <c r="D43" s="42">
        <f>TRUNC(44418,-1)</f>
        <v>44410</v>
      </c>
      <c r="E43" s="63">
        <f t="shared" si="1"/>
        <v>146810</v>
      </c>
    </row>
    <row r="44" spans="1:7" x14ac:dyDescent="0.3">
      <c r="A44" s="2">
        <v>5</v>
      </c>
      <c r="C44" s="38" t="s">
        <v>17</v>
      </c>
      <c r="D44" s="42">
        <f>TRUNC(14924,-1)</f>
        <v>14920</v>
      </c>
      <c r="E44" s="63">
        <f t="shared" si="1"/>
        <v>49320</v>
      </c>
    </row>
    <row r="45" spans="1:7" x14ac:dyDescent="0.3">
      <c r="A45" s="2">
        <v>6</v>
      </c>
      <c r="C45" s="38" t="s">
        <v>18</v>
      </c>
      <c r="D45" s="42">
        <f>TRUNC(7304,-1)</f>
        <v>7300</v>
      </c>
      <c r="E45" s="63">
        <f t="shared" si="1"/>
        <v>24130</v>
      </c>
    </row>
    <row r="46" spans="1:7" x14ac:dyDescent="0.3">
      <c r="A46" s="2">
        <v>7</v>
      </c>
      <c r="C46" s="38" t="s">
        <v>19</v>
      </c>
      <c r="D46" s="42">
        <f>TRUNC(29747,-1)</f>
        <v>29740</v>
      </c>
      <c r="E46" s="63">
        <f t="shared" si="1"/>
        <v>98310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TRUNC(35925,-1)</f>
        <v>35920</v>
      </c>
      <c r="E48" s="63">
        <f t="shared" si="1"/>
        <v>118740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TRUNC(15458,-1)</f>
        <v>15450</v>
      </c>
      <c r="E49" s="63">
        <f t="shared" si="1"/>
        <v>51070</v>
      </c>
    </row>
    <row r="50" spans="1:7" x14ac:dyDescent="0.3">
      <c r="A50" s="2">
        <v>11</v>
      </c>
      <c r="C50" s="38" t="s">
        <v>155</v>
      </c>
      <c r="D50" s="42">
        <f>TRUNC(35047,-1)</f>
        <v>35040</v>
      </c>
      <c r="E50" s="63">
        <f t="shared" si="1"/>
        <v>115830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TRUNC(8323,-1)</f>
        <v>8320</v>
      </c>
      <c r="E52" s="63">
        <f t="shared" si="1"/>
        <v>27500</v>
      </c>
    </row>
    <row r="53" spans="1:7" x14ac:dyDescent="0.3">
      <c r="A53" s="2">
        <v>14</v>
      </c>
      <c r="C53" s="38" t="s">
        <v>25</v>
      </c>
      <c r="D53" s="42">
        <f>TRUNC(80264,-1)</f>
        <v>80260</v>
      </c>
      <c r="E53" s="63">
        <f t="shared" si="1"/>
        <v>265320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TRUNC(11375+59+4142-510+352+1803,-1)</f>
        <v>17220</v>
      </c>
      <c r="E58" s="63">
        <f t="shared" si="1"/>
        <v>56920</v>
      </c>
      <c r="F58" s="2" t="s">
        <v>263</v>
      </c>
    </row>
    <row r="59" spans="1:7" ht="17.25" thickBot="1" x14ac:dyDescent="0.35">
      <c r="A59" s="2">
        <v>20</v>
      </c>
      <c r="C59" s="38" t="s">
        <v>148</v>
      </c>
      <c r="D59" s="43">
        <f>TRUNC(355057,-1)</f>
        <v>355050</v>
      </c>
      <c r="E59" s="64">
        <f t="shared" si="1"/>
        <v>1173720</v>
      </c>
    </row>
    <row r="60" spans="1:7" x14ac:dyDescent="0.3">
      <c r="A60" s="2">
        <v>21</v>
      </c>
      <c r="C60" s="27" t="s">
        <v>112</v>
      </c>
      <c r="D60" s="39">
        <f>SUM(D40:D59)</f>
        <v>793170</v>
      </c>
      <c r="E60" s="39">
        <f>SUM(E40:E59)</f>
        <v>2622010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TRUNC(4554,-1)</f>
        <v>4550</v>
      </c>
      <c r="E63" s="62">
        <f>TRUNC(+D63*3.3058,-1)</f>
        <v>15040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4550</v>
      </c>
      <c r="E66" s="65">
        <f>SUM(E63:E65)</f>
        <v>15040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TRUNC(7558,-1)</f>
        <v>7550</v>
      </c>
      <c r="E69" s="62">
        <f t="shared" ref="E69:E94" si="2">TRUNC(+D69*3.3058,-1)</f>
        <v>24950</v>
      </c>
    </row>
    <row r="70" spans="1:7" ht="16.5" customHeight="1" x14ac:dyDescent="0.3">
      <c r="A70" s="2">
        <v>2</v>
      </c>
      <c r="C70" s="38" t="s">
        <v>31</v>
      </c>
      <c r="D70" s="42">
        <f>TRUNC(3344,-1)</f>
        <v>3340</v>
      </c>
      <c r="E70" s="63">
        <f t="shared" si="2"/>
        <v>11040</v>
      </c>
    </row>
    <row r="71" spans="1:7" x14ac:dyDescent="0.3">
      <c r="A71" s="2">
        <v>3</v>
      </c>
      <c r="C71" s="38" t="s">
        <v>32</v>
      </c>
      <c r="D71" s="42">
        <f>TRUNC(5181,-1)</f>
        <v>5180</v>
      </c>
      <c r="E71" s="63">
        <f t="shared" si="2"/>
        <v>17120</v>
      </c>
    </row>
    <row r="72" spans="1:7" x14ac:dyDescent="0.3">
      <c r="A72" s="2">
        <v>4</v>
      </c>
      <c r="C72" s="38" t="s">
        <v>33</v>
      </c>
      <c r="D72" s="42">
        <f>TRUNC(2991,-1)</f>
        <v>2990</v>
      </c>
      <c r="E72" s="63">
        <f t="shared" si="2"/>
        <v>9880</v>
      </c>
    </row>
    <row r="73" spans="1:7" x14ac:dyDescent="0.3">
      <c r="A73" s="2">
        <v>5</v>
      </c>
      <c r="C73" s="38" t="s">
        <v>34</v>
      </c>
      <c r="D73" s="42">
        <f>TRUNC(11987,-1)</f>
        <v>11980</v>
      </c>
      <c r="E73" s="63">
        <f t="shared" si="2"/>
        <v>39600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TRUNC(42803,-1)</f>
        <v>42800</v>
      </c>
      <c r="E76" s="63">
        <f t="shared" si="2"/>
        <v>141480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TRUNC(5332,-1)</f>
        <v>5330</v>
      </c>
      <c r="E89" s="63">
        <f t="shared" si="2"/>
        <v>17610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TRUNC(7348,-1)</f>
        <v>7340</v>
      </c>
      <c r="E91" s="63">
        <f t="shared" si="2"/>
        <v>24260</v>
      </c>
    </row>
    <row r="92" spans="1:7" x14ac:dyDescent="0.3">
      <c r="A92" s="2">
        <v>24</v>
      </c>
      <c r="C92" s="38" t="s">
        <v>38</v>
      </c>
      <c r="D92" s="42">
        <f>TRUNC(11588,-1)</f>
        <v>11580</v>
      </c>
      <c r="E92" s="63">
        <f t="shared" si="2"/>
        <v>38280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TRUNC(1222+463+2580,-1)</f>
        <v>4260</v>
      </c>
      <c r="E94" s="64">
        <f t="shared" si="2"/>
        <v>14080</v>
      </c>
      <c r="F94" s="2" t="s">
        <v>264</v>
      </c>
    </row>
    <row r="95" spans="1:7" x14ac:dyDescent="0.3">
      <c r="A95" s="2">
        <v>27</v>
      </c>
      <c r="C95" s="27" t="s">
        <v>112</v>
      </c>
      <c r="D95" s="39">
        <f>SUM(D69:D94)</f>
        <v>102350</v>
      </c>
      <c r="E95" s="39">
        <f>SUM(E69:E94)</f>
        <v>338300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TRUNC(11331,-1)</f>
        <v>11330</v>
      </c>
      <c r="E98" s="62">
        <f t="shared" ref="E98:E118" si="3">TRUNC(+D98*3.3058,-1)</f>
        <v>37450</v>
      </c>
    </row>
    <row r="99" spans="1:7" x14ac:dyDescent="0.3">
      <c r="A99" s="2">
        <v>2</v>
      </c>
      <c r="C99" s="38" t="s">
        <v>40</v>
      </c>
      <c r="D99" s="42">
        <f>TRUNC(9622,-1)</f>
        <v>9620</v>
      </c>
      <c r="E99" s="63">
        <f t="shared" si="3"/>
        <v>31800</v>
      </c>
    </row>
    <row r="100" spans="1:7" x14ac:dyDescent="0.3">
      <c r="A100" s="2">
        <v>3</v>
      </c>
      <c r="C100" s="38" t="s">
        <v>41</v>
      </c>
      <c r="D100" s="42">
        <f>TRUNC(24765,-1)</f>
        <v>24760</v>
      </c>
      <c r="E100" s="63">
        <f t="shared" si="3"/>
        <v>81850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TRUNC(18448,-1)</f>
        <v>18440</v>
      </c>
      <c r="E102" s="63">
        <f t="shared" si="3"/>
        <v>60950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TRUNC(3058,-1)</f>
        <v>3050</v>
      </c>
      <c r="E104" s="63">
        <f t="shared" si="3"/>
        <v>10080</v>
      </c>
    </row>
    <row r="105" spans="1:7" x14ac:dyDescent="0.3">
      <c r="A105" s="2">
        <v>8</v>
      </c>
      <c r="C105" s="38" t="s">
        <v>46</v>
      </c>
      <c r="D105" s="42">
        <f>TRUNC(2865,-1)</f>
        <v>2860</v>
      </c>
      <c r="E105" s="63">
        <f t="shared" si="3"/>
        <v>9450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TRUNC(998,-1)</f>
        <v>990</v>
      </c>
      <c r="E114" s="63">
        <f t="shared" si="3"/>
        <v>3270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TRUNC(1999,-1)</f>
        <v>1990</v>
      </c>
      <c r="E116" s="63">
        <f t="shared" si="3"/>
        <v>6570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TRUNC(51235,-1)</f>
        <v>51230</v>
      </c>
      <c r="E117" s="63">
        <f t="shared" si="3"/>
        <v>169350</v>
      </c>
    </row>
    <row r="118" spans="1:7" ht="17.25" thickBot="1" x14ac:dyDescent="0.35">
      <c r="A118" s="2">
        <v>21</v>
      </c>
      <c r="C118" s="38" t="s">
        <v>47</v>
      </c>
      <c r="D118" s="43">
        <f>TRUNC(43,-1)</f>
        <v>40</v>
      </c>
      <c r="E118" s="64">
        <f t="shared" si="3"/>
        <v>130</v>
      </c>
    </row>
    <row r="119" spans="1:7" x14ac:dyDescent="0.3">
      <c r="A119" s="2">
        <v>22</v>
      </c>
      <c r="C119" s="27" t="s">
        <v>112</v>
      </c>
      <c r="D119" s="39">
        <f>SUM(D98:D118)</f>
        <v>124310</v>
      </c>
      <c r="E119" s="39">
        <f>SUM(E98:E118)</f>
        <v>410900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TRUNC(2249,-1)</f>
        <v>2240</v>
      </c>
      <c r="E122" s="62">
        <f t="shared" ref="E122:E132" si="4">TRUNC(+D122*3.3058,-1)</f>
        <v>7400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TRUNC(701,-1)</f>
        <v>700</v>
      </c>
      <c r="E124" s="63">
        <f t="shared" si="4"/>
        <v>2310</v>
      </c>
    </row>
    <row r="125" spans="1:7" x14ac:dyDescent="0.3">
      <c r="A125" s="2">
        <v>4</v>
      </c>
      <c r="C125" s="38" t="s">
        <v>138</v>
      </c>
      <c r="D125" s="42">
        <f>TRUNC(6544,-1)</f>
        <v>6540</v>
      </c>
      <c r="E125" s="63">
        <f t="shared" si="4"/>
        <v>21610</v>
      </c>
    </row>
    <row r="126" spans="1:7" x14ac:dyDescent="0.3">
      <c r="A126" s="2">
        <v>5</v>
      </c>
      <c r="C126" s="38" t="s">
        <v>53</v>
      </c>
      <c r="D126" s="42">
        <v>1520</v>
      </c>
      <c r="E126" s="63">
        <f t="shared" si="4"/>
        <v>5020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TRUNC(3063,-1)</f>
        <v>3060</v>
      </c>
      <c r="E128" s="63">
        <f t="shared" si="4"/>
        <v>10110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TRUNC(10842,-1)</f>
        <v>10840</v>
      </c>
      <c r="E130" s="63">
        <f t="shared" si="4"/>
        <v>35830</v>
      </c>
    </row>
    <row r="131" spans="1:7" x14ac:dyDescent="0.3">
      <c r="A131" s="2">
        <v>10</v>
      </c>
      <c r="C131" s="38" t="s">
        <v>148</v>
      </c>
      <c r="D131" s="42">
        <f>TRUNC(23351,-1)</f>
        <v>23350</v>
      </c>
      <c r="E131" s="63">
        <f t="shared" si="4"/>
        <v>77190</v>
      </c>
    </row>
    <row r="132" spans="1:7" ht="18" thickBot="1" x14ac:dyDescent="0.35">
      <c r="A132" s="2">
        <v>11</v>
      </c>
      <c r="C132" s="38" t="s">
        <v>47</v>
      </c>
      <c r="D132" s="43">
        <f>TRUNC(2373,-1)</f>
        <v>2370</v>
      </c>
      <c r="E132" s="64">
        <f t="shared" si="4"/>
        <v>7830</v>
      </c>
      <c r="F132" s="54" t="s">
        <v>265</v>
      </c>
    </row>
    <row r="133" spans="1:7" x14ac:dyDescent="0.3">
      <c r="A133" s="2">
        <v>12</v>
      </c>
      <c r="C133" s="27" t="s">
        <v>112</v>
      </c>
      <c r="D133" s="39">
        <f>SUM(D122:D132)</f>
        <v>50620</v>
      </c>
      <c r="E133" s="39">
        <f>SUM(E122:E132)</f>
        <v>167300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TRUNC(119+3366+562,-1)</f>
        <v>4040</v>
      </c>
      <c r="E137" s="63">
        <f t="shared" si="5"/>
        <v>13350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TRUNC(1874,-1)</f>
        <v>1870</v>
      </c>
      <c r="E139" s="63">
        <f t="shared" si="5"/>
        <v>6180</v>
      </c>
    </row>
    <row r="140" spans="1:7" x14ac:dyDescent="0.3">
      <c r="A140" s="2">
        <v>5</v>
      </c>
      <c r="C140" s="38" t="s">
        <v>57</v>
      </c>
      <c r="D140" s="42">
        <f>TRUNC(1475,-1)</f>
        <v>1470</v>
      </c>
      <c r="E140" s="63">
        <f t="shared" si="5"/>
        <v>4850</v>
      </c>
    </row>
    <row r="141" spans="1:7" x14ac:dyDescent="0.3">
      <c r="A141" s="2">
        <v>6</v>
      </c>
      <c r="C141" s="38" t="s">
        <v>59</v>
      </c>
      <c r="D141" s="42">
        <f>TRUNC(7915,-1)</f>
        <v>7910</v>
      </c>
      <c r="E141" s="63">
        <f t="shared" si="5"/>
        <v>26140</v>
      </c>
    </row>
    <row r="142" spans="1:7" x14ac:dyDescent="0.3">
      <c r="A142" s="2">
        <v>7</v>
      </c>
      <c r="C142" s="38" t="s">
        <v>58</v>
      </c>
      <c r="D142" s="42">
        <v>5730</v>
      </c>
      <c r="E142" s="63">
        <f t="shared" si="5"/>
        <v>18940</v>
      </c>
    </row>
    <row r="143" spans="1:7" x14ac:dyDescent="0.3">
      <c r="A143" s="2">
        <v>8</v>
      </c>
      <c r="C143" s="38" t="s">
        <v>62</v>
      </c>
      <c r="D143" s="42">
        <v>4590</v>
      </c>
      <c r="E143" s="63">
        <f t="shared" si="5"/>
        <v>15170</v>
      </c>
    </row>
    <row r="144" spans="1:7" x14ac:dyDescent="0.3">
      <c r="A144" s="2">
        <v>9</v>
      </c>
      <c r="C144" s="38" t="s">
        <v>63</v>
      </c>
      <c r="D144" s="42">
        <f>TRUNC(19239,-1)</f>
        <v>19230</v>
      </c>
      <c r="E144" s="63">
        <f t="shared" si="5"/>
        <v>63570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44840</v>
      </c>
      <c r="E146" s="39">
        <f>SUM(E136:E145)</f>
        <v>148200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TRUNC(7347+2389,-1)</f>
        <v>9730</v>
      </c>
      <c r="E149" s="62">
        <f>TRUNC(+D149*3.3058,-1)</f>
        <v>32160</v>
      </c>
    </row>
    <row r="150" spans="1:7" x14ac:dyDescent="0.3">
      <c r="A150" s="2">
        <v>2</v>
      </c>
      <c r="C150" s="38" t="s">
        <v>49</v>
      </c>
      <c r="D150" s="42">
        <f>TRUNC(13012,-1)</f>
        <v>13010</v>
      </c>
      <c r="E150" s="63">
        <f>TRUNC(+D150*3.3058,-1)</f>
        <v>43000</v>
      </c>
    </row>
    <row r="151" spans="1:7" x14ac:dyDescent="0.3">
      <c r="A151" s="2">
        <v>3</v>
      </c>
      <c r="C151" s="38" t="s">
        <v>50</v>
      </c>
      <c r="D151" s="42">
        <f>TRUNC(1628,-1)</f>
        <v>1620</v>
      </c>
      <c r="E151" s="63">
        <f>TRUNC(+D151*3.3058,-1)</f>
        <v>5350</v>
      </c>
    </row>
    <row r="152" spans="1:7" x14ac:dyDescent="0.3">
      <c r="A152" s="2">
        <v>4</v>
      </c>
      <c r="C152" s="38" t="s">
        <v>47</v>
      </c>
      <c r="D152" s="42">
        <f>63+147</f>
        <v>210</v>
      </c>
      <c r="E152" s="63">
        <f>TRUNC(+D152*3.3058,-1)</f>
        <v>690</v>
      </c>
      <c r="F152" s="2" t="s">
        <v>266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24570</v>
      </c>
      <c r="E154" s="39">
        <f>SUM(E149:E153)</f>
        <v>81200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TRUNC(23366,-1)</f>
        <v>23360</v>
      </c>
      <c r="E157" s="62">
        <f>TRUNC(+D157*3.3058,-1)</f>
        <v>77220</v>
      </c>
    </row>
    <row r="158" spans="1:7" x14ac:dyDescent="0.3">
      <c r="A158" s="2">
        <v>2</v>
      </c>
      <c r="C158" s="38" t="s">
        <v>52</v>
      </c>
      <c r="D158" s="42">
        <f>TRUNC(4023,-1)</f>
        <v>4020</v>
      </c>
      <c r="E158" s="63">
        <f>TRUNC(+D158*3.3058,-1)</f>
        <v>13280</v>
      </c>
    </row>
    <row r="159" spans="1:7" x14ac:dyDescent="0.3">
      <c r="A159" s="2">
        <v>3</v>
      </c>
      <c r="C159" s="38" t="s">
        <v>47</v>
      </c>
      <c r="D159" s="42">
        <f>TRUNC(2197+5,-1)</f>
        <v>2200</v>
      </c>
      <c r="E159" s="63">
        <f>TRUNC(+D159*3.3058,-1)</f>
        <v>7270</v>
      </c>
      <c r="F159" s="2" t="s">
        <v>255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29580</v>
      </c>
      <c r="E161" s="39">
        <f>SUM(E157:E160)</f>
        <v>97770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2020-12-08T01:58:43Z</dcterms:modified>
</cp:coreProperties>
</file>