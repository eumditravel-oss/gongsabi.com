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52" i="4"/>
  <c r="D150" i="4"/>
  <c r="D149" i="4"/>
  <c r="D144" i="4"/>
  <c r="D143" i="4"/>
  <c r="D142" i="4"/>
  <c r="D140" i="4"/>
  <c r="D139" i="4"/>
  <c r="D137" i="4"/>
  <c r="D132" i="4"/>
  <c r="D131" i="4"/>
  <c r="D130" i="4"/>
  <c r="D126" i="4"/>
  <c r="D125" i="4"/>
  <c r="D124" i="4"/>
  <c r="D122" i="4"/>
  <c r="D117" i="4"/>
  <c r="D103" i="4"/>
  <c r="D100" i="4"/>
  <c r="D98" i="4"/>
  <c r="D93" i="4"/>
  <c r="D92" i="4"/>
  <c r="D89" i="4"/>
  <c r="D73" i="4"/>
  <c r="D72" i="4"/>
  <c r="D71" i="4"/>
  <c r="D70" i="4"/>
  <c r="D69" i="4"/>
  <c r="D59" i="4"/>
  <c r="D58" i="4"/>
  <c r="D53" i="4"/>
  <c r="D52" i="4"/>
  <c r="D50" i="4"/>
  <c r="D49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<sst xmlns="http://schemas.openxmlformats.org/spreadsheetml/2006/main" count="391" uniqueCount="265">
  <si>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</si>
  <si>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</si>
  <si>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</si>
  <si>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</si>
  <si>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</si>
  <si>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</si>
  <si>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</si>
  <si>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</si>
  <si>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</si>
  <si>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</si>
  <si>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</si>
  <si>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</si>
  <si>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</si>
  <si>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</si>
  <si>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</si>
  <si>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</si>
  <si>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</si>
  <si>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</si>
  <si>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</si>
  <si>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</si>
  <si>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</si>
  <si>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</si>
  <si>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</si>
  <si>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</si>
  <si>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</si>
  <si>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</si>
  <si>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</si>
  <si>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</si>
  <si>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</si>
  <si>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</si>
  <si>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</si>
  <si>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</si>
  <si>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</si>
  <si>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</si>
  <si>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</si>
  <si>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</si>
  <si>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</si>
  <si>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</si>
  <si>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</si>
  <si>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</si>
  <si>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</si>
  <si>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</si>
  <si>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</si>
  <si>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</si>
  <si>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</si>
  <si>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</si>
  <si>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</si>
  <si>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</si>
  <si>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</si>
  <si>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</si>
  <si>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</si>
  <si>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</si>
  <si>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</si>
  <si>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</si>
  <si>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</si>
  <si>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</si>
  <si>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</si>
  <si>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</si>
  <si>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</si>
  <si>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</si>
  <si>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</si>
  <si>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</si>
  <si>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</si>
  <si>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</si>
  <si>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</si>
  <si>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</si>
  <si>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</si>
  <si>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</si>
  <si>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</si>
  <si>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</si>
  <si>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</si>
  <si>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</si>
  <si>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</si>
  <si>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</si>
  <si>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</si>
  <si>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</si>
  <si>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</si>
  <si>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</si>
  <si>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</si>
  <si>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</si>
  <si>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</si>
  <si>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</si>
  <si>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</si>
  <si>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</si>
  <si>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</si>
  <si>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</si>
  <si>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</si>
  <si>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</si>
  <si>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</si>
  <si>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</si>
  <si>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</si>
  <si>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</si>
  <si>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</si>
  <si>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</si>
  <si>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</si>
  <si>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</si>
  <si>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</si>
  <si>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</si>
  <si>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</si>
  <si>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</si>
  <si>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</si>
  <si>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</si>
  <si>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</si>
  <si>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</si>
  <si>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</si>
  <si>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</si>
  <si>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</si>
  <si>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</si>
  <si>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</si>
  <si>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</si>
  <si>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</si>
  <si>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</si>
  <si>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</si>
  <si>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</si>
  <si>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</si>
  <si>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</si>
  <si>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</si>
  <si>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</si>
  <si>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</si>
  <si>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</si>
  <si>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</si>
  <si>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</si>
  <si>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</si>
  <si>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</si>
  <si>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</si>
  <si>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</si>
  <si>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</si>
  <si>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</si>
  <si>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</si>
  <si>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</si>
  <si>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</si>
  <si>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</si>
  <si>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</si>
  <si>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</si>
  <si>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</si>
  <si>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</si>
  <si>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</si>
  <si>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</si>
  <si>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</si>
  <si>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</si>
  <si>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</si>
  <si>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</si>
  <si>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</si>
  <si>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</si>
  <si>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</si>
  <si>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</si>
  <si>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</si>
  <si>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</si>
  <si>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</si>
  <si>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</si>
  <si>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</si>
  <si>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</si>
  <si>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</si>
  <si>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</si>
  <si>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</si>
  <si>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</si>
  <si>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</si>
  <si>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</si>
  <si>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</si>
  <si>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</si>
  <si>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</si>
  <si>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</si>
  <si>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</si>
  <si>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</si>
  <si>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</si>
  <si>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</si>
  <si>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</si>
  <si>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</si>
  <si>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</si>
  <si>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</si>
  <si>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</si>
  <si>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</si>
  <si>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</si>
  <si>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</si>
  <si>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</si>
  <si>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</si>
  <si>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</si>
  <si>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</si>
  <si>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</si>
  <si>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</si>
  <si>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</si>
  <si>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</si>
  <si>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</si>
  <si>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</si>
  <si>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</si>
  <si>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</si>
  <si>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</si>
  <si>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</si>
  <si>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</si>
  <si>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</si>
  <si>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</si>
  <si>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</si>
  <si>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</si>
  <si>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</si>
  <si>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</si>
  <si>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</si>
  <si>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</si>
  <si>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</si>
  <si>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</si>
  <si>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</si>
  <si>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</si>
  <si>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</si>
  <si>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</si>
  <si>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</si>
  <si>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</si>
  <si>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</si>
  <si>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</si>
  <si>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</si>
  <si>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</si>
  <si>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</si>
  <si>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</si>
  <si>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</si>
  <si>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</si>
  <si>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</si>
  <si>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</si>
  <si>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</si>
  <si>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</si>
  <si>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</si>
  <si>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</si>
  <si>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</si>
  <si>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</si>
  <si>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</si>
  <si>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</si>
  <si>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</si>
  <si>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</si>
  <si>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</si>
  <si>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</si>
  <si>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</si>
  <si>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</si>
  <si>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</si>
  <si>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</si>
  <si>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</si>
  <si>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</si>
  <si>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</si>
  <si>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</si>
  <si>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</si>
  <si>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</si>
  <si>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</si>
  <si>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</si>
  <si>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</si>
  <si>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</si>
  <si>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</si>
  <si>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</si>
  <si>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</si>
  <si>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</si>
  <si>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</si>
  <si>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</si>
  <si>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</si>
  <si>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</si>
  <si>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</si>
  <si>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</si>
  <si>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</si>
  <si>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</si>
  <si>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</si>
  <si>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</si>
  <si>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</si>
  <si>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여수지사 청사 신축공사</t>
    <phoneticPr fontId="2" type="noConversion"/>
  </si>
  <si>
    <t>전라도</t>
  </si>
  <si>
    <t>기초공사, 해체및철거공사, 골재비및운반비, 기타공사</t>
    <phoneticPr fontId="2" type="noConversion"/>
  </si>
  <si>
    <t>CCTV설비공사</t>
    <phoneticPr fontId="2" type="noConversion"/>
  </si>
  <si>
    <t>펌프실배관공사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</si>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</sst>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2455.7199999999998</v>
      </c>
      <c r="D7" s="36">
        <f>+C7/3.3058</f>
        <v>742.85195716619262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922050</v>
      </c>
      <c r="E25" s="59">
        <f t="shared" si="0"/>
        <v>3048110</v>
      </c>
    </row>
    <row r="26" spans="1:5" x14ac:dyDescent="0.3">
      <c r="B26" s="2">
        <v>3</v>
      </c>
      <c r="C26" s="35" t="s">
        <v>95</v>
      </c>
      <c r="D26" s="45">
        <f>+D66</f>
        <v>6920</v>
      </c>
      <c r="E26" s="59">
        <f t="shared" si="0"/>
        <v>22870</v>
      </c>
    </row>
    <row r="27" spans="1:5" x14ac:dyDescent="0.3">
      <c r="B27" s="2">
        <v>4</v>
      </c>
      <c r="C27" s="35" t="s">
        <v>96</v>
      </c>
      <c r="D27" s="45">
        <f>+D95</f>
        <v>167750</v>
      </c>
      <c r="E27" s="59">
        <f t="shared" si="0"/>
        <v>554540</v>
      </c>
    </row>
    <row r="28" spans="1:5" x14ac:dyDescent="0.3">
      <c r="B28" s="2">
        <v>5</v>
      </c>
      <c r="C28" s="35" t="s">
        <v>97</v>
      </c>
      <c r="D28" s="45">
        <f>+D119</f>
        <v>244660</v>
      </c>
      <c r="E28" s="59">
        <f t="shared" si="0"/>
        <v>808790</v>
      </c>
    </row>
    <row r="29" spans="1:5" x14ac:dyDescent="0.3">
      <c r="B29" s="2">
        <v>6</v>
      </c>
      <c r="C29" s="35" t="s">
        <v>98</v>
      </c>
      <c r="D29" s="45">
        <f>+D133</f>
        <v>90550</v>
      </c>
      <c r="E29" s="59">
        <f t="shared" si="0"/>
        <v>299340</v>
      </c>
    </row>
    <row r="30" spans="1:5" x14ac:dyDescent="0.3">
      <c r="B30" s="2">
        <v>7</v>
      </c>
      <c r="C30" s="35" t="s">
        <v>99</v>
      </c>
      <c r="D30" s="45">
        <f>+D146</f>
        <v>48840</v>
      </c>
      <c r="E30" s="59">
        <f t="shared" si="0"/>
        <v>161450</v>
      </c>
    </row>
    <row r="31" spans="1:5" x14ac:dyDescent="0.3">
      <c r="B31" s="2">
        <v>8</v>
      </c>
      <c r="C31" s="35" t="s">
        <v>100</v>
      </c>
      <c r="D31" s="45">
        <f>+D154</f>
        <v>50980</v>
      </c>
      <c r="E31" s="59">
        <f t="shared" si="0"/>
        <v>168520</v>
      </c>
    </row>
    <row r="32" spans="1:5" x14ac:dyDescent="0.3">
      <c r="B32" s="2">
        <v>9</v>
      </c>
      <c r="C32" s="35" t="s">
        <v>101</v>
      </c>
      <c r="D32" s="45">
        <f>+D161</f>
        <v>61070</v>
      </c>
      <c r="E32" s="59">
        <f t="shared" si="0"/>
        <v>201880</v>
      </c>
    </row>
    <row r="33" spans="1:7" x14ac:dyDescent="0.3">
      <c r="B33" s="2">
        <v>10</v>
      </c>
      <c r="C33" s="35" t="s">
        <v>155</v>
      </c>
      <c r="D33" s="53">
        <f>TRUNC(SUM(D24:D32)*0.275,-1)</f>
        <v>438020</v>
      </c>
      <c r="E33" s="60">
        <f t="shared" si="0"/>
        <v>1448000</v>
      </c>
    </row>
    <row r="34" spans="1:7" x14ac:dyDescent="0.3">
      <c r="C34" s="35" t="s">
        <v>112</v>
      </c>
      <c r="D34" s="44">
        <f>SUM(D24:D33)</f>
        <v>2030840</v>
      </c>
      <c r="E34" s="44">
        <f>SUM(E24:E33)</f>
        <v>6713500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TRUNC(55073,-1)</f>
        <v>55070</v>
      </c>
      <c r="E40" s="62">
        <f t="shared" ref="E40:E59" si="1">TRUNC(+D40*3.3058,-1)</f>
        <v>182050</v>
      </c>
    </row>
    <row r="41" spans="1:7" x14ac:dyDescent="0.3">
      <c r="A41" s="2">
        <v>2</v>
      </c>
      <c r="C41" s="38" t="s">
        <v>13</v>
      </c>
      <c r="D41" s="42">
        <f>TRUNC(157682,-1)</f>
        <v>157680</v>
      </c>
      <c r="E41" s="63">
        <f t="shared" si="1"/>
        <v>521250</v>
      </c>
    </row>
    <row r="42" spans="1:7" x14ac:dyDescent="0.3">
      <c r="A42" s="2">
        <v>3</v>
      </c>
      <c r="C42" s="38" t="s">
        <v>14</v>
      </c>
      <c r="D42" s="42">
        <f>TRUNC(3883,-1)</f>
        <v>3880</v>
      </c>
      <c r="E42" s="63">
        <f t="shared" si="1"/>
        <v>12820</v>
      </c>
    </row>
    <row r="43" spans="1:7" x14ac:dyDescent="0.3">
      <c r="A43" s="2">
        <v>4</v>
      </c>
      <c r="C43" s="38" t="s">
        <v>16</v>
      </c>
      <c r="D43" s="42">
        <f>TRUNC(16625,-1)</f>
        <v>16620</v>
      </c>
      <c r="E43" s="63">
        <f t="shared" si="1"/>
        <v>54940</v>
      </c>
    </row>
    <row r="44" spans="1:7" x14ac:dyDescent="0.3">
      <c r="A44" s="2">
        <v>5</v>
      </c>
      <c r="C44" s="38" t="s">
        <v>17</v>
      </c>
      <c r="D44" s="42">
        <f>TRUNC(33007,-1)</f>
        <v>33000</v>
      </c>
      <c r="E44" s="63">
        <f t="shared" si="1"/>
        <v>109090</v>
      </c>
    </row>
    <row r="45" spans="1:7" x14ac:dyDescent="0.3">
      <c r="A45" s="2">
        <v>6</v>
      </c>
      <c r="C45" s="38" t="s">
        <v>18</v>
      </c>
      <c r="D45" s="42">
        <f>TRUNC(22004,-1)</f>
        <v>22000</v>
      </c>
      <c r="E45" s="63">
        <f t="shared" si="1"/>
        <v>72720</v>
      </c>
    </row>
    <row r="46" spans="1:7" x14ac:dyDescent="0.3">
      <c r="A46" s="2">
        <v>7</v>
      </c>
      <c r="C46" s="38" t="s">
        <v>19</v>
      </c>
      <c r="D46" s="42">
        <f>TRUNC(12282,-1)</f>
        <v>12280</v>
      </c>
      <c r="E46" s="63">
        <f t="shared" si="1"/>
        <v>40590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59290</v>
      </c>
      <c r="E48" s="63">
        <f t="shared" si="1"/>
        <v>196000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TRUNC(17429,-1)</f>
        <v>17420</v>
      </c>
      <c r="E49" s="63">
        <f t="shared" si="1"/>
        <v>57580</v>
      </c>
    </row>
    <row r="50" spans="1:7" x14ac:dyDescent="0.3">
      <c r="A50" s="2">
        <v>11</v>
      </c>
      <c r="C50" s="38" t="s">
        <v>156</v>
      </c>
      <c r="D50" s="42">
        <f>TRUNC(77947,-1)</f>
        <v>77940</v>
      </c>
      <c r="E50" s="63">
        <f t="shared" si="1"/>
        <v>257650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TRUNC(15703,-1)</f>
        <v>15700</v>
      </c>
      <c r="E52" s="63">
        <f t="shared" si="1"/>
        <v>51900</v>
      </c>
    </row>
    <row r="53" spans="1:7" x14ac:dyDescent="0.3">
      <c r="A53" s="2">
        <v>14</v>
      </c>
      <c r="C53" s="38" t="s">
        <v>25</v>
      </c>
      <c r="D53" s="42">
        <f>TRUNC(95283,-1)</f>
        <v>95280</v>
      </c>
      <c r="E53" s="63">
        <f t="shared" si="1"/>
        <v>314970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TRUNC(6369+46135+13133+8408,-1)</f>
        <v>74040</v>
      </c>
      <c r="E58" s="63">
        <f t="shared" si="1"/>
        <v>244760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TRUNC(281857,-1)</f>
        <v>281850</v>
      </c>
      <c r="E59" s="64">
        <f t="shared" si="1"/>
        <v>931730</v>
      </c>
    </row>
    <row r="60" spans="1:7" x14ac:dyDescent="0.3">
      <c r="A60" s="2">
        <v>21</v>
      </c>
      <c r="C60" s="27" t="s">
        <v>112</v>
      </c>
      <c r="D60" s="39">
        <f>SUM(D40:D59)</f>
        <v>922050</v>
      </c>
      <c r="E60" s="39">
        <f>SUM(E40:E59)</f>
        <v>3048050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6920</v>
      </c>
      <c r="E63" s="62">
        <f>TRUNC(+D63*3.3058,-1)</f>
        <v>22870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6920</v>
      </c>
      <c r="E66" s="65">
        <f>SUM(E63:E65)</f>
        <v>22870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TRUNC(4556,-1)</f>
        <v>4550</v>
      </c>
      <c r="E69" s="62">
        <f t="shared" ref="E69:E94" si="2">TRUNC(+D69*3.3058,-1)</f>
        <v>15040</v>
      </c>
    </row>
    <row r="70" spans="1:7" ht="16.5" customHeight="1" x14ac:dyDescent="0.3">
      <c r="A70" s="2">
        <v>2</v>
      </c>
      <c r="C70" s="38" t="s">
        <v>31</v>
      </c>
      <c r="D70" s="42">
        <f>TRUNC(1161,-1)</f>
        <v>1160</v>
      </c>
      <c r="E70" s="63">
        <f t="shared" si="2"/>
        <v>3830</v>
      </c>
    </row>
    <row r="71" spans="1:7" x14ac:dyDescent="0.3">
      <c r="A71" s="2">
        <v>3</v>
      </c>
      <c r="C71" s="38" t="s">
        <v>32</v>
      </c>
      <c r="D71" s="42">
        <f>TRUNC(4001,-1)</f>
        <v>4000</v>
      </c>
      <c r="E71" s="63">
        <f t="shared" si="2"/>
        <v>13220</v>
      </c>
    </row>
    <row r="72" spans="1:7" x14ac:dyDescent="0.3">
      <c r="A72" s="2">
        <v>4</v>
      </c>
      <c r="C72" s="38" t="s">
        <v>33</v>
      </c>
      <c r="D72" s="42">
        <f>TRUNC(3901,-1)</f>
        <v>3900</v>
      </c>
      <c r="E72" s="63">
        <f t="shared" si="2"/>
        <v>12890</v>
      </c>
    </row>
    <row r="73" spans="1:7" x14ac:dyDescent="0.3">
      <c r="A73" s="2">
        <v>5</v>
      </c>
      <c r="C73" s="38" t="s">
        <v>34</v>
      </c>
      <c r="D73" s="42">
        <f>TRUNC(10542,-1)</f>
        <v>10540</v>
      </c>
      <c r="E73" s="63">
        <f t="shared" si="2"/>
        <v>34840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TRUNC(7405,-1)</f>
        <v>7400</v>
      </c>
      <c r="E89" s="63">
        <f t="shared" si="2"/>
        <v>24460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2140</v>
      </c>
      <c r="E91" s="63">
        <f t="shared" si="2"/>
        <v>7070</v>
      </c>
    </row>
    <row r="92" spans="1:7" x14ac:dyDescent="0.3">
      <c r="A92" s="2">
        <v>24</v>
      </c>
      <c r="C92" s="38" t="s">
        <v>38</v>
      </c>
      <c r="D92" s="42">
        <f>TRUNC(9814,-1)</f>
        <v>9810</v>
      </c>
      <c r="E92" s="63">
        <f t="shared" si="2"/>
        <v>32420</v>
      </c>
    </row>
    <row r="93" spans="1:7" x14ac:dyDescent="0.3">
      <c r="A93" s="2">
        <v>25</v>
      </c>
      <c r="C93" s="38" t="s">
        <v>149</v>
      </c>
      <c r="D93" s="42">
        <f>TRUNC(124256,-1)</f>
        <v>124250</v>
      </c>
      <c r="E93" s="63">
        <f t="shared" si="2"/>
        <v>410740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167750</v>
      </c>
      <c r="E95" s="39">
        <f>SUM(E69:E94)</f>
        <v>554510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TRUNC(13977,-1)</f>
        <v>13970</v>
      </c>
      <c r="E98" s="62">
        <f t="shared" ref="E98:E118" si="3">TRUNC(+D98*3.3058,-1)</f>
        <v>46180</v>
      </c>
    </row>
    <row r="99" spans="1:7" x14ac:dyDescent="0.3">
      <c r="A99" s="2">
        <v>2</v>
      </c>
      <c r="C99" s="38" t="s">
        <v>40</v>
      </c>
      <c r="D99" s="42">
        <v>3360</v>
      </c>
      <c r="E99" s="63">
        <f t="shared" si="3"/>
        <v>11100</v>
      </c>
    </row>
    <row r="100" spans="1:7" x14ac:dyDescent="0.3">
      <c r="A100" s="2">
        <v>3</v>
      </c>
      <c r="C100" s="38" t="s">
        <v>41</v>
      </c>
      <c r="D100" s="42">
        <f>TRUNC(36556,-1)</f>
        <v>36550</v>
      </c>
      <c r="E100" s="63">
        <f t="shared" si="3"/>
        <v>120820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15850</v>
      </c>
      <c r="E102" s="63">
        <f t="shared" si="3"/>
        <v>52390</v>
      </c>
    </row>
    <row r="103" spans="1:7" x14ac:dyDescent="0.3">
      <c r="A103" s="2">
        <v>6</v>
      </c>
      <c r="C103" s="38" t="s">
        <v>44</v>
      </c>
      <c r="D103" s="42">
        <f>TRUNC(7567,-1)</f>
        <v>7560</v>
      </c>
      <c r="E103" s="63">
        <f t="shared" si="3"/>
        <v>24990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11200</v>
      </c>
      <c r="E116" s="63">
        <f t="shared" si="3"/>
        <v>37020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TRUNC(155903,-1)</f>
        <v>155900</v>
      </c>
      <c r="E117" s="63">
        <f t="shared" si="3"/>
        <v>515370</v>
      </c>
    </row>
    <row r="118" spans="1:7" ht="17.25" thickBot="1" x14ac:dyDescent="0.35">
      <c r="A118" s="2">
        <v>21</v>
      </c>
      <c r="C118" s="38" t="s">
        <v>47</v>
      </c>
      <c r="D118" s="43">
        <v>270</v>
      </c>
      <c r="E118" s="64">
        <f t="shared" si="3"/>
        <v>890</v>
      </c>
    </row>
    <row r="119" spans="1:7" x14ac:dyDescent="0.3">
      <c r="A119" s="2">
        <v>22</v>
      </c>
      <c r="C119" s="27" t="s">
        <v>112</v>
      </c>
      <c r="D119" s="39">
        <f>SUM(D98:D118)</f>
        <v>244660</v>
      </c>
      <c r="E119" s="39">
        <f>SUM(E98:E118)</f>
        <v>808760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TRUNC(2185,-1)</f>
        <v>2180</v>
      </c>
      <c r="E122" s="62">
        <f t="shared" ref="E122:E132" si="4">TRUNC(+D122*3.3058,-1)</f>
        <v>7200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TRUNC(2107,-1)</f>
        <v>2100</v>
      </c>
      <c r="E124" s="63">
        <f t="shared" si="4"/>
        <v>6940</v>
      </c>
    </row>
    <row r="125" spans="1:7" x14ac:dyDescent="0.3">
      <c r="A125" s="2">
        <v>4</v>
      </c>
      <c r="C125" s="38" t="s">
        <v>138</v>
      </c>
      <c r="D125" s="42">
        <f>TRUNC(3355,-1)</f>
        <v>3350</v>
      </c>
      <c r="E125" s="63">
        <f t="shared" si="4"/>
        <v>11070</v>
      </c>
    </row>
    <row r="126" spans="1:7" x14ac:dyDescent="0.3">
      <c r="A126" s="2">
        <v>5</v>
      </c>
      <c r="C126" s="38" t="s">
        <v>53</v>
      </c>
      <c r="D126" s="42">
        <f>TRUNC(6973,-1)</f>
        <v>6970</v>
      </c>
      <c r="E126" s="63">
        <f t="shared" si="4"/>
        <v>23040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TRUNC(29571,-1)</f>
        <v>29570</v>
      </c>
      <c r="E130" s="63">
        <f t="shared" si="4"/>
        <v>97750</v>
      </c>
    </row>
    <row r="131" spans="1:7" x14ac:dyDescent="0.3">
      <c r="A131" s="2">
        <v>10</v>
      </c>
      <c r="C131" s="38" t="s">
        <v>149</v>
      </c>
      <c r="D131" s="42">
        <f>TRUNC(44782,-1)</f>
        <v>44780</v>
      </c>
      <c r="E131" s="63">
        <f t="shared" si="4"/>
        <v>148030</v>
      </c>
    </row>
    <row r="132" spans="1:7" ht="18" thickBot="1" x14ac:dyDescent="0.35">
      <c r="A132" s="2">
        <v>11</v>
      </c>
      <c r="C132" s="38" t="s">
        <v>47</v>
      </c>
      <c r="D132" s="43">
        <f>TRUNC(1609,-1)</f>
        <v>1600</v>
      </c>
      <c r="E132" s="64">
        <f t="shared" si="4"/>
        <v>5280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90550</v>
      </c>
      <c r="E133" s="39">
        <f>SUM(E122:E132)</f>
        <v>299310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TRUNC(4397,-1)</f>
        <v>4390</v>
      </c>
      <c r="E137" s="63">
        <f t="shared" si="5"/>
        <v>14510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TRUNC(3823,-1)</f>
        <v>3820</v>
      </c>
      <c r="E139" s="63">
        <f t="shared" si="5"/>
        <v>12620</v>
      </c>
    </row>
    <row r="140" spans="1:7" x14ac:dyDescent="0.3">
      <c r="A140" s="2">
        <v>5</v>
      </c>
      <c r="C140" s="38" t="s">
        <v>57</v>
      </c>
      <c r="D140" s="42">
        <f>TRUNC(3578,-1)</f>
        <v>3570</v>
      </c>
      <c r="E140" s="63">
        <f t="shared" si="5"/>
        <v>11800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TRUNC(6475,-1)</f>
        <v>6470</v>
      </c>
      <c r="E142" s="63">
        <f t="shared" si="5"/>
        <v>21380</v>
      </c>
    </row>
    <row r="143" spans="1:7" x14ac:dyDescent="0.3">
      <c r="A143" s="2">
        <v>8</v>
      </c>
      <c r="C143" s="38" t="s">
        <v>62</v>
      </c>
      <c r="D143" s="42">
        <f>TRUNC(5284,-1)</f>
        <v>5280</v>
      </c>
      <c r="E143" s="63">
        <f t="shared" si="5"/>
        <v>17450</v>
      </c>
    </row>
    <row r="144" spans="1:7" x14ac:dyDescent="0.3">
      <c r="A144" s="2">
        <v>9</v>
      </c>
      <c r="C144" s="38" t="s">
        <v>63</v>
      </c>
      <c r="D144" s="42">
        <f>TRUNC(25315,-1)</f>
        <v>25310</v>
      </c>
      <c r="E144" s="63">
        <f t="shared" si="5"/>
        <v>83660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48840</v>
      </c>
      <c r="E146" s="39">
        <f>SUM(E136:E145)</f>
        <v>161420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TRUNC(15843+5981,-1)</f>
        <v>21820</v>
      </c>
      <c r="E149" s="62">
        <f>TRUNC(+D149*3.3058,-1)</f>
        <v>72130</v>
      </c>
    </row>
    <row r="150" spans="1:7" x14ac:dyDescent="0.3">
      <c r="A150" s="2">
        <v>2</v>
      </c>
      <c r="C150" s="38" t="s">
        <v>49</v>
      </c>
      <c r="D150" s="42">
        <f>TRUNC(5497,-1)</f>
        <v>5490</v>
      </c>
      <c r="E150" s="63">
        <f>TRUNC(+D150*3.3058,-1)</f>
        <v>18140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TRUNC(854+5745+3655,-1)</f>
        <v>10250</v>
      </c>
      <c r="E152" s="63">
        <f>TRUNC(+D152*3.3058,-1)</f>
        <v>33880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TRUNC(13427,-1)</f>
        <v>13420</v>
      </c>
      <c r="E153" s="64">
        <f>TRUNC(+D153*3.3058,-1)</f>
        <v>44360</v>
      </c>
    </row>
    <row r="154" spans="1:7" x14ac:dyDescent="0.3">
      <c r="A154" s="2">
        <v>6</v>
      </c>
      <c r="C154" s="27" t="s">
        <v>112</v>
      </c>
      <c r="D154" s="39">
        <f>SUM(D149:D153)</f>
        <v>50980</v>
      </c>
      <c r="E154" s="39">
        <f>SUM(E149:E153)</f>
        <v>168510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32710</v>
      </c>
      <c r="E157" s="62">
        <f>TRUNC(+D157*3.3058,-1)</f>
        <v>108130</v>
      </c>
    </row>
    <row r="158" spans="1:7" x14ac:dyDescent="0.3">
      <c r="A158" s="2">
        <v>2</v>
      </c>
      <c r="C158" s="38" t="s">
        <v>52</v>
      </c>
      <c r="D158" s="42">
        <f>TRUNC(12881,-1)</f>
        <v>12880</v>
      </c>
      <c r="E158" s="63">
        <f>TRUNC(+D158*3.3058,-1)</f>
        <v>42570</v>
      </c>
    </row>
    <row r="159" spans="1:7" x14ac:dyDescent="0.3">
      <c r="A159" s="2">
        <v>3</v>
      </c>
      <c r="C159" s="38" t="s">
        <v>47</v>
      </c>
      <c r="D159" s="42">
        <f>TRUNC(14425+1058,-1)</f>
        <v>15480</v>
      </c>
      <c r="E159" s="63">
        <f>TRUNC(+D159*3.3058,-1)</f>
        <v>51170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61070</v>
      </c>
      <c r="E161" s="39">
        <f>SUM(E157:E160)</f>
        <v>201870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2020-12-08T01:28:58Z</dcterms:modified>
</cp:coreProperties>
</file>