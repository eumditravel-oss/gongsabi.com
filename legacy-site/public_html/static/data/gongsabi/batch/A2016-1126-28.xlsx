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9" i="4"/>
  <c r="D144" i="4"/>
  <c r="D143" i="4"/>
  <c r="D141" i="4"/>
  <c r="D140" i="4"/>
  <c r="D139" i="4"/>
  <c r="D137" i="4"/>
  <c r="D131" i="4"/>
  <c r="D130" i="4"/>
  <c r="D126" i="4"/>
  <c r="D125" i="4"/>
  <c r="D122" i="4"/>
  <c r="D118" i="4"/>
  <c r="D117" i="4"/>
  <c r="D103" i="4"/>
  <c r="D102" i="4"/>
  <c r="D100" i="4"/>
  <c r="D99" i="4"/>
  <c r="D98" i="4"/>
  <c r="D94" i="4"/>
  <c r="D93" i="4"/>
  <c r="D92" i="4"/>
  <c r="D91" i="4"/>
  <c r="D89" i="4"/>
  <c r="D73" i="4"/>
  <c r="D72" i="4"/>
  <c r="D71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<sst xmlns="http://schemas.openxmlformats.org/spreadsheetml/2006/main" count="389" uniqueCount="263">
  <si>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</si>
  <si>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</si>
  <si>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</si>
  <si>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</si>
  <si>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</si>
  <si>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</si>
  <si>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</si>
  <si>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</si>
  <si>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</si>
  <si>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</si>
  <si>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</si>
  <si>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</si>
  <si>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</si>
  <si>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</si>
  <si>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</si>
  <si>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</si>
  <si>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</si>
  <si>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</si>
  <si>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</si>
  <si>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</si>
  <si>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</si>
  <si>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</si>
  <si>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</si>
  <si>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</si>
  <si>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</si>
  <si>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</si>
  <si>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</si>
  <si>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</si>
  <si>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</si>
  <si>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</si>
  <si>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</si>
  <si>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</si>
  <si>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</si>
  <si>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</si>
  <si>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</si>
  <si>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</si>
  <si>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</si>
  <si>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</si>
  <si>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</si>
  <si>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</si>
  <si>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</si>
  <si>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</si>
  <si>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</si>
  <si>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</si>
  <si>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</si>
  <si>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</si>
  <si>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</si>
  <si>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</si>
  <si>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</si>
  <si>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</si>
  <si>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</si>
  <si>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</si>
  <si>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</si>
  <si>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</si>
  <si>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</si>
  <si>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</si>
  <si>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</si>
  <si>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</si>
  <si>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</si>
  <si>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</si>
  <si>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</si>
  <si>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</si>
  <si>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</si>
  <si>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</si>
  <si>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</si>
  <si>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</si>
  <si>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</si>
  <si>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</si>
  <si>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</si>
  <si>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</si>
  <si>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</si>
  <si>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</si>
  <si>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</si>
  <si>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</si>
  <si>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</si>
  <si>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</si>
  <si>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</si>
  <si>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</si>
  <si>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</si>
  <si>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</si>
  <si>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</si>
  <si>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</si>
  <si>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</si>
  <si>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</si>
  <si>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</si>
  <si>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</si>
  <si>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</si>
  <si>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</si>
  <si>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</si>
  <si>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</si>
  <si>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</si>
  <si>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</si>
  <si>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</si>
  <si>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</si>
  <si>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</si>
  <si>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</si>
  <si>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</si>
  <si>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</si>
  <si>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</si>
  <si>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</si>
  <si>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</si>
  <si>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</si>
  <si>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</si>
  <si>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</si>
  <si>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</si>
  <si>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</si>
  <si>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</si>
  <si>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</si>
  <si>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</si>
  <si>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</si>
  <si>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</si>
  <si>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</si>
  <si>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</si>
  <si>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</si>
  <si>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</si>
  <si>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</si>
  <si>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</si>
  <si>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</si>
  <si>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</si>
  <si>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</si>
  <si>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</si>
  <si>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</si>
  <si>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</si>
  <si>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</si>
  <si>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</si>
  <si>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</si>
  <si>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</si>
  <si>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</si>
  <si>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</si>
  <si>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</si>
  <si>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</si>
  <si>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</si>
  <si>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</si>
  <si>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</si>
  <si>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</si>
  <si>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</si>
  <si>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</si>
  <si>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</si>
  <si>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</si>
  <si>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</si>
  <si>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</si>
  <si>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</si>
  <si>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</si>
  <si>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</si>
  <si>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</si>
  <si>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</si>
  <si>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</si>
  <si>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</si>
  <si>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</si>
  <si>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</si>
  <si>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</si>
  <si>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</si>
  <si>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</si>
  <si>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</si>
  <si>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</si>
  <si>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</si>
  <si>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</si>
  <si>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</si>
  <si>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</si>
  <si>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</si>
  <si>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</si>
  <si>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</si>
  <si>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</si>
  <si>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</si>
  <si>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</si>
  <si>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</si>
  <si>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</si>
  <si>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</si>
  <si>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</si>
  <si>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</si>
  <si>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</si>
  <si>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</si>
  <si>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</si>
  <si>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</si>
  <si>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</si>
  <si>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</si>
  <si>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</si>
  <si>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</si>
  <si>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</si>
  <si>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</si>
  <si>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</si>
  <si>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</si>
  <si>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</si>
  <si>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</si>
  <si>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</si>
  <si>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</si>
  <si>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</si>
  <si>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</si>
  <si>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</si>
  <si>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</si>
  <si>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</si>
  <si>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</si>
  <si>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</si>
  <si>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</si>
  <si>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</si>
  <si>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</si>
  <si>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</si>
  <si>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</si>
  <si>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</si>
  <si>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</si>
  <si>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</si>
  <si>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</si>
  <si>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</si>
  <si>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</si>
  <si>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</si>
  <si>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</si>
  <si>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</si>
  <si>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</si>
  <si>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</si>
  <si>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</si>
  <si>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</si>
  <si>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</si>
  <si>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</si>
  <si>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</si>
  <si>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</si>
  <si>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</si>
  <si>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</si>
  <si>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</si>
  <si>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</si>
  <si>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</si>
  <si>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</si>
  <si>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</si>
  <si>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</si>
  <si>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</si>
  <si>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</si>
  <si>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</si>
  <si>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</si>
  <si>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</si>
  <si>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</si>
  <si>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</si>
  <si>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</si>
  <si>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</si>
  <si>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</si>
  <si>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</si>
  <si>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</si>
  <si>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</si>
  <si>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</si>
  <si>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</si>
  <si>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</si>
  <si>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</si>
  <si>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</si>
  <si>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</si>
  <si>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</si>
  <si>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</si>
  <si>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</si>
  <si>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</si>
  <si>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</si>
  <si>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</si>
  <si>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</si>
  <si>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</si>
  <si>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</si>
  <si>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</si>
  <si>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</si>
  <si>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</si>
  <si>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대구교육대학교 도서관 증축공사</t>
    <phoneticPr fontId="2" type="noConversion"/>
  </si>
  <si>
    <t>대구시</t>
  </si>
  <si>
    <t>기초공사, 해체및철거공사, 골재비및운반비, 작업부산물, 기타공사</t>
    <phoneticPr fontId="2" type="noConversion"/>
  </si>
  <si>
    <t>우수처리시설공사, 기타공사</t>
    <phoneticPr fontId="2" type="noConversion"/>
  </si>
  <si>
    <t>펌프실배관공사</t>
    <phoneticPr fontId="2" type="noConversion"/>
  </si>
  <si>
    <t>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</si>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</sst>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4423.25</v>
      </c>
      <c r="D7" s="36">
        <f>+C7/3.3058</f>
        <v>1338.0271038780324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1038250</v>
      </c>
      <c r="E25" s="59">
        <f t="shared" si="0"/>
        <v>3432240</v>
      </c>
    </row>
    <row r="26" spans="1:5" x14ac:dyDescent="0.3">
      <c r="B26" s="2">
        <v>3</v>
      </c>
      <c r="C26" s="35" t="s">
        <v>95</v>
      </c>
      <c r="D26" s="45">
        <f>+D66</f>
        <v>19920</v>
      </c>
      <c r="E26" s="59">
        <f t="shared" si="0"/>
        <v>65850</v>
      </c>
    </row>
    <row r="27" spans="1:5" x14ac:dyDescent="0.3">
      <c r="B27" s="2">
        <v>4</v>
      </c>
      <c r="C27" s="35" t="s">
        <v>96</v>
      </c>
      <c r="D27" s="45">
        <f>+D95</f>
        <v>175000</v>
      </c>
      <c r="E27" s="59">
        <f t="shared" si="0"/>
        <v>578510</v>
      </c>
    </row>
    <row r="28" spans="1:5" x14ac:dyDescent="0.3">
      <c r="B28" s="2">
        <v>5</v>
      </c>
      <c r="C28" s="35" t="s">
        <v>97</v>
      </c>
      <c r="D28" s="45">
        <f>+D119</f>
        <v>235630</v>
      </c>
      <c r="E28" s="59">
        <f t="shared" si="0"/>
        <v>778940</v>
      </c>
    </row>
    <row r="29" spans="1:5" x14ac:dyDescent="0.3">
      <c r="B29" s="2">
        <v>6</v>
      </c>
      <c r="C29" s="35" t="s">
        <v>98</v>
      </c>
      <c r="D29" s="45">
        <f>+D133</f>
        <v>87230</v>
      </c>
      <c r="E29" s="59">
        <f t="shared" si="0"/>
        <v>288360</v>
      </c>
    </row>
    <row r="30" spans="1:5" x14ac:dyDescent="0.3">
      <c r="B30" s="2">
        <v>7</v>
      </c>
      <c r="C30" s="35" t="s">
        <v>99</v>
      </c>
      <c r="D30" s="45">
        <f>+D146</f>
        <v>47220</v>
      </c>
      <c r="E30" s="59">
        <f t="shared" si="0"/>
        <v>156090</v>
      </c>
    </row>
    <row r="31" spans="1:5" x14ac:dyDescent="0.3">
      <c r="B31" s="2">
        <v>8</v>
      </c>
      <c r="C31" s="35" t="s">
        <v>100</v>
      </c>
      <c r="D31" s="45">
        <f>+D154</f>
        <v>25050</v>
      </c>
      <c r="E31" s="59">
        <f t="shared" si="0"/>
        <v>82810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447780</v>
      </c>
      <c r="E33" s="60">
        <f t="shared" si="0"/>
        <v>1480270</v>
      </c>
    </row>
    <row r="34" spans="1:7" x14ac:dyDescent="0.3">
      <c r="C34" s="35" t="s">
        <v>112</v>
      </c>
      <c r="D34" s="44">
        <f>SUM(D24:D33)</f>
        <v>2076080</v>
      </c>
      <c r="E34" s="44">
        <f>SUM(E24:E33)</f>
        <v>6863070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TRUNC(43686,-1)</f>
        <v>43680</v>
      </c>
      <c r="E40" s="62">
        <f t="shared" ref="E40:E59" si="1">TRUNC(+D40*3.3058,-1)</f>
        <v>144390</v>
      </c>
    </row>
    <row r="41" spans="1:7" x14ac:dyDescent="0.3">
      <c r="A41" s="2">
        <v>2</v>
      </c>
      <c r="C41" s="38" t="s">
        <v>13</v>
      </c>
      <c r="D41" s="42">
        <f>TRUNC(148386,-1)</f>
        <v>148380</v>
      </c>
      <c r="E41" s="63">
        <f t="shared" si="1"/>
        <v>490510</v>
      </c>
    </row>
    <row r="42" spans="1:7" x14ac:dyDescent="0.3">
      <c r="A42" s="2">
        <v>3</v>
      </c>
      <c r="C42" s="38" t="s">
        <v>14</v>
      </c>
      <c r="D42" s="42">
        <f>TRUNC(2602,-1)</f>
        <v>2600</v>
      </c>
      <c r="E42" s="63">
        <f t="shared" si="1"/>
        <v>8590</v>
      </c>
    </row>
    <row r="43" spans="1:7" x14ac:dyDescent="0.3">
      <c r="A43" s="2">
        <v>4</v>
      </c>
      <c r="C43" s="38" t="s">
        <v>16</v>
      </c>
      <c r="D43" s="42">
        <f>TRUNC(12608,-1)</f>
        <v>12600</v>
      </c>
      <c r="E43" s="63">
        <f t="shared" si="1"/>
        <v>41650</v>
      </c>
    </row>
    <row r="44" spans="1:7" x14ac:dyDescent="0.3">
      <c r="A44" s="2">
        <v>5</v>
      </c>
      <c r="C44" s="38" t="s">
        <v>17</v>
      </c>
      <c r="D44" s="42">
        <f>TRUNC(29571,-1)</f>
        <v>29570</v>
      </c>
      <c r="E44" s="63">
        <f t="shared" si="1"/>
        <v>97750</v>
      </c>
    </row>
    <row r="45" spans="1:7" x14ac:dyDescent="0.3">
      <c r="A45" s="2">
        <v>6</v>
      </c>
      <c r="C45" s="38" t="s">
        <v>18</v>
      </c>
      <c r="D45" s="42">
        <f>TRUNC(3165,-1)</f>
        <v>3160</v>
      </c>
      <c r="E45" s="63">
        <f t="shared" si="1"/>
        <v>10440</v>
      </c>
    </row>
    <row r="46" spans="1:7" x14ac:dyDescent="0.3">
      <c r="A46" s="2">
        <v>7</v>
      </c>
      <c r="C46" s="38" t="s">
        <v>19</v>
      </c>
      <c r="D46" s="42">
        <f>TRUNC(23371,-1)</f>
        <v>23370</v>
      </c>
      <c r="E46" s="63">
        <f t="shared" si="1"/>
        <v>77250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TRUNC(27681,-1)</f>
        <v>27680</v>
      </c>
      <c r="E48" s="63">
        <f t="shared" si="1"/>
        <v>91500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TRUNC(12539,-1)</f>
        <v>12530</v>
      </c>
      <c r="E49" s="63">
        <f t="shared" si="1"/>
        <v>41420</v>
      </c>
    </row>
    <row r="50" spans="1:7" x14ac:dyDescent="0.3">
      <c r="A50" s="2">
        <v>11</v>
      </c>
      <c r="C50" s="38" t="s">
        <v>156</v>
      </c>
      <c r="D50" s="42">
        <f>TRUNC(58403,-1)</f>
        <v>58400</v>
      </c>
      <c r="E50" s="63">
        <f t="shared" si="1"/>
        <v>193050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TRUNC(8121,-1)</f>
        <v>8120</v>
      </c>
      <c r="E52" s="63">
        <f t="shared" si="1"/>
        <v>26840</v>
      </c>
    </row>
    <row r="53" spans="1:7" x14ac:dyDescent="0.3">
      <c r="A53" s="2">
        <v>14</v>
      </c>
      <c r="C53" s="38" t="s">
        <v>25</v>
      </c>
      <c r="D53" s="42">
        <f>TRUNC(147017,-1)</f>
        <v>147010</v>
      </c>
      <c r="E53" s="63">
        <f t="shared" si="1"/>
        <v>485980</v>
      </c>
      <c r="F53" s="2" t="s">
        <v>252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TRUNC(25354+870+2654-1004+19945,-1)</f>
        <v>47810</v>
      </c>
      <c r="E58" s="63">
        <f t="shared" si="1"/>
        <v>158050</v>
      </c>
      <c r="F58" s="2" t="s">
        <v>256</v>
      </c>
    </row>
    <row r="59" spans="1:7" ht="17.25" thickBot="1" x14ac:dyDescent="0.35">
      <c r="A59" s="2">
        <v>20</v>
      </c>
      <c r="C59" s="38" t="s">
        <v>149</v>
      </c>
      <c r="D59" s="43">
        <f>TRUNC(473349,-1)</f>
        <v>473340</v>
      </c>
      <c r="E59" s="64">
        <f t="shared" si="1"/>
        <v>1564760</v>
      </c>
    </row>
    <row r="60" spans="1:7" x14ac:dyDescent="0.3">
      <c r="A60" s="2">
        <v>21</v>
      </c>
      <c r="C60" s="27" t="s">
        <v>112</v>
      </c>
      <c r="D60" s="39">
        <f>SUM(D40:D59)</f>
        <v>1038250</v>
      </c>
      <c r="E60" s="39">
        <f>SUM(E40:E59)</f>
        <v>3432180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TRUNC(5509,-1)</f>
        <v>5500</v>
      </c>
      <c r="E63" s="62">
        <f>TRUNC(+D63*3.3058,-1)</f>
        <v>18180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TRUNC(14428,-1)</f>
        <v>14420</v>
      </c>
      <c r="E65" s="64">
        <f>TRUNC(+D65*3.3058,-1)</f>
        <v>47660</v>
      </c>
    </row>
    <row r="66" spans="1:7" x14ac:dyDescent="0.3">
      <c r="A66" s="2">
        <v>4</v>
      </c>
      <c r="C66" s="27" t="s">
        <v>112</v>
      </c>
      <c r="D66" s="39">
        <f>SUM(D63:D65)</f>
        <v>19920</v>
      </c>
      <c r="E66" s="65">
        <f>SUM(E63:E65)</f>
        <v>65840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TRUNC(8879,-1)</f>
        <v>8870</v>
      </c>
      <c r="E69" s="62">
        <f t="shared" ref="E69:E94" si="2">TRUNC(+D69*3.3058,-1)</f>
        <v>29320</v>
      </c>
    </row>
    <row r="70" spans="1:7" ht="16.5" customHeight="1" x14ac:dyDescent="0.3">
      <c r="A70" s="2">
        <v>2</v>
      </c>
      <c r="C70" s="38" t="s">
        <v>31</v>
      </c>
      <c r="D70" s="42">
        <v>420</v>
      </c>
      <c r="E70" s="63">
        <f t="shared" si="2"/>
        <v>1380</v>
      </c>
    </row>
    <row r="71" spans="1:7" x14ac:dyDescent="0.3">
      <c r="A71" s="2">
        <v>3</v>
      </c>
      <c r="C71" s="38" t="s">
        <v>32</v>
      </c>
      <c r="D71" s="42">
        <f>TRUNC(5234,-1)</f>
        <v>5230</v>
      </c>
      <c r="E71" s="63">
        <f t="shared" si="2"/>
        <v>17280</v>
      </c>
    </row>
    <row r="72" spans="1:7" x14ac:dyDescent="0.3">
      <c r="A72" s="2">
        <v>4</v>
      </c>
      <c r="C72" s="38" t="s">
        <v>33</v>
      </c>
      <c r="D72" s="42">
        <f>TRUNC(9735,-1)</f>
        <v>9730</v>
      </c>
      <c r="E72" s="63">
        <f t="shared" si="2"/>
        <v>32160</v>
      </c>
    </row>
    <row r="73" spans="1:7" x14ac:dyDescent="0.3">
      <c r="A73" s="2">
        <v>5</v>
      </c>
      <c r="C73" s="38" t="s">
        <v>34</v>
      </c>
      <c r="D73" s="42">
        <f>TRUNC(4883,-1)</f>
        <v>4880</v>
      </c>
      <c r="E73" s="63">
        <f t="shared" si="2"/>
        <v>16130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TRUNC(6834,-1)</f>
        <v>6830</v>
      </c>
      <c r="E89" s="63">
        <f t="shared" si="2"/>
        <v>22570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TRUNC(1587,-1)</f>
        <v>1580</v>
      </c>
      <c r="E91" s="63">
        <f t="shared" si="2"/>
        <v>5220</v>
      </c>
    </row>
    <row r="92" spans="1:7" x14ac:dyDescent="0.3">
      <c r="A92" s="2">
        <v>24</v>
      </c>
      <c r="C92" s="38" t="s">
        <v>38</v>
      </c>
      <c r="D92" s="42">
        <f>TRUNC(5806,-1)</f>
        <v>5800</v>
      </c>
      <c r="E92" s="63">
        <f t="shared" si="2"/>
        <v>19170</v>
      </c>
    </row>
    <row r="93" spans="1:7" x14ac:dyDescent="0.3">
      <c r="A93" s="2">
        <v>25</v>
      </c>
      <c r="C93" s="38" t="s">
        <v>149</v>
      </c>
      <c r="D93" s="42">
        <f>TRUNC(121054,-1)</f>
        <v>121050</v>
      </c>
      <c r="E93" s="63">
        <f t="shared" si="2"/>
        <v>400160</v>
      </c>
    </row>
    <row r="94" spans="1:7" ht="17.25" thickBot="1" x14ac:dyDescent="0.35">
      <c r="A94" s="2">
        <v>26</v>
      </c>
      <c r="C94" s="38" t="s">
        <v>47</v>
      </c>
      <c r="D94" s="43">
        <f>TRUNC(8432+2184,-1)</f>
        <v>10610</v>
      </c>
      <c r="E94" s="64">
        <f t="shared" si="2"/>
        <v>35070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175000</v>
      </c>
      <c r="E95" s="39">
        <f>SUM(E69:E94)</f>
        <v>578460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TRUNC(11901,-1)</f>
        <v>11900</v>
      </c>
      <c r="E98" s="62">
        <f t="shared" ref="E98:E118" si="3">TRUNC(+D98*3.3058,-1)</f>
        <v>39330</v>
      </c>
    </row>
    <row r="99" spans="1:7" x14ac:dyDescent="0.3">
      <c r="A99" s="2">
        <v>2</v>
      </c>
      <c r="C99" s="38" t="s">
        <v>40</v>
      </c>
      <c r="D99" s="42">
        <f>TRUNC(5072,-1)</f>
        <v>5070</v>
      </c>
      <c r="E99" s="63">
        <f t="shared" si="3"/>
        <v>16760</v>
      </c>
    </row>
    <row r="100" spans="1:7" x14ac:dyDescent="0.3">
      <c r="A100" s="2">
        <v>3</v>
      </c>
      <c r="C100" s="38" t="s">
        <v>41</v>
      </c>
      <c r="D100" s="42">
        <f>TRUNC(25664,-1)</f>
        <v>25660</v>
      </c>
      <c r="E100" s="63">
        <f t="shared" si="3"/>
        <v>84820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TRUNC(13489,-1)</f>
        <v>13480</v>
      </c>
      <c r="E102" s="63">
        <f t="shared" si="3"/>
        <v>44560</v>
      </c>
    </row>
    <row r="103" spans="1:7" x14ac:dyDescent="0.3">
      <c r="A103" s="2">
        <v>6</v>
      </c>
      <c r="C103" s="38" t="s">
        <v>44</v>
      </c>
      <c r="D103" s="42">
        <f>TRUNC(9956,-1)</f>
        <v>9950</v>
      </c>
      <c r="E103" s="63">
        <f t="shared" si="3"/>
        <v>32890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TRUNC(163342,-1)</f>
        <v>163340</v>
      </c>
      <c r="E117" s="63">
        <f t="shared" si="3"/>
        <v>539960</v>
      </c>
    </row>
    <row r="118" spans="1:7" ht="17.25" thickBot="1" x14ac:dyDescent="0.35">
      <c r="A118" s="2">
        <v>21</v>
      </c>
      <c r="C118" s="38" t="s">
        <v>47</v>
      </c>
      <c r="D118" s="43">
        <f>TRUNC(6238,-1)</f>
        <v>6230</v>
      </c>
      <c r="E118" s="64">
        <f t="shared" si="3"/>
        <v>20590</v>
      </c>
    </row>
    <row r="119" spans="1:7" x14ac:dyDescent="0.3">
      <c r="A119" s="2">
        <v>22</v>
      </c>
      <c r="C119" s="27" t="s">
        <v>112</v>
      </c>
      <c r="D119" s="39">
        <f>SUM(D98:D118)</f>
        <v>235630</v>
      </c>
      <c r="E119" s="39">
        <f>SUM(E98:E118)</f>
        <v>778910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TRUNC(1297,-1)</f>
        <v>1290</v>
      </c>
      <c r="E122" s="62">
        <f t="shared" ref="E122:E132" si="4">TRUNC(+D122*3.3058,-1)</f>
        <v>4260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TRUNC(3469,-1)</f>
        <v>3460</v>
      </c>
      <c r="E125" s="63">
        <f t="shared" si="4"/>
        <v>11430</v>
      </c>
    </row>
    <row r="126" spans="1:7" x14ac:dyDescent="0.3">
      <c r="A126" s="2">
        <v>5</v>
      </c>
      <c r="C126" s="38" t="s">
        <v>53</v>
      </c>
      <c r="D126" s="42">
        <f>TRUNC(7885,-1)</f>
        <v>7880</v>
      </c>
      <c r="E126" s="63">
        <f t="shared" si="4"/>
        <v>26040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TRUNC(20967,-1)</f>
        <v>20960</v>
      </c>
      <c r="E130" s="63">
        <f t="shared" si="4"/>
        <v>69280</v>
      </c>
    </row>
    <row r="131" spans="1:7" x14ac:dyDescent="0.3">
      <c r="A131" s="2">
        <v>10</v>
      </c>
      <c r="C131" s="38" t="s">
        <v>149</v>
      </c>
      <c r="D131" s="42">
        <f>TRUNC(53644,-1)</f>
        <v>53640</v>
      </c>
      <c r="E131" s="63">
        <f t="shared" si="4"/>
        <v>177320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87230</v>
      </c>
      <c r="E133" s="39">
        <f>SUM(E122:E132)</f>
        <v>288330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TRUNC(6305,-1)</f>
        <v>6300</v>
      </c>
      <c r="E137" s="63">
        <f t="shared" si="5"/>
        <v>20820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TRUNC(5601,-1)</f>
        <v>5600</v>
      </c>
      <c r="E139" s="63">
        <f t="shared" si="5"/>
        <v>18510</v>
      </c>
    </row>
    <row r="140" spans="1:7" x14ac:dyDescent="0.3">
      <c r="A140" s="2">
        <v>5</v>
      </c>
      <c r="C140" s="38" t="s">
        <v>57</v>
      </c>
      <c r="D140" s="42">
        <f>TRUNC(7538,-1)</f>
        <v>7530</v>
      </c>
      <c r="E140" s="63">
        <f t="shared" si="5"/>
        <v>24890</v>
      </c>
    </row>
    <row r="141" spans="1:7" x14ac:dyDescent="0.3">
      <c r="A141" s="2">
        <v>6</v>
      </c>
      <c r="C141" s="38" t="s">
        <v>59</v>
      </c>
      <c r="D141" s="42">
        <f>TRUNC(5421,-1)</f>
        <v>5420</v>
      </c>
      <c r="E141" s="63">
        <f t="shared" si="5"/>
        <v>17910</v>
      </c>
    </row>
    <row r="142" spans="1:7" x14ac:dyDescent="0.3">
      <c r="A142" s="2">
        <v>7</v>
      </c>
      <c r="C142" s="38" t="s">
        <v>58</v>
      </c>
      <c r="D142" s="42">
        <v>5280</v>
      </c>
      <c r="E142" s="63">
        <f t="shared" si="5"/>
        <v>17450</v>
      </c>
    </row>
    <row r="143" spans="1:7" x14ac:dyDescent="0.3">
      <c r="A143" s="2">
        <v>8</v>
      </c>
      <c r="C143" s="38" t="s">
        <v>62</v>
      </c>
      <c r="D143" s="42">
        <f>TRUNC(3224,-1)</f>
        <v>3220</v>
      </c>
      <c r="E143" s="63">
        <f t="shared" si="5"/>
        <v>10640</v>
      </c>
    </row>
    <row r="144" spans="1:7" x14ac:dyDescent="0.3">
      <c r="A144" s="2">
        <v>9</v>
      </c>
      <c r="C144" s="38" t="s">
        <v>63</v>
      </c>
      <c r="D144" s="42">
        <f>TRUNC(13876,-1)</f>
        <v>13870</v>
      </c>
      <c r="E144" s="63">
        <f t="shared" si="5"/>
        <v>45850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47220</v>
      </c>
      <c r="E146" s="39">
        <f>SUM(E136:E145)</f>
        <v>156070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TRUNC(3087+655,-1)</f>
        <v>3740</v>
      </c>
      <c r="E149" s="62">
        <f>TRUNC(+D149*3.3058,-1)</f>
        <v>12360</v>
      </c>
    </row>
    <row r="150" spans="1:7" x14ac:dyDescent="0.3">
      <c r="A150" s="2">
        <v>2</v>
      </c>
      <c r="C150" s="38" t="s">
        <v>49</v>
      </c>
      <c r="D150" s="42">
        <f>TRUNC(735,-1)</f>
        <v>730</v>
      </c>
      <c r="E150" s="63">
        <f>TRUNC(+D150*3.3058,-1)</f>
        <v>2410</v>
      </c>
    </row>
    <row r="151" spans="1:7" x14ac:dyDescent="0.3">
      <c r="A151" s="2">
        <v>3</v>
      </c>
      <c r="C151" s="38" t="s">
        <v>50</v>
      </c>
      <c r="D151" s="42">
        <f>TRUNC(1671,-1)</f>
        <v>1670</v>
      </c>
      <c r="E151" s="63">
        <f>TRUNC(+D151*3.3058,-1)</f>
        <v>5520</v>
      </c>
    </row>
    <row r="152" spans="1:7" x14ac:dyDescent="0.3">
      <c r="A152" s="2">
        <v>4</v>
      </c>
      <c r="C152" s="38" t="s">
        <v>47</v>
      </c>
      <c r="D152" s="42">
        <f>TRUNC(4194+239+5096,-1)</f>
        <v>9520</v>
      </c>
      <c r="E152" s="63">
        <f>TRUNC(+D152*3.3058,-1)</f>
        <v>31470</v>
      </c>
      <c r="F152" s="2" t="s">
        <v>259</v>
      </c>
    </row>
    <row r="153" spans="1:7" ht="17.25" thickBot="1" x14ac:dyDescent="0.35">
      <c r="A153" s="2">
        <v>5</v>
      </c>
      <c r="C153" s="38" t="s">
        <v>149</v>
      </c>
      <c r="D153" s="43">
        <f>TRUNC(9394,-1)</f>
        <v>9390</v>
      </c>
      <c r="E153" s="64">
        <f>TRUNC(+D153*3.3058,-1)</f>
        <v>31040</v>
      </c>
    </row>
    <row r="154" spans="1:7" x14ac:dyDescent="0.3">
      <c r="A154" s="2">
        <v>6</v>
      </c>
      <c r="C154" s="27" t="s">
        <v>112</v>
      </c>
      <c r="D154" s="39">
        <f>SUM(D149:D153)</f>
        <v>25050</v>
      </c>
      <c r="E154" s="39">
        <f>SUM(E149:E153)</f>
        <v>82800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2020-12-08T01:14:03Z</dcterms:modified>
</cp:coreProperties>
</file>