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46" i="4" s="1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33" i="4"/>
  <c r="E60" i="4" l="1"/>
  <c r="E66" i="4"/>
  <c r="E161" i="4"/>
  <c r="E119" i="4"/>
  <c r="E95" i="4"/>
  <c r="E154" i="4"/>
  <c r="D161" i="4"/>
  <c r="D32" i="4" s="1"/>
  <c r="E32" i="4" s="1"/>
  <c r="D154" i="4"/>
  <c r="D31" i="4" s="1"/>
  <c r="E31" i="4" s="1"/>
  <c r="D146" i="4"/>
  <c r="D132" i="4"/>
  <c r="D119" i="4"/>
  <c r="D28" i="4" s="1"/>
  <c r="E28" i="4" s="1"/>
  <c r="D95" i="4"/>
  <c r="D66" i="4"/>
  <c r="D60" i="4"/>
  <c r="D25" i="4" s="1"/>
  <c r="E25" i="4" s="1"/>
  <c r="D30" i="4"/>
  <c r="E30" i="4" s="1"/>
  <c r="D27" i="4"/>
  <c r="E27" i="4" s="1"/>
  <c r="D26" i="4"/>
  <c r="E26" i="4" s="1"/>
  <c r="D24" i="4"/>
  <c r="E24" i="4" s="1"/>
  <c r="D7" i="4"/>
  <c r="D133" i="4" l="1"/>
  <c r="D29" i="4" s="1"/>
  <c r="E29" i="4" s="1"/>
  <c r="E132" i="4"/>
  <c r="E133" i="4" s="1"/>
  <c r="E34" i="4"/>
  <c r="D34" i="4"/>
  <c r="B7" i="1" l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</calcChain>
</file>

<file path=xl/sharedStrings.xml><?xml version="1.0" encoding="utf-8"?>
<sst xmlns="http://schemas.openxmlformats.org/spreadsheetml/2006/main" count="385" uniqueCount="261">
  <si>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</si>
  <si>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</si>
  <si>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</si>
  <si>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</si>
  <si>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</si>
  <si>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</si>
  <si>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</si>
  <si>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</si>
  <si>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</si>
  <si>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</si>
  <si>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</si>
  <si>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</si>
  <si>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</si>
  <si>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</si>
  <si>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</si>
  <si>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</si>
  <si>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</si>
  <si>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</si>
  <si>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</si>
  <si>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</si>
  <si>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</si>
  <si>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</si>
  <si>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</si>
  <si>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</si>
  <si>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</si>
  <si>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</si>
  <si>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</si>
  <si>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</si>
  <si>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</si>
  <si>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</si>
  <si>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</si>
  <si>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</si>
  <si>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</si>
  <si>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</si>
  <si>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</si>
  <si>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</si>
  <si>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</si>
  <si>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</si>
  <si>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</si>
  <si>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</si>
  <si>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</si>
  <si>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</si>
  <si>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</si>
  <si>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</si>
  <si>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</si>
  <si>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</si>
  <si>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</si>
  <si>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</si>
  <si>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</si>
  <si>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</si>
  <si>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</si>
  <si>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</si>
  <si>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</si>
  <si>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</si>
  <si>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</si>
  <si>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</si>
  <si>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</si>
  <si>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</si>
  <si>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</si>
  <si>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</si>
  <si>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</si>
  <si>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</si>
  <si>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</si>
  <si>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</si>
  <si>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</si>
  <si>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</si>
  <si>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</si>
  <si>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</si>
  <si>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</si>
  <si>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</si>
  <si>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</si>
  <si>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</si>
  <si>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</si>
  <si>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</si>
  <si>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</si>
  <si>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</si>
  <si>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</si>
  <si>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</si>
  <si>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</si>
  <si>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</si>
  <si>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</si>
  <si>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</si>
  <si>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</si>
  <si>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</si>
  <si>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</si>
  <si>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</si>
  <si>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</si>
  <si>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</si>
  <si>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</si>
  <si>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</si>
  <si>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</si>
  <si>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</si>
  <si>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</si>
  <si>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</si>
  <si>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</si>
  <si>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</si>
  <si>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</si>
  <si>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</si>
  <si>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</si>
  <si>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</si>
  <si>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</si>
  <si>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</si>
  <si>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</si>
  <si>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</si>
  <si>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</si>
  <si>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</si>
  <si>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</si>
  <si>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</si>
  <si>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</si>
  <si>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</si>
  <si>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</si>
  <si>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</si>
  <si>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</si>
  <si>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</si>
  <si>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</si>
  <si>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</si>
  <si>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</si>
  <si>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</si>
  <si>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</si>
  <si>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</si>
  <si>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</si>
  <si>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</si>
  <si>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</si>
  <si>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</si>
  <si>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</si>
  <si>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</si>
  <si>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</si>
  <si>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</si>
  <si>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</si>
  <si>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</si>
  <si>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</si>
  <si>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</si>
  <si>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</si>
  <si>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</si>
  <si>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</si>
  <si>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</si>
  <si>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</si>
  <si>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</si>
  <si>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</si>
  <si>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</si>
  <si>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</si>
  <si>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</si>
  <si>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</si>
  <si>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</si>
  <si>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</si>
  <si>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</si>
  <si>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</si>
  <si>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</si>
  <si>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</si>
  <si>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</si>
  <si>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</si>
  <si>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</si>
  <si>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</si>
  <si>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</si>
  <si>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</si>
  <si>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</si>
  <si>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</si>
  <si>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</si>
  <si>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</si>
  <si>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</si>
  <si>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</si>
  <si>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</si>
  <si>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</si>
  <si>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</si>
  <si>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</si>
  <si>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</si>
  <si>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</si>
  <si>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</si>
  <si>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</si>
  <si>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</si>
  <si>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</si>
  <si>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</si>
  <si>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</si>
  <si>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</si>
  <si>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</si>
  <si>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</si>
  <si>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</si>
  <si>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</si>
  <si>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</si>
  <si>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</si>
  <si>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</si>
  <si>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</si>
  <si>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</si>
  <si>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</si>
  <si>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</si>
  <si>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</si>
  <si>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</si>
  <si>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</si>
  <si>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</si>
  <si>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</si>
  <si>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</si>
  <si>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</si>
  <si>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</si>
  <si>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</si>
  <si>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</si>
  <si>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</si>
  <si>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</si>
  <si>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</si>
  <si>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</si>
  <si>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</si>
  <si>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</si>
  <si>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</si>
  <si>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</si>
  <si>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</si>
  <si>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</si>
  <si>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</si>
  <si>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</si>
  <si>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</si>
  <si>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</si>
  <si>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</si>
  <si>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</si>
  <si>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</si>
  <si>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</si>
  <si>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</si>
  <si>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</si>
  <si>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</si>
  <si>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</si>
  <si>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</si>
  <si>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</si>
  <si>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</si>
  <si>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</si>
  <si>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</si>
  <si>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</si>
  <si>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</si>
  <si>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</si>
  <si>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</si>
  <si>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</si>
  <si>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</si>
  <si>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</si>
  <si>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</si>
  <si>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</si>
  <si>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</si>
  <si>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</si>
  <si>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</si>
  <si>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</si>
  <si>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2004년</t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</si>
  <si>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</si>
  <si>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</si>
  <si>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</si>
  <si>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</si>
  <si>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</si>
  <si>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</si>
  <si>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</si>
  <si>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</si>
  <si>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</si>
  <si>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</si>
  <si>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업무</t>
  </si>
  <si>
    <t>전라도</t>
  </si>
  <si>
    <t>평</t>
    <phoneticPr fontId="2" type="noConversion"/>
  </si>
  <si>
    <t>원/ m2</t>
    <phoneticPr fontId="2" type="noConversion"/>
  </si>
  <si>
    <t>마감공사</t>
    <phoneticPr fontId="2" type="noConversion"/>
  </si>
  <si>
    <t>전등전열설비</t>
    <phoneticPr fontId="2" type="noConversion"/>
  </si>
  <si>
    <t>방재설비,기타설비</t>
    <phoneticPr fontId="2" type="noConversion"/>
  </si>
  <si>
    <t>전기소방</t>
    <phoneticPr fontId="2" type="noConversion"/>
  </si>
  <si>
    <t>전라남도 완도군 00경찰서</t>
    <phoneticPr fontId="2" type="noConversion"/>
  </si>
  <si>
    <t>원/ m2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</si>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</sst>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258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254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248</v>
      </c>
    </row>
    <row r="7" spans="1:4" ht="17.25" thickBot="1" x14ac:dyDescent="0.35">
      <c r="C7" s="37">
        <v>6858</v>
      </c>
      <c r="D7" s="36">
        <f>+C7/3.3058</f>
        <v>2074.5356645895095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235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259</v>
      </c>
    </row>
    <row r="19" spans="1:5" x14ac:dyDescent="0.3">
      <c r="A19" s="2">
        <v>9</v>
      </c>
      <c r="B19" s="2" t="s">
        <v>260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249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469210</v>
      </c>
      <c r="E25" s="59">
        <f t="shared" si="0"/>
        <v>1551110</v>
      </c>
    </row>
    <row r="26" spans="1:5" x14ac:dyDescent="0.3">
      <c r="B26" s="2">
        <v>3</v>
      </c>
      <c r="C26" s="35" t="s">
        <v>95</v>
      </c>
      <c r="D26" s="45">
        <f>+D66</f>
        <v>310</v>
      </c>
      <c r="E26" s="59">
        <f t="shared" si="0"/>
        <v>1020</v>
      </c>
    </row>
    <row r="27" spans="1:5" x14ac:dyDescent="0.3">
      <c r="B27" s="2">
        <v>4</v>
      </c>
      <c r="C27" s="35" t="s">
        <v>96</v>
      </c>
      <c r="D27" s="45">
        <f>+D95</f>
        <v>201940</v>
      </c>
      <c r="E27" s="59">
        <f t="shared" si="0"/>
        <v>667570</v>
      </c>
    </row>
    <row r="28" spans="1:5" x14ac:dyDescent="0.3">
      <c r="B28" s="2">
        <v>5</v>
      </c>
      <c r="C28" s="35" t="s">
        <v>97</v>
      </c>
      <c r="D28" s="45">
        <f>+D119</f>
        <v>79870</v>
      </c>
      <c r="E28" s="59">
        <f t="shared" si="0"/>
        <v>264030</v>
      </c>
    </row>
    <row r="29" spans="1:5" x14ac:dyDescent="0.3">
      <c r="B29" s="2">
        <v>6</v>
      </c>
      <c r="C29" s="35" t="s">
        <v>98</v>
      </c>
      <c r="D29" s="45">
        <f>+D133</f>
        <v>71620</v>
      </c>
      <c r="E29" s="59">
        <f t="shared" si="0"/>
        <v>236760</v>
      </c>
    </row>
    <row r="30" spans="1:5" x14ac:dyDescent="0.3">
      <c r="B30" s="2">
        <v>7</v>
      </c>
      <c r="C30" s="35" t="s">
        <v>99</v>
      </c>
      <c r="D30" s="45">
        <f>+D146</f>
        <v>15830</v>
      </c>
      <c r="E30" s="59">
        <f t="shared" si="0"/>
        <v>52330</v>
      </c>
    </row>
    <row r="31" spans="1:5" x14ac:dyDescent="0.3">
      <c r="B31" s="2">
        <v>8</v>
      </c>
      <c r="C31" s="35" t="s">
        <v>100</v>
      </c>
      <c r="D31" s="45">
        <f>+D154</f>
        <v>0</v>
      </c>
      <c r="E31" s="59">
        <f t="shared" si="0"/>
        <v>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v>359050</v>
      </c>
      <c r="E33" s="60">
        <f t="shared" si="0"/>
        <v>1186940</v>
      </c>
    </row>
    <row r="34" spans="1:7" x14ac:dyDescent="0.3">
      <c r="C34" s="35" t="s">
        <v>112</v>
      </c>
      <c r="D34" s="44">
        <f>SUM(D24:D33)</f>
        <v>1197830</v>
      </c>
      <c r="E34" s="44">
        <f>SUM(E24:E33)</f>
        <v>3959760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255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240</v>
      </c>
      <c r="D39" s="66" t="s">
        <v>256</v>
      </c>
      <c r="E39" s="66" t="s">
        <v>257</v>
      </c>
      <c r="G39" s="67"/>
    </row>
    <row r="40" spans="1:7" x14ac:dyDescent="0.3">
      <c r="A40" s="2">
        <v>1</v>
      </c>
      <c r="C40" s="38" t="s">
        <v>15</v>
      </c>
      <c r="D40" s="40">
        <v>34200</v>
      </c>
      <c r="E40" s="62">
        <f t="shared" ref="E40:E59" si="1">TRUNC(+D40*3.3058,-1)</f>
        <v>113050</v>
      </c>
    </row>
    <row r="41" spans="1:7" x14ac:dyDescent="0.3">
      <c r="A41" s="2">
        <v>2</v>
      </c>
      <c r="C41" s="38" t="s">
        <v>13</v>
      </c>
      <c r="D41" s="42">
        <v>113310</v>
      </c>
      <c r="E41" s="63">
        <f t="shared" si="1"/>
        <v>374580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v>0</v>
      </c>
      <c r="E43" s="63">
        <f t="shared" si="1"/>
        <v>0</v>
      </c>
    </row>
    <row r="44" spans="1:7" x14ac:dyDescent="0.3">
      <c r="A44" s="2">
        <v>5</v>
      </c>
      <c r="C44" s="38" t="s">
        <v>17</v>
      </c>
      <c r="D44" s="42">
        <v>0</v>
      </c>
      <c r="E44" s="63">
        <f t="shared" si="1"/>
        <v>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v>0</v>
      </c>
      <c r="E48" s="63">
        <f t="shared" si="1"/>
        <v>0</v>
      </c>
    </row>
    <row r="49" spans="1:7" x14ac:dyDescent="0.3">
      <c r="A49" s="2">
        <v>10</v>
      </c>
      <c r="C49" s="38" t="s">
        <v>22</v>
      </c>
      <c r="D49" s="42">
        <v>0</v>
      </c>
      <c r="E49" s="63">
        <f t="shared" si="1"/>
        <v>0</v>
      </c>
    </row>
    <row r="50" spans="1:7" x14ac:dyDescent="0.3">
      <c r="A50" s="2">
        <v>11</v>
      </c>
      <c r="C50" s="38" t="s">
        <v>155</v>
      </c>
      <c r="D50" s="42">
        <v>0</v>
      </c>
      <c r="E50" s="63">
        <f t="shared" si="1"/>
        <v>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0</v>
      </c>
      <c r="E52" s="63">
        <f t="shared" si="1"/>
        <v>0</v>
      </c>
    </row>
    <row r="53" spans="1:7" x14ac:dyDescent="0.3">
      <c r="A53" s="2">
        <v>14</v>
      </c>
      <c r="C53" s="38" t="s">
        <v>25</v>
      </c>
      <c r="D53" s="42">
        <v>0</v>
      </c>
      <c r="E53" s="63">
        <f t="shared" si="1"/>
        <v>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v>321700</v>
      </c>
      <c r="E58" s="63">
        <f t="shared" si="1"/>
        <v>1063470</v>
      </c>
      <c r="F58" s="2" t="s">
        <v>250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469210</v>
      </c>
      <c r="E60" s="39">
        <f>SUM(E40:E59)</f>
        <v>1551100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255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v>310</v>
      </c>
      <c r="E63" s="62">
        <f>TRUNC(+D63*3.3058,-1)</f>
        <v>1020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310</v>
      </c>
      <c r="E66" s="57">
        <f>SUM(E63:E65)</f>
        <v>1020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255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30660</v>
      </c>
      <c r="E69" s="62">
        <f>TRUNC(+D69*3.3058,-1)</f>
        <v>101350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>TRUNC(+D70*3.3058,-1)</f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ref="E71:E73" si="2">TRUNC(+D71*3.3058,-1)</f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660</v>
      </c>
      <c r="E74" s="63">
        <f>TRUNC(+D74*3.3058,-1)</f>
        <v>2180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>TRUNC(+D75*3.3058,-1)</f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ref="E76:E89" si="3">TRUNC(+D76*3.3058,-1)</f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3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3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3"/>
        <v>0</v>
      </c>
    </row>
    <row r="84" spans="1:7" x14ac:dyDescent="0.3">
      <c r="A84" s="2">
        <v>16</v>
      </c>
      <c r="C84" s="38" t="s">
        <v>122</v>
      </c>
      <c r="D84" s="42">
        <v>25950</v>
      </c>
      <c r="E84" s="63">
        <f>TRUNC(+D84*3.3058,-1)</f>
        <v>85780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3"/>
        <v>0</v>
      </c>
    </row>
    <row r="90" spans="1:7" x14ac:dyDescent="0.3">
      <c r="A90" s="2">
        <v>22</v>
      </c>
      <c r="C90" s="38" t="s">
        <v>36</v>
      </c>
      <c r="D90" s="42">
        <v>3220</v>
      </c>
      <c r="E90" s="63">
        <f>TRUNC(+D90*3.3058,-1)</f>
        <v>10640</v>
      </c>
    </row>
    <row r="91" spans="1:7" x14ac:dyDescent="0.3">
      <c r="A91" s="2">
        <v>23</v>
      </c>
      <c r="C91" s="38" t="s">
        <v>37</v>
      </c>
      <c r="D91" s="42">
        <v>18250</v>
      </c>
      <c r="E91" s="63">
        <f>TRUNC(+D91*3.3058,-1)</f>
        <v>60330</v>
      </c>
    </row>
    <row r="92" spans="1:7" x14ac:dyDescent="0.3">
      <c r="A92" s="2">
        <v>24</v>
      </c>
      <c r="C92" s="38" t="s">
        <v>38</v>
      </c>
      <c r="D92" s="42">
        <v>28490</v>
      </c>
      <c r="E92" s="63">
        <f>TRUNC(+D92*3.3058,-1)</f>
        <v>94180</v>
      </c>
    </row>
    <row r="93" spans="1:7" x14ac:dyDescent="0.3">
      <c r="A93" s="2">
        <v>25</v>
      </c>
      <c r="C93" s="38" t="s">
        <v>148</v>
      </c>
      <c r="D93" s="42">
        <v>94710</v>
      </c>
      <c r="E93" s="63">
        <f>TRUNC(+D93*3.3058,-1)</f>
        <v>313090</v>
      </c>
    </row>
    <row r="94" spans="1:7" ht="17.25" thickBot="1" x14ac:dyDescent="0.35">
      <c r="A94" s="2">
        <v>26</v>
      </c>
      <c r="C94" s="38" t="s">
        <v>47</v>
      </c>
      <c r="D94" s="43"/>
      <c r="E94" s="64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201940</v>
      </c>
      <c r="E95" s="39">
        <f>SUM(E69:E94)</f>
        <v>667550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255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4">TRUNC(+D98*3.3058,-1)</f>
        <v>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4"/>
        <v>0</v>
      </c>
    </row>
    <row r="100" spans="1:7" x14ac:dyDescent="0.3">
      <c r="A100" s="2">
        <v>3</v>
      </c>
      <c r="C100" s="38" t="s">
        <v>41</v>
      </c>
      <c r="D100" s="42">
        <v>27150</v>
      </c>
      <c r="E100" s="63">
        <f t="shared" si="4"/>
        <v>89750</v>
      </c>
      <c r="F100" s="2" t="s">
        <v>251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4"/>
        <v>0</v>
      </c>
    </row>
    <row r="102" spans="1:7" x14ac:dyDescent="0.3">
      <c r="A102" s="2">
        <v>5</v>
      </c>
      <c r="C102" s="38" t="s">
        <v>43</v>
      </c>
      <c r="D102" s="42">
        <v>0</v>
      </c>
      <c r="E102" s="63">
        <f t="shared" si="4"/>
        <v>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4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4"/>
        <v>0</v>
      </c>
    </row>
    <row r="105" spans="1:7" x14ac:dyDescent="0.3">
      <c r="A105" s="2">
        <v>8</v>
      </c>
      <c r="C105" s="38" t="s">
        <v>46</v>
      </c>
      <c r="D105" s="42">
        <v>1260</v>
      </c>
      <c r="E105" s="63">
        <f t="shared" si="4"/>
        <v>4160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4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4"/>
        <v>0</v>
      </c>
    </row>
    <row r="116" spans="1:7" x14ac:dyDescent="0.3">
      <c r="A116" s="2">
        <v>19</v>
      </c>
      <c r="C116" s="38" t="s">
        <v>115</v>
      </c>
      <c r="D116" s="42">
        <v>23760</v>
      </c>
      <c r="E116" s="63">
        <f t="shared" si="4"/>
        <v>78540</v>
      </c>
    </row>
    <row r="117" spans="1:7" x14ac:dyDescent="0.3">
      <c r="A117" s="2">
        <v>20</v>
      </c>
      <c r="C117" s="38" t="s">
        <v>148</v>
      </c>
      <c r="D117" s="42">
        <v>27700</v>
      </c>
      <c r="E117" s="63">
        <f t="shared" si="4"/>
        <v>91570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4">
        <f t="shared" si="4"/>
        <v>0</v>
      </c>
    </row>
    <row r="119" spans="1:7" x14ac:dyDescent="0.3">
      <c r="A119" s="2">
        <v>22</v>
      </c>
      <c r="C119" s="27" t="s">
        <v>112</v>
      </c>
      <c r="D119" s="39">
        <f>SUM(D98:D118)</f>
        <v>79870</v>
      </c>
      <c r="E119" s="39">
        <f>SUM(E98:E118)</f>
        <v>264020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255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5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5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5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5"/>
        <v>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5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5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34650</v>
      </c>
      <c r="E130" s="63">
        <f t="shared" si="5"/>
        <v>114540</v>
      </c>
    </row>
    <row r="131" spans="1:7" x14ac:dyDescent="0.3">
      <c r="A131" s="2">
        <v>10</v>
      </c>
      <c r="C131" s="38" t="s">
        <v>148</v>
      </c>
      <c r="D131" s="42">
        <v>28410</v>
      </c>
      <c r="E131" s="63">
        <f t="shared" si="5"/>
        <v>93910</v>
      </c>
    </row>
    <row r="132" spans="1:7" ht="17.25" thickBot="1" x14ac:dyDescent="0.35">
      <c r="A132" s="2">
        <v>11</v>
      </c>
      <c r="C132" s="38" t="s">
        <v>47</v>
      </c>
      <c r="D132" s="43">
        <f>7943+617</f>
        <v>8560</v>
      </c>
      <c r="E132" s="64">
        <f t="shared" si="5"/>
        <v>28290</v>
      </c>
      <c r="F132" s="2" t="s">
        <v>252</v>
      </c>
    </row>
    <row r="133" spans="1:7" x14ac:dyDescent="0.3">
      <c r="A133" s="2">
        <v>12</v>
      </c>
      <c r="C133" s="27" t="s">
        <v>112</v>
      </c>
      <c r="D133" s="39">
        <f>SUM(D122:D132)</f>
        <v>71620</v>
      </c>
      <c r="E133" s="39">
        <f>SUM(E122:E132)</f>
        <v>236740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255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9030</v>
      </c>
      <c r="E136" s="62">
        <f t="shared" ref="E136:E145" si="6">TRUNC(+D136*3.3058,-1)</f>
        <v>29850</v>
      </c>
    </row>
    <row r="137" spans="1:7" x14ac:dyDescent="0.3">
      <c r="A137" s="2">
        <v>2</v>
      </c>
      <c r="C137" s="38" t="s">
        <v>47</v>
      </c>
      <c r="D137" s="42">
        <v>6800</v>
      </c>
      <c r="E137" s="63">
        <f t="shared" si="6"/>
        <v>22470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6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6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6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6"/>
        <v>0</v>
      </c>
    </row>
    <row r="146" spans="1:7" x14ac:dyDescent="0.3">
      <c r="A146" s="2">
        <v>11</v>
      </c>
      <c r="C146" s="27" t="s">
        <v>112</v>
      </c>
      <c r="D146" s="39">
        <f>SUM(D136:D145)</f>
        <v>15830</v>
      </c>
      <c r="E146" s="39">
        <f>SUM(E136:E145)</f>
        <v>52320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255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v>0</v>
      </c>
      <c r="E152" s="63">
        <f>TRUNC(+D152*3.3058,-1)</f>
        <v>0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0</v>
      </c>
      <c r="E154" s="39">
        <f>SUM(E149:E153)</f>
        <v>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255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2020-12-07T08:51:46Z</dcterms:modified>
</cp:coreProperties>
</file>