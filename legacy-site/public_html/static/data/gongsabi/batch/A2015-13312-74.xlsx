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5" i="4"/>
  <c r="E141" i="4"/>
  <c r="E139" i="4"/>
  <c r="E136" i="4"/>
  <c r="E129" i="4"/>
  <c r="E126" i="4"/>
  <c r="E123" i="4"/>
  <c r="E118" i="4"/>
  <c r="E115" i="4"/>
  <c r="E114" i="4"/>
  <c r="E113" i="4"/>
  <c r="E112" i="4"/>
  <c r="E111" i="4"/>
  <c r="E110" i="4"/>
  <c r="E109" i="4"/>
  <c r="E108" i="4"/>
  <c r="E107" i="4"/>
  <c r="E106" i="4"/>
  <c r="E104" i="4"/>
  <c r="E103" i="4"/>
  <c r="E93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70" i="4"/>
  <c r="E64" i="4"/>
  <c r="E57" i="4"/>
  <c r="E56" i="4"/>
  <c r="E55" i="4"/>
  <c r="E54" i="4"/>
  <c r="E51" i="4"/>
  <c r="E47" i="4"/>
  <c r="E37" i="4"/>
  <c r="D159" i="4" l="1"/>
  <c r="E159" i="4" s="1"/>
  <c r="D158" i="4"/>
  <c r="E158" i="4" s="1"/>
  <c r="D157" i="4"/>
  <c r="D152" i="4"/>
  <c r="E152" i="4" s="1"/>
  <c r="D150" i="4"/>
  <c r="E150" i="4" s="1"/>
  <c r="D149" i="4"/>
  <c r="D144" i="4"/>
  <c r="E144" i="4" s="1"/>
  <c r="D143" i="4"/>
  <c r="E143" i="4" s="1"/>
  <c r="D142" i="4"/>
  <c r="E142" i="4" s="1"/>
  <c r="D140" i="4"/>
  <c r="E140" i="4" s="1"/>
  <c r="D138" i="4"/>
  <c r="E138" i="4" s="1"/>
  <c r="D137" i="4"/>
  <c r="D132" i="4"/>
  <c r="E132" i="4" s="1"/>
  <c r="D131" i="4"/>
  <c r="E131" i="4" s="1"/>
  <c r="D130" i="4"/>
  <c r="E130" i="4" s="1"/>
  <c r="D128" i="4"/>
  <c r="E128" i="4" s="1"/>
  <c r="D127" i="4"/>
  <c r="E127" i="4" s="1"/>
  <c r="D125" i="4"/>
  <c r="E125" i="4" s="1"/>
  <c r="D124" i="4"/>
  <c r="E124" i="4" s="1"/>
  <c r="D122" i="4"/>
  <c r="D117" i="4"/>
  <c r="E117" i="4" s="1"/>
  <c r="D116" i="4"/>
  <c r="E116" i="4" s="1"/>
  <c r="D105" i="4"/>
  <c r="E105" i="4" s="1"/>
  <c r="D102" i="4"/>
  <c r="E102" i="4" s="1"/>
  <c r="D101" i="4"/>
  <c r="E101" i="4" s="1"/>
  <c r="D100" i="4"/>
  <c r="E100" i="4" s="1"/>
  <c r="D99" i="4"/>
  <c r="E99" i="4" s="1"/>
  <c r="D98" i="4"/>
  <c r="D94" i="4"/>
  <c r="E94" i="4" s="1"/>
  <c r="D92" i="4"/>
  <c r="E92" i="4" s="1"/>
  <c r="D91" i="4"/>
  <c r="E91" i="4" s="1"/>
  <c r="D90" i="4"/>
  <c r="E90" i="4" s="1"/>
  <c r="D89" i="4"/>
  <c r="E89" i="4" s="1"/>
  <c r="D75" i="4"/>
  <c r="E75" i="4" s="1"/>
  <c r="D73" i="4"/>
  <c r="E73" i="4" s="1"/>
  <c r="D72" i="4"/>
  <c r="E72" i="4" s="1"/>
  <c r="D71" i="4"/>
  <c r="E71" i="4" s="1"/>
  <c r="D69" i="4"/>
  <c r="D65" i="4"/>
  <c r="D63" i="4"/>
  <c r="E63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D41" i="4"/>
  <c r="E41" i="4" s="1"/>
  <c r="D40" i="4"/>
  <c r="E40" i="4" s="1"/>
  <c r="D24" i="4"/>
  <c r="E24" i="4" s="1"/>
  <c r="D7" i="4"/>
  <c r="D95" i="4" l="1"/>
  <c r="D27" i="4" s="1"/>
  <c r="E27" i="4" s="1"/>
  <c r="E69" i="4"/>
  <c r="E95" i="4" s="1"/>
  <c r="D133" i="4"/>
  <c r="D29" i="4" s="1"/>
  <c r="E29" i="4" s="1"/>
  <c r="E122" i="4"/>
  <c r="E133" i="4" s="1"/>
  <c r="D146" i="4"/>
  <c r="D30" i="4" s="1"/>
  <c r="E30" i="4" s="1"/>
  <c r="E137" i="4"/>
  <c r="E146" i="4" s="1"/>
  <c r="D66" i="4"/>
  <c r="D26" i="4" s="1"/>
  <c r="E26" i="4" s="1"/>
  <c r="E65" i="4"/>
  <c r="E66" i="4" s="1"/>
  <c r="D161" i="4"/>
  <c r="D32" i="4" s="1"/>
  <c r="E32" i="4" s="1"/>
  <c r="E157" i="4"/>
  <c r="E161" i="4" s="1"/>
  <c r="D154" i="4"/>
  <c r="D31" i="4" s="1"/>
  <c r="E31" i="4" s="1"/>
  <c r="E149" i="4"/>
  <c r="E154" i="4" s="1"/>
  <c r="D60" i="4"/>
  <c r="D25" i="4" s="1"/>
  <c r="E25" i="4" s="1"/>
  <c r="E42" i="4"/>
  <c r="E60" i="4" s="1"/>
  <c r="D119" i="4"/>
  <c r="D28" i="4" s="1"/>
  <c r="E28" i="4" s="1"/>
  <c r="E98" i="4"/>
  <c r="E119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<sst xmlns="http://schemas.openxmlformats.org/spreadsheetml/2006/main" count="392" uniqueCount="265">
  <si>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</si>
  <si>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</si>
  <si>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</si>
  <si>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</si>
  <si>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</si>
  <si>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</si>
  <si>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</si>
  <si>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</si>
  <si>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</si>
  <si>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</si>
  <si>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</si>
  <si>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</si>
  <si>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</si>
  <si>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</si>
  <si>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</si>
  <si>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</si>
  <si>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</si>
  <si>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</si>
  <si>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</si>
  <si>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</si>
  <si>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</si>
  <si>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</si>
  <si>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</si>
  <si>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</si>
  <si>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</si>
  <si>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</si>
  <si>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</si>
  <si>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</si>
  <si>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</si>
  <si>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</si>
  <si>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</si>
  <si>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</si>
  <si>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</si>
  <si>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</si>
  <si>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</si>
  <si>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</si>
  <si>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</si>
  <si>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</si>
  <si>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</si>
  <si>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</si>
  <si>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</si>
  <si>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</si>
  <si>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</si>
  <si>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</si>
  <si>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</si>
  <si>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</si>
  <si>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</si>
  <si>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</si>
  <si>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</si>
  <si>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</si>
  <si>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</si>
  <si>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</si>
  <si>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</si>
  <si>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</si>
  <si>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</si>
  <si>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</si>
  <si>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</si>
  <si>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</si>
  <si>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</si>
  <si>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</si>
  <si>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</si>
  <si>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</si>
  <si>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</si>
  <si>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</si>
  <si>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</si>
  <si>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</si>
  <si>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</si>
  <si>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</si>
  <si>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</si>
  <si>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</si>
  <si>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</si>
  <si>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</si>
  <si>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</si>
  <si>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</si>
  <si>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</si>
  <si>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</si>
  <si>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</si>
  <si>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</si>
  <si>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</si>
  <si>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</si>
  <si>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</si>
  <si>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</si>
  <si>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</si>
  <si>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</si>
  <si>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</si>
  <si>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</si>
  <si>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</si>
  <si>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</si>
  <si>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</si>
  <si>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</si>
  <si>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</si>
  <si>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</si>
  <si>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</si>
  <si>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</si>
  <si>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</si>
  <si>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</si>
  <si>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</si>
  <si>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</si>
  <si>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</si>
  <si>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</si>
  <si>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</si>
  <si>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</si>
  <si>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</si>
  <si>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</si>
  <si>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</si>
  <si>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</si>
  <si>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</si>
  <si>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</si>
  <si>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</si>
  <si>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</si>
  <si>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</si>
  <si>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</si>
  <si>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</si>
  <si>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</si>
  <si>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</si>
  <si>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</si>
  <si>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</si>
  <si>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</si>
  <si>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</si>
  <si>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</si>
  <si>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</si>
  <si>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</si>
  <si>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</si>
  <si>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</si>
  <si>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</si>
  <si>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</si>
  <si>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</si>
  <si>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</si>
  <si>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</si>
  <si>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</si>
  <si>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</si>
  <si>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</si>
  <si>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</si>
  <si>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</si>
  <si>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</si>
  <si>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</si>
  <si>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</si>
  <si>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</si>
  <si>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</si>
  <si>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</si>
  <si>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</si>
  <si>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</si>
  <si>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</si>
  <si>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</si>
  <si>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</si>
  <si>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</si>
  <si>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</si>
  <si>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</si>
  <si>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</si>
  <si>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</si>
  <si>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</si>
  <si>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</si>
  <si>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</si>
  <si>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</si>
  <si>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</si>
  <si>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</si>
  <si>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</si>
  <si>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</si>
  <si>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</si>
  <si>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</si>
  <si>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</si>
  <si>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</si>
  <si>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</si>
  <si>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</si>
  <si>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</si>
  <si>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</si>
  <si>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</si>
  <si>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</si>
  <si>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</si>
  <si>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</si>
  <si>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</si>
  <si>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</si>
  <si>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</si>
  <si>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</si>
  <si>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</si>
  <si>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</si>
  <si>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</si>
  <si>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</si>
  <si>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</si>
  <si>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</si>
  <si>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</si>
  <si>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</si>
  <si>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</si>
  <si>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</si>
  <si>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</si>
  <si>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</si>
  <si>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</si>
  <si>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</si>
  <si>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</si>
  <si>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</si>
  <si>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</si>
  <si>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</si>
  <si>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</si>
  <si>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</si>
  <si>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</si>
  <si>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</si>
  <si>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</si>
  <si>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</si>
  <si>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</si>
  <si>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</si>
  <si>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</si>
  <si>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</si>
  <si>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</si>
  <si>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</si>
  <si>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</si>
  <si>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</si>
  <si>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</si>
  <si>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</si>
  <si>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</si>
  <si>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</si>
  <si>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</si>
  <si>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</si>
  <si>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</si>
  <si>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</si>
  <si>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</si>
  <si>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</si>
  <si>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</si>
  <si>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</si>
  <si>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</si>
  <si>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</si>
  <si>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</si>
  <si>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</si>
  <si>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</si>
  <si>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</si>
  <si>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</si>
  <si>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</si>
  <si>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</si>
  <si>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</si>
  <si>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</si>
  <si>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</si>
  <si>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</si>
  <si>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</si>
  <si>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</si>
  <si>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</si>
  <si>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</si>
  <si>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</si>
  <si>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</si>
  <si>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</si>
  <si>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</si>
  <si>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</si>
  <si>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</si>
  <si>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</si>
  <si>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</si>
  <si>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</si>
  <si>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</si>
  <si>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</si>
  <si>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평</t>
    <phoneticPr fontId="2" type="noConversion"/>
  </si>
  <si>
    <t>수산자원조사센터 건립공사</t>
  </si>
  <si>
    <t>업무</t>
  </si>
  <si>
    <t>경상도</t>
  </si>
  <si>
    <t>창호및유리공사</t>
    <phoneticPr fontId="2" type="noConversion"/>
  </si>
  <si>
    <t>목공사, 인테리어공사 포함</t>
    <phoneticPr fontId="2" type="noConversion"/>
  </si>
  <si>
    <t>골재비및운반비,작업부산물,기타공사</t>
    <phoneticPr fontId="2" type="noConversion"/>
  </si>
  <si>
    <t>공조배관공사,기타공사</t>
    <phoneticPr fontId="2" type="noConversion"/>
  </si>
  <si>
    <t xml:space="preserve"> 전기인입 및 수변전 설비공사</t>
    <phoneticPr fontId="2" type="noConversion"/>
  </si>
  <si>
    <t>CCTV설비공사</t>
    <phoneticPr fontId="2" type="noConversion"/>
  </si>
  <si>
    <t>옥외소화배관공사</t>
    <phoneticPr fontId="2" type="noConversion"/>
  </si>
  <si>
    <t>토목</t>
    <phoneticPr fontId="2" type="noConversion"/>
  </si>
  <si>
    <t>토목 상수도공사,토목 사급자재비, 토목 운반비, 토목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</si>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</sst>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246</v>
      </c>
    </row>
    <row r="7" spans="1:4" ht="17.25" thickBot="1" x14ac:dyDescent="0.35">
      <c r="C7" s="37">
        <v>5309.45</v>
      </c>
      <c r="D7" s="36">
        <f>+C7/3.3058</f>
        <v>1606.1013975437111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1608493</v>
      </c>
      <c r="E25" s="60">
        <f t="shared" si="0"/>
        <v>5317350</v>
      </c>
    </row>
    <row r="26" spans="1:5" x14ac:dyDescent="0.3">
      <c r="B26" s="2">
        <v>3</v>
      </c>
      <c r="C26" s="35" t="s">
        <v>95</v>
      </c>
      <c r="D26" s="45">
        <f>+D66</f>
        <v>138890</v>
      </c>
      <c r="E26" s="60">
        <f t="shared" si="0"/>
        <v>459140</v>
      </c>
    </row>
    <row r="27" spans="1:5" x14ac:dyDescent="0.3">
      <c r="B27" s="2">
        <v>4</v>
      </c>
      <c r="C27" s="35" t="s">
        <v>96</v>
      </c>
      <c r="D27" s="45">
        <f>+D95</f>
        <v>188080</v>
      </c>
      <c r="E27" s="60">
        <f t="shared" si="0"/>
        <v>621750</v>
      </c>
    </row>
    <row r="28" spans="1:5" x14ac:dyDescent="0.3">
      <c r="B28" s="2">
        <v>5</v>
      </c>
      <c r="C28" s="35" t="s">
        <v>97</v>
      </c>
      <c r="D28" s="45">
        <f>+D119</f>
        <v>227750</v>
      </c>
      <c r="E28" s="60">
        <f t="shared" si="0"/>
        <v>752890</v>
      </c>
    </row>
    <row r="29" spans="1:5" x14ac:dyDescent="0.3">
      <c r="B29" s="2">
        <v>6</v>
      </c>
      <c r="C29" s="35" t="s">
        <v>98</v>
      </c>
      <c r="D29" s="45">
        <f>+D133</f>
        <v>152640</v>
      </c>
      <c r="E29" s="60">
        <f t="shared" si="0"/>
        <v>504590</v>
      </c>
    </row>
    <row r="30" spans="1:5" x14ac:dyDescent="0.3">
      <c r="B30" s="2">
        <v>7</v>
      </c>
      <c r="C30" s="35" t="s">
        <v>99</v>
      </c>
      <c r="D30" s="45">
        <f>+D146</f>
        <v>34110</v>
      </c>
      <c r="E30" s="60">
        <f t="shared" si="0"/>
        <v>112760</v>
      </c>
    </row>
    <row r="31" spans="1:5" x14ac:dyDescent="0.3">
      <c r="B31" s="2">
        <v>8</v>
      </c>
      <c r="C31" s="35" t="s">
        <v>100</v>
      </c>
      <c r="D31" s="45">
        <f>+D154</f>
        <v>20970</v>
      </c>
      <c r="E31" s="60">
        <f t="shared" si="0"/>
        <v>69320</v>
      </c>
    </row>
    <row r="32" spans="1:5" x14ac:dyDescent="0.3">
      <c r="B32" s="2">
        <v>9</v>
      </c>
      <c r="C32" s="35" t="s">
        <v>101</v>
      </c>
      <c r="D32" s="45">
        <f>+D161</f>
        <v>36490</v>
      </c>
      <c r="E32" s="60">
        <f t="shared" si="0"/>
        <v>120620</v>
      </c>
    </row>
    <row r="33" spans="1:7" x14ac:dyDescent="0.3">
      <c r="B33" s="2">
        <v>10</v>
      </c>
      <c r="C33" s="35" t="s">
        <v>154</v>
      </c>
      <c r="D33" s="53">
        <f>TRUNC(SUM(D24:D32)*0.275,-1)</f>
        <v>662040</v>
      </c>
      <c r="E33" s="61">
        <f t="shared" si="0"/>
        <v>2188570</v>
      </c>
    </row>
    <row r="34" spans="1:7" x14ac:dyDescent="0.3">
      <c r="C34" s="35" t="s">
        <v>112</v>
      </c>
      <c r="D34" s="44">
        <f>TRUNC(SUM(D24:D33),-1)</f>
        <v>3069460</v>
      </c>
      <c r="E34" s="44">
        <f>SUM(E24:E33)</f>
        <v>10146990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TRUNC(72387,-1)</f>
        <v>72380</v>
      </c>
      <c r="E40" s="63">
        <f t="shared" ref="E40:E59" si="1">TRUNC(+D40*3.3058,-1)</f>
        <v>239270</v>
      </c>
    </row>
    <row r="41" spans="1:7" x14ac:dyDescent="0.3">
      <c r="A41" s="2">
        <v>2</v>
      </c>
      <c r="C41" s="38" t="s">
        <v>13</v>
      </c>
      <c r="D41" s="42">
        <f>TRUNC(151093,-1)</f>
        <v>151090</v>
      </c>
      <c r="E41" s="64">
        <f t="shared" si="1"/>
        <v>499470</v>
      </c>
    </row>
    <row r="42" spans="1:7" x14ac:dyDescent="0.3">
      <c r="A42" s="2">
        <v>3</v>
      </c>
      <c r="C42" s="38" t="s">
        <v>14</v>
      </c>
      <c r="D42" s="42">
        <f>TRUNC(13034,-1)</f>
        <v>13030</v>
      </c>
      <c r="E42" s="64">
        <f t="shared" si="1"/>
        <v>43070</v>
      </c>
    </row>
    <row r="43" spans="1:7" x14ac:dyDescent="0.3">
      <c r="A43" s="2">
        <v>4</v>
      </c>
      <c r="C43" s="38" t="s">
        <v>16</v>
      </c>
      <c r="D43" s="42">
        <f>TRUNC(20453,-1)</f>
        <v>20450</v>
      </c>
      <c r="E43" s="64">
        <f t="shared" si="1"/>
        <v>67600</v>
      </c>
    </row>
    <row r="44" spans="1:7" x14ac:dyDescent="0.3">
      <c r="A44" s="2">
        <v>5</v>
      </c>
      <c r="C44" s="38" t="s">
        <v>17</v>
      </c>
      <c r="D44" s="42">
        <f>TRUNC(52125,-1)</f>
        <v>52120</v>
      </c>
      <c r="E44" s="64">
        <f t="shared" si="1"/>
        <v>172290</v>
      </c>
    </row>
    <row r="45" spans="1:7" x14ac:dyDescent="0.3">
      <c r="A45" s="2">
        <v>6</v>
      </c>
      <c r="C45" s="38" t="s">
        <v>18</v>
      </c>
      <c r="D45" s="42">
        <f>TRUNC(5999,-1)</f>
        <v>5990</v>
      </c>
      <c r="E45" s="64">
        <f t="shared" si="1"/>
        <v>19800</v>
      </c>
    </row>
    <row r="46" spans="1:7" x14ac:dyDescent="0.3">
      <c r="A46" s="2">
        <v>7</v>
      </c>
      <c r="C46" s="38" t="s">
        <v>19</v>
      </c>
      <c r="D46" s="42">
        <f>TRUNC(40784-1)</f>
        <v>40783</v>
      </c>
      <c r="E46" s="64">
        <f t="shared" si="1"/>
        <v>134820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TRUNC(97251,-1)</f>
        <v>97250</v>
      </c>
      <c r="E48" s="64">
        <f t="shared" si="1"/>
        <v>321480</v>
      </c>
    </row>
    <row r="49" spans="1:7" x14ac:dyDescent="0.3">
      <c r="A49" s="2">
        <v>10</v>
      </c>
      <c r="C49" s="38" t="s">
        <v>22</v>
      </c>
      <c r="D49" s="42">
        <f>TRUNC(21939,-1)</f>
        <v>21930</v>
      </c>
      <c r="E49" s="64">
        <f t="shared" si="1"/>
        <v>72490</v>
      </c>
    </row>
    <row r="50" spans="1:7" x14ac:dyDescent="0.3">
      <c r="A50" s="2">
        <v>11</v>
      </c>
      <c r="C50" s="38" t="s">
        <v>155</v>
      </c>
      <c r="D50" s="42">
        <f>TRUNC(65761,-1)</f>
        <v>65760</v>
      </c>
      <c r="E50" s="64">
        <f t="shared" si="1"/>
        <v>217380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TRUNC(17947,-1)</f>
        <v>17940</v>
      </c>
      <c r="E52" s="64">
        <f t="shared" si="1"/>
        <v>59300</v>
      </c>
    </row>
    <row r="53" spans="1:7" x14ac:dyDescent="0.3">
      <c r="A53" s="2">
        <v>14</v>
      </c>
      <c r="C53" s="38" t="s">
        <v>25</v>
      </c>
      <c r="D53" s="42">
        <f>TRUNC(98642,-1)</f>
        <v>98640</v>
      </c>
      <c r="E53" s="64">
        <f t="shared" si="1"/>
        <v>326080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TRUNC(6901-661+14113,-1)</f>
        <v>20350</v>
      </c>
      <c r="E58" s="64">
        <f t="shared" si="1"/>
        <v>67270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TRUNC(930784,-1)</f>
        <v>930780</v>
      </c>
      <c r="E59" s="65">
        <f t="shared" si="1"/>
        <v>3076970</v>
      </c>
    </row>
    <row r="60" spans="1:7" x14ac:dyDescent="0.3">
      <c r="A60" s="2">
        <v>21</v>
      </c>
      <c r="C60" s="27" t="s">
        <v>112</v>
      </c>
      <c r="D60" s="39">
        <f>SUM(D40:D59)</f>
        <v>1608493</v>
      </c>
      <c r="E60" s="39">
        <f>SUM(E40:E59)</f>
        <v>5317290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TRUNC(3835,-1)</f>
        <v>3830</v>
      </c>
      <c r="E63" s="63">
        <f>TRUNC(+D63*3.3058,-1)</f>
        <v>12660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TRUNC(135067,-1)</f>
        <v>135060</v>
      </c>
      <c r="E65" s="65">
        <f>TRUNC(+D65*3.3058,-1)</f>
        <v>446480</v>
      </c>
    </row>
    <row r="66" spans="1:7" x14ac:dyDescent="0.3">
      <c r="A66" s="2">
        <v>4</v>
      </c>
      <c r="C66" s="27" t="s">
        <v>112</v>
      </c>
      <c r="D66" s="57">
        <f>SUM(D63:D65)</f>
        <v>138890</v>
      </c>
      <c r="E66" s="57">
        <f>SUM(E63:E65)</f>
        <v>459140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TRUNC(19957,-1)</f>
        <v>19950</v>
      </c>
      <c r="E69" s="63">
        <f t="shared" ref="E69:E94" si="2">TRUNC(+D69*3.3058,-1)</f>
        <v>65950</v>
      </c>
    </row>
    <row r="70" spans="1:7" ht="16.5" customHeight="1" x14ac:dyDescent="0.3">
      <c r="A70" s="2">
        <v>2</v>
      </c>
      <c r="C70" s="38" t="s">
        <v>31</v>
      </c>
      <c r="D70" s="42">
        <v>160</v>
      </c>
      <c r="E70" s="64">
        <f t="shared" si="2"/>
        <v>520</v>
      </c>
    </row>
    <row r="71" spans="1:7" x14ac:dyDescent="0.3">
      <c r="A71" s="2">
        <v>3</v>
      </c>
      <c r="C71" s="38" t="s">
        <v>32</v>
      </c>
      <c r="D71" s="42">
        <f>TRUNC(12694,-1)</f>
        <v>12690</v>
      </c>
      <c r="E71" s="64">
        <f t="shared" si="2"/>
        <v>41950</v>
      </c>
    </row>
    <row r="72" spans="1:7" x14ac:dyDescent="0.3">
      <c r="A72" s="2">
        <v>4</v>
      </c>
      <c r="C72" s="38" t="s">
        <v>33</v>
      </c>
      <c r="D72" s="42">
        <f>TRUNC(10709,-1)</f>
        <v>10700</v>
      </c>
      <c r="E72" s="64">
        <f t="shared" si="2"/>
        <v>35370</v>
      </c>
    </row>
    <row r="73" spans="1:7" x14ac:dyDescent="0.3">
      <c r="A73" s="2">
        <v>5</v>
      </c>
      <c r="C73" s="38" t="s">
        <v>34</v>
      </c>
      <c r="D73" s="42">
        <f>TRUNC(13154,-1)</f>
        <v>13150</v>
      </c>
      <c r="E73" s="64">
        <f t="shared" si="2"/>
        <v>43470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TRUNC(4712,-1)</f>
        <v>4710</v>
      </c>
      <c r="E75" s="64">
        <f t="shared" si="2"/>
        <v>15570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TRUNC(17504,-1)</f>
        <v>17500</v>
      </c>
      <c r="E89" s="64">
        <f t="shared" si="2"/>
        <v>57850</v>
      </c>
    </row>
    <row r="90" spans="1:7" x14ac:dyDescent="0.3">
      <c r="A90" s="2">
        <v>22</v>
      </c>
      <c r="C90" s="38" t="s">
        <v>36</v>
      </c>
      <c r="D90" s="42">
        <f>TRUNC(1155,-1)</f>
        <v>1150</v>
      </c>
      <c r="E90" s="64">
        <f t="shared" si="2"/>
        <v>3800</v>
      </c>
    </row>
    <row r="91" spans="1:7" x14ac:dyDescent="0.3">
      <c r="A91" s="2">
        <v>23</v>
      </c>
      <c r="C91" s="38" t="s">
        <v>37</v>
      </c>
      <c r="D91" s="42">
        <f>TRUNC(80027,-1)</f>
        <v>80020</v>
      </c>
      <c r="E91" s="64">
        <f t="shared" si="2"/>
        <v>264530</v>
      </c>
    </row>
    <row r="92" spans="1:7" x14ac:dyDescent="0.3">
      <c r="A92" s="2">
        <v>24</v>
      </c>
      <c r="C92" s="38" t="s">
        <v>38</v>
      </c>
      <c r="D92" s="42">
        <f>TRUNC(3849,-1)</f>
        <v>3840</v>
      </c>
      <c r="E92" s="64">
        <f t="shared" si="2"/>
        <v>12690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TRUNC(10808+13411,-1)</f>
        <v>24210</v>
      </c>
      <c r="E94" s="65">
        <f t="shared" si="2"/>
        <v>80030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188080</v>
      </c>
      <c r="E95" s="39">
        <f>SUM(E69:E94)</f>
        <v>621730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TRUNC(12315,-1)</f>
        <v>12310</v>
      </c>
      <c r="E98" s="63">
        <f t="shared" ref="E98:E118" si="3">TRUNC(+D98*3.3058,-1)</f>
        <v>40690</v>
      </c>
    </row>
    <row r="99" spans="1:7" x14ac:dyDescent="0.3">
      <c r="A99" s="2">
        <v>2</v>
      </c>
      <c r="C99" s="38" t="s">
        <v>40</v>
      </c>
      <c r="D99" s="42">
        <f>TRUNC(11171,-1)</f>
        <v>11170</v>
      </c>
      <c r="E99" s="64">
        <f t="shared" si="3"/>
        <v>36920</v>
      </c>
    </row>
    <row r="100" spans="1:7" x14ac:dyDescent="0.3">
      <c r="A100" s="2">
        <v>3</v>
      </c>
      <c r="C100" s="38" t="s">
        <v>41</v>
      </c>
      <c r="D100" s="42">
        <f>TRUNC(29802,-1)</f>
        <v>29800</v>
      </c>
      <c r="E100" s="64">
        <f t="shared" si="3"/>
        <v>98510</v>
      </c>
    </row>
    <row r="101" spans="1:7" x14ac:dyDescent="0.3">
      <c r="A101" s="2">
        <v>4</v>
      </c>
      <c r="C101" s="38" t="s">
        <v>42</v>
      </c>
      <c r="D101" s="42">
        <f>TRUNC(1435,-1)</f>
        <v>1430</v>
      </c>
      <c r="E101" s="64">
        <f t="shared" si="3"/>
        <v>4720</v>
      </c>
    </row>
    <row r="102" spans="1:7" x14ac:dyDescent="0.3">
      <c r="A102" s="2">
        <v>5</v>
      </c>
      <c r="C102" s="38" t="s">
        <v>43</v>
      </c>
      <c r="D102" s="42">
        <f>TRUNC(18587,-1)</f>
        <v>18580</v>
      </c>
      <c r="E102" s="64">
        <f t="shared" si="3"/>
        <v>61420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v>6790</v>
      </c>
      <c r="E104" s="64">
        <f t="shared" si="3"/>
        <v>22440</v>
      </c>
    </row>
    <row r="105" spans="1:7" x14ac:dyDescent="0.3">
      <c r="A105" s="2">
        <v>8</v>
      </c>
      <c r="C105" s="38" t="s">
        <v>46</v>
      </c>
      <c r="D105" s="42">
        <f>TRUNC(6692,-1)</f>
        <v>6690</v>
      </c>
      <c r="E105" s="64">
        <f t="shared" si="3"/>
        <v>22110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TRUNC(11062,-1)</f>
        <v>11060</v>
      </c>
      <c r="E116" s="64">
        <f t="shared" si="3"/>
        <v>36560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TRUNC(129924,-1)</f>
        <v>129920</v>
      </c>
      <c r="E117" s="64">
        <f t="shared" si="3"/>
        <v>429480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5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227750</v>
      </c>
      <c r="E119" s="39">
        <f>SUM(E98:E118)</f>
        <v>752850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TRUNC(2426,-1)</f>
        <v>2420</v>
      </c>
      <c r="E122" s="63">
        <f t="shared" ref="E122:E132" si="4">TRUNC(+D122*3.3058,-1)</f>
        <v>8000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TRUNC(1654,-1)</f>
        <v>1650</v>
      </c>
      <c r="E124" s="64">
        <f t="shared" si="4"/>
        <v>5450</v>
      </c>
    </row>
    <row r="125" spans="1:7" x14ac:dyDescent="0.3">
      <c r="A125" s="2">
        <v>4</v>
      </c>
      <c r="C125" s="38" t="s">
        <v>138</v>
      </c>
      <c r="D125" s="42">
        <f>TRUNC(5556,-1)</f>
        <v>5550</v>
      </c>
      <c r="E125" s="64">
        <f t="shared" si="4"/>
        <v>18340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TRUNC(2269,-1)</f>
        <v>2260</v>
      </c>
      <c r="E127" s="64">
        <f t="shared" si="4"/>
        <v>7470</v>
      </c>
    </row>
    <row r="128" spans="1:7" x14ac:dyDescent="0.3">
      <c r="A128" s="2">
        <v>7</v>
      </c>
      <c r="C128" s="38" t="s">
        <v>46</v>
      </c>
      <c r="D128" s="42">
        <f>TRUNC(4858,-1)</f>
        <v>4850</v>
      </c>
      <c r="E128" s="64">
        <f t="shared" si="4"/>
        <v>16030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TRUNC(25855,-1)</f>
        <v>25850</v>
      </c>
      <c r="E130" s="64">
        <f t="shared" si="4"/>
        <v>85450</v>
      </c>
    </row>
    <row r="131" spans="1:7" x14ac:dyDescent="0.3">
      <c r="A131" s="2">
        <v>10</v>
      </c>
      <c r="C131" s="38" t="s">
        <v>148</v>
      </c>
      <c r="D131" s="42">
        <f>TRUNC(106424,-1)</f>
        <v>106420</v>
      </c>
      <c r="E131" s="64">
        <f t="shared" si="4"/>
        <v>351800</v>
      </c>
    </row>
    <row r="132" spans="1:7" ht="17.25" thickBot="1" x14ac:dyDescent="0.35">
      <c r="A132" s="2">
        <v>11</v>
      </c>
      <c r="C132" s="38" t="s">
        <v>47</v>
      </c>
      <c r="D132" s="43">
        <f>TRUNC(3648,-1)</f>
        <v>3640</v>
      </c>
      <c r="E132" s="65">
        <f t="shared" si="4"/>
        <v>12030</v>
      </c>
      <c r="F132" s="2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152640</v>
      </c>
      <c r="E133" s="39">
        <f>SUM(E122:E132)</f>
        <v>504570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278+2652</f>
        <v>2930</v>
      </c>
      <c r="E137" s="64">
        <f t="shared" si="5"/>
        <v>9680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f>TRUNC(4234,-1)</f>
        <v>4230</v>
      </c>
      <c r="E138" s="64">
        <f t="shared" si="5"/>
        <v>13980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TRUNC(2888,-1)</f>
        <v>2880</v>
      </c>
      <c r="E140" s="64">
        <f t="shared" si="5"/>
        <v>9520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TRUNC(8201,-1)</f>
        <v>8200</v>
      </c>
      <c r="E142" s="64">
        <f t="shared" si="5"/>
        <v>27100</v>
      </c>
    </row>
    <row r="143" spans="1:7" x14ac:dyDescent="0.3">
      <c r="A143" s="2">
        <v>8</v>
      </c>
      <c r="C143" s="38" t="s">
        <v>62</v>
      </c>
      <c r="D143" s="42">
        <f>TRUNC(3653,-1)</f>
        <v>3650</v>
      </c>
      <c r="E143" s="64">
        <f t="shared" si="5"/>
        <v>12060</v>
      </c>
    </row>
    <row r="144" spans="1:7" x14ac:dyDescent="0.3">
      <c r="A144" s="2">
        <v>9</v>
      </c>
      <c r="C144" s="38" t="s">
        <v>63</v>
      </c>
      <c r="D144" s="42">
        <f>TRUNC(12229,-1)</f>
        <v>12220</v>
      </c>
      <c r="E144" s="64">
        <f t="shared" si="5"/>
        <v>40390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34110</v>
      </c>
      <c r="E146" s="39">
        <f>SUM(E136:E145)</f>
        <v>112730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TRUNC(6840+1687,-1)</f>
        <v>8520</v>
      </c>
      <c r="E149" s="63">
        <f>TRUNC(+D149*3.3058,-1)</f>
        <v>28160</v>
      </c>
      <c r="F149" s="2" t="s">
        <v>257</v>
      </c>
    </row>
    <row r="150" spans="1:7" x14ac:dyDescent="0.3">
      <c r="A150" s="2">
        <v>2</v>
      </c>
      <c r="C150" s="38" t="s">
        <v>49</v>
      </c>
      <c r="D150" s="42">
        <f>TRUNC(3860,-1)</f>
        <v>3860</v>
      </c>
      <c r="E150" s="64">
        <f>TRUNC(+D150*3.3058,-1)</f>
        <v>12760</v>
      </c>
      <c r="F150" s="2" t="s">
        <v>257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TRUNC(593+6449+15+1538,-1)</f>
        <v>8590</v>
      </c>
      <c r="E152" s="64">
        <f>TRUNC(+D152*3.3058,-1)</f>
        <v>28390</v>
      </c>
      <c r="F152" s="58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20970</v>
      </c>
      <c r="E154" s="39">
        <f>SUM(E149:E153)</f>
        <v>69310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TRUNC(20773,-1)</f>
        <v>20770</v>
      </c>
      <c r="E157" s="63">
        <f>TRUNC(+D157*3.3058,-1)</f>
        <v>68660</v>
      </c>
    </row>
    <row r="158" spans="1:7" x14ac:dyDescent="0.3">
      <c r="A158" s="2">
        <v>2</v>
      </c>
      <c r="C158" s="38" t="s">
        <v>52</v>
      </c>
      <c r="D158" s="42">
        <f>TRUNC(8875,-1)</f>
        <v>8870</v>
      </c>
      <c r="E158" s="64">
        <f>TRUNC(+D158*3.3058,-1)</f>
        <v>29320</v>
      </c>
    </row>
    <row r="159" spans="1:7" x14ac:dyDescent="0.3">
      <c r="A159" s="2">
        <v>3</v>
      </c>
      <c r="C159" s="38" t="s">
        <v>47</v>
      </c>
      <c r="D159" s="42">
        <f>TRUNC(6761+92,-1)</f>
        <v>6850</v>
      </c>
      <c r="E159" s="64">
        <f>TRUNC(+D159*3.3058,-1)</f>
        <v>22640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36490</v>
      </c>
      <c r="E161" s="39">
        <f>SUM(E157:E160)</f>
        <v>120620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2020-12-07T10:16:59Z</dcterms:modified>
</cp:coreProperties>
</file>