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118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7" i="4"/>
  <c r="E56" i="4"/>
  <c r="E54" i="4"/>
  <c r="E47" i="4"/>
  <c r="E37" i="4"/>
  <c r="E119" i="4" l="1"/>
  <c r="E146" i="4"/>
  <c r="D40" i="4"/>
  <c r="E40" i="4" s="1"/>
  <c r="D152" i="4"/>
  <c r="E152" i="4" s="1"/>
  <c r="E154" i="4" s="1"/>
  <c r="D132" i="4" l="1"/>
  <c r="E132" i="4" s="1"/>
  <c r="E133" i="4" s="1"/>
  <c r="D94" i="4"/>
  <c r="E94" i="4" s="1"/>
  <c r="E95" i="4" s="1"/>
  <c r="D58" i="4"/>
  <c r="E58" i="4" s="1"/>
  <c r="D52" i="4"/>
  <c r="E52" i="4" s="1"/>
  <c r="D53" i="4"/>
  <c r="E53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161" i="4" l="1"/>
  <c r="D154" i="4"/>
  <c r="D31" i="4" s="1"/>
  <c r="E31" i="4" s="1"/>
  <c r="D146" i="4"/>
  <c r="D30" i="4" s="1"/>
  <c r="E30" i="4" s="1"/>
  <c r="D133" i="4"/>
  <c r="D119" i="4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8" i="4"/>
  <c r="E28" i="4" s="1"/>
  <c r="D29" i="4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<sst xmlns="http://schemas.openxmlformats.org/spreadsheetml/2006/main" count="383" uniqueCount="258">
  <si>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</si>
  <si>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</si>
  <si>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</si>
  <si>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</si>
  <si>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</si>
  <si>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</si>
  <si>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</si>
  <si>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</si>
  <si>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</si>
  <si>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</si>
  <si>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</si>
  <si>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</si>
  <si>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</si>
  <si>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</si>
  <si>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</si>
  <si>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</si>
  <si>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</si>
  <si>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</si>
  <si>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</si>
  <si>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</si>
  <si>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</si>
  <si>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</si>
  <si>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</si>
  <si>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</si>
  <si>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</si>
  <si>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</si>
  <si>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</si>
  <si>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</si>
  <si>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</si>
  <si>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</si>
  <si>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</si>
  <si>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</si>
  <si>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</si>
  <si>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</si>
  <si>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</si>
  <si>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</si>
  <si>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</si>
  <si>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</si>
  <si>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</si>
  <si>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</si>
  <si>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</si>
  <si>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</si>
  <si>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</si>
  <si>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</si>
  <si>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</si>
  <si>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</si>
  <si>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</si>
  <si>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</si>
  <si>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</si>
  <si>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</si>
  <si>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</si>
  <si>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</si>
  <si>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</si>
  <si>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</si>
  <si>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</si>
  <si>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</si>
  <si>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</si>
  <si>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</si>
  <si>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</si>
  <si>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</si>
  <si>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</si>
  <si>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</si>
  <si>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</si>
  <si>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</si>
  <si>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</si>
  <si>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</si>
  <si>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</si>
  <si>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</si>
  <si>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</si>
  <si>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</si>
  <si>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</si>
  <si>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</si>
  <si>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</si>
  <si>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</si>
  <si>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</si>
  <si>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</si>
  <si>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</si>
  <si>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</si>
  <si>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</si>
  <si>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</si>
  <si>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</si>
  <si>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</si>
  <si>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</si>
  <si>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</si>
  <si>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</si>
  <si>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</si>
  <si>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</si>
  <si>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</si>
  <si>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</si>
  <si>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</si>
  <si>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</si>
  <si>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</si>
  <si>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</si>
  <si>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</si>
  <si>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</si>
  <si>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</si>
  <si>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</si>
  <si>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</si>
  <si>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</si>
  <si>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</si>
  <si>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</si>
  <si>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</si>
  <si>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</si>
  <si>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</si>
  <si>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</si>
  <si>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</si>
  <si>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</si>
  <si>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</si>
  <si>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</si>
  <si>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</si>
  <si>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</si>
  <si>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</si>
  <si>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</si>
  <si>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</si>
  <si>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</si>
  <si>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</si>
  <si>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</si>
  <si>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</si>
  <si>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</si>
  <si>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</si>
  <si>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</si>
  <si>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</si>
  <si>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</si>
  <si>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</si>
  <si>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</si>
  <si>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</si>
  <si>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</si>
  <si>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</si>
  <si>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</si>
  <si>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</si>
  <si>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</si>
  <si>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</si>
  <si>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</si>
  <si>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</si>
  <si>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</si>
  <si>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</si>
  <si>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</si>
  <si>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</si>
  <si>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</si>
  <si>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</si>
  <si>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</si>
  <si>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</si>
  <si>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</si>
  <si>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</si>
  <si>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</si>
  <si>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</si>
  <si>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</si>
  <si>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</si>
  <si>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</si>
  <si>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</si>
  <si>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</si>
  <si>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</si>
  <si>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</si>
  <si>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</si>
  <si>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</si>
  <si>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</si>
  <si>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</si>
  <si>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</si>
  <si>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</si>
  <si>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</si>
  <si>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</si>
  <si>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</si>
  <si>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</si>
  <si>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</si>
  <si>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</si>
  <si>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</si>
  <si>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</si>
  <si>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</si>
  <si>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</si>
  <si>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</si>
  <si>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</si>
  <si>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</si>
  <si>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</si>
  <si>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</si>
  <si>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</si>
  <si>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</si>
  <si>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</si>
  <si>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</si>
  <si>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</si>
  <si>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</si>
  <si>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</si>
  <si>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</si>
  <si>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</si>
  <si>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</si>
  <si>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</si>
  <si>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</si>
  <si>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</si>
  <si>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</si>
  <si>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</si>
  <si>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</si>
  <si>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</si>
  <si>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</si>
  <si>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</si>
  <si>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</si>
  <si>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</si>
  <si>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</si>
  <si>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</si>
  <si>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</si>
  <si>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</si>
  <si>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</si>
  <si>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</si>
  <si>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</si>
  <si>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</si>
  <si>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</si>
  <si>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</si>
  <si>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</si>
  <si>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</si>
  <si>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</si>
  <si>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</si>
  <si>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</si>
  <si>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</si>
  <si>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</si>
  <si>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</si>
  <si>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</si>
  <si>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</si>
  <si>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</si>
  <si>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</si>
  <si>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</si>
  <si>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</si>
  <si>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</si>
  <si>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</si>
  <si>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</si>
  <si>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</si>
  <si>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</si>
  <si>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</si>
  <si>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</si>
  <si>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</si>
  <si>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</si>
  <si>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</si>
  <si>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</si>
  <si>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</si>
  <si>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</si>
  <si>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</si>
  <si>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</si>
  <si>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</si>
  <si>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</si>
  <si>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</si>
  <si>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</si>
  <si>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</si>
  <si>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</si>
  <si>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</si>
  <si>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</si>
  <si>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</si>
  <si>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</si>
  <si>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</si>
  <si>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</si>
  <si>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</si>
  <si>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</si>
  <si>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성동세무서 청사 신축공사</t>
  </si>
  <si>
    <t>업무</t>
  </si>
  <si>
    <t>서울</t>
  </si>
  <si>
    <t>기타공사,골재대 및 운반비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</si>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</sst>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10270</v>
      </c>
      <c r="D7" s="36">
        <f>+C7/3.3058</f>
        <v>3106.6610200254099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256</v>
      </c>
    </row>
    <row r="19" spans="1:5" x14ac:dyDescent="0.3">
      <c r="A19" s="2">
        <v>9</v>
      </c>
      <c r="B19" s="2" t="s">
        <v>257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1030550</v>
      </c>
      <c r="E25" s="59">
        <f t="shared" si="0"/>
        <v>3406790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232790</v>
      </c>
      <c r="E27" s="59">
        <f t="shared" si="0"/>
        <v>769550</v>
      </c>
    </row>
    <row r="28" spans="1:5" x14ac:dyDescent="0.3">
      <c r="B28" s="2">
        <v>5</v>
      </c>
      <c r="C28" s="35" t="s">
        <v>97</v>
      </c>
      <c r="D28" s="45">
        <f>+D119</f>
        <v>283480</v>
      </c>
      <c r="E28" s="59">
        <f t="shared" si="0"/>
        <v>937120</v>
      </c>
    </row>
    <row r="29" spans="1:5" x14ac:dyDescent="0.3">
      <c r="B29" s="2">
        <v>6</v>
      </c>
      <c r="C29" s="35" t="s">
        <v>98</v>
      </c>
      <c r="D29" s="45">
        <f>+D133</f>
        <v>82140</v>
      </c>
      <c r="E29" s="59">
        <f t="shared" si="0"/>
        <v>271530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330920</v>
      </c>
      <c r="E31" s="59">
        <f t="shared" si="0"/>
        <v>1093950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538960</v>
      </c>
      <c r="E33" s="60">
        <f t="shared" si="0"/>
        <v>1781690</v>
      </c>
    </row>
    <row r="34" spans="1:7" x14ac:dyDescent="0.3">
      <c r="C34" s="35" t="s">
        <v>112</v>
      </c>
      <c r="D34" s="44">
        <f>SUM(D24:D33)</f>
        <v>2498840</v>
      </c>
      <c r="E34" s="44">
        <f>SUM(E24:E33)</f>
        <v>8260630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253</v>
      </c>
      <c r="E39" s="67" t="s">
        <v>254</v>
      </c>
      <c r="G39" s="68"/>
    </row>
    <row r="40" spans="1:7" x14ac:dyDescent="0.3">
      <c r="A40" s="2">
        <v>1</v>
      </c>
      <c r="C40" s="38" t="s">
        <v>15</v>
      </c>
      <c r="D40" s="40">
        <f>TRUNC(50039,-1)</f>
        <v>50030</v>
      </c>
      <c r="E40" s="62">
        <f t="shared" ref="E40:E59" si="1">TRUNC(+D40*3.3058,-1)</f>
        <v>165380</v>
      </c>
    </row>
    <row r="41" spans="1:7" x14ac:dyDescent="0.3">
      <c r="A41" s="2">
        <v>2</v>
      </c>
      <c r="C41" s="38" t="s">
        <v>13</v>
      </c>
      <c r="D41" s="42">
        <f>TRUNC(215332,-1)</f>
        <v>215330</v>
      </c>
      <c r="E41" s="63">
        <f t="shared" si="1"/>
        <v>711830</v>
      </c>
    </row>
    <row r="42" spans="1:7" x14ac:dyDescent="0.3">
      <c r="A42" s="2">
        <v>3</v>
      </c>
      <c r="C42" s="38" t="s">
        <v>14</v>
      </c>
      <c r="D42" s="42">
        <f>TRUNC(25378,-1)</f>
        <v>25370</v>
      </c>
      <c r="E42" s="63">
        <f t="shared" si="1"/>
        <v>83860</v>
      </c>
    </row>
    <row r="43" spans="1:7" x14ac:dyDescent="0.3">
      <c r="A43" s="2">
        <v>4</v>
      </c>
      <c r="C43" s="38" t="s">
        <v>16</v>
      </c>
      <c r="D43" s="42">
        <f>TRUNC(5603,-1)</f>
        <v>5600</v>
      </c>
      <c r="E43" s="63">
        <f t="shared" si="1"/>
        <v>18510</v>
      </c>
    </row>
    <row r="44" spans="1:7" x14ac:dyDescent="0.3">
      <c r="A44" s="2">
        <v>5</v>
      </c>
      <c r="C44" s="38" t="s">
        <v>17</v>
      </c>
      <c r="D44" s="42">
        <f>TRUNC(37903,-1)</f>
        <v>37900</v>
      </c>
      <c r="E44" s="63">
        <f t="shared" si="1"/>
        <v>125280</v>
      </c>
    </row>
    <row r="45" spans="1:7" x14ac:dyDescent="0.3">
      <c r="A45" s="2">
        <v>6</v>
      </c>
      <c r="C45" s="38" t="s">
        <v>18</v>
      </c>
      <c r="D45" s="42">
        <f>TRUNC(4662,-1)</f>
        <v>4660</v>
      </c>
      <c r="E45" s="63">
        <f t="shared" si="1"/>
        <v>15400</v>
      </c>
    </row>
    <row r="46" spans="1:7" x14ac:dyDescent="0.3">
      <c r="A46" s="2">
        <v>7</v>
      </c>
      <c r="C46" s="38" t="s">
        <v>19</v>
      </c>
      <c r="D46" s="42">
        <f>TRUNC(29246,-1)</f>
        <v>29240</v>
      </c>
      <c r="E46" s="63">
        <f t="shared" si="1"/>
        <v>96660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TRUNC(73655,-1)</f>
        <v>73650</v>
      </c>
      <c r="E48" s="63">
        <f t="shared" si="1"/>
        <v>243470</v>
      </c>
    </row>
    <row r="49" spans="1:7" x14ac:dyDescent="0.3">
      <c r="A49" s="2">
        <v>10</v>
      </c>
      <c r="C49" s="38" t="s">
        <v>22</v>
      </c>
      <c r="D49" s="42">
        <f>TRUNC(24703,-1)</f>
        <v>24700</v>
      </c>
      <c r="E49" s="63">
        <f t="shared" si="1"/>
        <v>81650</v>
      </c>
    </row>
    <row r="50" spans="1:7" x14ac:dyDescent="0.3">
      <c r="A50" s="2">
        <v>11</v>
      </c>
      <c r="C50" s="38" t="s">
        <v>155</v>
      </c>
      <c r="D50" s="42">
        <f>TRUNC(107967,-1)</f>
        <v>107960</v>
      </c>
      <c r="E50" s="63">
        <f t="shared" si="1"/>
        <v>356890</v>
      </c>
    </row>
    <row r="51" spans="1:7" x14ac:dyDescent="0.3">
      <c r="A51" s="2">
        <v>12</v>
      </c>
      <c r="C51" s="38" t="s">
        <v>23</v>
      </c>
      <c r="D51" s="42">
        <f>TRUNC(21979,-1)</f>
        <v>21970</v>
      </c>
      <c r="E51" s="63">
        <f t="shared" si="1"/>
        <v>72620</v>
      </c>
    </row>
    <row r="52" spans="1:7" x14ac:dyDescent="0.3">
      <c r="A52" s="2">
        <v>13</v>
      </c>
      <c r="C52" s="38" t="s">
        <v>24</v>
      </c>
      <c r="D52" s="42">
        <f>TRUNC(45044,-1)</f>
        <v>45040</v>
      </c>
      <c r="E52" s="63">
        <f t="shared" si="1"/>
        <v>148890</v>
      </c>
    </row>
    <row r="53" spans="1:7" x14ac:dyDescent="0.3">
      <c r="A53" s="2">
        <v>14</v>
      </c>
      <c r="C53" s="38" t="s">
        <v>25</v>
      </c>
      <c r="D53" s="42">
        <f>TRUNC(60466,-1)</f>
        <v>60460</v>
      </c>
      <c r="E53" s="63">
        <f t="shared" si="1"/>
        <v>199860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TRUNC(234,-1)</f>
        <v>230</v>
      </c>
      <c r="E55" s="63">
        <f t="shared" si="1"/>
        <v>760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TRUNC(161093+2784,-1)</f>
        <v>163870</v>
      </c>
      <c r="E58" s="63">
        <f t="shared" si="1"/>
        <v>541720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TRUNC(164548.393378773,-1)</f>
        <v>164540</v>
      </c>
      <c r="E59" s="64">
        <f t="shared" si="1"/>
        <v>543930</v>
      </c>
    </row>
    <row r="60" spans="1:7" x14ac:dyDescent="0.3">
      <c r="A60" s="2">
        <v>21</v>
      </c>
      <c r="C60" s="27" t="s">
        <v>112</v>
      </c>
      <c r="D60" s="39">
        <f>SUM(D40:D59)</f>
        <v>1030550</v>
      </c>
      <c r="E60" s="39">
        <f>SUM(E40:E59)</f>
        <v>3406710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TRUNC(91753.3592989289,-1)</f>
        <v>91750</v>
      </c>
      <c r="E93" s="63">
        <f t="shared" si="2"/>
        <v>303300</v>
      </c>
    </row>
    <row r="94" spans="1:7" ht="17.25" thickBot="1" x14ac:dyDescent="0.35">
      <c r="A94" s="2">
        <v>26</v>
      </c>
      <c r="C94" s="38" t="s">
        <v>47</v>
      </c>
      <c r="D94" s="43">
        <f>TRUNC(141048,-1)</f>
        <v>141040</v>
      </c>
      <c r="E94" s="64">
        <f t="shared" si="2"/>
        <v>466250</v>
      </c>
    </row>
    <row r="95" spans="1:7" x14ac:dyDescent="0.3">
      <c r="A95" s="2">
        <v>27</v>
      </c>
      <c r="C95" s="27" t="s">
        <v>112</v>
      </c>
      <c r="D95" s="39">
        <f>SUM(D69:D94)</f>
        <v>232790</v>
      </c>
      <c r="E95" s="39">
        <f>SUM(E69:E94)</f>
        <v>769550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TRUNC(112648.88023369,-1)</f>
        <v>112640</v>
      </c>
      <c r="E117" s="63">
        <f t="shared" si="3"/>
        <v>372360</v>
      </c>
    </row>
    <row r="118" spans="1:7" ht="17.25" thickBot="1" x14ac:dyDescent="0.35">
      <c r="A118" s="2">
        <v>21</v>
      </c>
      <c r="C118" s="38" t="s">
        <v>47</v>
      </c>
      <c r="D118" s="43">
        <f>TRUNC(170841,-1)</f>
        <v>170840</v>
      </c>
      <c r="E118" s="64">
        <f t="shared" si="3"/>
        <v>564760</v>
      </c>
    </row>
    <row r="119" spans="1:7" x14ac:dyDescent="0.3">
      <c r="A119" s="2">
        <v>22</v>
      </c>
      <c r="C119" s="27" t="s">
        <v>112</v>
      </c>
      <c r="D119" s="39">
        <f>SUM(D98:D118)</f>
        <v>283480</v>
      </c>
      <c r="E119" s="39">
        <f>SUM(E98:E118)</f>
        <v>937120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TRUNC(19891.5287244401,-1)</f>
        <v>19890</v>
      </c>
      <c r="E131" s="63">
        <f t="shared" si="4"/>
        <v>65750</v>
      </c>
    </row>
    <row r="132" spans="1:7" ht="18" thickBot="1" x14ac:dyDescent="0.35">
      <c r="A132" s="2">
        <v>11</v>
      </c>
      <c r="C132" s="38" t="s">
        <v>47</v>
      </c>
      <c r="D132" s="43">
        <f>TRUNC(62254,-1)</f>
        <v>62250</v>
      </c>
      <c r="E132" s="64">
        <f t="shared" si="4"/>
        <v>205780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82140</v>
      </c>
      <c r="E133" s="39">
        <f>SUM(E122:E132)</f>
        <v>271530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TRUNC(-1228+319580,-1)</f>
        <v>318350</v>
      </c>
      <c r="E152" s="63">
        <f>TRUNC(+D152*3.3058,-1)</f>
        <v>1052400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TRUNC(12579.8442064265,-1)</f>
        <v>12570</v>
      </c>
      <c r="E153" s="64">
        <f>TRUNC(+D153*3.3058,-1)</f>
        <v>41550</v>
      </c>
    </row>
    <row r="154" spans="1:7" x14ac:dyDescent="0.3">
      <c r="A154" s="2">
        <v>6</v>
      </c>
      <c r="C154" s="27" t="s">
        <v>112</v>
      </c>
      <c r="D154" s="39">
        <f>SUM(D149:D153)</f>
        <v>330920</v>
      </c>
      <c r="E154" s="39">
        <f>SUM(E149:E153)</f>
        <v>1093950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2020-12-07T09:26:25Z</dcterms:modified>
</cp:coreProperties>
</file>