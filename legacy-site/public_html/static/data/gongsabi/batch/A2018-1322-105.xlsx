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1" i="4"/>
  <c r="D40" i="4"/>
  <c r="D92" i="4"/>
  <c r="D91" i="4"/>
  <c r="D89" i="4"/>
  <c r="D73" i="4"/>
  <c r="D72" i="4"/>
  <c r="D71" i="4"/>
  <c r="D69" i="4"/>
  <c r="D63" i="4"/>
  <c r="D114" i="4"/>
  <c r="D105" i="4"/>
  <c r="D104" i="4"/>
  <c r="D102" i="4"/>
  <c r="D100" i="4"/>
  <c r="D99" i="4"/>
  <c r="D98" i="4"/>
  <c r="D130" i="4"/>
  <c r="D128" i="4"/>
  <c r="D122" i="4"/>
  <c r="D144" i="4"/>
  <c r="D143" i="4"/>
  <c r="D142" i="4"/>
  <c r="D141" i="4"/>
  <c r="D140" i="4"/>
  <c r="D139" i="4"/>
  <c r="D137" i="4"/>
  <c r="D152" i="4"/>
  <c r="D150" i="4"/>
  <c r="D149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<sst xmlns="http://schemas.openxmlformats.org/spreadsheetml/2006/main" count="389" uniqueCount="264">
  <si>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</si>
  <si>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</si>
  <si>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</si>
  <si>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</si>
  <si>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</si>
  <si>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</si>
  <si>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</si>
  <si>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</si>
  <si>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</si>
  <si>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</si>
  <si>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</si>
  <si>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</si>
  <si>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</si>
  <si>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</si>
  <si>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</si>
  <si>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</si>
  <si>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</si>
  <si>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</si>
  <si>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</si>
  <si>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</si>
  <si>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</si>
  <si>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</si>
  <si>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</si>
  <si>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</si>
  <si>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</si>
  <si>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</si>
  <si>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</si>
  <si>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</si>
  <si>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</si>
  <si>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</si>
  <si>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</si>
  <si>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</si>
  <si>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</si>
  <si>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</si>
  <si>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</si>
  <si>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</si>
  <si>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</si>
  <si>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</si>
  <si>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</si>
  <si>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</si>
  <si>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</si>
  <si>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</si>
  <si>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</si>
  <si>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</si>
  <si>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</si>
  <si>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</si>
  <si>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</si>
  <si>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</si>
  <si>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</si>
  <si>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</si>
  <si>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</si>
  <si>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</si>
  <si>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</si>
  <si>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</si>
  <si>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</si>
  <si>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</si>
  <si>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</si>
  <si>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</si>
  <si>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</si>
  <si>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</si>
  <si>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</si>
  <si>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</si>
  <si>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</si>
  <si>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</si>
  <si>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</si>
  <si>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</si>
  <si>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</si>
  <si>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</si>
  <si>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</si>
  <si>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</si>
  <si>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</si>
  <si>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</si>
  <si>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</si>
  <si>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</si>
  <si>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</si>
  <si>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</si>
  <si>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</si>
  <si>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</si>
  <si>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</si>
  <si>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</si>
  <si>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</si>
  <si>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</si>
  <si>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</si>
  <si>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</si>
  <si>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</si>
  <si>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</si>
  <si>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</si>
  <si>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</si>
  <si>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</si>
  <si>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</si>
  <si>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</si>
  <si>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</si>
  <si>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</si>
  <si>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</si>
  <si>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</si>
  <si>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</si>
  <si>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</si>
  <si>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</si>
  <si>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</si>
  <si>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</si>
  <si>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</si>
  <si>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</si>
  <si>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</si>
  <si>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</si>
  <si>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</si>
  <si>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</si>
  <si>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</si>
  <si>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</si>
  <si>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</si>
  <si>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</si>
  <si>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</si>
  <si>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</si>
  <si>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</si>
  <si>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</si>
  <si>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</si>
  <si>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</si>
  <si>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</si>
  <si>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</si>
  <si>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</si>
  <si>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</si>
  <si>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</si>
  <si>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</si>
  <si>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</si>
  <si>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</si>
  <si>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</si>
  <si>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</si>
  <si>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</si>
  <si>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</si>
  <si>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</si>
  <si>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</si>
  <si>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</si>
  <si>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</si>
  <si>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</si>
  <si>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</si>
  <si>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</si>
  <si>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</si>
  <si>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</si>
  <si>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</si>
  <si>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</si>
  <si>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</si>
  <si>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</si>
  <si>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</si>
  <si>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</si>
  <si>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</si>
  <si>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</si>
  <si>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</si>
  <si>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</si>
  <si>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</si>
  <si>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</si>
  <si>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</si>
  <si>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</si>
  <si>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</si>
  <si>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</si>
  <si>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</si>
  <si>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</si>
  <si>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</si>
  <si>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</si>
  <si>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</si>
  <si>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</si>
  <si>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</si>
  <si>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</si>
  <si>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</si>
  <si>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</si>
  <si>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</si>
  <si>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</si>
  <si>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</si>
  <si>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</si>
  <si>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</si>
  <si>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</si>
  <si>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</si>
  <si>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</si>
  <si>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</si>
  <si>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</si>
  <si>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</si>
  <si>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</si>
  <si>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</si>
  <si>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</si>
  <si>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</si>
  <si>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</si>
  <si>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</si>
  <si>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</si>
  <si>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</si>
  <si>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</si>
  <si>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</si>
  <si>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</si>
  <si>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</si>
  <si>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</si>
  <si>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</si>
  <si>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</si>
  <si>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</si>
  <si>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</si>
  <si>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</si>
  <si>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</si>
  <si>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</si>
  <si>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</si>
  <si>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</si>
  <si>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</si>
  <si>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</si>
  <si>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</si>
  <si>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</si>
  <si>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</si>
  <si>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</si>
  <si>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</si>
  <si>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</si>
  <si>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</si>
  <si>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</si>
  <si>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</si>
  <si>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</si>
  <si>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</si>
  <si>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</si>
  <si>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</si>
  <si>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</si>
  <si>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</si>
  <si>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</si>
  <si>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</si>
  <si>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</si>
  <si>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</si>
  <si>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</si>
  <si>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</si>
  <si>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</si>
  <si>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</si>
  <si>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</si>
  <si>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</si>
  <si>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</si>
  <si>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</si>
  <si>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</si>
  <si>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</si>
  <si>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</si>
  <si>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</si>
  <si>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</si>
  <si>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</si>
  <si>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</si>
  <si>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</si>
  <si>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</si>
  <si>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</si>
  <si>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</si>
  <si>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</si>
  <si>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</si>
  <si>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</si>
  <si>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</si>
  <si>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</si>
  <si>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</si>
  <si>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</si>
  <si>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</si>
  <si>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</si>
  <si>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</si>
  <si>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</si>
  <si>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</si>
  <si>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</si>
  <si>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전방사무소 청사 신축공사</t>
    <phoneticPr fontId="2" type="noConversion"/>
  </si>
  <si>
    <t>업무</t>
  </si>
  <si>
    <t>기초공사,해체및철거공사,골재비및운반비,작업부산물,기타공사</t>
    <phoneticPr fontId="2" type="noConversion"/>
  </si>
  <si>
    <t xml:space="preserve">(지붕및홈통공사 포함)  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</si>
  <si>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</si>
  <si>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</si>
  <si>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CATV 및 TV 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</si>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</sst>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1652.2</v>
      </c>
      <c r="D7" s="36">
        <f>+C7/3.3058</f>
        <v>499.78825095287073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934480</v>
      </c>
      <c r="E25" s="59">
        <f t="shared" si="0"/>
        <v>3089200</v>
      </c>
    </row>
    <row r="26" spans="1:5" x14ac:dyDescent="0.3">
      <c r="B26" s="2">
        <v>3</v>
      </c>
      <c r="C26" s="35" t="s">
        <v>95</v>
      </c>
      <c r="D26" s="45">
        <f>+D66</f>
        <v>15600</v>
      </c>
      <c r="E26" s="59">
        <f t="shared" si="0"/>
        <v>51570</v>
      </c>
    </row>
    <row r="27" spans="1:5" x14ac:dyDescent="0.3">
      <c r="B27" s="2">
        <v>4</v>
      </c>
      <c r="C27" s="35" t="s">
        <v>96</v>
      </c>
      <c r="D27" s="45">
        <f>+D95</f>
        <v>101600</v>
      </c>
      <c r="E27" s="59">
        <f t="shared" si="0"/>
        <v>335860</v>
      </c>
    </row>
    <row r="28" spans="1:5" x14ac:dyDescent="0.3">
      <c r="B28" s="2">
        <v>5</v>
      </c>
      <c r="C28" s="35" t="s">
        <v>97</v>
      </c>
      <c r="D28" s="45">
        <f>+D119</f>
        <v>167600</v>
      </c>
      <c r="E28" s="59">
        <f t="shared" si="0"/>
        <v>554050</v>
      </c>
    </row>
    <row r="29" spans="1:5" x14ac:dyDescent="0.3">
      <c r="B29" s="2">
        <v>6</v>
      </c>
      <c r="C29" s="35" t="s">
        <v>98</v>
      </c>
      <c r="D29" s="45">
        <f>+D133</f>
        <v>96330</v>
      </c>
      <c r="E29" s="59">
        <f t="shared" si="0"/>
        <v>318440</v>
      </c>
    </row>
    <row r="30" spans="1:5" x14ac:dyDescent="0.3">
      <c r="B30" s="2">
        <v>7</v>
      </c>
      <c r="C30" s="35" t="s">
        <v>99</v>
      </c>
      <c r="D30" s="45">
        <f>+D146</f>
        <v>51340</v>
      </c>
      <c r="E30" s="59">
        <f t="shared" si="0"/>
        <v>169710</v>
      </c>
    </row>
    <row r="31" spans="1:5" x14ac:dyDescent="0.3">
      <c r="B31" s="2">
        <v>8</v>
      </c>
      <c r="C31" s="35" t="s">
        <v>100</v>
      </c>
      <c r="D31" s="45">
        <f>+D154</f>
        <v>46760</v>
      </c>
      <c r="E31" s="59">
        <f t="shared" si="0"/>
        <v>154570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388770</v>
      </c>
      <c r="E33" s="60">
        <f t="shared" si="0"/>
        <v>1285190</v>
      </c>
    </row>
    <row r="34" spans="1:7" x14ac:dyDescent="0.3">
      <c r="C34" s="35" t="s">
        <v>112</v>
      </c>
      <c r="D34" s="44">
        <f>SUM(D24:D33)</f>
        <v>1802480</v>
      </c>
      <c r="E34" s="44">
        <f>SUM(E24:E33)</f>
        <v>5958590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TRUNC(74428,-1)</f>
        <v>74420</v>
      </c>
      <c r="E40" s="62">
        <f t="shared" ref="E40:E59" si="1">TRUNC(+D40*3.3058,-1)</f>
        <v>246010</v>
      </c>
    </row>
    <row r="41" spans="1:7" x14ac:dyDescent="0.3">
      <c r="A41" s="2">
        <v>2</v>
      </c>
      <c r="C41" s="38" t="s">
        <v>13</v>
      </c>
      <c r="D41" s="42">
        <f>TRUNC(194271,-1)</f>
        <v>194270</v>
      </c>
      <c r="E41" s="63">
        <f t="shared" si="1"/>
        <v>642210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TRUNC(4540,-1)</f>
        <v>4540</v>
      </c>
      <c r="E43" s="63">
        <f t="shared" si="1"/>
        <v>15000</v>
      </c>
    </row>
    <row r="44" spans="1:7" x14ac:dyDescent="0.3">
      <c r="A44" s="2">
        <v>5</v>
      </c>
      <c r="C44" s="38" t="s">
        <v>17</v>
      </c>
      <c r="D44" s="42">
        <f>TRUNC(27282,-1)</f>
        <v>27280</v>
      </c>
      <c r="E44" s="63">
        <f t="shared" si="1"/>
        <v>90180</v>
      </c>
    </row>
    <row r="45" spans="1:7" x14ac:dyDescent="0.3">
      <c r="A45" s="2">
        <v>6</v>
      </c>
      <c r="C45" s="38" t="s">
        <v>18</v>
      </c>
      <c r="D45" s="42">
        <f>TRUNC(15069,-1)</f>
        <v>15060</v>
      </c>
      <c r="E45" s="63">
        <f t="shared" si="1"/>
        <v>49780</v>
      </c>
    </row>
    <row r="46" spans="1:7" x14ac:dyDescent="0.3">
      <c r="A46" s="2">
        <v>7</v>
      </c>
      <c r="C46" s="38" t="s">
        <v>19</v>
      </c>
      <c r="D46" s="42">
        <f>TRUNC(9685,-1)</f>
        <v>9680</v>
      </c>
      <c r="E46" s="63">
        <f t="shared" si="1"/>
        <v>32000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TRUNC(20410,-1)</f>
        <v>20410</v>
      </c>
      <c r="E48" s="63">
        <f t="shared" si="1"/>
        <v>67470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TRUNC(11266,-1)</f>
        <v>11260</v>
      </c>
      <c r="E49" s="63">
        <f t="shared" si="1"/>
        <v>37220</v>
      </c>
    </row>
    <row r="50" spans="1:7" x14ac:dyDescent="0.3">
      <c r="A50" s="2">
        <v>11</v>
      </c>
      <c r="C50" s="38" t="s">
        <v>155</v>
      </c>
      <c r="D50" s="42">
        <f>TRUNC(38730,-1)</f>
        <v>38730</v>
      </c>
      <c r="E50" s="63">
        <f t="shared" si="1"/>
        <v>128030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TRUNC(24487,-1)</f>
        <v>24480</v>
      </c>
      <c r="E52" s="63">
        <f t="shared" si="1"/>
        <v>80920</v>
      </c>
    </row>
    <row r="53" spans="1:7" x14ac:dyDescent="0.3">
      <c r="A53" s="2">
        <v>14</v>
      </c>
      <c r="C53" s="38" t="s">
        <v>25</v>
      </c>
      <c r="D53" s="42">
        <f>TRUNC(84146,-1)</f>
        <v>84140</v>
      </c>
      <c r="E53" s="63">
        <f t="shared" si="1"/>
        <v>278150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TRUNC(685+6249+8629-791+10292,-1)</f>
        <v>25060</v>
      </c>
      <c r="E58" s="63">
        <f t="shared" si="1"/>
        <v>82840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TRUNC(405159,-1)</f>
        <v>405150</v>
      </c>
      <c r="E59" s="64">
        <f t="shared" si="1"/>
        <v>1339340</v>
      </c>
    </row>
    <row r="60" spans="1:7" x14ac:dyDescent="0.3">
      <c r="A60" s="2">
        <v>21</v>
      </c>
      <c r="C60" s="27" t="s">
        <v>112</v>
      </c>
      <c r="D60" s="39">
        <f>SUM(D40:D59)</f>
        <v>934480</v>
      </c>
      <c r="E60" s="39">
        <f>SUM(E40:E59)</f>
        <v>3089150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TRUNC(15606,-1)</f>
        <v>15600</v>
      </c>
      <c r="E63" s="62">
        <f>TRUNC(+D63*3.3058,-1)</f>
        <v>51570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15600</v>
      </c>
      <c r="E66" s="65">
        <f>SUM(E63:E65)</f>
        <v>51570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TRUNC(18430,-1)</f>
        <v>18430</v>
      </c>
      <c r="E69" s="62">
        <f t="shared" ref="E69:E94" si="2">TRUNC(+D69*3.3058,-1)</f>
        <v>60920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TRUNC(13285,-1)</f>
        <v>13280</v>
      </c>
      <c r="E71" s="63">
        <f t="shared" si="2"/>
        <v>43900</v>
      </c>
    </row>
    <row r="72" spans="1:7" x14ac:dyDescent="0.3">
      <c r="A72" s="2">
        <v>4</v>
      </c>
      <c r="C72" s="38" t="s">
        <v>33</v>
      </c>
      <c r="D72" s="42">
        <f>TRUNC(4029,-1)</f>
        <v>4020</v>
      </c>
      <c r="E72" s="63">
        <f t="shared" si="2"/>
        <v>13280</v>
      </c>
    </row>
    <row r="73" spans="1:7" x14ac:dyDescent="0.3">
      <c r="A73" s="2">
        <v>5</v>
      </c>
      <c r="C73" s="38" t="s">
        <v>34</v>
      </c>
      <c r="D73" s="42">
        <f>TRUNC(30158,-1)</f>
        <v>30150</v>
      </c>
      <c r="E73" s="63">
        <f t="shared" si="2"/>
        <v>99660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TRUNC(10154,-1)</f>
        <v>10150</v>
      </c>
      <c r="E89" s="63">
        <f t="shared" si="2"/>
        <v>33550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TRUNC(16552,-1)</f>
        <v>16550</v>
      </c>
      <c r="E91" s="63">
        <f t="shared" si="2"/>
        <v>54710</v>
      </c>
    </row>
    <row r="92" spans="1:7" x14ac:dyDescent="0.3">
      <c r="A92" s="2">
        <v>24</v>
      </c>
      <c r="C92" s="38" t="s">
        <v>38</v>
      </c>
      <c r="D92" s="42">
        <f>TRUNC(9022,-1)</f>
        <v>9020</v>
      </c>
      <c r="E92" s="63">
        <f t="shared" si="2"/>
        <v>29810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101600</v>
      </c>
      <c r="E95" s="39">
        <f>SUM(E69:E94)</f>
        <v>335830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TRUNC(34882,-1)</f>
        <v>34880</v>
      </c>
      <c r="E98" s="62">
        <f t="shared" ref="E98:E118" si="3">TRUNC(+D98*3.3058,-1)</f>
        <v>115300</v>
      </c>
    </row>
    <row r="99" spans="1:7" x14ac:dyDescent="0.3">
      <c r="A99" s="2">
        <v>2</v>
      </c>
      <c r="C99" s="38" t="s">
        <v>40</v>
      </c>
      <c r="D99" s="42">
        <f>TRUNC(16868,-1)</f>
        <v>16860</v>
      </c>
      <c r="E99" s="63">
        <f t="shared" si="3"/>
        <v>55730</v>
      </c>
    </row>
    <row r="100" spans="1:7" x14ac:dyDescent="0.3">
      <c r="A100" s="2">
        <v>3</v>
      </c>
      <c r="C100" s="38" t="s">
        <v>41</v>
      </c>
      <c r="D100" s="42">
        <f>TRUNC(10847,-1)</f>
        <v>10840</v>
      </c>
      <c r="E100" s="63">
        <f t="shared" si="3"/>
        <v>35830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TRUNC(20408,-1)</f>
        <v>20400</v>
      </c>
      <c r="E102" s="63">
        <f t="shared" si="3"/>
        <v>67430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TRUNC(9756,-1)</f>
        <v>9750</v>
      </c>
      <c r="E104" s="63">
        <f t="shared" si="3"/>
        <v>32230</v>
      </c>
    </row>
    <row r="105" spans="1:7" x14ac:dyDescent="0.3">
      <c r="A105" s="2">
        <v>8</v>
      </c>
      <c r="C105" s="38" t="s">
        <v>46</v>
      </c>
      <c r="D105" s="42">
        <f>TRUNC(6317,-1)</f>
        <v>6310</v>
      </c>
      <c r="E105" s="63">
        <f t="shared" si="3"/>
        <v>20850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TRUNC(5722,-1)</f>
        <v>5720</v>
      </c>
      <c r="E114" s="63">
        <f t="shared" si="3"/>
        <v>18900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TRUNC(62841,-1)</f>
        <v>62840</v>
      </c>
      <c r="E117" s="63">
        <f t="shared" si="3"/>
        <v>207730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167600</v>
      </c>
      <c r="E119" s="39">
        <f>SUM(E98:E118)</f>
        <v>554000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TRUNC(15803,-1)</f>
        <v>15800</v>
      </c>
      <c r="E122" s="62">
        <f t="shared" ref="E122:E132" si="4">TRUNC(+D122*3.3058,-1)</f>
        <v>52230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TRUNC(2539,-1)</f>
        <v>2530</v>
      </c>
      <c r="E128" s="63">
        <f t="shared" si="4"/>
        <v>8360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TRUNC(58375,-1)</f>
        <v>58370</v>
      </c>
      <c r="E130" s="63">
        <f t="shared" si="4"/>
        <v>192950</v>
      </c>
    </row>
    <row r="131" spans="1:7" x14ac:dyDescent="0.3">
      <c r="A131" s="2">
        <v>10</v>
      </c>
      <c r="C131" s="38" t="s">
        <v>148</v>
      </c>
      <c r="D131" s="42">
        <f>TRUNC(19636,-1)</f>
        <v>19630</v>
      </c>
      <c r="E131" s="63">
        <f t="shared" si="4"/>
        <v>64890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96330</v>
      </c>
      <c r="E133" s="39">
        <f>SUM(E122:E132)</f>
        <v>318430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TRUNC(7088,-1)</f>
        <v>7080</v>
      </c>
      <c r="E137" s="63">
        <f t="shared" si="5"/>
        <v>23400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TRUNC(2997,-1)</f>
        <v>2990</v>
      </c>
      <c r="E139" s="63">
        <f t="shared" si="5"/>
        <v>9880</v>
      </c>
    </row>
    <row r="140" spans="1:7" x14ac:dyDescent="0.3">
      <c r="A140" s="2">
        <v>5</v>
      </c>
      <c r="C140" s="38" t="s">
        <v>57</v>
      </c>
      <c r="D140" s="42">
        <f>TRUNC(3075,-1)</f>
        <v>3070</v>
      </c>
      <c r="E140" s="63">
        <f t="shared" si="5"/>
        <v>10140</v>
      </c>
    </row>
    <row r="141" spans="1:7" x14ac:dyDescent="0.3">
      <c r="A141" s="2">
        <v>6</v>
      </c>
      <c r="C141" s="38" t="s">
        <v>59</v>
      </c>
      <c r="D141" s="42">
        <f>TRUNC(5883,-1)</f>
        <v>5880</v>
      </c>
      <c r="E141" s="63">
        <f t="shared" si="5"/>
        <v>19430</v>
      </c>
    </row>
    <row r="142" spans="1:7" x14ac:dyDescent="0.3">
      <c r="A142" s="2">
        <v>7</v>
      </c>
      <c r="C142" s="38" t="s">
        <v>58</v>
      </c>
      <c r="D142" s="42">
        <f>TRUNC(4946,-1)</f>
        <v>4940</v>
      </c>
      <c r="E142" s="63">
        <f t="shared" si="5"/>
        <v>16330</v>
      </c>
    </row>
    <row r="143" spans="1:7" x14ac:dyDescent="0.3">
      <c r="A143" s="2">
        <v>8</v>
      </c>
      <c r="C143" s="38" t="s">
        <v>62</v>
      </c>
      <c r="D143" s="42">
        <f>TRUNC(7740,-1)</f>
        <v>7740</v>
      </c>
      <c r="E143" s="63">
        <f t="shared" si="5"/>
        <v>25580</v>
      </c>
    </row>
    <row r="144" spans="1:7" x14ac:dyDescent="0.3">
      <c r="A144" s="2">
        <v>9</v>
      </c>
      <c r="C144" s="38" t="s">
        <v>63</v>
      </c>
      <c r="D144" s="42">
        <f>TRUNC(19641,-1)</f>
        <v>19640</v>
      </c>
      <c r="E144" s="63">
        <f t="shared" si="5"/>
        <v>64920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51340</v>
      </c>
      <c r="E146" s="39">
        <f>SUM(E136:E145)</f>
        <v>169680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TRUNC(7714+530,-1)</f>
        <v>8240</v>
      </c>
      <c r="E149" s="62">
        <f>TRUNC(+D149*3.3058,-1)</f>
        <v>27230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TRUNC(8172,-1)</f>
        <v>8170</v>
      </c>
      <c r="E150" s="63">
        <f>TRUNC(+D150*3.3058,-1)</f>
        <v>27000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TRUNC(2274+19734+649+7702,-1)</f>
        <v>30350</v>
      </c>
      <c r="E152" s="63">
        <f>TRUNC(+D152*3.3058,-1)</f>
        <v>100330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46760</v>
      </c>
      <c r="E154" s="39">
        <f>SUM(E149:E153)</f>
        <v>154560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0</v>
      </c>
      <c r="E161" s="39">
        <f t="shared" ref="E161" si="6">SUM(E157:E160)</f>
        <v>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2020-12-08T02:24:19Z</dcterms:modified>
</cp:coreProperties>
</file>