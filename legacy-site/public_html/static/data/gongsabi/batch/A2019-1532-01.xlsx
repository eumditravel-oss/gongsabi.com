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53" i="4"/>
  <c r="D152" i="4"/>
  <c r="D150" i="4"/>
  <c r="D149" i="4"/>
  <c r="D137" i="4"/>
  <c r="D144" i="4"/>
  <c r="D143" i="4"/>
  <c r="D139" i="4"/>
  <c r="D142" i="4"/>
  <c r="D140" i="4"/>
  <c r="D132" i="4"/>
  <c r="D128" i="4"/>
  <c r="D125" i="4"/>
  <c r="D122" i="4"/>
  <c r="D130" i="4"/>
  <c r="D126" i="4"/>
  <c r="D105" i="4"/>
  <c r="D104" i="4"/>
  <c r="D102" i="4"/>
  <c r="D101" i="4"/>
  <c r="D100" i="4"/>
  <c r="D99" i="4"/>
  <c r="D114" i="4"/>
  <c r="D98" i="4"/>
  <c r="D116" i="4"/>
  <c r="D94" i="4"/>
  <c r="D75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<sst xmlns="http://schemas.openxmlformats.org/spreadsheetml/2006/main" count="392" uniqueCount="268">
  <si>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</si>
  <si>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</si>
  <si>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</si>
  <si>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</si>
  <si>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</si>
  <si>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</si>
  <si>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</si>
  <si>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</si>
  <si>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</si>
  <si>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</si>
  <si>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</si>
  <si>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</si>
  <si>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</si>
  <si>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</si>
  <si>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</si>
  <si>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</si>
  <si>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</si>
  <si>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</si>
  <si>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</si>
  <si>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</si>
  <si>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</si>
  <si>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</si>
  <si>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</si>
  <si>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</si>
  <si>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</si>
  <si>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</si>
  <si>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</si>
  <si>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</si>
  <si>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</si>
  <si>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</si>
  <si>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</si>
  <si>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</si>
  <si>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</si>
  <si>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</si>
  <si>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</si>
  <si>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</si>
  <si>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</si>
  <si>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</si>
  <si>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</si>
  <si>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</si>
  <si>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</si>
  <si>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</si>
  <si>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</si>
  <si>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</si>
  <si>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</si>
  <si>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</si>
  <si>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</si>
  <si>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</si>
  <si>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</si>
  <si>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</si>
  <si>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</si>
  <si>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</si>
  <si>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</si>
  <si>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</si>
  <si>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</si>
  <si>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</si>
  <si>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</si>
  <si>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</si>
  <si>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</si>
  <si>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</si>
  <si>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</si>
  <si>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</si>
  <si>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</si>
  <si>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</si>
  <si>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</si>
  <si>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</si>
  <si>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</si>
  <si>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</si>
  <si>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</si>
  <si>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</si>
  <si>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</si>
  <si>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</si>
  <si>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</si>
  <si>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</si>
  <si>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</si>
  <si>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</si>
  <si>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</si>
  <si>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</si>
  <si>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</si>
  <si>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</si>
  <si>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</si>
  <si>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</si>
  <si>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</si>
  <si>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</si>
  <si>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</si>
  <si>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</si>
  <si>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</si>
  <si>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</si>
  <si>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</si>
  <si>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</si>
  <si>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</si>
  <si>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</si>
  <si>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</si>
  <si>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</si>
  <si>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</si>
  <si>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</si>
  <si>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</si>
  <si>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</si>
  <si>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</si>
  <si>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</si>
  <si>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</si>
  <si>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</si>
  <si>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</si>
  <si>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</si>
  <si>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</si>
  <si>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</si>
  <si>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</si>
  <si>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</si>
  <si>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</si>
  <si>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</si>
  <si>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</si>
  <si>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</si>
  <si>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</si>
  <si>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</si>
  <si>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</si>
  <si>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</si>
  <si>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</si>
  <si>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</si>
  <si>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</si>
  <si>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</si>
  <si>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</si>
  <si>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</si>
  <si>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</si>
  <si>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</si>
  <si>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</si>
  <si>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</si>
  <si>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</si>
  <si>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</si>
  <si>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</si>
  <si>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</si>
  <si>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</si>
  <si>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</si>
  <si>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</si>
  <si>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</si>
  <si>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</si>
  <si>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</si>
  <si>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</si>
  <si>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</si>
  <si>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</si>
  <si>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</si>
  <si>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</si>
  <si>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</si>
  <si>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</si>
  <si>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</si>
  <si>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</si>
  <si>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</si>
  <si>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</si>
  <si>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</si>
  <si>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</si>
  <si>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</si>
  <si>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</si>
  <si>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</si>
  <si>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</si>
  <si>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</si>
  <si>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</si>
  <si>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</si>
  <si>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</si>
  <si>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</si>
  <si>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</si>
  <si>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</si>
  <si>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</si>
  <si>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</si>
  <si>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</si>
  <si>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</si>
  <si>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</si>
  <si>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</si>
  <si>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</si>
  <si>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</si>
  <si>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</si>
  <si>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</si>
  <si>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</si>
  <si>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</si>
  <si>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</si>
  <si>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</si>
  <si>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</si>
  <si>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</si>
  <si>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</si>
  <si>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</si>
  <si>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</si>
  <si>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</si>
  <si>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</si>
  <si>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</si>
  <si>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</si>
  <si>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</si>
  <si>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</si>
  <si>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</si>
  <si>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</si>
  <si>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</si>
  <si>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</si>
  <si>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</si>
  <si>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</si>
  <si>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</si>
  <si>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</si>
  <si>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</si>
  <si>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</si>
  <si>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</si>
  <si>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</si>
  <si>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</si>
  <si>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</si>
  <si>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</si>
  <si>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</si>
  <si>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</si>
  <si>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</si>
  <si>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</si>
  <si>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</si>
  <si>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</si>
  <si>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</si>
  <si>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</si>
  <si>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</si>
  <si>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</si>
  <si>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</si>
  <si>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</si>
  <si>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</si>
  <si>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</si>
  <si>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</si>
  <si>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</si>
  <si>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</si>
  <si>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</si>
  <si>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</si>
  <si>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</si>
  <si>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</si>
  <si>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</si>
  <si>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</si>
  <si>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</si>
  <si>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</si>
  <si>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</si>
  <si>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</si>
  <si>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</si>
  <si>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</si>
  <si>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</si>
  <si>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</si>
  <si>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</si>
  <si>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</si>
  <si>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</si>
  <si>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</si>
  <si>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</si>
  <si>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</si>
  <si>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</si>
  <si>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</si>
  <si>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</si>
  <si>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</si>
  <si>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</si>
  <si>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</si>
  <si>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</si>
  <si>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</si>
  <si>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</si>
  <si>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</si>
  <si>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</si>
  <si>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</si>
  <si>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경기남부수협 수산식품산업 거점단지 조성사업 건축공사</t>
    <phoneticPr fontId="2" type="noConversion"/>
  </si>
  <si>
    <t>공장</t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</si>
  <si>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</si>
  <si>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</si>
  <si>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</si>
  <si>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</si>
  <si>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</si>
  <si>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</si>
  <si>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</si>
  <si>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</si>
  <si>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상수도공사,운반비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</si>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</sst>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5607.94</v>
      </c>
      <c r="D7" s="36">
        <f>+C7/3.3058</f>
        <v>1696.3942162260269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983300</v>
      </c>
      <c r="E25" s="59">
        <f t="shared" si="0"/>
        <v>3250590</v>
      </c>
    </row>
    <row r="26" spans="1:5" x14ac:dyDescent="0.3">
      <c r="B26" s="2">
        <v>3</v>
      </c>
      <c r="C26" s="35" t="s">
        <v>95</v>
      </c>
      <c r="D26" s="45">
        <f>+D66</f>
        <v>6340</v>
      </c>
      <c r="E26" s="59">
        <f t="shared" si="0"/>
        <v>20950</v>
      </c>
    </row>
    <row r="27" spans="1:5" x14ac:dyDescent="0.3">
      <c r="B27" s="2">
        <v>4</v>
      </c>
      <c r="C27" s="35" t="s">
        <v>96</v>
      </c>
      <c r="D27" s="45">
        <f>+D95</f>
        <v>237740</v>
      </c>
      <c r="E27" s="59">
        <f t="shared" si="0"/>
        <v>785920</v>
      </c>
    </row>
    <row r="28" spans="1:5" x14ac:dyDescent="0.3">
      <c r="B28" s="2">
        <v>5</v>
      </c>
      <c r="C28" s="35" t="s">
        <v>97</v>
      </c>
      <c r="D28" s="45">
        <f>+D119</f>
        <v>164520</v>
      </c>
      <c r="E28" s="59">
        <f t="shared" si="0"/>
        <v>543870</v>
      </c>
    </row>
    <row r="29" spans="1:5" x14ac:dyDescent="0.3">
      <c r="B29" s="2">
        <v>6</v>
      </c>
      <c r="C29" s="35" t="s">
        <v>98</v>
      </c>
      <c r="D29" s="45">
        <f>+D133</f>
        <v>19450</v>
      </c>
      <c r="E29" s="59">
        <f t="shared" si="0"/>
        <v>64290</v>
      </c>
    </row>
    <row r="30" spans="1:5" x14ac:dyDescent="0.3">
      <c r="B30" s="2">
        <v>7</v>
      </c>
      <c r="C30" s="35" t="s">
        <v>99</v>
      </c>
      <c r="D30" s="45">
        <f>+D146</f>
        <v>34740</v>
      </c>
      <c r="E30" s="59">
        <f t="shared" si="0"/>
        <v>114840</v>
      </c>
    </row>
    <row r="31" spans="1:5" x14ac:dyDescent="0.3">
      <c r="B31" s="2">
        <v>8</v>
      </c>
      <c r="C31" s="35" t="s">
        <v>100</v>
      </c>
      <c r="D31" s="45">
        <f>+D154</f>
        <v>79460</v>
      </c>
      <c r="E31" s="59">
        <f t="shared" si="0"/>
        <v>262670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419520</v>
      </c>
      <c r="E33" s="60">
        <f t="shared" si="0"/>
        <v>1386840</v>
      </c>
    </row>
    <row r="34" spans="1:7" x14ac:dyDescent="0.3">
      <c r="C34" s="35" t="s">
        <v>112</v>
      </c>
      <c r="D34" s="44">
        <f>SUM(D24:D33)</f>
        <v>1945070</v>
      </c>
      <c r="E34" s="44">
        <f>SUM(E24:E33)</f>
        <v>6429970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TRUNC(48202,-1)</f>
        <v>48200</v>
      </c>
      <c r="E40" s="62">
        <f t="shared" ref="E40:E59" si="1">TRUNC(+D40*3.3058,-1)</f>
        <v>159330</v>
      </c>
    </row>
    <row r="41" spans="1:7" x14ac:dyDescent="0.3">
      <c r="A41" s="2">
        <v>2</v>
      </c>
      <c r="C41" s="38" t="s">
        <v>13</v>
      </c>
      <c r="D41" s="42">
        <f>TRUNC(81435,-1)</f>
        <v>81430</v>
      </c>
      <c r="E41" s="63">
        <f t="shared" si="1"/>
        <v>269190</v>
      </c>
    </row>
    <row r="42" spans="1:7" x14ac:dyDescent="0.3">
      <c r="A42" s="2">
        <v>3</v>
      </c>
      <c r="C42" s="38" t="s">
        <v>14</v>
      </c>
      <c r="D42" s="42">
        <f>TRUNC(185512,-1)</f>
        <v>185510</v>
      </c>
      <c r="E42" s="63">
        <f t="shared" si="1"/>
        <v>613250</v>
      </c>
    </row>
    <row r="43" spans="1:7" x14ac:dyDescent="0.3">
      <c r="A43" s="2">
        <v>4</v>
      </c>
      <c r="C43" s="38" t="s">
        <v>16</v>
      </c>
      <c r="D43" s="42">
        <f>TRUNC(12106,-1)</f>
        <v>12100</v>
      </c>
      <c r="E43" s="63">
        <f t="shared" si="1"/>
        <v>40000</v>
      </c>
    </row>
    <row r="44" spans="1:7" x14ac:dyDescent="0.3">
      <c r="A44" s="2">
        <v>5</v>
      </c>
      <c r="C44" s="38" t="s">
        <v>17</v>
      </c>
      <c r="D44" s="42">
        <f>TRUNC(28866,-1)</f>
        <v>28860</v>
      </c>
      <c r="E44" s="63">
        <f t="shared" si="1"/>
        <v>95400</v>
      </c>
    </row>
    <row r="45" spans="1:7" x14ac:dyDescent="0.3">
      <c r="A45" s="2">
        <v>6</v>
      </c>
      <c r="C45" s="38" t="s">
        <v>18</v>
      </c>
      <c r="D45" s="42">
        <f>TRUNC(4893,-1)</f>
        <v>4890</v>
      </c>
      <c r="E45" s="63">
        <f t="shared" si="1"/>
        <v>16160</v>
      </c>
    </row>
    <row r="46" spans="1:7" x14ac:dyDescent="0.3">
      <c r="A46" s="2">
        <v>7</v>
      </c>
      <c r="C46" s="38" t="s">
        <v>19</v>
      </c>
      <c r="D46" s="42">
        <f>TRUNC(7383,-1)</f>
        <v>7380</v>
      </c>
      <c r="E46" s="63">
        <f t="shared" si="1"/>
        <v>24390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TRUNC(144244,-1)</f>
        <v>144240</v>
      </c>
      <c r="E48" s="63">
        <f t="shared" si="1"/>
        <v>476820</v>
      </c>
      <c r="F48" s="2" t="s">
        <v>264</v>
      </c>
    </row>
    <row r="49" spans="1:7" x14ac:dyDescent="0.3">
      <c r="A49" s="2">
        <v>10</v>
      </c>
      <c r="C49" s="38" t="s">
        <v>22</v>
      </c>
      <c r="D49" s="42">
        <f>TRUNC(11179,-1)</f>
        <v>11170</v>
      </c>
      <c r="E49" s="63">
        <f t="shared" si="1"/>
        <v>36920</v>
      </c>
    </row>
    <row r="50" spans="1:7" x14ac:dyDescent="0.3">
      <c r="A50" s="2">
        <v>11</v>
      </c>
      <c r="C50" s="38" t="s">
        <v>155</v>
      </c>
      <c r="D50" s="42">
        <f>TRUNC(44885,-1)</f>
        <v>44880</v>
      </c>
      <c r="E50" s="63">
        <f t="shared" si="1"/>
        <v>148360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TRUNC(8764,-1)</f>
        <v>8760</v>
      </c>
      <c r="E52" s="63">
        <f t="shared" si="1"/>
        <v>28950</v>
      </c>
    </row>
    <row r="53" spans="1:7" x14ac:dyDescent="0.3">
      <c r="A53" s="2">
        <v>14</v>
      </c>
      <c r="C53" s="38" t="s">
        <v>25</v>
      </c>
      <c r="D53" s="42">
        <f>TRUNC(49721,-1)</f>
        <v>49720</v>
      </c>
      <c r="E53" s="63">
        <f t="shared" si="1"/>
        <v>164360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TRUNC(69085+3775-582+429+3277,-1)</f>
        <v>75980</v>
      </c>
      <c r="E58" s="63">
        <f t="shared" si="1"/>
        <v>251170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TRUNC(280181,-1)</f>
        <v>280180</v>
      </c>
      <c r="E59" s="64">
        <f t="shared" si="1"/>
        <v>926210</v>
      </c>
    </row>
    <row r="60" spans="1:7" x14ac:dyDescent="0.3">
      <c r="A60" s="2">
        <v>21</v>
      </c>
      <c r="C60" s="27" t="s">
        <v>112</v>
      </c>
      <c r="D60" s="39">
        <f>SUM(D40:D59)</f>
        <v>983300</v>
      </c>
      <c r="E60" s="39">
        <f>SUM(E40:E59)</f>
        <v>3250510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TRUNC(6346,-1)</f>
        <v>6340</v>
      </c>
      <c r="E63" s="62">
        <f>TRUNC(+D63*3.3058,-1)</f>
        <v>20950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6340</v>
      </c>
      <c r="E66" s="65">
        <f>SUM(E63:E65)</f>
        <v>20950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TRUNC(16785,-1)</f>
        <v>16780</v>
      </c>
      <c r="E69" s="62">
        <f t="shared" ref="E69:E94" si="2">TRUNC(+D69*3.3058,-1)</f>
        <v>55470</v>
      </c>
    </row>
    <row r="70" spans="1:7" ht="16.5" customHeight="1" x14ac:dyDescent="0.3">
      <c r="A70" s="2">
        <v>2</v>
      </c>
      <c r="C70" s="38" t="s">
        <v>31</v>
      </c>
      <c r="D70" s="42">
        <f>TRUNC(1352,-1)</f>
        <v>1350</v>
      </c>
      <c r="E70" s="63">
        <f t="shared" si="2"/>
        <v>4460</v>
      </c>
    </row>
    <row r="71" spans="1:7" x14ac:dyDescent="0.3">
      <c r="A71" s="2">
        <v>3</v>
      </c>
      <c r="C71" s="38" t="s">
        <v>32</v>
      </c>
      <c r="D71" s="42">
        <f>TRUNC(5563,-1)</f>
        <v>5560</v>
      </c>
      <c r="E71" s="63">
        <f t="shared" si="2"/>
        <v>18380</v>
      </c>
    </row>
    <row r="72" spans="1:7" x14ac:dyDescent="0.3">
      <c r="A72" s="2">
        <v>4</v>
      </c>
      <c r="C72" s="38" t="s">
        <v>33</v>
      </c>
      <c r="D72" s="42">
        <f>TRUNC(1533,-1)</f>
        <v>1530</v>
      </c>
      <c r="E72" s="63">
        <f t="shared" si="2"/>
        <v>5050</v>
      </c>
    </row>
    <row r="73" spans="1:7" x14ac:dyDescent="0.3">
      <c r="A73" s="2">
        <v>5</v>
      </c>
      <c r="C73" s="38" t="s">
        <v>34</v>
      </c>
      <c r="D73" s="42">
        <f>TRUNC(7606,-1)</f>
        <v>7600</v>
      </c>
      <c r="E73" s="63">
        <f t="shared" si="2"/>
        <v>25120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TRUNC(6678,-1)</f>
        <v>6670</v>
      </c>
      <c r="E75" s="63">
        <f t="shared" si="2"/>
        <v>22040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TRUNC(6808,-1)</f>
        <v>6800</v>
      </c>
      <c r="E89" s="63">
        <f t="shared" si="2"/>
        <v>22470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TRUNC(57260,-1)</f>
        <v>57260</v>
      </c>
      <c r="E91" s="63">
        <f t="shared" si="2"/>
        <v>189290</v>
      </c>
    </row>
    <row r="92" spans="1:7" x14ac:dyDescent="0.3">
      <c r="A92" s="2">
        <v>24</v>
      </c>
      <c r="C92" s="38" t="s">
        <v>38</v>
      </c>
      <c r="D92" s="42">
        <f>TRUNC(3097,-1)</f>
        <v>3090</v>
      </c>
      <c r="E92" s="63">
        <f t="shared" si="2"/>
        <v>10210</v>
      </c>
    </row>
    <row r="93" spans="1:7" x14ac:dyDescent="0.3">
      <c r="A93" s="2">
        <v>25</v>
      </c>
      <c r="C93" s="38" t="s">
        <v>148</v>
      </c>
      <c r="D93" s="42">
        <f>TRUNC(124102,-1)</f>
        <v>124100</v>
      </c>
      <c r="E93" s="63">
        <f t="shared" si="2"/>
        <v>410240</v>
      </c>
    </row>
    <row r="94" spans="1:7" ht="17.25" thickBot="1" x14ac:dyDescent="0.35">
      <c r="A94" s="2">
        <v>26</v>
      </c>
      <c r="C94" s="38" t="s">
        <v>47</v>
      </c>
      <c r="D94" s="43">
        <f>TRUNC(7001,-1)</f>
        <v>7000</v>
      </c>
      <c r="E94" s="64">
        <f t="shared" si="2"/>
        <v>23140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237740</v>
      </c>
      <c r="E95" s="39">
        <f>SUM(E69:E94)</f>
        <v>785870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TRUNC(17747,-1)</f>
        <v>17740</v>
      </c>
      <c r="E98" s="62">
        <f t="shared" ref="E98:E118" si="3">TRUNC(+D98*3.3058,-1)</f>
        <v>58640</v>
      </c>
    </row>
    <row r="99" spans="1:7" x14ac:dyDescent="0.3">
      <c r="A99" s="2">
        <v>2</v>
      </c>
      <c r="C99" s="38" t="s">
        <v>40</v>
      </c>
      <c r="D99" s="42">
        <f>TRUNC(16796,-1)</f>
        <v>16790</v>
      </c>
      <c r="E99" s="63">
        <f t="shared" si="3"/>
        <v>55500</v>
      </c>
    </row>
    <row r="100" spans="1:7" x14ac:dyDescent="0.3">
      <c r="A100" s="2">
        <v>3</v>
      </c>
      <c r="C100" s="38" t="s">
        <v>41</v>
      </c>
      <c r="D100" s="42">
        <f>TRUNC(17328,-1)</f>
        <v>17320</v>
      </c>
      <c r="E100" s="63">
        <f t="shared" si="3"/>
        <v>57250</v>
      </c>
    </row>
    <row r="101" spans="1:7" x14ac:dyDescent="0.3">
      <c r="A101" s="2">
        <v>4</v>
      </c>
      <c r="C101" s="38" t="s">
        <v>42</v>
      </c>
      <c r="D101" s="42">
        <f>TRUNC(3030,-1)</f>
        <v>3030</v>
      </c>
      <c r="E101" s="63">
        <f t="shared" si="3"/>
        <v>10010</v>
      </c>
    </row>
    <row r="102" spans="1:7" x14ac:dyDescent="0.3">
      <c r="A102" s="2">
        <v>5</v>
      </c>
      <c r="C102" s="38" t="s">
        <v>43</v>
      </c>
      <c r="D102" s="42">
        <f>TRUNC(6453,-1)</f>
        <v>6450</v>
      </c>
      <c r="E102" s="63">
        <f t="shared" si="3"/>
        <v>21320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TRUNC(4253,-1)</f>
        <v>4250</v>
      </c>
      <c r="E104" s="63">
        <f t="shared" si="3"/>
        <v>14040</v>
      </c>
    </row>
    <row r="105" spans="1:7" x14ac:dyDescent="0.3">
      <c r="A105" s="2">
        <v>8</v>
      </c>
      <c r="C105" s="38" t="s">
        <v>46</v>
      </c>
      <c r="D105" s="42">
        <f>TRUNC(8822,-1)</f>
        <v>8820</v>
      </c>
      <c r="E105" s="63">
        <f t="shared" si="3"/>
        <v>29150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TRUNC(4729,-1)</f>
        <v>4720</v>
      </c>
      <c r="E114" s="63">
        <f t="shared" si="3"/>
        <v>15600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TRUNC(7358,-1)</f>
        <v>7350</v>
      </c>
      <c r="E116" s="63">
        <f t="shared" si="3"/>
        <v>24290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TRUNC(78053,-1)</f>
        <v>78050</v>
      </c>
      <c r="E117" s="63">
        <f t="shared" si="3"/>
        <v>258010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164520</v>
      </c>
      <c r="E119" s="39">
        <f>SUM(E98:E118)</f>
        <v>543810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TRUNC(370,-1)</f>
        <v>370</v>
      </c>
      <c r="E122" s="62">
        <f t="shared" ref="E122:E132" si="4">TRUNC(+D122*3.3058,-1)</f>
        <v>1220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TRUNC(5226,-1)</f>
        <v>5220</v>
      </c>
      <c r="E125" s="63">
        <f t="shared" si="4"/>
        <v>17250</v>
      </c>
    </row>
    <row r="126" spans="1:7" x14ac:dyDescent="0.3">
      <c r="A126" s="2">
        <v>5</v>
      </c>
      <c r="C126" s="38" t="s">
        <v>53</v>
      </c>
      <c r="D126" s="42">
        <f>TRUNC(6740,-1)</f>
        <v>6740</v>
      </c>
      <c r="E126" s="63">
        <f t="shared" si="4"/>
        <v>22280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TRUNC(760,-1)</f>
        <v>760</v>
      </c>
      <c r="E128" s="63">
        <f t="shared" si="4"/>
        <v>2510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TRUNC(6167,-1)</f>
        <v>6160</v>
      </c>
      <c r="E130" s="63">
        <f t="shared" si="4"/>
        <v>20360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TRUNC(209,-1)</f>
        <v>200</v>
      </c>
      <c r="E132" s="64">
        <f t="shared" si="4"/>
        <v>660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19450</v>
      </c>
      <c r="E133" s="39">
        <f>SUM(E122:E132)</f>
        <v>64280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TRUNC(619+3990,-1)</f>
        <v>4600</v>
      </c>
      <c r="E137" s="63">
        <f t="shared" si="5"/>
        <v>15200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TRUNC(824,-1)</f>
        <v>820</v>
      </c>
      <c r="E139" s="63">
        <f t="shared" si="5"/>
        <v>2710</v>
      </c>
    </row>
    <row r="140" spans="1:7" x14ac:dyDescent="0.3">
      <c r="A140" s="2">
        <v>5</v>
      </c>
      <c r="C140" s="38" t="s">
        <v>57</v>
      </c>
      <c r="D140" s="42">
        <f>TRUNC(2045,-1)</f>
        <v>2040</v>
      </c>
      <c r="E140" s="63">
        <f t="shared" si="5"/>
        <v>6740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TRUNC(7944,-1)</f>
        <v>7940</v>
      </c>
      <c r="E142" s="63">
        <f t="shared" si="5"/>
        <v>26240</v>
      </c>
    </row>
    <row r="143" spans="1:7" x14ac:dyDescent="0.3">
      <c r="A143" s="2">
        <v>8</v>
      </c>
      <c r="C143" s="38" t="s">
        <v>62</v>
      </c>
      <c r="D143" s="42">
        <f>TRUNC(4507,-1)</f>
        <v>4500</v>
      </c>
      <c r="E143" s="63">
        <f t="shared" si="5"/>
        <v>14870</v>
      </c>
    </row>
    <row r="144" spans="1:7" x14ac:dyDescent="0.3">
      <c r="A144" s="2">
        <v>9</v>
      </c>
      <c r="C144" s="38" t="s">
        <v>63</v>
      </c>
      <c r="D144" s="42">
        <f>TRUNC(14840,-1)</f>
        <v>14840</v>
      </c>
      <c r="E144" s="63">
        <f t="shared" si="5"/>
        <v>49050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34740</v>
      </c>
      <c r="E146" s="39">
        <f>SUM(E136:E145)</f>
        <v>114810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TRUNC(18820+1416,-1)</f>
        <v>20230</v>
      </c>
      <c r="E149" s="62">
        <f>TRUNC(+D149*3.3058,-1)</f>
        <v>66870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TRUNC(18220,-1)</f>
        <v>18220</v>
      </c>
      <c r="E150" s="63">
        <f>TRUNC(+D150*3.3058,-1)</f>
        <v>60230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TRUNC(2591+236,-1)</f>
        <v>2820</v>
      </c>
      <c r="E152" s="63">
        <f>TRUNC(+D152*3.3058,-1)</f>
        <v>9320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TRUNC(38194,-1)</f>
        <v>38190</v>
      </c>
      <c r="E153" s="64">
        <f>TRUNC(+D153*3.3058,-1)</f>
        <v>126240</v>
      </c>
    </row>
    <row r="154" spans="1:7" x14ac:dyDescent="0.3">
      <c r="A154" s="2">
        <v>6</v>
      </c>
      <c r="C154" s="27" t="s">
        <v>112</v>
      </c>
      <c r="D154" s="39">
        <f>SUM(D149:D153)</f>
        <v>79460</v>
      </c>
      <c r="E154" s="39">
        <f>SUM(E149:E153)</f>
        <v>262660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2020-12-08T04:29:38Z</dcterms:modified>
</cp:coreProperties>
</file>