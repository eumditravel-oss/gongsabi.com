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45" i="4"/>
  <c r="E140" i="4"/>
  <c r="E139" i="4"/>
  <c r="E138" i="4"/>
  <c r="E136" i="4"/>
  <c r="E129" i="4"/>
  <c r="E127" i="4"/>
  <c r="E124" i="4"/>
  <c r="E123" i="4"/>
  <c r="E115" i="4"/>
  <c r="E113" i="4"/>
  <c r="E112" i="4"/>
  <c r="E111" i="4"/>
  <c r="E110" i="4"/>
  <c r="E109" i="4"/>
  <c r="E108" i="4"/>
  <c r="E107" i="4"/>
  <c r="E106" i="4"/>
  <c r="E99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5" i="4"/>
  <c r="E74" i="4"/>
  <c r="E73" i="4"/>
  <c r="E71" i="4"/>
  <c r="E70" i="4"/>
  <c r="E65" i="4"/>
  <c r="E64" i="4"/>
  <c r="E57" i="4"/>
  <c r="E56" i="4"/>
  <c r="E55" i="4"/>
  <c r="E54" i="4"/>
  <c r="E51" i="4"/>
  <c r="E47" i="4"/>
  <c r="E37" i="4"/>
  <c r="E161" i="4" l="1"/>
  <c r="D161" i="4"/>
  <c r="D152" i="4"/>
  <c r="E152" i="4" s="1"/>
  <c r="D151" i="4"/>
  <c r="E151" i="4" s="1"/>
  <c r="D150" i="4"/>
  <c r="E150" i="4" s="1"/>
  <c r="D149" i="4"/>
  <c r="D144" i="4"/>
  <c r="E144" i="4" s="1"/>
  <c r="D143" i="4"/>
  <c r="E143" i="4" s="1"/>
  <c r="D142" i="4"/>
  <c r="E142" i="4" s="1"/>
  <c r="D141" i="4"/>
  <c r="D137" i="4"/>
  <c r="E137" i="4" s="1"/>
  <c r="D132" i="4"/>
  <c r="E132" i="4" s="1"/>
  <c r="D131" i="4"/>
  <c r="E131" i="4" s="1"/>
  <c r="D130" i="4"/>
  <c r="E130" i="4" s="1"/>
  <c r="D128" i="4"/>
  <c r="E128" i="4" s="1"/>
  <c r="D126" i="4"/>
  <c r="E126" i="4" s="1"/>
  <c r="D125" i="4"/>
  <c r="D122" i="4"/>
  <c r="E122" i="4" s="1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D98" i="4"/>
  <c r="E98" i="4" s="1"/>
  <c r="D94" i="4"/>
  <c r="E94" i="4" s="1"/>
  <c r="D93" i="4"/>
  <c r="E93" i="4" s="1"/>
  <c r="D92" i="4"/>
  <c r="E92" i="4" s="1"/>
  <c r="D91" i="4"/>
  <c r="E91" i="4" s="1"/>
  <c r="D89" i="4"/>
  <c r="E89" i="4" s="1"/>
  <c r="D76" i="4"/>
  <c r="E76" i="4" s="1"/>
  <c r="D72" i="4"/>
  <c r="E72" i="4" s="1"/>
  <c r="D69" i="4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32" i="4"/>
  <c r="E32" i="4" s="1"/>
  <c r="D24" i="4"/>
  <c r="E24" i="4" s="1"/>
  <c r="D7" i="4"/>
  <c r="D60" i="4" l="1"/>
  <c r="D25" i="4" s="1"/>
  <c r="E25" i="4" s="1"/>
  <c r="E40" i="4"/>
  <c r="E60" i="4" s="1"/>
  <c r="D95" i="4"/>
  <c r="D27" i="4" s="1"/>
  <c r="E27" i="4" s="1"/>
  <c r="E69" i="4"/>
  <c r="E95" i="4" s="1"/>
  <c r="D66" i="4"/>
  <c r="D26" i="4" s="1"/>
  <c r="E26" i="4" s="1"/>
  <c r="D146" i="4"/>
  <c r="D30" i="4" s="1"/>
  <c r="E30" i="4" s="1"/>
  <c r="E141" i="4"/>
  <c r="E146" i="4" s="1"/>
  <c r="D154" i="4"/>
  <c r="D31" i="4" s="1"/>
  <c r="E31" i="4" s="1"/>
  <c r="E149" i="4"/>
  <c r="E154" i="4" s="1"/>
  <c r="D133" i="4"/>
  <c r="D29" i="4" s="1"/>
  <c r="E29" i="4" s="1"/>
  <c r="E125" i="4"/>
  <c r="E133" i="4" s="1"/>
  <c r="D119" i="4"/>
  <c r="D28" i="4" s="1"/>
  <c r="E28" i="4" s="1"/>
  <c r="E100" i="4"/>
  <c r="E119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<sst xmlns="http://schemas.openxmlformats.org/spreadsheetml/2006/main" count="395" uniqueCount="266">
  <si>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</si>
  <si>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</si>
  <si>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</si>
  <si>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</si>
  <si>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</si>
  <si>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</si>
  <si>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</si>
  <si>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</si>
  <si>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</si>
  <si>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</si>
  <si>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</si>
  <si>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</si>
  <si>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</si>
  <si>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</si>
  <si>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</si>
  <si>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</si>
  <si>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</si>
  <si>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</si>
  <si>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</si>
  <si>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</si>
  <si>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</si>
  <si>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</si>
  <si>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</si>
  <si>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</si>
  <si>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</si>
  <si>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</si>
  <si>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</si>
  <si>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</si>
  <si>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</si>
  <si>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</si>
  <si>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</si>
  <si>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</si>
  <si>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</si>
  <si>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</si>
  <si>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</si>
  <si>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</si>
  <si>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</si>
  <si>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</si>
  <si>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</si>
  <si>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</si>
  <si>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</si>
  <si>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</si>
  <si>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</si>
  <si>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</si>
  <si>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</si>
  <si>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</si>
  <si>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</si>
  <si>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</si>
  <si>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</si>
  <si>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</si>
  <si>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</si>
  <si>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</si>
  <si>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</si>
  <si>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</si>
  <si>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</si>
  <si>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</si>
  <si>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</si>
  <si>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</si>
  <si>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</si>
  <si>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</si>
  <si>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</si>
  <si>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</si>
  <si>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</si>
  <si>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</si>
  <si>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</si>
  <si>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</si>
  <si>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</si>
  <si>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</si>
  <si>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</si>
  <si>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</si>
  <si>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</si>
  <si>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</si>
  <si>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</si>
  <si>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</si>
  <si>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</si>
  <si>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</si>
  <si>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</si>
  <si>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</si>
  <si>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</si>
  <si>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</si>
  <si>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</si>
  <si>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</si>
  <si>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</si>
  <si>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</si>
  <si>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</si>
  <si>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</si>
  <si>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</si>
  <si>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</si>
  <si>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</si>
  <si>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</si>
  <si>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</si>
  <si>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</si>
  <si>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</si>
  <si>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</si>
  <si>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</si>
  <si>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</si>
  <si>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</si>
  <si>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</si>
  <si>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</si>
  <si>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</si>
  <si>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</si>
  <si>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</si>
  <si>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</si>
  <si>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</si>
  <si>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</si>
  <si>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</si>
  <si>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</si>
  <si>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</si>
  <si>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</si>
  <si>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</si>
  <si>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</si>
  <si>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</si>
  <si>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</si>
  <si>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</si>
  <si>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</si>
  <si>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</si>
  <si>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</si>
  <si>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</si>
  <si>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</si>
  <si>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</si>
  <si>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</si>
  <si>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</si>
  <si>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</si>
  <si>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</si>
  <si>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</si>
  <si>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</si>
  <si>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</si>
  <si>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</si>
  <si>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</si>
  <si>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</si>
  <si>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</si>
  <si>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</si>
  <si>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</si>
  <si>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</si>
  <si>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</si>
  <si>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</si>
  <si>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</si>
  <si>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</si>
  <si>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</si>
  <si>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</si>
  <si>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</si>
  <si>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</si>
  <si>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</si>
  <si>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</si>
  <si>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</si>
  <si>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</si>
  <si>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</si>
  <si>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</si>
  <si>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</si>
  <si>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</si>
  <si>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</si>
  <si>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</si>
  <si>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</si>
  <si>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</si>
  <si>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</si>
  <si>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</si>
  <si>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</si>
  <si>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</si>
  <si>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</si>
  <si>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</si>
  <si>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</si>
  <si>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</si>
  <si>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</si>
  <si>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</si>
  <si>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</si>
  <si>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</si>
  <si>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</si>
  <si>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</si>
  <si>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</si>
  <si>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</si>
  <si>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</si>
  <si>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</si>
  <si>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</si>
  <si>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</si>
  <si>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</si>
  <si>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</si>
  <si>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</si>
  <si>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</si>
  <si>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</si>
  <si>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</si>
  <si>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</si>
  <si>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</si>
  <si>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</si>
  <si>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</si>
  <si>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</si>
  <si>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</si>
  <si>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</si>
  <si>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</si>
  <si>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</si>
  <si>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</si>
  <si>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</si>
  <si>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</si>
  <si>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</si>
  <si>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</si>
  <si>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</si>
  <si>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</si>
  <si>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</si>
  <si>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</si>
  <si>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</si>
  <si>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</si>
  <si>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</si>
  <si>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</si>
  <si>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</si>
  <si>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</si>
  <si>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</si>
  <si>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</si>
  <si>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</si>
  <si>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</si>
  <si>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</si>
  <si>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</si>
  <si>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</si>
  <si>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</si>
  <si>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</si>
  <si>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</si>
  <si>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</si>
  <si>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</si>
  <si>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</si>
  <si>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</si>
  <si>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</si>
  <si>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</si>
  <si>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</si>
  <si>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</si>
  <si>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</si>
  <si>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</si>
  <si>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</si>
  <si>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</si>
  <si>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</si>
  <si>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</si>
  <si>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</si>
  <si>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</si>
  <si>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</si>
  <si>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</si>
  <si>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</si>
  <si>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</si>
  <si>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</si>
  <si>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</si>
  <si>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</si>
  <si>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</si>
  <si>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</si>
  <si>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</si>
  <si>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</si>
  <si>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</si>
  <si>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</si>
  <si>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</si>
  <si>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</si>
  <si>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</si>
  <si>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평</t>
    <phoneticPr fontId="2" type="noConversion"/>
  </si>
  <si>
    <t xml:space="preserve"> (가칭)유가중학교 신축공사(장기계속공사)</t>
  </si>
  <si>
    <t>교육연구</t>
  </si>
  <si>
    <t>대구시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</si>
  <si>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</si>
  <si>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</si>
  <si>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</si>
  <si>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기초공사,골재비및운반비,기타공사</t>
    <phoneticPr fontId="2" type="noConversion"/>
  </si>
  <si>
    <t>공조배관공사,바닥난방공사,기타공사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</si>
  <si>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</si>
  <si>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</si>
  <si>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CCTV설비공사,기타공사</t>
    <phoneticPr fontId="2" type="noConversion"/>
  </si>
  <si>
    <t>옥외소화배관공사,펌프실배관공사, 기타공사</t>
    <phoneticPr fontId="2" type="noConversion"/>
  </si>
  <si>
    <t>토목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</si>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</sst>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18" xfId="0" applyFill="1" applyBorder="1">
      <alignment vertical="center"/>
    </xf>
    <xf numFmtId="0" fontId="0" fillId="0" borderId="24" xfId="0" applyFill="1" applyBorder="1">
      <alignment vertical="center"/>
    </xf>
    <xf numFmtId="0" fontId="0" fillId="0" borderId="26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5" t="s">
        <v>6</v>
      </c>
      <c r="S3" s="46"/>
      <c r="T3" s="45" t="s">
        <v>95</v>
      </c>
      <c r="U3" s="46"/>
      <c r="V3" s="45" t="s">
        <v>96</v>
      </c>
      <c r="W3" s="46"/>
      <c r="X3" s="45" t="s">
        <v>97</v>
      </c>
      <c r="Y3" s="46"/>
      <c r="Z3" s="45" t="s">
        <v>98</v>
      </c>
      <c r="AA3" s="46"/>
      <c r="AB3" s="45" t="s">
        <v>99</v>
      </c>
      <c r="AC3" s="46"/>
      <c r="AD3" s="45" t="s">
        <v>100</v>
      </c>
      <c r="AE3" s="46"/>
      <c r="AF3" s="45" t="s">
        <v>101</v>
      </c>
      <c r="AG3" s="46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7"/>
      <c r="S4" s="48"/>
      <c r="T4" s="47"/>
      <c r="U4" s="48"/>
      <c r="V4" s="47"/>
      <c r="W4" s="48"/>
      <c r="X4" s="47"/>
      <c r="Y4" s="48"/>
      <c r="Z4" s="47"/>
      <c r="AA4" s="48"/>
      <c r="AB4" s="47"/>
      <c r="AC4" s="48"/>
      <c r="AD4" s="47"/>
      <c r="AE4" s="48"/>
      <c r="AF4" s="47"/>
      <c r="AG4" s="48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49"/>
      <c r="U25" s="29"/>
      <c r="V25" s="28">
        <v>21</v>
      </c>
      <c r="W25" s="29" t="s">
        <v>35</v>
      </c>
      <c r="X25" s="28">
        <v>21</v>
      </c>
      <c r="Y25" s="29" t="s">
        <v>47</v>
      </c>
      <c r="Z25" s="49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0"/>
      <c r="U26" s="29"/>
      <c r="V26" s="28">
        <v>22</v>
      </c>
      <c r="W26" s="29" t="s">
        <v>211</v>
      </c>
      <c r="X26" s="50"/>
      <c r="Y26" s="29"/>
      <c r="Z26" s="50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0"/>
      <c r="U27" s="29"/>
      <c r="V27" s="28">
        <v>23</v>
      </c>
      <c r="W27" s="29" t="s">
        <v>37</v>
      </c>
      <c r="X27" s="50"/>
      <c r="Y27" s="29"/>
      <c r="Z27" s="50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0"/>
      <c r="Y28" s="29"/>
      <c r="Z28" s="50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49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246</v>
      </c>
    </row>
    <row r="7" spans="1:4" ht="17.25" thickBot="1" x14ac:dyDescent="0.35">
      <c r="C7" s="37">
        <v>13931.79</v>
      </c>
      <c r="D7" s="36">
        <f>+C7/3.3058</f>
        <v>4214.3475104362033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56">
        <f>+D60</f>
        <v>749980</v>
      </c>
      <c r="E25" s="60">
        <f t="shared" si="0"/>
        <v>2479280</v>
      </c>
    </row>
    <row r="26" spans="1:5" x14ac:dyDescent="0.3">
      <c r="B26" s="2">
        <v>3</v>
      </c>
      <c r="C26" s="35" t="s">
        <v>95</v>
      </c>
      <c r="D26" s="56">
        <f>+D66</f>
        <v>4780</v>
      </c>
      <c r="E26" s="60">
        <f t="shared" si="0"/>
        <v>15800</v>
      </c>
    </row>
    <row r="27" spans="1:5" x14ac:dyDescent="0.3">
      <c r="B27" s="2">
        <v>4</v>
      </c>
      <c r="C27" s="35" t="s">
        <v>96</v>
      </c>
      <c r="D27" s="56">
        <f>+D95</f>
        <v>158740</v>
      </c>
      <c r="E27" s="60">
        <f t="shared" si="0"/>
        <v>524760</v>
      </c>
    </row>
    <row r="28" spans="1:5" x14ac:dyDescent="0.3">
      <c r="B28" s="2">
        <v>5</v>
      </c>
      <c r="C28" s="35" t="s">
        <v>97</v>
      </c>
      <c r="D28" s="56">
        <f>+D119</f>
        <v>157170</v>
      </c>
      <c r="E28" s="60">
        <f t="shared" si="0"/>
        <v>519570</v>
      </c>
    </row>
    <row r="29" spans="1:5" x14ac:dyDescent="0.3">
      <c r="B29" s="2">
        <v>6</v>
      </c>
      <c r="C29" s="35" t="s">
        <v>98</v>
      </c>
      <c r="D29" s="56">
        <f>+D133</f>
        <v>46860</v>
      </c>
      <c r="E29" s="60">
        <f t="shared" si="0"/>
        <v>154900</v>
      </c>
    </row>
    <row r="30" spans="1:5" x14ac:dyDescent="0.3">
      <c r="B30" s="2">
        <v>7</v>
      </c>
      <c r="C30" s="35" t="s">
        <v>99</v>
      </c>
      <c r="D30" s="56">
        <f>+D146</f>
        <v>33610</v>
      </c>
      <c r="E30" s="60">
        <f t="shared" si="0"/>
        <v>111100</v>
      </c>
    </row>
    <row r="31" spans="1:5" x14ac:dyDescent="0.3">
      <c r="B31" s="2">
        <v>8</v>
      </c>
      <c r="C31" s="35" t="s">
        <v>100</v>
      </c>
      <c r="D31" s="56">
        <f>+D154</f>
        <v>46900</v>
      </c>
      <c r="E31" s="60">
        <f t="shared" si="0"/>
        <v>155040</v>
      </c>
    </row>
    <row r="32" spans="1:5" x14ac:dyDescent="0.3">
      <c r="B32" s="2">
        <v>9</v>
      </c>
      <c r="C32" s="35" t="s">
        <v>101</v>
      </c>
      <c r="D32" s="56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154</v>
      </c>
      <c r="D33" s="51">
        <f>TRUNC(SUM(D24:D32)*0.275,-1)</f>
        <v>329460</v>
      </c>
      <c r="E33" s="61">
        <f t="shared" si="0"/>
        <v>1089120</v>
      </c>
    </row>
    <row r="34" spans="1:7" x14ac:dyDescent="0.3">
      <c r="C34" s="35" t="s">
        <v>112</v>
      </c>
      <c r="D34" s="44">
        <f>SUM(D24:D33)</f>
        <v>1527500</v>
      </c>
      <c r="E34" s="44">
        <f>SUM(E24:E33)</f>
        <v>5049570</v>
      </c>
    </row>
    <row r="35" spans="1:7" s="53" customFormat="1" x14ac:dyDescent="0.3">
      <c r="C35" s="54"/>
      <c r="D35" s="54"/>
      <c r="E35" s="54"/>
      <c r="F35" s="52"/>
      <c r="G35" s="52"/>
    </row>
    <row r="36" spans="1:7" s="53" customFormat="1" ht="17.25" thickBot="1" x14ac:dyDescent="0.35">
      <c r="B36" s="53" t="s">
        <v>12</v>
      </c>
      <c r="C36" s="53" t="s">
        <v>236</v>
      </c>
      <c r="D36" s="54" t="s">
        <v>260</v>
      </c>
      <c r="E36" s="54" t="s">
        <v>153</v>
      </c>
      <c r="F36" s="52"/>
      <c r="G36" s="52"/>
    </row>
    <row r="37" spans="1:7" ht="17.25" thickBot="1" x14ac:dyDescent="0.35">
      <c r="C37" s="38" t="s">
        <v>143</v>
      </c>
      <c r="D37" s="57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TRUNC(48121,-1)</f>
        <v>48120</v>
      </c>
      <c r="E40" s="63">
        <f t="shared" ref="E40:E59" si="1">TRUNC(+D40*3.3058,-1)</f>
        <v>159070</v>
      </c>
    </row>
    <row r="41" spans="1:7" x14ac:dyDescent="0.3">
      <c r="A41" s="2">
        <v>2</v>
      </c>
      <c r="C41" s="38" t="s">
        <v>13</v>
      </c>
      <c r="D41" s="42">
        <f>TRUNC(148391,-1)</f>
        <v>148390</v>
      </c>
      <c r="E41" s="64">
        <f t="shared" si="1"/>
        <v>490540</v>
      </c>
    </row>
    <row r="42" spans="1:7" x14ac:dyDescent="0.3">
      <c r="A42" s="2">
        <v>3</v>
      </c>
      <c r="C42" s="38" t="s">
        <v>14</v>
      </c>
      <c r="D42" s="42">
        <f>TRUNC(5556,-1)</f>
        <v>5550</v>
      </c>
      <c r="E42" s="64">
        <f t="shared" si="1"/>
        <v>18340</v>
      </c>
    </row>
    <row r="43" spans="1:7" x14ac:dyDescent="0.3">
      <c r="A43" s="2">
        <v>4</v>
      </c>
      <c r="C43" s="38" t="s">
        <v>16</v>
      </c>
      <c r="D43" s="42">
        <f>TRUNC(17483,-1)</f>
        <v>17480</v>
      </c>
      <c r="E43" s="64">
        <f t="shared" si="1"/>
        <v>57780</v>
      </c>
    </row>
    <row r="44" spans="1:7" x14ac:dyDescent="0.3">
      <c r="A44" s="2">
        <v>5</v>
      </c>
      <c r="C44" s="38" t="s">
        <v>17</v>
      </c>
      <c r="D44" s="42">
        <f>TRUNC(18719,-1)</f>
        <v>18710</v>
      </c>
      <c r="E44" s="64">
        <f t="shared" si="1"/>
        <v>61850</v>
      </c>
    </row>
    <row r="45" spans="1:7" x14ac:dyDescent="0.3">
      <c r="A45" s="2">
        <v>6</v>
      </c>
      <c r="C45" s="38" t="s">
        <v>18</v>
      </c>
      <c r="D45" s="42">
        <f>TRUNC(11728,-1)</f>
        <v>11720</v>
      </c>
      <c r="E45" s="64">
        <f t="shared" si="1"/>
        <v>38740</v>
      </c>
    </row>
    <row r="46" spans="1:7" x14ac:dyDescent="0.3">
      <c r="A46" s="2">
        <v>7</v>
      </c>
      <c r="C46" s="38" t="s">
        <v>19</v>
      </c>
      <c r="D46" s="42">
        <f>TRUNC(49226,-1)</f>
        <v>49220</v>
      </c>
      <c r="E46" s="64">
        <f t="shared" si="1"/>
        <v>162710</v>
      </c>
    </row>
    <row r="47" spans="1:7" x14ac:dyDescent="0.3">
      <c r="A47" s="2">
        <v>8</v>
      </c>
      <c r="C47" s="38" t="s">
        <v>20</v>
      </c>
      <c r="D47" s="4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TRUNC(117487,-1)</f>
        <v>117480</v>
      </c>
      <c r="E48" s="64">
        <f t="shared" si="1"/>
        <v>388360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TRUNC(19171,-1)</f>
        <v>19170</v>
      </c>
      <c r="E49" s="64">
        <f t="shared" si="1"/>
        <v>63370</v>
      </c>
    </row>
    <row r="50" spans="1:7" x14ac:dyDescent="0.3">
      <c r="A50" s="2">
        <v>11</v>
      </c>
      <c r="C50" s="38" t="s">
        <v>155</v>
      </c>
      <c r="D50" s="42">
        <f>TRUNC(42329,-1)</f>
        <v>42320</v>
      </c>
      <c r="E50" s="64">
        <f t="shared" si="1"/>
        <v>139900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TRUNC(10387,-1)</f>
        <v>10380</v>
      </c>
      <c r="E52" s="64">
        <f t="shared" si="1"/>
        <v>34310</v>
      </c>
    </row>
    <row r="53" spans="1:7" x14ac:dyDescent="0.3">
      <c r="A53" s="2">
        <v>14</v>
      </c>
      <c r="C53" s="38" t="s">
        <v>25</v>
      </c>
      <c r="D53" s="42">
        <f>TRUNC(61992,-1)</f>
        <v>61990</v>
      </c>
      <c r="E53" s="64">
        <f t="shared" si="1"/>
        <v>204920</v>
      </c>
      <c r="F53" s="2" t="s">
        <v>252</v>
      </c>
    </row>
    <row r="54" spans="1:7" x14ac:dyDescent="0.3">
      <c r="A54" s="2">
        <v>15</v>
      </c>
      <c r="C54" s="38" t="s">
        <v>147</v>
      </c>
      <c r="D54" s="4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9728+4231+15901</f>
        <v>29860</v>
      </c>
      <c r="E58" s="64">
        <f t="shared" si="1"/>
        <v>98710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TRUNC(169591,-1)</f>
        <v>169590</v>
      </c>
      <c r="E59" s="65">
        <f t="shared" si="1"/>
        <v>560630</v>
      </c>
    </row>
    <row r="60" spans="1:7" x14ac:dyDescent="0.3">
      <c r="A60" s="2">
        <v>21</v>
      </c>
      <c r="C60" s="27" t="s">
        <v>112</v>
      </c>
      <c r="D60" s="39">
        <f>SUM(D40:D59)</f>
        <v>749980</v>
      </c>
      <c r="E60" s="39">
        <f>SUM(E40:E59)</f>
        <v>2479230</v>
      </c>
    </row>
    <row r="61" spans="1:7" s="53" customFormat="1" x14ac:dyDescent="0.3">
      <c r="C61" s="54"/>
      <c r="D61" s="54"/>
      <c r="E61" s="54"/>
      <c r="F61" s="52"/>
      <c r="G61" s="52"/>
    </row>
    <row r="62" spans="1:7" s="53" customFormat="1" ht="17.25" thickBot="1" x14ac:dyDescent="0.35">
      <c r="B62" s="53" t="s">
        <v>237</v>
      </c>
      <c r="C62" s="53" t="s">
        <v>238</v>
      </c>
      <c r="D62" s="54" t="s">
        <v>260</v>
      </c>
      <c r="E62" s="54" t="s">
        <v>153</v>
      </c>
      <c r="F62" s="52"/>
      <c r="G62" s="52"/>
    </row>
    <row r="63" spans="1:7" x14ac:dyDescent="0.3">
      <c r="A63" s="2">
        <v>1</v>
      </c>
      <c r="C63" s="38" t="s">
        <v>27</v>
      </c>
      <c r="D63" s="40">
        <f>TRUNC(4786,-1)</f>
        <v>4780</v>
      </c>
      <c r="E63" s="63">
        <f>TRUNC(+D63*3.3058,-1)</f>
        <v>15800</v>
      </c>
    </row>
    <row r="64" spans="1:7" x14ac:dyDescent="0.3">
      <c r="A64" s="2">
        <v>2</v>
      </c>
      <c r="C64" s="38" t="s">
        <v>29</v>
      </c>
      <c r="D64" s="4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5">
        <f>SUM(D63:D65)</f>
        <v>4780</v>
      </c>
      <c r="E66" s="55">
        <f>SUM(E63:E65)</f>
        <v>15800</v>
      </c>
    </row>
    <row r="67" spans="1:7" s="53" customFormat="1" x14ac:dyDescent="0.3">
      <c r="C67" s="54"/>
      <c r="D67" s="54"/>
      <c r="E67" s="54"/>
      <c r="F67" s="52"/>
      <c r="G67" s="52"/>
    </row>
    <row r="68" spans="1:7" s="53" customFormat="1" ht="17.25" thickBot="1" x14ac:dyDescent="0.35">
      <c r="B68" s="53" t="s">
        <v>239</v>
      </c>
      <c r="C68" s="53" t="s">
        <v>240</v>
      </c>
      <c r="D68" s="54" t="s">
        <v>260</v>
      </c>
      <c r="E68" s="54" t="s">
        <v>153</v>
      </c>
      <c r="F68" s="52"/>
      <c r="G68" s="52"/>
    </row>
    <row r="69" spans="1:7" x14ac:dyDescent="0.3">
      <c r="A69" s="2">
        <v>1</v>
      </c>
      <c r="C69" s="38" t="s">
        <v>30</v>
      </c>
      <c r="D69" s="40">
        <f>TRUNC(6601,-1)</f>
        <v>6600</v>
      </c>
      <c r="E69" s="63">
        <f t="shared" ref="E69:E94" si="2">TRUNC(+D69*3.3058,-1)</f>
        <v>21810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4">
        <f t="shared" si="2"/>
        <v>0</v>
      </c>
    </row>
    <row r="72" spans="1:7" x14ac:dyDescent="0.3">
      <c r="A72" s="2">
        <v>4</v>
      </c>
      <c r="C72" s="38" t="s">
        <v>33</v>
      </c>
      <c r="D72" s="42">
        <f>TRUNC(2947,-1)</f>
        <v>2940</v>
      </c>
      <c r="E72" s="64">
        <f t="shared" si="2"/>
        <v>9710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f>TRUNC(27125,-1)</f>
        <v>27120</v>
      </c>
      <c r="E76" s="64">
        <f t="shared" si="2"/>
        <v>89650</v>
      </c>
    </row>
    <row r="77" spans="1:7" x14ac:dyDescent="0.3">
      <c r="A77" s="2">
        <v>9</v>
      </c>
      <c r="C77" s="38" t="s">
        <v>152</v>
      </c>
      <c r="D77" s="4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TRUNC(26083,-1)</f>
        <v>26080</v>
      </c>
      <c r="E89" s="64">
        <f t="shared" si="2"/>
        <v>86210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TRUNC(2637,-1)</f>
        <v>2630</v>
      </c>
      <c r="E91" s="64">
        <f t="shared" si="2"/>
        <v>8690</v>
      </c>
    </row>
    <row r="92" spans="1:7" x14ac:dyDescent="0.3">
      <c r="A92" s="2">
        <v>24</v>
      </c>
      <c r="C92" s="38" t="s">
        <v>38</v>
      </c>
      <c r="D92" s="42">
        <f>TRUNC(10536,-1)</f>
        <v>10530</v>
      </c>
      <c r="E92" s="64">
        <f t="shared" si="2"/>
        <v>34810</v>
      </c>
    </row>
    <row r="93" spans="1:7" x14ac:dyDescent="0.3">
      <c r="A93" s="2">
        <v>25</v>
      </c>
      <c r="C93" s="38" t="s">
        <v>148</v>
      </c>
      <c r="D93" s="42">
        <f>TRUNC(77207,-1)</f>
        <v>77200</v>
      </c>
      <c r="E93" s="64">
        <f t="shared" si="2"/>
        <v>255200</v>
      </c>
    </row>
    <row r="94" spans="1:7" ht="17.25" thickBot="1" x14ac:dyDescent="0.35">
      <c r="A94" s="2">
        <v>26</v>
      </c>
      <c r="C94" s="38" t="s">
        <v>47</v>
      </c>
      <c r="D94" s="43">
        <f>TRUNC(1088+175+4378,-1)</f>
        <v>5640</v>
      </c>
      <c r="E94" s="65">
        <f t="shared" si="2"/>
        <v>18640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158740</v>
      </c>
      <c r="E95" s="39">
        <f>SUM(E69:E94)</f>
        <v>524720</v>
      </c>
    </row>
    <row r="96" spans="1:7" s="53" customFormat="1" x14ac:dyDescent="0.3">
      <c r="C96" s="54"/>
      <c r="D96" s="54"/>
      <c r="E96" s="54"/>
      <c r="F96" s="52"/>
      <c r="G96" s="52"/>
    </row>
    <row r="97" spans="1:7" s="53" customFormat="1" ht="17.25" thickBot="1" x14ac:dyDescent="0.35">
      <c r="B97" s="53" t="s">
        <v>241</v>
      </c>
      <c r="C97" s="53" t="s">
        <v>240</v>
      </c>
      <c r="D97" s="54" t="s">
        <v>260</v>
      </c>
      <c r="E97" s="54" t="s">
        <v>153</v>
      </c>
      <c r="F97" s="52"/>
      <c r="G97" s="52"/>
    </row>
    <row r="98" spans="1:7" x14ac:dyDescent="0.3">
      <c r="A98" s="2">
        <v>1</v>
      </c>
      <c r="C98" s="38" t="s">
        <v>39</v>
      </c>
      <c r="D98" s="40">
        <f>TRUNC(10797,-1)</f>
        <v>10790</v>
      </c>
      <c r="E98" s="63">
        <f t="shared" ref="E98:E118" si="3">TRUNC(+D98*3.3058,-1)</f>
        <v>35660</v>
      </c>
    </row>
    <row r="99" spans="1:7" x14ac:dyDescent="0.3">
      <c r="A99" s="2">
        <v>2</v>
      </c>
      <c r="C99" s="38" t="s">
        <v>40</v>
      </c>
      <c r="D99" s="42">
        <v>3170</v>
      </c>
      <c r="E99" s="64">
        <f t="shared" si="3"/>
        <v>10470</v>
      </c>
    </row>
    <row r="100" spans="1:7" x14ac:dyDescent="0.3">
      <c r="A100" s="2">
        <v>3</v>
      </c>
      <c r="C100" s="38" t="s">
        <v>41</v>
      </c>
      <c r="D100" s="42">
        <f>TRUNC(24847,-1)</f>
        <v>24840</v>
      </c>
      <c r="E100" s="64">
        <f t="shared" si="3"/>
        <v>82110</v>
      </c>
    </row>
    <row r="101" spans="1:7" x14ac:dyDescent="0.3">
      <c r="A101" s="2">
        <v>4</v>
      </c>
      <c r="C101" s="38" t="s">
        <v>42</v>
      </c>
      <c r="D101" s="42">
        <f>TRUNC(1893,-1)</f>
        <v>1890</v>
      </c>
      <c r="E101" s="64">
        <f t="shared" si="3"/>
        <v>6240</v>
      </c>
    </row>
    <row r="102" spans="1:7" x14ac:dyDescent="0.3">
      <c r="A102" s="2">
        <v>5</v>
      </c>
      <c r="C102" s="38" t="s">
        <v>43</v>
      </c>
      <c r="D102" s="42">
        <f>TRUNC(14016,-1)</f>
        <v>14010</v>
      </c>
      <c r="E102" s="64">
        <f t="shared" si="3"/>
        <v>46310</v>
      </c>
    </row>
    <row r="103" spans="1:7" x14ac:dyDescent="0.3">
      <c r="A103" s="2">
        <v>6</v>
      </c>
      <c r="C103" s="38" t="s">
        <v>44</v>
      </c>
      <c r="D103" s="42">
        <f>TRUNC(6271,-1)</f>
        <v>6270</v>
      </c>
      <c r="E103" s="64">
        <f t="shared" si="3"/>
        <v>20720</v>
      </c>
    </row>
    <row r="104" spans="1:7" x14ac:dyDescent="0.3">
      <c r="A104" s="2">
        <v>7</v>
      </c>
      <c r="C104" s="38" t="s">
        <v>45</v>
      </c>
      <c r="D104" s="42">
        <f>TRUNC(5823,-1)</f>
        <v>5820</v>
      </c>
      <c r="E104" s="64">
        <f t="shared" si="3"/>
        <v>19230</v>
      </c>
    </row>
    <row r="105" spans="1:7" x14ac:dyDescent="0.3">
      <c r="A105" s="2">
        <v>8</v>
      </c>
      <c r="C105" s="38" t="s">
        <v>46</v>
      </c>
      <c r="D105" s="42">
        <f>TRUNC(2824,-1)</f>
        <v>2820</v>
      </c>
      <c r="E105" s="64">
        <f t="shared" si="3"/>
        <v>9320</v>
      </c>
    </row>
    <row r="106" spans="1:7" x14ac:dyDescent="0.3">
      <c r="A106" s="2">
        <v>9</v>
      </c>
      <c r="C106" s="38" t="s">
        <v>135</v>
      </c>
      <c r="D106" s="4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TRUNC(2582,-1)</f>
        <v>2580</v>
      </c>
      <c r="E114" s="64">
        <f t="shared" si="3"/>
        <v>8520</v>
      </c>
      <c r="F114" s="2" t="s">
        <v>255</v>
      </c>
    </row>
    <row r="115" spans="1:7" x14ac:dyDescent="0.3">
      <c r="A115" s="2">
        <v>18</v>
      </c>
      <c r="C115" s="38" t="s">
        <v>116</v>
      </c>
      <c r="D115" s="4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TRUNC(2579,-1)</f>
        <v>2570</v>
      </c>
      <c r="E116" s="64">
        <f t="shared" si="3"/>
        <v>8490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TRUNC(75546,-1)</f>
        <v>75540</v>
      </c>
      <c r="E117" s="64">
        <f t="shared" si="3"/>
        <v>249720</v>
      </c>
    </row>
    <row r="118" spans="1:7" ht="17.25" thickBot="1" x14ac:dyDescent="0.35">
      <c r="A118" s="2">
        <v>21</v>
      </c>
      <c r="C118" s="38" t="s">
        <v>47</v>
      </c>
      <c r="D118" s="43">
        <f>TRUNC(6877,-1)</f>
        <v>6870</v>
      </c>
      <c r="E118" s="65">
        <f t="shared" si="3"/>
        <v>22710</v>
      </c>
    </row>
    <row r="119" spans="1:7" x14ac:dyDescent="0.3">
      <c r="A119" s="2">
        <v>22</v>
      </c>
      <c r="C119" s="27" t="s">
        <v>112</v>
      </c>
      <c r="D119" s="39">
        <f>SUM(D98:D118)</f>
        <v>157170</v>
      </c>
      <c r="E119" s="39">
        <f>SUM(E98:E118)</f>
        <v>519500</v>
      </c>
    </row>
    <row r="120" spans="1:7" s="53" customFormat="1" x14ac:dyDescent="0.3">
      <c r="C120" s="54"/>
      <c r="D120" s="54"/>
      <c r="E120" s="54"/>
      <c r="F120" s="52"/>
      <c r="G120" s="52"/>
    </row>
    <row r="121" spans="1:7" s="53" customFormat="1" ht="17.25" thickBot="1" x14ac:dyDescent="0.35">
      <c r="B121" s="53" t="s">
        <v>242</v>
      </c>
      <c r="C121" s="53" t="s">
        <v>240</v>
      </c>
      <c r="D121" s="54" t="s">
        <v>260</v>
      </c>
      <c r="E121" s="54" t="s">
        <v>153</v>
      </c>
      <c r="F121" s="52"/>
      <c r="G121" s="52"/>
    </row>
    <row r="122" spans="1:7" x14ac:dyDescent="0.3">
      <c r="A122" s="2">
        <v>1</v>
      </c>
      <c r="C122" s="38" t="s">
        <v>55</v>
      </c>
      <c r="D122" s="40">
        <f>TRUNC(2845,-1)</f>
        <v>2840</v>
      </c>
      <c r="E122" s="63">
        <f t="shared" ref="E122:E132" si="4">TRUNC(+D122*3.3058,-1)</f>
        <v>9380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TRUNC(8159,-1)</f>
        <v>8150</v>
      </c>
      <c r="E125" s="64">
        <f t="shared" si="4"/>
        <v>26940</v>
      </c>
    </row>
    <row r="126" spans="1:7" x14ac:dyDescent="0.3">
      <c r="A126" s="2">
        <v>5</v>
      </c>
      <c r="C126" s="38" t="s">
        <v>53</v>
      </c>
      <c r="D126" s="42">
        <f>TRUNC(555,-1)</f>
        <v>550</v>
      </c>
      <c r="E126" s="64">
        <f t="shared" si="4"/>
        <v>1810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TRUNC(3592,-1)</f>
        <v>3590</v>
      </c>
      <c r="E128" s="64">
        <f t="shared" si="4"/>
        <v>11860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TRUNC(8627,-1)</f>
        <v>8620</v>
      </c>
      <c r="E130" s="64">
        <f t="shared" si="4"/>
        <v>28490</v>
      </c>
    </row>
    <row r="131" spans="1:7" x14ac:dyDescent="0.3">
      <c r="A131" s="2">
        <v>10</v>
      </c>
      <c r="C131" s="38" t="s">
        <v>148</v>
      </c>
      <c r="D131" s="42">
        <f>TRUNC(19716,-1)</f>
        <v>19710</v>
      </c>
      <c r="E131" s="64">
        <f t="shared" si="4"/>
        <v>65150</v>
      </c>
    </row>
    <row r="132" spans="1:7" ht="17.25" thickBot="1" x14ac:dyDescent="0.35">
      <c r="A132" s="2">
        <v>11</v>
      </c>
      <c r="C132" s="38" t="s">
        <v>47</v>
      </c>
      <c r="D132" s="43">
        <f>1298+2102</f>
        <v>3400</v>
      </c>
      <c r="E132" s="65">
        <f t="shared" si="4"/>
        <v>11230</v>
      </c>
      <c r="F132" s="2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46860</v>
      </c>
      <c r="E133" s="39">
        <f>SUM(E122:E132)</f>
        <v>154860</v>
      </c>
    </row>
    <row r="134" spans="1:7" s="53" customFormat="1" x14ac:dyDescent="0.3">
      <c r="C134" s="54"/>
      <c r="D134" s="54"/>
      <c r="E134" s="54"/>
      <c r="F134" s="52"/>
      <c r="G134" s="52"/>
    </row>
    <row r="135" spans="1:7" s="53" customFormat="1" ht="17.25" thickBot="1" x14ac:dyDescent="0.35">
      <c r="B135" s="53" t="s">
        <v>243</v>
      </c>
      <c r="C135" s="53" t="s">
        <v>240</v>
      </c>
      <c r="D135" s="54" t="s">
        <v>260</v>
      </c>
      <c r="E135" s="54" t="s">
        <v>153</v>
      </c>
      <c r="F135" s="52"/>
      <c r="G135" s="52"/>
    </row>
    <row r="136" spans="1:7" x14ac:dyDescent="0.3">
      <c r="A136" s="2">
        <v>1</v>
      </c>
      <c r="C136" s="38" t="s">
        <v>131</v>
      </c>
      <c r="D136" s="58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TRUNC(67+4439+6976,-1)</f>
        <v>11480</v>
      </c>
      <c r="E137" s="64">
        <f t="shared" si="5"/>
        <v>37950</v>
      </c>
      <c r="F137" s="2" t="s">
        <v>258</v>
      </c>
    </row>
    <row r="138" spans="1:7" x14ac:dyDescent="0.3">
      <c r="A138" s="2">
        <v>3</v>
      </c>
      <c r="C138" s="38" t="s">
        <v>60</v>
      </c>
      <c r="D138" s="4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TRUNC(7016,-1)</f>
        <v>7010</v>
      </c>
      <c r="E141" s="64">
        <f t="shared" si="5"/>
        <v>23170</v>
      </c>
    </row>
    <row r="142" spans="1:7" x14ac:dyDescent="0.3">
      <c r="A142" s="2">
        <v>7</v>
      </c>
      <c r="C142" s="38" t="s">
        <v>58</v>
      </c>
      <c r="D142" s="42">
        <f>TRUNC(7043,-1)</f>
        <v>7040</v>
      </c>
      <c r="E142" s="64">
        <f t="shared" si="5"/>
        <v>23270</v>
      </c>
    </row>
    <row r="143" spans="1:7" x14ac:dyDescent="0.3">
      <c r="A143" s="2">
        <v>8</v>
      </c>
      <c r="C143" s="38" t="s">
        <v>62</v>
      </c>
      <c r="D143" s="42">
        <f>TRUNC(3435,-1)</f>
        <v>3430</v>
      </c>
      <c r="E143" s="64">
        <f t="shared" si="5"/>
        <v>11330</v>
      </c>
    </row>
    <row r="144" spans="1:7" x14ac:dyDescent="0.3">
      <c r="A144" s="2">
        <v>9</v>
      </c>
      <c r="C144" s="38" t="s">
        <v>63</v>
      </c>
      <c r="D144" s="42">
        <f>TRUNC(4652,-1)</f>
        <v>4650</v>
      </c>
      <c r="E144" s="64">
        <f t="shared" si="5"/>
        <v>15370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33610</v>
      </c>
      <c r="E146" s="39">
        <f>SUM(E136:E145)</f>
        <v>111090</v>
      </c>
    </row>
    <row r="147" spans="1:7" s="53" customFormat="1" x14ac:dyDescent="0.3">
      <c r="C147" s="54"/>
      <c r="D147" s="54"/>
      <c r="E147" s="54"/>
      <c r="F147" s="52"/>
      <c r="G147" s="52"/>
    </row>
    <row r="148" spans="1:7" s="53" customFormat="1" ht="17.25" thickBot="1" x14ac:dyDescent="0.35">
      <c r="B148" s="53" t="s">
        <v>244</v>
      </c>
      <c r="C148" s="53" t="s">
        <v>240</v>
      </c>
      <c r="D148" s="54" t="s">
        <v>260</v>
      </c>
      <c r="E148" s="54" t="s">
        <v>153</v>
      </c>
      <c r="F148" s="52"/>
      <c r="G148" s="52"/>
    </row>
    <row r="149" spans="1:7" x14ac:dyDescent="0.3">
      <c r="A149" s="2">
        <v>1</v>
      </c>
      <c r="C149" s="38" t="s">
        <v>48</v>
      </c>
      <c r="D149" s="40">
        <f>TRUNC(8698+2824,-1)</f>
        <v>11520</v>
      </c>
      <c r="E149" s="63">
        <f>TRUNC(+D149*3.3058,-1)</f>
        <v>38080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TRUNC(5249,-1)</f>
        <v>5240</v>
      </c>
      <c r="E150" s="64">
        <f>TRUNC(+D150*3.3058,-1)</f>
        <v>17320</v>
      </c>
      <c r="F150" s="2" t="s">
        <v>259</v>
      </c>
    </row>
    <row r="151" spans="1:7" x14ac:dyDescent="0.3">
      <c r="A151" s="2">
        <v>3</v>
      </c>
      <c r="C151" s="38" t="s">
        <v>50</v>
      </c>
      <c r="D151" s="42">
        <f>TRUNC(13941,-1)</f>
        <v>13940</v>
      </c>
      <c r="E151" s="64">
        <f>TRUNC(+D151*3.3058,-1)</f>
        <v>46080</v>
      </c>
      <c r="F151" s="2" t="s">
        <v>259</v>
      </c>
    </row>
    <row r="152" spans="1:7" x14ac:dyDescent="0.3">
      <c r="A152" s="2">
        <v>4</v>
      </c>
      <c r="C152" s="38" t="s">
        <v>47</v>
      </c>
      <c r="D152" s="42">
        <f>TRUNC(1622,-1)</f>
        <v>1620</v>
      </c>
      <c r="E152" s="64">
        <f>TRUNC(+D152*3.3058,-1)</f>
        <v>5350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14580</v>
      </c>
      <c r="E153" s="65">
        <f>TRUNC(+D153*3.3058,-1)</f>
        <v>48190</v>
      </c>
      <c r="F153" s="2" t="s">
        <v>259</v>
      </c>
    </row>
    <row r="154" spans="1:7" x14ac:dyDescent="0.3">
      <c r="A154" s="2">
        <v>6</v>
      </c>
      <c r="C154" s="27" t="s">
        <v>112</v>
      </c>
      <c r="D154" s="39">
        <f>SUM(D149:D153)</f>
        <v>46900</v>
      </c>
      <c r="E154" s="39">
        <f>SUM(E149:E153)</f>
        <v>155020</v>
      </c>
    </row>
    <row r="155" spans="1:7" s="53" customFormat="1" x14ac:dyDescent="0.3">
      <c r="C155" s="54"/>
      <c r="D155" s="54"/>
      <c r="E155" s="54"/>
      <c r="F155" s="52"/>
      <c r="G155" s="52"/>
    </row>
    <row r="156" spans="1:7" s="53" customFormat="1" ht="17.25" thickBot="1" x14ac:dyDescent="0.35">
      <c r="B156" s="53" t="s">
        <v>245</v>
      </c>
      <c r="C156" s="53" t="s">
        <v>240</v>
      </c>
      <c r="D156" s="54" t="s">
        <v>260</v>
      </c>
      <c r="E156" s="54" t="s">
        <v>153</v>
      </c>
      <c r="F156" s="52"/>
      <c r="G156" s="52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2020-12-07T09:59:44Z</dcterms:modified>
</cp:coreProperties>
</file>