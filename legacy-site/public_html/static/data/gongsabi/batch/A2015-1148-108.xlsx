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0" i="4"/>
  <c r="D137" i="4"/>
  <c r="D131" i="4"/>
  <c r="D130" i="4"/>
  <c r="D126" i="4"/>
  <c r="D124" i="4"/>
  <c r="D122" i="4"/>
  <c r="D118" i="4"/>
  <c r="D117" i="4"/>
  <c r="D116" i="4"/>
  <c r="D114" i="4"/>
  <c r="D105" i="4"/>
  <c r="D104" i="4"/>
  <c r="D103" i="4"/>
  <c r="D100" i="4"/>
  <c r="D99" i="4"/>
  <c r="D98" i="4"/>
  <c r="D94" i="4"/>
  <c r="D93" i="4"/>
  <c r="D92" i="4"/>
  <c r="D91" i="4"/>
  <c r="D90" i="4"/>
  <c r="D89" i="4"/>
  <c r="D76" i="4"/>
  <c r="D73" i="4"/>
  <c r="D72" i="4"/>
  <c r="D69" i="4"/>
  <c r="D63" i="4"/>
  <c r="D58" i="4"/>
  <c r="D53" i="4"/>
  <c r="D52" i="4"/>
  <c r="D50" i="4"/>
  <c r="D49" i="4"/>
  <c r="D48" i="4"/>
  <c r="D46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<sst xmlns="http://schemas.openxmlformats.org/spreadsheetml/2006/main" count="394" uniqueCount="269">
  <si>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</si>
  <si>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</si>
  <si>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</si>
  <si>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</si>
  <si>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</si>
  <si>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</si>
  <si>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</si>
  <si>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</si>
  <si>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</si>
  <si>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</si>
  <si>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</si>
  <si>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</si>
  <si>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</si>
  <si>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</si>
  <si>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</si>
  <si>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</si>
  <si>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</si>
  <si>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</si>
  <si>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</si>
  <si>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</si>
  <si>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</si>
  <si>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</si>
  <si>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</si>
  <si>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</si>
  <si>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</si>
  <si>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</si>
  <si>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</si>
  <si>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</si>
  <si>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</si>
  <si>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</si>
  <si>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</si>
  <si>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</si>
  <si>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</si>
  <si>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</si>
  <si>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</si>
  <si>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</si>
  <si>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</si>
  <si>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</si>
  <si>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</si>
  <si>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</si>
  <si>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</si>
  <si>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</si>
  <si>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</si>
  <si>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</si>
  <si>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</si>
  <si>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</si>
  <si>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</si>
  <si>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</si>
  <si>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</si>
  <si>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</si>
  <si>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</si>
  <si>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</si>
  <si>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</si>
  <si>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</si>
  <si>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</si>
  <si>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</si>
  <si>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</si>
  <si>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</si>
  <si>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</si>
  <si>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</si>
  <si>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</si>
  <si>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</si>
  <si>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</si>
  <si>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</si>
  <si>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</si>
  <si>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</si>
  <si>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</si>
  <si>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</si>
  <si>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</si>
  <si>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</si>
  <si>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</si>
  <si>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</si>
  <si>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</si>
  <si>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</si>
  <si>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</si>
  <si>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</si>
  <si>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</si>
  <si>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</si>
  <si>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</si>
  <si>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</si>
  <si>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</si>
  <si>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</si>
  <si>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</si>
  <si>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</si>
  <si>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</si>
  <si>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</si>
  <si>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</si>
  <si>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</si>
  <si>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</si>
  <si>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</si>
  <si>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</si>
  <si>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</si>
  <si>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</si>
  <si>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</si>
  <si>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</si>
  <si>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</si>
  <si>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</si>
  <si>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</si>
  <si>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</si>
  <si>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</si>
  <si>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</si>
  <si>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</si>
  <si>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</si>
  <si>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</si>
  <si>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</si>
  <si>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</si>
  <si>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</si>
  <si>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</si>
  <si>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</si>
  <si>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</si>
  <si>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</si>
  <si>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</si>
  <si>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</si>
  <si>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</si>
  <si>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</si>
  <si>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</si>
  <si>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</si>
  <si>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</si>
  <si>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</si>
  <si>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</si>
  <si>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</si>
  <si>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</si>
  <si>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</si>
  <si>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</si>
  <si>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</si>
  <si>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</si>
  <si>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</si>
  <si>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</si>
  <si>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</si>
  <si>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</si>
  <si>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</si>
  <si>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</si>
  <si>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</si>
  <si>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</si>
  <si>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</si>
  <si>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</si>
  <si>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</si>
  <si>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</si>
  <si>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</si>
  <si>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</si>
  <si>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</si>
  <si>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</si>
  <si>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</si>
  <si>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</si>
  <si>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</si>
  <si>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</si>
  <si>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</si>
  <si>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</si>
  <si>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</si>
  <si>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</si>
  <si>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</si>
  <si>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</si>
  <si>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</si>
  <si>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</si>
  <si>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</si>
  <si>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</si>
  <si>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</si>
  <si>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</si>
  <si>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</si>
  <si>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</si>
  <si>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</si>
  <si>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</si>
  <si>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</si>
  <si>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</si>
  <si>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</si>
  <si>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</si>
  <si>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</si>
  <si>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</si>
  <si>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</si>
  <si>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</si>
  <si>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</si>
  <si>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</si>
  <si>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</si>
  <si>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</si>
  <si>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</si>
  <si>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</si>
  <si>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</si>
  <si>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</si>
  <si>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</si>
  <si>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</si>
  <si>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</si>
  <si>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</si>
  <si>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</si>
  <si>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</si>
  <si>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</si>
  <si>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</si>
  <si>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</si>
  <si>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</si>
  <si>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</si>
  <si>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</si>
  <si>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</si>
  <si>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</si>
  <si>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</si>
  <si>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</si>
  <si>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</si>
  <si>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</si>
  <si>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</si>
  <si>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</si>
  <si>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</si>
  <si>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</si>
  <si>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</si>
  <si>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</si>
  <si>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</si>
  <si>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</si>
  <si>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</si>
  <si>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</si>
  <si>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</si>
  <si>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</si>
  <si>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</si>
  <si>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</si>
  <si>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</si>
  <si>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</si>
  <si>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</si>
  <si>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</si>
  <si>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</si>
  <si>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</si>
  <si>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</si>
  <si>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</si>
  <si>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</si>
  <si>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</si>
  <si>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</si>
  <si>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</si>
  <si>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</si>
  <si>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</si>
  <si>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</si>
  <si>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</si>
  <si>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</si>
  <si>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</si>
  <si>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</si>
  <si>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</si>
  <si>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</si>
  <si>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</si>
  <si>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</si>
  <si>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</si>
  <si>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</si>
  <si>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</si>
  <si>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</si>
  <si>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</si>
  <si>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</si>
  <si>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</si>
  <si>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</si>
  <si>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</si>
  <si>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</si>
  <si>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</si>
  <si>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</si>
  <si>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</si>
  <si>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</si>
  <si>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</si>
  <si>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</si>
  <si>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</si>
  <si>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</si>
  <si>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</si>
  <si>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</si>
  <si>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공조배관공사,바닥난방공사,기타공사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</si>
  <si>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</si>
  <si>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</si>
  <si>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</si>
  <si>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</si>
  <si>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</si>
  <si>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새뜸중학교 신축공사</t>
    <phoneticPr fontId="2" type="noConversion"/>
  </si>
  <si>
    <t>세종시</t>
  </si>
  <si>
    <t>기초공사, 골재비및운반비, 작업부산물, 기타공사</t>
    <phoneticPr fontId="2" type="noConversion"/>
  </si>
  <si>
    <t>옥외보안등설비공사</t>
    <phoneticPr fontId="2" type="noConversion"/>
  </si>
  <si>
    <t>CCTV설비공사</t>
    <phoneticPr fontId="2" type="noConversion"/>
  </si>
  <si>
    <t>사급자재비, 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</si>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</sst>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I13" sqref="I1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17" sqref="A17:C19 A2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11122.45</v>
      </c>
      <c r="D7" s="36">
        <f>+C7/3.3058</f>
        <v>3364.5259846330691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768400</v>
      </c>
      <c r="E25" s="59">
        <f t="shared" si="0"/>
        <v>2540170</v>
      </c>
    </row>
    <row r="26" spans="1:5" x14ac:dyDescent="0.3">
      <c r="B26" s="2">
        <v>3</v>
      </c>
      <c r="C26" s="35" t="s">
        <v>95</v>
      </c>
      <c r="D26" s="45">
        <f>+D66</f>
        <v>11350</v>
      </c>
      <c r="E26" s="59">
        <f t="shared" si="0"/>
        <v>37520</v>
      </c>
    </row>
    <row r="27" spans="1:5" x14ac:dyDescent="0.3">
      <c r="B27" s="2">
        <v>4</v>
      </c>
      <c r="C27" s="35" t="s">
        <v>96</v>
      </c>
      <c r="D27" s="45">
        <f>+D95</f>
        <v>203730</v>
      </c>
      <c r="E27" s="59">
        <f t="shared" si="0"/>
        <v>673490</v>
      </c>
    </row>
    <row r="28" spans="1:5" x14ac:dyDescent="0.3">
      <c r="B28" s="2">
        <v>5</v>
      </c>
      <c r="C28" s="35" t="s">
        <v>97</v>
      </c>
      <c r="D28" s="45">
        <f>+D119</f>
        <v>118760</v>
      </c>
      <c r="E28" s="59">
        <f t="shared" si="0"/>
        <v>392590</v>
      </c>
    </row>
    <row r="29" spans="1:5" x14ac:dyDescent="0.3">
      <c r="B29" s="2">
        <v>6</v>
      </c>
      <c r="C29" s="35" t="s">
        <v>98</v>
      </c>
      <c r="D29" s="45">
        <f>+D133</f>
        <v>48090</v>
      </c>
      <c r="E29" s="59">
        <f t="shared" si="0"/>
        <v>158970</v>
      </c>
    </row>
    <row r="30" spans="1:5" x14ac:dyDescent="0.3">
      <c r="B30" s="2">
        <v>7</v>
      </c>
      <c r="C30" s="35" t="s">
        <v>99</v>
      </c>
      <c r="D30" s="45">
        <f>+D146</f>
        <v>31160</v>
      </c>
      <c r="E30" s="59">
        <f t="shared" si="0"/>
        <v>103000</v>
      </c>
    </row>
    <row r="31" spans="1:5" x14ac:dyDescent="0.3">
      <c r="B31" s="2">
        <v>8</v>
      </c>
      <c r="C31" s="35" t="s">
        <v>100</v>
      </c>
      <c r="D31" s="45">
        <f>+D154</f>
        <v>31440</v>
      </c>
      <c r="E31" s="59">
        <f t="shared" si="0"/>
        <v>103930</v>
      </c>
    </row>
    <row r="32" spans="1:5" x14ac:dyDescent="0.3">
      <c r="B32" s="2">
        <v>9</v>
      </c>
      <c r="C32" s="35" t="s">
        <v>101</v>
      </c>
      <c r="D32" s="45">
        <f>+D161</f>
        <v>27380</v>
      </c>
      <c r="E32" s="59">
        <f t="shared" si="0"/>
        <v>90510</v>
      </c>
    </row>
    <row r="33" spans="1:7" x14ac:dyDescent="0.3">
      <c r="B33" s="2">
        <v>10</v>
      </c>
      <c r="C33" s="35" t="s">
        <v>154</v>
      </c>
      <c r="D33" s="53">
        <f>TRUNC(SUM(D24:D32)*0.275,-1)</f>
        <v>341080</v>
      </c>
      <c r="E33" s="60">
        <f t="shared" si="0"/>
        <v>1127540</v>
      </c>
    </row>
    <row r="34" spans="1:7" x14ac:dyDescent="0.3">
      <c r="C34" s="35" t="s">
        <v>112</v>
      </c>
      <c r="D34" s="44">
        <f>SUM(D24:D33)</f>
        <v>1581390</v>
      </c>
      <c r="E34" s="44">
        <f>SUM(E24:E33)</f>
        <v>5227720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TRUNC(47424,-1)</f>
        <v>47420</v>
      </c>
      <c r="E40" s="62">
        <f t="shared" ref="E40:E59" si="1">TRUNC(+D40*3.3058,-1)</f>
        <v>156760</v>
      </c>
    </row>
    <row r="41" spans="1:7" x14ac:dyDescent="0.3">
      <c r="A41" s="2">
        <v>2</v>
      </c>
      <c r="C41" s="38" t="s">
        <v>13</v>
      </c>
      <c r="D41" s="42">
        <f>TRUNC(134775,-1)</f>
        <v>134770</v>
      </c>
      <c r="E41" s="63">
        <f t="shared" si="1"/>
        <v>445520</v>
      </c>
    </row>
    <row r="42" spans="1:7" x14ac:dyDescent="0.3">
      <c r="A42" s="2">
        <v>3</v>
      </c>
      <c r="C42" s="38" t="s">
        <v>14</v>
      </c>
      <c r="D42" s="42">
        <f>TRUNC(7078,-1)</f>
        <v>7070</v>
      </c>
      <c r="E42" s="63">
        <f t="shared" si="1"/>
        <v>23370</v>
      </c>
    </row>
    <row r="43" spans="1:7" x14ac:dyDescent="0.3">
      <c r="A43" s="2">
        <v>4</v>
      </c>
      <c r="C43" s="38" t="s">
        <v>16</v>
      </c>
      <c r="D43" s="42">
        <f>TRUNC(28561,-1)</f>
        <v>28560</v>
      </c>
      <c r="E43" s="63">
        <f t="shared" si="1"/>
        <v>94410</v>
      </c>
    </row>
    <row r="44" spans="1:7" x14ac:dyDescent="0.3">
      <c r="A44" s="2">
        <v>5</v>
      </c>
      <c r="C44" s="38" t="s">
        <v>17</v>
      </c>
      <c r="D44" s="42">
        <f>TRUNC(22533,-1)</f>
        <v>22530</v>
      </c>
      <c r="E44" s="63">
        <f t="shared" si="1"/>
        <v>74470</v>
      </c>
    </row>
    <row r="45" spans="1:7" x14ac:dyDescent="0.3">
      <c r="A45" s="2">
        <v>6</v>
      </c>
      <c r="C45" s="38" t="s">
        <v>18</v>
      </c>
      <c r="D45" s="42">
        <v>9240</v>
      </c>
      <c r="E45" s="63">
        <f t="shared" si="1"/>
        <v>30540</v>
      </c>
    </row>
    <row r="46" spans="1:7" x14ac:dyDescent="0.3">
      <c r="A46" s="2">
        <v>7</v>
      </c>
      <c r="C46" s="38" t="s">
        <v>19</v>
      </c>
      <c r="D46" s="42">
        <f>TRUNC(32572,-1)</f>
        <v>32570</v>
      </c>
      <c r="E46" s="63">
        <f t="shared" si="1"/>
        <v>107660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TRUNC(75176,-1)</f>
        <v>75170</v>
      </c>
      <c r="E48" s="63">
        <f t="shared" si="1"/>
        <v>248490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TRUNC(18981,-1)</f>
        <v>18980</v>
      </c>
      <c r="E49" s="63">
        <f t="shared" si="1"/>
        <v>62740</v>
      </c>
    </row>
    <row r="50" spans="1:7" x14ac:dyDescent="0.3">
      <c r="A50" s="2">
        <v>11</v>
      </c>
      <c r="C50" s="38" t="s">
        <v>155</v>
      </c>
      <c r="D50" s="42">
        <f>TRUNC(29936,-1)</f>
        <v>29930</v>
      </c>
      <c r="E50" s="63">
        <f t="shared" si="1"/>
        <v>98940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TRUNC(9993,-1)</f>
        <v>9990</v>
      </c>
      <c r="E52" s="63">
        <f t="shared" si="1"/>
        <v>33020</v>
      </c>
    </row>
    <row r="53" spans="1:7" x14ac:dyDescent="0.3">
      <c r="A53" s="2">
        <v>14</v>
      </c>
      <c r="C53" s="38" t="s">
        <v>25</v>
      </c>
      <c r="D53" s="42">
        <f>TRUNC(45015,-1)</f>
        <v>45010</v>
      </c>
      <c r="E53" s="63">
        <f t="shared" si="1"/>
        <v>148790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TRUNC(18354+7697-565+11830,-1)</f>
        <v>37310</v>
      </c>
      <c r="E58" s="63">
        <f t="shared" si="1"/>
        <v>123330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v>269850</v>
      </c>
      <c r="E59" s="64">
        <f t="shared" si="1"/>
        <v>892070</v>
      </c>
    </row>
    <row r="60" spans="1:7" x14ac:dyDescent="0.3">
      <c r="A60" s="2">
        <v>21</v>
      </c>
      <c r="C60" s="27" t="s">
        <v>112</v>
      </c>
      <c r="D60" s="39">
        <f>SUM(D40:D59)</f>
        <v>768400</v>
      </c>
      <c r="E60" s="39">
        <f>SUM(E40:E59)</f>
        <v>2540110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TRUNC(11352,-1)</f>
        <v>11350</v>
      </c>
      <c r="E63" s="62">
        <f>TRUNC(+D63*3.3058,-1)</f>
        <v>37520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11350</v>
      </c>
      <c r="E66" s="65">
        <f>SUM(E63:E65)</f>
        <v>37520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TRUNC(5216,-1)</f>
        <v>5210</v>
      </c>
      <c r="E69" s="62">
        <f t="shared" ref="E69:E94" si="2">TRUNC(+D69*3.3058,-1)</f>
        <v>17220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TRUNC(1961,-1)</f>
        <v>1960</v>
      </c>
      <c r="E72" s="63">
        <f t="shared" si="2"/>
        <v>6470</v>
      </c>
    </row>
    <row r="73" spans="1:7" x14ac:dyDescent="0.3">
      <c r="A73" s="2">
        <v>5</v>
      </c>
      <c r="C73" s="38" t="s">
        <v>34</v>
      </c>
      <c r="D73" s="42">
        <f>TRUNC(19551,-1)</f>
        <v>19550</v>
      </c>
      <c r="E73" s="63">
        <f t="shared" si="2"/>
        <v>64620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TRUNC(41031,-1)</f>
        <v>41030</v>
      </c>
      <c r="E76" s="63">
        <f t="shared" si="2"/>
        <v>135630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TRUNC(8603,-1)</f>
        <v>8600</v>
      </c>
      <c r="E89" s="63">
        <f t="shared" si="2"/>
        <v>28420</v>
      </c>
    </row>
    <row r="90" spans="1:7" x14ac:dyDescent="0.3">
      <c r="A90" s="2">
        <v>22</v>
      </c>
      <c r="C90" s="38" t="s">
        <v>36</v>
      </c>
      <c r="D90" s="42">
        <f>TRUNC(491,-1)</f>
        <v>490</v>
      </c>
      <c r="E90" s="63">
        <f t="shared" si="2"/>
        <v>1610</v>
      </c>
    </row>
    <row r="91" spans="1:7" x14ac:dyDescent="0.3">
      <c r="A91" s="2">
        <v>23</v>
      </c>
      <c r="C91" s="38" t="s">
        <v>37</v>
      </c>
      <c r="D91" s="42">
        <f>TRUNC(5674,-1)</f>
        <v>5670</v>
      </c>
      <c r="E91" s="63">
        <f t="shared" si="2"/>
        <v>18740</v>
      </c>
    </row>
    <row r="92" spans="1:7" x14ac:dyDescent="0.3">
      <c r="A92" s="2">
        <v>24</v>
      </c>
      <c r="C92" s="38" t="s">
        <v>38</v>
      </c>
      <c r="D92" s="42">
        <f>TRUNC(8636,-1)</f>
        <v>8630</v>
      </c>
      <c r="E92" s="63">
        <f t="shared" si="2"/>
        <v>28520</v>
      </c>
    </row>
    <row r="93" spans="1:7" x14ac:dyDescent="0.3">
      <c r="A93" s="2">
        <v>25</v>
      </c>
      <c r="C93" s="38" t="s">
        <v>148</v>
      </c>
      <c r="D93" s="42">
        <f>TRUNC(97686,-1)</f>
        <v>97680</v>
      </c>
      <c r="E93" s="63">
        <f t="shared" si="2"/>
        <v>322910</v>
      </c>
    </row>
    <row r="94" spans="1:7" ht="17.25" thickBot="1" x14ac:dyDescent="0.35">
      <c r="A94" s="2">
        <v>26</v>
      </c>
      <c r="C94" s="38" t="s">
        <v>47</v>
      </c>
      <c r="D94" s="43">
        <f>TRUNC(1009+589+13319,-1)</f>
        <v>14910</v>
      </c>
      <c r="E94" s="64">
        <f t="shared" si="2"/>
        <v>49280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203730</v>
      </c>
      <c r="E95" s="39">
        <f>SUM(E69:E94)</f>
        <v>673420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TRUNC(8888,-1)</f>
        <v>8880</v>
      </c>
      <c r="E98" s="62">
        <f t="shared" ref="E98:E118" si="3">TRUNC(+D98*3.3058,-1)</f>
        <v>29350</v>
      </c>
    </row>
    <row r="99" spans="1:7" x14ac:dyDescent="0.3">
      <c r="A99" s="2">
        <v>2</v>
      </c>
      <c r="C99" s="38" t="s">
        <v>40</v>
      </c>
      <c r="D99" s="42">
        <f>TRUNC(4523,-1)</f>
        <v>4520</v>
      </c>
      <c r="E99" s="63">
        <f t="shared" si="3"/>
        <v>14940</v>
      </c>
    </row>
    <row r="100" spans="1:7" x14ac:dyDescent="0.3">
      <c r="A100" s="2">
        <v>3</v>
      </c>
      <c r="C100" s="38" t="s">
        <v>41</v>
      </c>
      <c r="D100" s="42">
        <f>TRUNC(24754,-1)</f>
        <v>24750</v>
      </c>
      <c r="E100" s="63">
        <f t="shared" si="3"/>
        <v>81810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10230</v>
      </c>
      <c r="E102" s="63">
        <f t="shared" si="3"/>
        <v>33810</v>
      </c>
    </row>
    <row r="103" spans="1:7" x14ac:dyDescent="0.3">
      <c r="A103" s="2">
        <v>6</v>
      </c>
      <c r="C103" s="38" t="s">
        <v>44</v>
      </c>
      <c r="D103" s="42">
        <f>TRUNC(5936,-1)</f>
        <v>5930</v>
      </c>
      <c r="E103" s="63">
        <f t="shared" si="3"/>
        <v>19600</v>
      </c>
    </row>
    <row r="104" spans="1:7" x14ac:dyDescent="0.3">
      <c r="A104" s="2">
        <v>7</v>
      </c>
      <c r="C104" s="38" t="s">
        <v>45</v>
      </c>
      <c r="D104" s="42">
        <f>TRUNC(3574,-1)</f>
        <v>3570</v>
      </c>
      <c r="E104" s="63">
        <f t="shared" si="3"/>
        <v>11800</v>
      </c>
    </row>
    <row r="105" spans="1:7" x14ac:dyDescent="0.3">
      <c r="A105" s="2">
        <v>8</v>
      </c>
      <c r="C105" s="38" t="s">
        <v>46</v>
      </c>
      <c r="D105" s="42">
        <f>TRUNC(6638,-1)</f>
        <v>6630</v>
      </c>
      <c r="E105" s="63">
        <f t="shared" si="3"/>
        <v>21910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TRUNC(2933,-1)</f>
        <v>2930</v>
      </c>
      <c r="E114" s="63">
        <f t="shared" si="3"/>
        <v>9680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TRUNC(1833,-1)</f>
        <v>1830</v>
      </c>
      <c r="E116" s="63">
        <f t="shared" si="3"/>
        <v>6040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TRUNC(47142,-1)</f>
        <v>47140</v>
      </c>
      <c r="E117" s="63">
        <f t="shared" si="3"/>
        <v>155830</v>
      </c>
    </row>
    <row r="118" spans="1:7" ht="17.25" thickBot="1" x14ac:dyDescent="0.35">
      <c r="A118" s="2">
        <v>21</v>
      </c>
      <c r="C118" s="38" t="s">
        <v>47</v>
      </c>
      <c r="D118" s="43">
        <f>TRUNC(2352,-1)</f>
        <v>2350</v>
      </c>
      <c r="E118" s="64">
        <f t="shared" si="3"/>
        <v>7760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118760</v>
      </c>
      <c r="E119" s="39">
        <f>SUM(E98:E118)</f>
        <v>392530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TRUNC(2573,-1)</f>
        <v>2570</v>
      </c>
      <c r="E122" s="62">
        <f t="shared" ref="E122:E132" si="4">TRUNC(+D122*3.3058,-1)</f>
        <v>8490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TRUNC(854,-1)</f>
        <v>850</v>
      </c>
      <c r="E124" s="63">
        <f t="shared" si="4"/>
        <v>2800</v>
      </c>
    </row>
    <row r="125" spans="1:7" x14ac:dyDescent="0.3">
      <c r="A125" s="2">
        <v>4</v>
      </c>
      <c r="C125" s="38" t="s">
        <v>138</v>
      </c>
      <c r="D125" s="42">
        <v>5900</v>
      </c>
      <c r="E125" s="63">
        <f t="shared" si="4"/>
        <v>19500</v>
      </c>
    </row>
    <row r="126" spans="1:7" x14ac:dyDescent="0.3">
      <c r="A126" s="2">
        <v>5</v>
      </c>
      <c r="C126" s="38" t="s">
        <v>53</v>
      </c>
      <c r="D126" s="42">
        <f>TRUNC(1907,-1)</f>
        <v>1900</v>
      </c>
      <c r="E126" s="63">
        <f t="shared" si="4"/>
        <v>6280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5470</v>
      </c>
      <c r="E128" s="63">
        <f t="shared" si="4"/>
        <v>18080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TRUNC(13153,-1)</f>
        <v>13150</v>
      </c>
      <c r="E130" s="63">
        <f t="shared" si="4"/>
        <v>43470</v>
      </c>
    </row>
    <row r="131" spans="1:7" x14ac:dyDescent="0.3">
      <c r="A131" s="2">
        <v>10</v>
      </c>
      <c r="C131" s="38" t="s">
        <v>148</v>
      </c>
      <c r="D131" s="42">
        <f>TRUNC(16357,-1)</f>
        <v>16350</v>
      </c>
      <c r="E131" s="63">
        <f t="shared" si="4"/>
        <v>54040</v>
      </c>
    </row>
    <row r="132" spans="1:7" ht="18" thickBot="1" x14ac:dyDescent="0.35">
      <c r="A132" s="2">
        <v>11</v>
      </c>
      <c r="C132" s="38" t="s">
        <v>47</v>
      </c>
      <c r="D132" s="43">
        <v>1900</v>
      </c>
      <c r="E132" s="64">
        <f t="shared" si="4"/>
        <v>6280</v>
      </c>
      <c r="F132" s="54" t="s">
        <v>263</v>
      </c>
    </row>
    <row r="133" spans="1:7" x14ac:dyDescent="0.3">
      <c r="A133" s="2">
        <v>12</v>
      </c>
      <c r="C133" s="27" t="s">
        <v>112</v>
      </c>
      <c r="D133" s="39">
        <f>SUM(D122:D132)</f>
        <v>48090</v>
      </c>
      <c r="E133" s="39">
        <f>SUM(E122:E132)</f>
        <v>158940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TRUNC(8035,-1)</f>
        <v>8030</v>
      </c>
      <c r="E137" s="63">
        <f t="shared" si="5"/>
        <v>26540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TRUNC(2605,-1)</f>
        <v>2600</v>
      </c>
      <c r="E140" s="63">
        <f t="shared" si="5"/>
        <v>8590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12710</v>
      </c>
      <c r="E142" s="63">
        <f t="shared" si="5"/>
        <v>42010</v>
      </c>
    </row>
    <row r="143" spans="1:7" x14ac:dyDescent="0.3">
      <c r="A143" s="2">
        <v>8</v>
      </c>
      <c r="C143" s="38" t="s">
        <v>62</v>
      </c>
      <c r="D143" s="42">
        <f>TRUNC(2943,-1)</f>
        <v>2940</v>
      </c>
      <c r="E143" s="63">
        <f t="shared" si="5"/>
        <v>9710</v>
      </c>
    </row>
    <row r="144" spans="1:7" x14ac:dyDescent="0.3">
      <c r="A144" s="2">
        <v>9</v>
      </c>
      <c r="C144" s="38" t="s">
        <v>63</v>
      </c>
      <c r="D144" s="42">
        <f>TRUNC(4886,-1)</f>
        <v>4880</v>
      </c>
      <c r="E144" s="63">
        <f t="shared" si="5"/>
        <v>16130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31160</v>
      </c>
      <c r="E146" s="39">
        <f>SUM(E136:E145)</f>
        <v>102980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TRUNC(7435+980,-1)</f>
        <v>8410</v>
      </c>
      <c r="E149" s="62">
        <f>TRUNC(+D149*3.3058,-1)</f>
        <v>27800</v>
      </c>
    </row>
    <row r="150" spans="1:7" x14ac:dyDescent="0.3">
      <c r="A150" s="2">
        <v>2</v>
      </c>
      <c r="C150" s="38" t="s">
        <v>49</v>
      </c>
      <c r="D150" s="42">
        <f>TRUNC(11111,-1)</f>
        <v>11110</v>
      </c>
      <c r="E150" s="63">
        <f>TRUNC(+D150*3.3058,-1)</f>
        <v>36720</v>
      </c>
    </row>
    <row r="151" spans="1:7" x14ac:dyDescent="0.3">
      <c r="A151" s="2">
        <v>3</v>
      </c>
      <c r="C151" s="38" t="s">
        <v>50</v>
      </c>
      <c r="D151" s="42">
        <f>TRUNC(8792,-1)</f>
        <v>8790</v>
      </c>
      <c r="E151" s="63">
        <f>TRUNC(+D151*3.3058,-1)</f>
        <v>29050</v>
      </c>
    </row>
    <row r="152" spans="1:7" x14ac:dyDescent="0.3">
      <c r="A152" s="2">
        <v>4</v>
      </c>
      <c r="C152" s="38" t="s">
        <v>47</v>
      </c>
      <c r="D152" s="42">
        <f>TRUNC(2472+204+462,-1)</f>
        <v>3130</v>
      </c>
      <c r="E152" s="63">
        <f>TRUNC(+D152*3.3058,-1)</f>
        <v>10340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31440</v>
      </c>
      <c r="E154" s="39">
        <f>SUM(E149:E153)</f>
        <v>103910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TRUNC(22003,-1)</f>
        <v>22000</v>
      </c>
      <c r="E157" s="62">
        <f>TRUNC(+D157*3.3058,-1)</f>
        <v>72720</v>
      </c>
    </row>
    <row r="158" spans="1:7" x14ac:dyDescent="0.3">
      <c r="A158" s="2">
        <v>2</v>
      </c>
      <c r="C158" s="38" t="s">
        <v>52</v>
      </c>
      <c r="D158" s="42">
        <f>TRUNC(4236,-1)</f>
        <v>4230</v>
      </c>
      <c r="E158" s="63">
        <f>TRUNC(+D158*3.3058,-1)</f>
        <v>13980</v>
      </c>
    </row>
    <row r="159" spans="1:7" x14ac:dyDescent="0.3">
      <c r="A159" s="2">
        <v>3</v>
      </c>
      <c r="C159" s="38" t="s">
        <v>47</v>
      </c>
      <c r="D159" s="42">
        <f>TRUNC(1153,-1)</f>
        <v>1150</v>
      </c>
      <c r="E159" s="63">
        <f>TRUNC(+D159*3.3058,-1)</f>
        <v>3800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27380</v>
      </c>
      <c r="E161" s="39">
        <f>SUM(E157:E160)</f>
        <v>90500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2020-12-07T10:02:55Z</dcterms:modified>
</cp:coreProperties>
</file>