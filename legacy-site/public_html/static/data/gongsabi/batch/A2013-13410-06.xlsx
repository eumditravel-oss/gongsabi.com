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4" i="4"/>
  <c r="E143" i="4"/>
  <c r="E139" i="4"/>
  <c r="E138" i="4"/>
  <c r="E136" i="4"/>
  <c r="E129" i="4"/>
  <c r="E126" i="4"/>
  <c r="E125" i="4"/>
  <c r="E123" i="4"/>
  <c r="E116" i="4"/>
  <c r="E113" i="4"/>
  <c r="E112" i="4"/>
  <c r="E111" i="4"/>
  <c r="E110" i="4"/>
  <c r="E109" i="4"/>
  <c r="E107" i="4"/>
  <c r="E106" i="4"/>
  <c r="E103" i="4"/>
  <c r="E101" i="4"/>
  <c r="E92" i="4"/>
  <c r="E91" i="4"/>
  <c r="E89" i="4"/>
  <c r="E87" i="4"/>
  <c r="E86" i="4"/>
  <c r="E84" i="4"/>
  <c r="E83" i="4"/>
  <c r="E82" i="4"/>
  <c r="E81" i="4"/>
  <c r="E80" i="4"/>
  <c r="E79" i="4"/>
  <c r="E76" i="4"/>
  <c r="E74" i="4"/>
  <c r="E73" i="4"/>
  <c r="E65" i="4"/>
  <c r="E64" i="4"/>
  <c r="E63" i="4"/>
  <c r="E66" i="4" s="1"/>
  <c r="E57" i="4"/>
  <c r="E56" i="4"/>
  <c r="E55" i="4"/>
  <c r="D132" i="4" l="1"/>
  <c r="E132" i="4" s="1"/>
  <c r="D130" i="4"/>
  <c r="E130" i="4" s="1"/>
  <c r="D128" i="4"/>
  <c r="E128" i="4" s="1"/>
  <c r="D127" i="4"/>
  <c r="E127" i="4" s="1"/>
  <c r="D124" i="4"/>
  <c r="E124" i="4" s="1"/>
  <c r="D122" i="4"/>
  <c r="E122" i="4" s="1"/>
  <c r="E133" i="4" s="1"/>
  <c r="D118" i="4"/>
  <c r="E118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E119" i="4" s="1"/>
  <c r="D98" i="4"/>
  <c r="E98" i="4" s="1"/>
  <c r="D115" i="4"/>
  <c r="E115" i="4" s="1"/>
  <c r="D114" i="4"/>
  <c r="E114" i="4" s="1"/>
  <c r="D137" i="4"/>
  <c r="E137" i="4" s="1"/>
  <c r="E146" i="4" s="1"/>
  <c r="D131" i="4"/>
  <c r="E131" i="4" s="1"/>
  <c r="D117" i="4"/>
  <c r="E117" i="4" s="1"/>
  <c r="D142" i="4"/>
  <c r="E142" i="4" s="1"/>
  <c r="D141" i="4"/>
  <c r="E141" i="4" s="1"/>
  <c r="D140" i="4"/>
  <c r="E140" i="4" s="1"/>
  <c r="D93" i="4"/>
  <c r="E93" i="4" s="1"/>
  <c r="D59" i="4"/>
  <c r="E59" i="4" s="1"/>
  <c r="D94" i="4"/>
  <c r="E94" i="4" s="1"/>
  <c r="D90" i="4"/>
  <c r="E90" i="4" s="1"/>
  <c r="D88" i="4"/>
  <c r="E88" i="4" s="1"/>
  <c r="D85" i="4"/>
  <c r="E85" i="4" s="1"/>
  <c r="D78" i="4"/>
  <c r="E78" i="4" s="1"/>
  <c r="D77" i="4"/>
  <c r="E77" i="4" s="1"/>
  <c r="D75" i="4"/>
  <c r="E75" i="4" s="1"/>
  <c r="D72" i="4"/>
  <c r="E72" i="4" s="1"/>
  <c r="D71" i="4"/>
  <c r="E71" i="4" s="1"/>
  <c r="D70" i="4"/>
  <c r="E70" i="4" s="1"/>
  <c r="D69" i="4"/>
  <c r="E69" i="4" s="1"/>
  <c r="D159" i="4"/>
  <c r="E159" i="4" s="1"/>
  <c r="E161" i="4" s="1"/>
  <c r="D152" i="4"/>
  <c r="E152" i="4" s="1"/>
  <c r="E154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58" i="4"/>
  <c r="E58" i="4" s="1"/>
  <c r="E95" i="4" l="1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<sst xmlns="http://schemas.openxmlformats.org/spreadsheetml/2006/main" count="391" uniqueCount="266">
  <si>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</si>
  <si>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</si>
  <si>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</si>
  <si>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</si>
  <si>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</si>
  <si>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</si>
  <si>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</si>
  <si>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</si>
  <si>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</si>
  <si>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</si>
  <si>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</si>
  <si>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</si>
  <si>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</si>
  <si>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</si>
  <si>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</si>
  <si>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</si>
  <si>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</si>
  <si>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</si>
  <si>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</si>
  <si>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</si>
  <si>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</si>
  <si>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</si>
  <si>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</si>
  <si>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</si>
  <si>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</si>
  <si>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</si>
  <si>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</si>
  <si>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</si>
  <si>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</si>
  <si>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</si>
  <si>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</si>
  <si>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</si>
  <si>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</si>
  <si>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</si>
  <si>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</si>
  <si>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</si>
  <si>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</si>
  <si>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</si>
  <si>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</si>
  <si>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</si>
  <si>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</si>
  <si>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</si>
  <si>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</si>
  <si>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</si>
  <si>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</si>
  <si>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</si>
  <si>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</si>
  <si>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</si>
  <si>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</si>
  <si>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</si>
  <si>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</si>
  <si>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</si>
  <si>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</si>
  <si>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</si>
  <si>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</si>
  <si>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</si>
  <si>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</si>
  <si>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</si>
  <si>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</si>
  <si>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</si>
  <si>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</si>
  <si>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</si>
  <si>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</si>
  <si>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</si>
  <si>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</si>
  <si>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</si>
  <si>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</si>
  <si>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</si>
  <si>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</si>
  <si>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</si>
  <si>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</si>
  <si>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</si>
  <si>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</si>
  <si>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</si>
  <si>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</si>
  <si>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</si>
  <si>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</si>
  <si>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</si>
  <si>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</si>
  <si>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</si>
  <si>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</si>
  <si>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</si>
  <si>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</si>
  <si>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</si>
  <si>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</si>
  <si>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</si>
  <si>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</si>
  <si>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</si>
  <si>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</si>
  <si>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</si>
  <si>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</si>
  <si>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</si>
  <si>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</si>
  <si>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</si>
  <si>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</si>
  <si>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</si>
  <si>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</si>
  <si>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</si>
  <si>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</si>
  <si>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</si>
  <si>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</si>
  <si>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</si>
  <si>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</si>
  <si>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</si>
  <si>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</si>
  <si>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</si>
  <si>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</si>
  <si>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</si>
  <si>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</si>
  <si>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</si>
  <si>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</si>
  <si>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</si>
  <si>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</si>
  <si>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</si>
  <si>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</si>
  <si>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</si>
  <si>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</si>
  <si>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</si>
  <si>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</si>
  <si>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</si>
  <si>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</si>
  <si>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</si>
  <si>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</si>
  <si>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</si>
  <si>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</si>
  <si>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</si>
  <si>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</si>
  <si>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</si>
  <si>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</si>
  <si>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</si>
  <si>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</si>
  <si>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</si>
  <si>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</si>
  <si>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</si>
  <si>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</si>
  <si>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</si>
  <si>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</si>
  <si>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</si>
  <si>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</si>
  <si>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</si>
  <si>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</si>
  <si>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</si>
  <si>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</si>
  <si>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</si>
  <si>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</si>
  <si>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</si>
  <si>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</si>
  <si>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</si>
  <si>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</si>
  <si>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</si>
  <si>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</si>
  <si>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</si>
  <si>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</si>
  <si>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</si>
  <si>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</si>
  <si>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</si>
  <si>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</si>
  <si>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</si>
  <si>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</si>
  <si>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</si>
  <si>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</si>
  <si>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</si>
  <si>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</si>
  <si>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</si>
  <si>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</si>
  <si>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</si>
  <si>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</si>
  <si>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</si>
  <si>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</si>
  <si>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</si>
  <si>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</si>
  <si>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</si>
  <si>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</si>
  <si>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</si>
  <si>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</si>
  <si>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</si>
  <si>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</si>
  <si>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</si>
  <si>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</si>
  <si>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</si>
  <si>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</si>
  <si>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</si>
  <si>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</si>
  <si>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</si>
  <si>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</si>
  <si>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</si>
  <si>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</si>
  <si>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</si>
  <si>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</si>
  <si>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</si>
  <si>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</si>
  <si>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</si>
  <si>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</si>
  <si>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</si>
  <si>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</si>
  <si>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</si>
  <si>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</si>
  <si>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</si>
  <si>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</si>
  <si>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</si>
  <si>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</si>
  <si>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</si>
  <si>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</si>
  <si>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</si>
  <si>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</si>
  <si>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</si>
  <si>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</si>
  <si>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</si>
  <si>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</si>
  <si>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</si>
  <si>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</si>
  <si>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</si>
  <si>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</si>
  <si>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</si>
  <si>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</si>
  <si>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</si>
  <si>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</si>
  <si>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</si>
  <si>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</si>
  <si>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</si>
  <si>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</si>
  <si>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</si>
  <si>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</si>
  <si>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</si>
  <si>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</si>
  <si>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</si>
  <si>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</si>
  <si>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</si>
  <si>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</si>
  <si>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</si>
  <si>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</si>
  <si>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</si>
  <si>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</si>
  <si>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</si>
  <si>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</si>
  <si>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</si>
  <si>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</si>
  <si>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</si>
  <si>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</si>
  <si>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</si>
  <si>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</si>
  <si>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</si>
  <si>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</si>
  <si>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</si>
  <si>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</si>
  <si>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</si>
  <si>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</si>
  <si>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</si>
  <si>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00공단 00 이전사옥 신축공사</t>
    <phoneticPr fontId="2" type="noConversion"/>
  </si>
  <si>
    <t>업무</t>
  </si>
  <si>
    <t>강원도</t>
  </si>
  <si>
    <t>품질시험비,기타공사,주요자재비,운반비,작업부산물,부대공사,MOCK UP TEST</t>
    <phoneticPr fontId="2" type="noConversion"/>
  </si>
  <si>
    <t>부대토목공사</t>
  </si>
  <si>
    <t>조경공사</t>
  </si>
  <si>
    <t>공조배관공사,위생배관공사,VAV설치공사,전기바닥판넬설치공사,우수중수시스템설치공사,덤웨이터설치공사,전열교환기설치공사,빙축열설치공사</t>
    <phoneticPr fontId="2" type="noConversion"/>
  </si>
  <si>
    <t>기계 소화장비</t>
    <phoneticPr fontId="2" type="noConversion"/>
  </si>
  <si>
    <t>기계 옥내소화배관</t>
  </si>
  <si>
    <t>기계 스프링쿨러</t>
    <phoneticPr fontId="2" type="noConversion"/>
  </si>
  <si>
    <t>기계 옥외소화배관,기계 소화펌프실배관공사,기계 제연덕트설치공사,전기 소방공사</t>
    <phoneticPr fontId="2" type="noConversion"/>
  </si>
  <si>
    <t>경관조명설비공사,태양광발전설비공사,가설사무소</t>
    <phoneticPr fontId="2" type="noConversion"/>
  </si>
  <si>
    <t>전관방송설비공사,CCTV설비공사,안내시스템설비공사,주차관제설비공사,이동통신설비공사,누수감지설비공사,가설사무소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</si>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</sst>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13536</v>
      </c>
      <c r="D7" s="36">
        <f>+C7/3.3058</f>
        <v>4094.6215742029158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17910</v>
      </c>
      <c r="E24" s="58">
        <f t="shared" ref="E24:E33" si="0">TRUNC(+D24*3.3058,-1)</f>
        <v>59200</v>
      </c>
    </row>
    <row r="25" spans="1:5" x14ac:dyDescent="0.3">
      <c r="B25" s="2">
        <v>2</v>
      </c>
      <c r="C25" s="35" t="s">
        <v>111</v>
      </c>
      <c r="D25" s="45">
        <f>+D60</f>
        <v>842610</v>
      </c>
      <c r="E25" s="59">
        <f t="shared" si="0"/>
        <v>2785500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446410</v>
      </c>
      <c r="E27" s="59">
        <f t="shared" si="0"/>
        <v>1475740</v>
      </c>
    </row>
    <row r="28" spans="1:5" x14ac:dyDescent="0.3">
      <c r="B28" s="2">
        <v>5</v>
      </c>
      <c r="C28" s="35" t="s">
        <v>97</v>
      </c>
      <c r="D28" s="45">
        <f>+D119</f>
        <v>233110</v>
      </c>
      <c r="E28" s="59">
        <f t="shared" si="0"/>
        <v>770610</v>
      </c>
    </row>
    <row r="29" spans="1:5" x14ac:dyDescent="0.3">
      <c r="B29" s="2">
        <v>6</v>
      </c>
      <c r="C29" s="35" t="s">
        <v>98</v>
      </c>
      <c r="D29" s="45">
        <f>+D133</f>
        <v>213090</v>
      </c>
      <c r="E29" s="59">
        <f t="shared" si="0"/>
        <v>704430</v>
      </c>
    </row>
    <row r="30" spans="1:5" x14ac:dyDescent="0.3">
      <c r="B30" s="2">
        <v>7</v>
      </c>
      <c r="C30" s="35" t="s">
        <v>99</v>
      </c>
      <c r="D30" s="45">
        <f>+D146</f>
        <v>53380</v>
      </c>
      <c r="E30" s="59">
        <f t="shared" si="0"/>
        <v>176460</v>
      </c>
    </row>
    <row r="31" spans="1:5" x14ac:dyDescent="0.3">
      <c r="B31" s="2">
        <v>8</v>
      </c>
      <c r="C31" s="35" t="s">
        <v>100</v>
      </c>
      <c r="D31" s="45">
        <f>+D154</f>
        <v>60110</v>
      </c>
      <c r="E31" s="59">
        <f t="shared" si="0"/>
        <v>198710</v>
      </c>
    </row>
    <row r="32" spans="1:5" x14ac:dyDescent="0.3">
      <c r="B32" s="2">
        <v>9</v>
      </c>
      <c r="C32" s="35" t="s">
        <v>101</v>
      </c>
      <c r="D32" s="45">
        <f>+D161</f>
        <v>73260</v>
      </c>
      <c r="E32" s="59">
        <f t="shared" si="0"/>
        <v>242180</v>
      </c>
    </row>
    <row r="33" spans="1:7" x14ac:dyDescent="0.3">
      <c r="B33" s="2">
        <v>10</v>
      </c>
      <c r="C33" s="35" t="s">
        <v>154</v>
      </c>
      <c r="D33" s="53">
        <f>TRUNC(SUM(D24:D32)*0.275,-1)</f>
        <v>533460</v>
      </c>
      <c r="E33" s="60">
        <f t="shared" si="0"/>
        <v>1763510</v>
      </c>
    </row>
    <row r="34" spans="1:7" x14ac:dyDescent="0.3">
      <c r="C34" s="35" t="s">
        <v>112</v>
      </c>
      <c r="D34" s="44">
        <f>SUM(D24:D33)</f>
        <v>2473340</v>
      </c>
      <c r="E34" s="44">
        <f>SUM(E24:E33)</f>
        <v>8176340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TRUNC(17910,-1)</f>
        <v>17910</v>
      </c>
      <c r="E37" s="61">
        <f>TRUNC(+D37*3.3058,-1)</f>
        <v>59200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TRUNC(38901,-1)</f>
        <v>38900</v>
      </c>
      <c r="E40" s="62">
        <f t="shared" ref="E40:E59" si="1">TRUNC(+D40*3.3058,-1)</f>
        <v>128590</v>
      </c>
    </row>
    <row r="41" spans="1:7" x14ac:dyDescent="0.3">
      <c r="A41" s="2">
        <v>2</v>
      </c>
      <c r="C41" s="38" t="s">
        <v>13</v>
      </c>
      <c r="D41" s="42">
        <f>TRUNC(102506,-1)</f>
        <v>102500</v>
      </c>
      <c r="E41" s="63">
        <f t="shared" si="1"/>
        <v>338840</v>
      </c>
    </row>
    <row r="42" spans="1:7" x14ac:dyDescent="0.3">
      <c r="A42" s="2">
        <v>3</v>
      </c>
      <c r="C42" s="38" t="s">
        <v>14</v>
      </c>
      <c r="D42" s="42">
        <f>TRUNC(6392,-1)</f>
        <v>6390</v>
      </c>
      <c r="E42" s="63">
        <f t="shared" si="1"/>
        <v>21120</v>
      </c>
    </row>
    <row r="43" spans="1:7" x14ac:dyDescent="0.3">
      <c r="A43" s="2">
        <v>4</v>
      </c>
      <c r="C43" s="38" t="s">
        <v>16</v>
      </c>
      <c r="D43" s="42">
        <f>TRUNC(13811,-1)</f>
        <v>13810</v>
      </c>
      <c r="E43" s="63">
        <f t="shared" si="1"/>
        <v>45650</v>
      </c>
    </row>
    <row r="44" spans="1:7" x14ac:dyDescent="0.3">
      <c r="A44" s="2">
        <v>5</v>
      </c>
      <c r="C44" s="38" t="s">
        <v>17</v>
      </c>
      <c r="D44" s="42">
        <f>TRUNC(28698,-1)</f>
        <v>28690</v>
      </c>
      <c r="E44" s="63">
        <f t="shared" si="1"/>
        <v>94840</v>
      </c>
    </row>
    <row r="45" spans="1:7" x14ac:dyDescent="0.3">
      <c r="A45" s="2">
        <v>6</v>
      </c>
      <c r="C45" s="38" t="s">
        <v>18</v>
      </c>
      <c r="D45" s="42">
        <f>TRUNC(5546,-1)</f>
        <v>5540</v>
      </c>
      <c r="E45" s="63">
        <f t="shared" si="1"/>
        <v>18310</v>
      </c>
    </row>
    <row r="46" spans="1:7" x14ac:dyDescent="0.3">
      <c r="A46" s="2">
        <v>7</v>
      </c>
      <c r="C46" s="38" t="s">
        <v>19</v>
      </c>
      <c r="D46" s="42">
        <f>TRUNC(26221,-1)</f>
        <v>26220</v>
      </c>
      <c r="E46" s="63">
        <f t="shared" si="1"/>
        <v>86670</v>
      </c>
    </row>
    <row r="47" spans="1:7" x14ac:dyDescent="0.3">
      <c r="A47" s="2">
        <v>8</v>
      </c>
      <c r="C47" s="38" t="s">
        <v>20</v>
      </c>
      <c r="D47" s="42">
        <f>TRUNC(1978,-1)</f>
        <v>1970</v>
      </c>
      <c r="E47" s="63">
        <f t="shared" si="1"/>
        <v>6510</v>
      </c>
    </row>
    <row r="48" spans="1:7" x14ac:dyDescent="0.3">
      <c r="A48" s="2">
        <v>9</v>
      </c>
      <c r="C48" s="38" t="s">
        <v>21</v>
      </c>
      <c r="D48" s="42">
        <f>TRUNC(28505,-1)</f>
        <v>28500</v>
      </c>
      <c r="E48" s="63">
        <f t="shared" si="1"/>
        <v>94210</v>
      </c>
    </row>
    <row r="49" spans="1:7" x14ac:dyDescent="0.3">
      <c r="A49" s="2">
        <v>10</v>
      </c>
      <c r="C49" s="38" t="s">
        <v>22</v>
      </c>
      <c r="D49" s="42">
        <f>TRUNC(26653,-1)</f>
        <v>26650</v>
      </c>
      <c r="E49" s="63">
        <f t="shared" si="1"/>
        <v>88090</v>
      </c>
    </row>
    <row r="50" spans="1:7" x14ac:dyDescent="0.3">
      <c r="A50" s="2">
        <v>11</v>
      </c>
      <c r="C50" s="38" t="s">
        <v>155</v>
      </c>
      <c r="D50" s="42">
        <f>TRUNC(27925,-1)</f>
        <v>27920</v>
      </c>
      <c r="E50" s="63">
        <f t="shared" si="1"/>
        <v>92290</v>
      </c>
    </row>
    <row r="51" spans="1:7" x14ac:dyDescent="0.3">
      <c r="A51" s="2">
        <v>12</v>
      </c>
      <c r="C51" s="38" t="s">
        <v>23</v>
      </c>
      <c r="D51" s="42">
        <f>TRUNC(67641,-1)</f>
        <v>67640</v>
      </c>
      <c r="E51" s="63">
        <f t="shared" si="1"/>
        <v>223600</v>
      </c>
    </row>
    <row r="52" spans="1:7" x14ac:dyDescent="0.3">
      <c r="A52" s="2">
        <v>13</v>
      </c>
      <c r="C52" s="38" t="s">
        <v>24</v>
      </c>
      <c r="D52" s="42">
        <f>TRUNC(9077,-1)</f>
        <v>9070</v>
      </c>
      <c r="E52" s="63">
        <f t="shared" si="1"/>
        <v>29980</v>
      </c>
    </row>
    <row r="53" spans="1:7" x14ac:dyDescent="0.3">
      <c r="A53" s="2">
        <v>14</v>
      </c>
      <c r="C53" s="38" t="s">
        <v>25</v>
      </c>
      <c r="D53" s="42">
        <f>TRUNC(79066,-1)</f>
        <v>79060</v>
      </c>
      <c r="E53" s="63">
        <f t="shared" si="1"/>
        <v>261350</v>
      </c>
    </row>
    <row r="54" spans="1:7" x14ac:dyDescent="0.3">
      <c r="A54" s="2">
        <v>15</v>
      </c>
      <c r="C54" s="38" t="s">
        <v>147</v>
      </c>
      <c r="D54" s="42">
        <f>TRUNC(58015,-1)</f>
        <v>58010</v>
      </c>
      <c r="E54" s="63">
        <f t="shared" si="1"/>
        <v>191760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TRUNC(2289+5875+1355+1671-932+927+835,-1)</f>
        <v>12020</v>
      </c>
      <c r="E58" s="63">
        <f t="shared" si="1"/>
        <v>39730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TRUNC(309728,-1)</f>
        <v>309720</v>
      </c>
      <c r="E59" s="64">
        <f t="shared" si="1"/>
        <v>1023870</v>
      </c>
    </row>
    <row r="60" spans="1:7" x14ac:dyDescent="0.3">
      <c r="A60" s="2">
        <v>21</v>
      </c>
      <c r="C60" s="27" t="s">
        <v>112</v>
      </c>
      <c r="D60" s="39">
        <f>SUM(D40:D59)</f>
        <v>842610</v>
      </c>
      <c r="E60" s="39">
        <f>SUM(E40:E59)</f>
        <v>2785410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TRUNC(13720,-1)</f>
        <v>13720</v>
      </c>
      <c r="E69" s="62">
        <f t="shared" ref="E69:E94" si="2">TRUNC(+D69*3.3058,-1)</f>
        <v>45350</v>
      </c>
    </row>
    <row r="70" spans="1:7" ht="16.5" customHeight="1" x14ac:dyDescent="0.3">
      <c r="A70" s="2">
        <v>2</v>
      </c>
      <c r="C70" s="38" t="s">
        <v>31</v>
      </c>
      <c r="D70" s="42">
        <f>TRUNC(941,-1)</f>
        <v>940</v>
      </c>
      <c r="E70" s="63">
        <f t="shared" si="2"/>
        <v>3100</v>
      </c>
    </row>
    <row r="71" spans="1:7" x14ac:dyDescent="0.3">
      <c r="A71" s="2">
        <v>3</v>
      </c>
      <c r="C71" s="38" t="s">
        <v>32</v>
      </c>
      <c r="D71" s="42">
        <f>TRUNC(25582,-1)</f>
        <v>25580</v>
      </c>
      <c r="E71" s="63">
        <f t="shared" si="2"/>
        <v>84560</v>
      </c>
    </row>
    <row r="72" spans="1:7" x14ac:dyDescent="0.3">
      <c r="A72" s="2">
        <v>4</v>
      </c>
      <c r="C72" s="38" t="s">
        <v>33</v>
      </c>
      <c r="D72" s="42">
        <f>TRUNC(3225,-1)</f>
        <v>3220</v>
      </c>
      <c r="E72" s="63">
        <f t="shared" si="2"/>
        <v>10640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TRUNC(5302,-1)</f>
        <v>5300</v>
      </c>
      <c r="E75" s="63">
        <f t="shared" si="2"/>
        <v>17520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TRUNC(24970,-1)</f>
        <v>24970</v>
      </c>
      <c r="E77" s="63">
        <f t="shared" si="2"/>
        <v>82540</v>
      </c>
    </row>
    <row r="78" spans="1:7" x14ac:dyDescent="0.3">
      <c r="A78" s="2">
        <v>10</v>
      </c>
      <c r="C78" s="38" t="s">
        <v>137</v>
      </c>
      <c r="D78" s="42">
        <f>TRUNC(73789,-1)</f>
        <v>73780</v>
      </c>
      <c r="E78" s="63">
        <f t="shared" si="2"/>
        <v>243900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TRUNC(1721,-1)</f>
        <v>1720</v>
      </c>
      <c r="E85" s="63">
        <f t="shared" si="2"/>
        <v>5680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f>TRUNC(2527,-1)</f>
        <v>2520</v>
      </c>
      <c r="E88" s="63">
        <f t="shared" si="2"/>
        <v>8330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TRUNC(4531,-1)</f>
        <v>4530</v>
      </c>
      <c r="E90" s="63">
        <f t="shared" si="2"/>
        <v>14970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TRUNC(172798,-1)</f>
        <v>172790</v>
      </c>
      <c r="E93" s="63">
        <f t="shared" si="2"/>
        <v>571200</v>
      </c>
    </row>
    <row r="94" spans="1:7" ht="17.25" thickBot="1" x14ac:dyDescent="0.35">
      <c r="A94" s="2">
        <v>26</v>
      </c>
      <c r="C94" s="38" t="s">
        <v>47</v>
      </c>
      <c r="D94" s="43">
        <f>TRUNC(25915+26134+25312+242+9971+1794+2027+25953,-1)</f>
        <v>117340</v>
      </c>
      <c r="E94" s="64">
        <f t="shared" si="2"/>
        <v>387900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446410</v>
      </c>
      <c r="E95" s="39">
        <f>SUM(E69:E94)</f>
        <v>1475690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TRUNC(16024,-1)</f>
        <v>16020</v>
      </c>
      <c r="E98" s="62">
        <f t="shared" ref="E98:E118" si="3">TRUNC(+D98*3.3058,-1)</f>
        <v>52950</v>
      </c>
    </row>
    <row r="99" spans="1:7" x14ac:dyDescent="0.3">
      <c r="A99" s="2">
        <v>2</v>
      </c>
      <c r="C99" s="38" t="s">
        <v>40</v>
      </c>
      <c r="D99" s="42">
        <f>TRUNC(8751,-1)</f>
        <v>8750</v>
      </c>
      <c r="E99" s="63">
        <f t="shared" si="3"/>
        <v>28920</v>
      </c>
    </row>
    <row r="100" spans="1:7" x14ac:dyDescent="0.3">
      <c r="A100" s="2">
        <v>3</v>
      </c>
      <c r="C100" s="38" t="s">
        <v>41</v>
      </c>
      <c r="D100" s="42">
        <f>TRUNC(23406,-1)</f>
        <v>23400</v>
      </c>
      <c r="E100" s="63">
        <f t="shared" si="3"/>
        <v>77350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TRUNC(11643,-1)</f>
        <v>11640</v>
      </c>
      <c r="E102" s="63">
        <f t="shared" si="3"/>
        <v>38470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TRUNC(6348,-1)</f>
        <v>6340</v>
      </c>
      <c r="E104" s="63">
        <f t="shared" si="3"/>
        <v>20950</v>
      </c>
    </row>
    <row r="105" spans="1:7" x14ac:dyDescent="0.3">
      <c r="A105" s="2">
        <v>8</v>
      </c>
      <c r="C105" s="38" t="s">
        <v>46</v>
      </c>
      <c r="D105" s="42">
        <f>TRUNC(4310,-1)</f>
        <v>4310</v>
      </c>
      <c r="E105" s="63">
        <f t="shared" si="3"/>
        <v>14240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TRUNC(1000,-1)</f>
        <v>1000</v>
      </c>
      <c r="E108" s="63">
        <f t="shared" si="3"/>
        <v>3300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TRUNC(3158,-1)</f>
        <v>3150</v>
      </c>
      <c r="E114" s="63">
        <f t="shared" si="3"/>
        <v>10410</v>
      </c>
    </row>
    <row r="115" spans="1:7" x14ac:dyDescent="0.3">
      <c r="A115" s="2">
        <v>18</v>
      </c>
      <c r="C115" s="38" t="s">
        <v>116</v>
      </c>
      <c r="D115" s="42">
        <f>TRUNC(10189,-1)</f>
        <v>10180</v>
      </c>
      <c r="E115" s="63">
        <f t="shared" si="3"/>
        <v>33650</v>
      </c>
      <c r="F115" s="44"/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TRUNC(145757,-1)</f>
        <v>145750</v>
      </c>
      <c r="E117" s="63">
        <f t="shared" si="3"/>
        <v>481820</v>
      </c>
    </row>
    <row r="118" spans="1:7" ht="17.25" thickBot="1" x14ac:dyDescent="0.35">
      <c r="A118" s="2">
        <v>21</v>
      </c>
      <c r="C118" s="38" t="s">
        <v>47</v>
      </c>
      <c r="D118" s="43">
        <f>TRUNC(2039+384+156,-1)</f>
        <v>2570</v>
      </c>
      <c r="E118" s="64">
        <f t="shared" si="3"/>
        <v>8490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233110</v>
      </c>
      <c r="E119" s="39">
        <f>SUM(E98:E118)</f>
        <v>770550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TRUNC(4648,-1)</f>
        <v>4640</v>
      </c>
      <c r="E122" s="62">
        <f t="shared" ref="E122:E132" si="4">TRUNC(+D122*3.3058,-1)</f>
        <v>15330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TRUNC(2525,-1)</f>
        <v>2520</v>
      </c>
      <c r="E124" s="63">
        <f t="shared" si="4"/>
        <v>8330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TRUNC(3008,-1)</f>
        <v>3000</v>
      </c>
      <c r="E127" s="63">
        <f t="shared" si="4"/>
        <v>9910</v>
      </c>
    </row>
    <row r="128" spans="1:7" x14ac:dyDescent="0.3">
      <c r="A128" s="2">
        <v>7</v>
      </c>
      <c r="C128" s="38" t="s">
        <v>46</v>
      </c>
      <c r="D128" s="42">
        <f>TRUNC(2435,-1)</f>
        <v>2430</v>
      </c>
      <c r="E128" s="63">
        <f t="shared" si="4"/>
        <v>8030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TRUNC(17716,-1)</f>
        <v>17710</v>
      </c>
      <c r="E130" s="63">
        <f t="shared" si="4"/>
        <v>58540</v>
      </c>
    </row>
    <row r="131" spans="1:7" x14ac:dyDescent="0.3">
      <c r="A131" s="2">
        <v>10</v>
      </c>
      <c r="C131" s="38" t="s">
        <v>148</v>
      </c>
      <c r="D131" s="42">
        <f>TRUNC(176558,-1)</f>
        <v>176550</v>
      </c>
      <c r="E131" s="63">
        <f t="shared" si="4"/>
        <v>583630</v>
      </c>
    </row>
    <row r="132" spans="1:7" ht="18" thickBot="1" x14ac:dyDescent="0.35">
      <c r="A132" s="2">
        <v>11</v>
      </c>
      <c r="C132" s="38" t="s">
        <v>47</v>
      </c>
      <c r="D132" s="43">
        <f>TRUNC(1648+1634+43+713+81+1966+156,-1)</f>
        <v>6240</v>
      </c>
      <c r="E132" s="64">
        <f t="shared" si="4"/>
        <v>20620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213090</v>
      </c>
      <c r="E133" s="39">
        <f>SUM(E122:E132)</f>
        <v>704390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TRUNC(99+1503+3677+12638,-1)</f>
        <v>17910</v>
      </c>
      <c r="E137" s="63">
        <f t="shared" si="5"/>
        <v>59200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TRUNC(2361,-1)</f>
        <v>2360</v>
      </c>
      <c r="E140" s="63">
        <f t="shared" si="5"/>
        <v>7800</v>
      </c>
      <c r="F140" s="2" t="s">
        <v>255</v>
      </c>
    </row>
    <row r="141" spans="1:7" x14ac:dyDescent="0.3">
      <c r="A141" s="2">
        <v>6</v>
      </c>
      <c r="C141" s="38" t="s">
        <v>59</v>
      </c>
      <c r="D141" s="42">
        <f>TRUNC(24535,-1)</f>
        <v>24530</v>
      </c>
      <c r="E141" s="63">
        <f t="shared" si="5"/>
        <v>81090</v>
      </c>
      <c r="F141" s="2" t="s">
        <v>257</v>
      </c>
    </row>
    <row r="142" spans="1:7" x14ac:dyDescent="0.3">
      <c r="A142" s="2">
        <v>7</v>
      </c>
      <c r="C142" s="38" t="s">
        <v>58</v>
      </c>
      <c r="D142" s="42">
        <f>TRUNC(8586,-1)</f>
        <v>8580</v>
      </c>
      <c r="E142" s="63">
        <f t="shared" si="5"/>
        <v>28360</v>
      </c>
      <c r="F142" s="2" t="s">
        <v>256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53380</v>
      </c>
      <c r="E146" s="39">
        <f>SUM(E136:E145)</f>
        <v>176450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TRUNC(60115,-1)</f>
        <v>60110</v>
      </c>
      <c r="E152" s="63">
        <f>TRUNC(+D152*3.3058,-1)</f>
        <v>198710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60110</v>
      </c>
      <c r="E154" s="39">
        <f>SUM(E149:E153)</f>
        <v>198710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TRUNC(73267,-1)</f>
        <v>73260</v>
      </c>
      <c r="E159" s="63">
        <f>TRUNC(+D159*3.3058,-1)</f>
        <v>242180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73260</v>
      </c>
      <c r="E161" s="39">
        <f>SUM(E157:E160)</f>
        <v>242180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2020-12-07T09:38:02Z</dcterms:modified>
</cp:coreProperties>
</file>