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7" i="4"/>
  <c r="D132" i="4"/>
  <c r="D131" i="4"/>
  <c r="D130" i="4"/>
  <c r="D127" i="4"/>
  <c r="D125" i="4"/>
  <c r="D124" i="4"/>
  <c r="D122" i="4"/>
  <c r="D118" i="4"/>
  <c r="D116" i="4"/>
  <c r="D104" i="4"/>
  <c r="D102" i="4"/>
  <c r="D99" i="4"/>
  <c r="D98" i="4"/>
  <c r="D94" i="4"/>
  <c r="D92" i="4"/>
  <c r="D91" i="4"/>
  <c r="D89" i="4"/>
  <c r="D75" i="4"/>
  <c r="D73" i="4"/>
  <c r="D71" i="4"/>
  <c r="D70" i="4"/>
  <c r="D69" i="4"/>
  <c r="D65" i="4"/>
  <c r="D63" i="4"/>
  <c r="D59" i="4"/>
  <c r="D53" i="4"/>
  <c r="D52" i="4"/>
  <c r="D50" i="4"/>
  <c r="D48" i="4"/>
  <c r="D46" i="4"/>
  <c r="D45" i="4"/>
  <c r="D44" i="4"/>
  <c r="D43" i="4"/>
  <c r="D41" i="4"/>
  <c r="D40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<sst xmlns="http://schemas.openxmlformats.org/spreadsheetml/2006/main" count="392" uniqueCount="268">
  <si>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</si>
  <si>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</si>
  <si>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</si>
  <si>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</si>
  <si>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</si>
  <si>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</si>
  <si>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</si>
  <si>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</si>
  <si>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</si>
  <si>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</si>
  <si>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</si>
  <si>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</si>
  <si>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</si>
  <si>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</si>
  <si>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</si>
  <si>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</si>
  <si>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</si>
  <si>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</si>
  <si>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</si>
  <si>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</si>
  <si>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</si>
  <si>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</si>
  <si>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</si>
  <si>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</si>
  <si>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</si>
  <si>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</si>
  <si>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</si>
  <si>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</si>
  <si>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</si>
  <si>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</si>
  <si>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</si>
  <si>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</si>
  <si>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</si>
  <si>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</si>
  <si>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</si>
  <si>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</si>
  <si>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</si>
  <si>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</si>
  <si>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</si>
  <si>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</si>
  <si>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</si>
  <si>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</si>
  <si>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</si>
  <si>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</si>
  <si>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</si>
  <si>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</si>
  <si>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</si>
  <si>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</si>
  <si>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</si>
  <si>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</si>
  <si>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</si>
  <si>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</si>
  <si>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</si>
  <si>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</si>
  <si>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</si>
  <si>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</si>
  <si>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</si>
  <si>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</si>
  <si>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</si>
  <si>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</si>
  <si>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</si>
  <si>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</si>
  <si>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</si>
  <si>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</si>
  <si>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</si>
  <si>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</si>
  <si>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</si>
  <si>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</si>
  <si>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</si>
  <si>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</si>
  <si>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</si>
  <si>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</si>
  <si>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</si>
  <si>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</si>
  <si>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</si>
  <si>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</si>
  <si>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</si>
  <si>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</si>
  <si>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</si>
  <si>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</si>
  <si>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</si>
  <si>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</si>
  <si>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</si>
  <si>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</si>
  <si>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</si>
  <si>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</si>
  <si>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</si>
  <si>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</si>
  <si>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</si>
  <si>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</si>
  <si>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</si>
  <si>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</si>
  <si>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</si>
  <si>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</si>
  <si>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</si>
  <si>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</si>
  <si>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</si>
  <si>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</si>
  <si>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</si>
  <si>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</si>
  <si>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</si>
  <si>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</si>
  <si>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</si>
  <si>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</si>
  <si>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</si>
  <si>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</si>
  <si>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</si>
  <si>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</si>
  <si>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</si>
  <si>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</si>
  <si>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</si>
  <si>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</si>
  <si>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</si>
  <si>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</si>
  <si>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</si>
  <si>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</si>
  <si>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</si>
  <si>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</si>
  <si>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</si>
  <si>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</si>
  <si>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</si>
  <si>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</si>
  <si>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</si>
  <si>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</si>
  <si>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</si>
  <si>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</si>
  <si>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</si>
  <si>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</si>
  <si>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</si>
  <si>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</si>
  <si>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</si>
  <si>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</si>
  <si>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</si>
  <si>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</si>
  <si>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</si>
  <si>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</si>
  <si>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</si>
  <si>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</si>
  <si>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</si>
  <si>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</si>
  <si>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</si>
  <si>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</si>
  <si>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</si>
  <si>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</si>
  <si>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</si>
  <si>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</si>
  <si>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</si>
  <si>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</si>
  <si>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</si>
  <si>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</si>
  <si>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</si>
  <si>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</si>
  <si>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</si>
  <si>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</si>
  <si>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</si>
  <si>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</si>
  <si>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</si>
  <si>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</si>
  <si>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</si>
  <si>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</si>
  <si>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</si>
  <si>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</si>
  <si>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</si>
  <si>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</si>
  <si>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</si>
  <si>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</si>
  <si>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</si>
  <si>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</si>
  <si>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</si>
  <si>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</si>
  <si>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</si>
  <si>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</si>
  <si>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</si>
  <si>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</si>
  <si>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</si>
  <si>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</si>
  <si>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</si>
  <si>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</si>
  <si>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</si>
  <si>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</si>
  <si>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</si>
  <si>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</si>
  <si>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</si>
  <si>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</si>
  <si>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</si>
  <si>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</si>
  <si>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</si>
  <si>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</si>
  <si>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</si>
  <si>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</si>
  <si>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</si>
  <si>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</si>
  <si>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</si>
  <si>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</si>
  <si>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</si>
  <si>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</si>
  <si>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</si>
  <si>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</si>
  <si>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</si>
  <si>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</si>
  <si>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</si>
  <si>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</si>
  <si>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</si>
  <si>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</si>
  <si>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</si>
  <si>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</si>
  <si>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</si>
  <si>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</si>
  <si>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</si>
  <si>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</si>
  <si>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</si>
  <si>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</si>
  <si>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</si>
  <si>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</si>
  <si>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</si>
  <si>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</si>
  <si>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</si>
  <si>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</si>
  <si>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</si>
  <si>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</si>
  <si>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</si>
  <si>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</si>
  <si>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</si>
  <si>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</si>
  <si>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</si>
  <si>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</si>
  <si>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</si>
  <si>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</si>
  <si>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</si>
  <si>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</si>
  <si>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</si>
  <si>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</si>
  <si>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</si>
  <si>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</si>
  <si>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</si>
  <si>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</si>
  <si>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</si>
  <si>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</si>
  <si>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</si>
  <si>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</si>
  <si>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</si>
  <si>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</si>
  <si>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</si>
  <si>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</si>
  <si>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</si>
  <si>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</si>
  <si>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</si>
  <si>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</si>
  <si>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</si>
  <si>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</si>
  <si>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</si>
  <si>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</si>
  <si>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</si>
  <si>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</si>
  <si>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</si>
  <si>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</si>
  <si>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</si>
  <si>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 xml:space="preserve"> 한국지방행정연구원 본원건립 신축공사</t>
    <phoneticPr fontId="2" type="noConversion"/>
  </si>
  <si>
    <t>강원도</t>
  </si>
  <si>
    <t>기초공사, 골재비및운반비, 품질시험비, 기타공사</t>
    <phoneticPr fontId="2" type="noConversion"/>
  </si>
  <si>
    <t>공조배관공사,기타공사</t>
    <phoneticPr fontId="2" type="noConversion"/>
  </si>
  <si>
    <t>CCTV설비공사, 주차관제설비공사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</si>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</sst>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5620.5</v>
      </c>
      <c r="D7" s="36">
        <f>+C7/3.3058</f>
        <v>1700.193599128804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1257560</v>
      </c>
      <c r="E25" s="59">
        <f t="shared" si="0"/>
        <v>4157240</v>
      </c>
    </row>
    <row r="26" spans="1:5" x14ac:dyDescent="0.3">
      <c r="B26" s="2">
        <v>3</v>
      </c>
      <c r="C26" s="35" t="s">
        <v>95</v>
      </c>
      <c r="D26" s="45">
        <f>+D66</f>
        <v>71420</v>
      </c>
      <c r="E26" s="59">
        <f t="shared" si="0"/>
        <v>236100</v>
      </c>
    </row>
    <row r="27" spans="1:5" x14ac:dyDescent="0.3">
      <c r="B27" s="2">
        <v>4</v>
      </c>
      <c r="C27" s="35" t="s">
        <v>96</v>
      </c>
      <c r="D27" s="45">
        <f>+D95</f>
        <v>129230</v>
      </c>
      <c r="E27" s="59">
        <f t="shared" si="0"/>
        <v>427200</v>
      </c>
    </row>
    <row r="28" spans="1:5" x14ac:dyDescent="0.3">
      <c r="B28" s="2">
        <v>5</v>
      </c>
      <c r="C28" s="35" t="s">
        <v>97</v>
      </c>
      <c r="D28" s="45">
        <f>+D119</f>
        <v>173980</v>
      </c>
      <c r="E28" s="59">
        <f t="shared" si="0"/>
        <v>575140</v>
      </c>
    </row>
    <row r="29" spans="1:5" x14ac:dyDescent="0.3">
      <c r="B29" s="2">
        <v>6</v>
      </c>
      <c r="C29" s="35" t="s">
        <v>98</v>
      </c>
      <c r="D29" s="45">
        <f>+D133</f>
        <v>127390</v>
      </c>
      <c r="E29" s="59">
        <f t="shared" si="0"/>
        <v>421120</v>
      </c>
    </row>
    <row r="30" spans="1:5" x14ac:dyDescent="0.3">
      <c r="B30" s="2">
        <v>7</v>
      </c>
      <c r="C30" s="35" t="s">
        <v>99</v>
      </c>
      <c r="D30" s="45">
        <f>+D146</f>
        <v>50130</v>
      </c>
      <c r="E30" s="59">
        <f t="shared" si="0"/>
        <v>165710</v>
      </c>
    </row>
    <row r="31" spans="1:5" x14ac:dyDescent="0.3">
      <c r="B31" s="2">
        <v>8</v>
      </c>
      <c r="C31" s="35" t="s">
        <v>100</v>
      </c>
      <c r="D31" s="45">
        <f>+D154</f>
        <v>6290</v>
      </c>
      <c r="E31" s="59">
        <f t="shared" si="0"/>
        <v>20790</v>
      </c>
    </row>
    <row r="32" spans="1:5" x14ac:dyDescent="0.3">
      <c r="B32" s="2">
        <v>9</v>
      </c>
      <c r="C32" s="35" t="s">
        <v>101</v>
      </c>
      <c r="D32" s="45">
        <f>+D161</f>
        <v>19160</v>
      </c>
      <c r="E32" s="59">
        <f t="shared" si="0"/>
        <v>63330</v>
      </c>
    </row>
    <row r="33" spans="1:7" x14ac:dyDescent="0.3">
      <c r="B33" s="2">
        <v>10</v>
      </c>
      <c r="C33" s="35" t="s">
        <v>154</v>
      </c>
      <c r="D33" s="53">
        <f>TRUNC(SUM(D24:D32)*0.275,-1)</f>
        <v>504660</v>
      </c>
      <c r="E33" s="60">
        <f t="shared" si="0"/>
        <v>1668300</v>
      </c>
    </row>
    <row r="34" spans="1:7" x14ac:dyDescent="0.3">
      <c r="C34" s="35" t="s">
        <v>112</v>
      </c>
      <c r="D34" s="44">
        <f>SUM(D24:D33)</f>
        <v>2339820</v>
      </c>
      <c r="E34" s="44">
        <f>SUM(E24:E33)</f>
        <v>7734930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TRUNC(117719,-1)</f>
        <v>117710</v>
      </c>
      <c r="E40" s="62">
        <f t="shared" ref="E40:E59" si="1">TRUNC(+D40*3.3058,-1)</f>
        <v>389120</v>
      </c>
    </row>
    <row r="41" spans="1:7" x14ac:dyDescent="0.3">
      <c r="A41" s="2">
        <v>2</v>
      </c>
      <c r="C41" s="38" t="s">
        <v>13</v>
      </c>
      <c r="D41" s="42">
        <f>TRUNC(240517,-1)</f>
        <v>240510</v>
      </c>
      <c r="E41" s="63">
        <f t="shared" si="1"/>
        <v>795070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TRUNC(90674,-1)</f>
        <v>90670</v>
      </c>
      <c r="E43" s="63">
        <f t="shared" si="1"/>
        <v>299730</v>
      </c>
    </row>
    <row r="44" spans="1:7" x14ac:dyDescent="0.3">
      <c r="A44" s="2">
        <v>5</v>
      </c>
      <c r="C44" s="38" t="s">
        <v>17</v>
      </c>
      <c r="D44" s="42">
        <f>TRUNC(41262,-1)</f>
        <v>41260</v>
      </c>
      <c r="E44" s="63">
        <f t="shared" si="1"/>
        <v>136390</v>
      </c>
    </row>
    <row r="45" spans="1:7" x14ac:dyDescent="0.3">
      <c r="A45" s="2">
        <v>6</v>
      </c>
      <c r="C45" s="38" t="s">
        <v>18</v>
      </c>
      <c r="D45" s="42">
        <f>TRUNC(10423,-1)</f>
        <v>10420</v>
      </c>
      <c r="E45" s="63">
        <f t="shared" si="1"/>
        <v>34440</v>
      </c>
    </row>
    <row r="46" spans="1:7" x14ac:dyDescent="0.3">
      <c r="A46" s="2">
        <v>7</v>
      </c>
      <c r="C46" s="38" t="s">
        <v>19</v>
      </c>
      <c r="D46" s="42">
        <f>TRUNC(1157,-1)</f>
        <v>1150</v>
      </c>
      <c r="E46" s="63">
        <f t="shared" si="1"/>
        <v>3800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TRUNC(50552,-1)</f>
        <v>50550</v>
      </c>
      <c r="E48" s="63">
        <f t="shared" si="1"/>
        <v>167100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51090</v>
      </c>
      <c r="E49" s="63">
        <f t="shared" si="1"/>
        <v>168890</v>
      </c>
    </row>
    <row r="50" spans="1:7" x14ac:dyDescent="0.3">
      <c r="A50" s="2">
        <v>11</v>
      </c>
      <c r="C50" s="38" t="s">
        <v>155</v>
      </c>
      <c r="D50" s="42">
        <f>TRUNC(65607,-1)</f>
        <v>65600</v>
      </c>
      <c r="E50" s="63">
        <f t="shared" si="1"/>
        <v>216860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TRUNC(7062,-1)</f>
        <v>7060</v>
      </c>
      <c r="E52" s="63">
        <f t="shared" si="1"/>
        <v>23330</v>
      </c>
    </row>
    <row r="53" spans="1:7" x14ac:dyDescent="0.3">
      <c r="A53" s="2">
        <v>14</v>
      </c>
      <c r="C53" s="38" t="s">
        <v>25</v>
      </c>
      <c r="D53" s="42">
        <f>TRUNC(73126,-1)</f>
        <v>73120</v>
      </c>
      <c r="E53" s="63">
        <f t="shared" si="1"/>
        <v>241720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33486+4701+678+37585</f>
        <v>76450</v>
      </c>
      <c r="E58" s="63">
        <f t="shared" si="1"/>
        <v>252720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TRUNC(431975,-1)</f>
        <v>431970</v>
      </c>
      <c r="E59" s="64">
        <f t="shared" si="1"/>
        <v>1428000</v>
      </c>
    </row>
    <row r="60" spans="1:7" x14ac:dyDescent="0.3">
      <c r="A60" s="2">
        <v>21</v>
      </c>
      <c r="C60" s="27" t="s">
        <v>112</v>
      </c>
      <c r="D60" s="39">
        <f>SUM(D40:D59)</f>
        <v>1257560</v>
      </c>
      <c r="E60" s="39">
        <f>SUM(E40:E59)</f>
        <v>4157170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TRUNC(25329,-1)</f>
        <v>25320</v>
      </c>
      <c r="E63" s="62">
        <f>TRUNC(+D63*3.3058,-1)</f>
        <v>83700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TRUNC(46106,-1)</f>
        <v>46100</v>
      </c>
      <c r="E65" s="64">
        <f>TRUNC(+D65*3.3058,-1)</f>
        <v>152390</v>
      </c>
    </row>
    <row r="66" spans="1:7" x14ac:dyDescent="0.3">
      <c r="A66" s="2">
        <v>4</v>
      </c>
      <c r="C66" s="27" t="s">
        <v>112</v>
      </c>
      <c r="D66" s="39">
        <f>SUM(D63:D65)</f>
        <v>71420</v>
      </c>
      <c r="E66" s="65">
        <f>SUM(E63:E65)</f>
        <v>236090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TRUNC(14542,-1)</f>
        <v>14540</v>
      </c>
      <c r="E69" s="62">
        <f t="shared" ref="E69:E94" si="2">TRUNC(+D69*3.3058,-1)</f>
        <v>48060</v>
      </c>
    </row>
    <row r="70" spans="1:7" ht="16.5" customHeight="1" x14ac:dyDescent="0.3">
      <c r="A70" s="2">
        <v>2</v>
      </c>
      <c r="C70" s="38" t="s">
        <v>31</v>
      </c>
      <c r="D70" s="42">
        <f>TRUNC(99,-1)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f>TRUNC(14109,-1)</f>
        <v>14100</v>
      </c>
      <c r="E71" s="63">
        <f t="shared" si="2"/>
        <v>46610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TRUNC(5294,-1)</f>
        <v>5290</v>
      </c>
      <c r="E73" s="63">
        <f t="shared" si="2"/>
        <v>17480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TRUNC(2658,-1)</f>
        <v>2650</v>
      </c>
      <c r="E75" s="63">
        <f t="shared" si="2"/>
        <v>8760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TRUNC(17976,-1)</f>
        <v>17970</v>
      </c>
      <c r="E89" s="63">
        <f t="shared" si="2"/>
        <v>59400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TRUNC(8044,-1)</f>
        <v>8040</v>
      </c>
      <c r="E91" s="63">
        <f t="shared" si="2"/>
        <v>26570</v>
      </c>
    </row>
    <row r="92" spans="1:7" x14ac:dyDescent="0.3">
      <c r="A92" s="2">
        <v>24</v>
      </c>
      <c r="C92" s="38" t="s">
        <v>38</v>
      </c>
      <c r="D92" s="42">
        <f>TRUNC(4521,-1)</f>
        <v>4520</v>
      </c>
      <c r="E92" s="63">
        <f t="shared" si="2"/>
        <v>14940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TRUNC(53132+8902,-1)</f>
        <v>62030</v>
      </c>
      <c r="E94" s="64">
        <f t="shared" si="2"/>
        <v>205050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129230</v>
      </c>
      <c r="E95" s="39">
        <f>SUM(E69:E94)</f>
        <v>427160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TRUNC(16361,-1)</f>
        <v>16360</v>
      </c>
      <c r="E98" s="62">
        <f t="shared" ref="E98:E118" si="3">TRUNC(+D98*3.3058,-1)</f>
        <v>54080</v>
      </c>
    </row>
    <row r="99" spans="1:7" x14ac:dyDescent="0.3">
      <c r="A99" s="2">
        <v>2</v>
      </c>
      <c r="C99" s="38" t="s">
        <v>40</v>
      </c>
      <c r="D99" s="42">
        <f>TRUNC(11363,-1)</f>
        <v>11360</v>
      </c>
      <c r="E99" s="63">
        <f t="shared" si="3"/>
        <v>37550</v>
      </c>
    </row>
    <row r="100" spans="1:7" x14ac:dyDescent="0.3">
      <c r="A100" s="2">
        <v>3</v>
      </c>
      <c r="C100" s="38" t="s">
        <v>41</v>
      </c>
      <c r="D100" s="42">
        <v>33320</v>
      </c>
      <c r="E100" s="63">
        <f t="shared" si="3"/>
        <v>110140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TRUNC(12488,-1)</f>
        <v>12480</v>
      </c>
      <c r="E102" s="63">
        <f t="shared" si="3"/>
        <v>41250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TRUNC(6331,-1)</f>
        <v>6330</v>
      </c>
      <c r="E104" s="63">
        <f t="shared" si="3"/>
        <v>20920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TRUNC(4294,-1)</f>
        <v>4290</v>
      </c>
      <c r="E116" s="63">
        <f t="shared" si="3"/>
        <v>14180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85930</v>
      </c>
      <c r="E117" s="63">
        <f t="shared" si="3"/>
        <v>284060</v>
      </c>
    </row>
    <row r="118" spans="1:7" ht="17.25" thickBot="1" x14ac:dyDescent="0.35">
      <c r="A118" s="2">
        <v>21</v>
      </c>
      <c r="C118" s="38" t="s">
        <v>47</v>
      </c>
      <c r="D118" s="43">
        <f>TRUNC(3914,-1)</f>
        <v>3910</v>
      </c>
      <c r="E118" s="64">
        <f t="shared" si="3"/>
        <v>12920</v>
      </c>
    </row>
    <row r="119" spans="1:7" x14ac:dyDescent="0.3">
      <c r="A119" s="2">
        <v>22</v>
      </c>
      <c r="C119" s="27" t="s">
        <v>112</v>
      </c>
      <c r="D119" s="39">
        <f>SUM(D98:D118)</f>
        <v>173980</v>
      </c>
      <c r="E119" s="39">
        <f>SUM(E98:E118)</f>
        <v>575100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TRUNC(6543,-1)</f>
        <v>6540</v>
      </c>
      <c r="E122" s="62">
        <f t="shared" ref="E122:E132" si="4">TRUNC(+D122*3.3058,-1)</f>
        <v>21610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TRUNC(833,-1)</f>
        <v>830</v>
      </c>
      <c r="E124" s="63">
        <f t="shared" si="4"/>
        <v>2740</v>
      </c>
    </row>
    <row r="125" spans="1:7" x14ac:dyDescent="0.3">
      <c r="A125" s="2">
        <v>4</v>
      </c>
      <c r="C125" s="38" t="s">
        <v>138</v>
      </c>
      <c r="D125" s="42">
        <f>TRUNC(7109,-1)</f>
        <v>7100</v>
      </c>
      <c r="E125" s="63">
        <f t="shared" si="4"/>
        <v>23470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TRUNC(4379,-1)</f>
        <v>4370</v>
      </c>
      <c r="E127" s="63">
        <f t="shared" si="4"/>
        <v>14440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TRUNC(39738,-1)</f>
        <v>39730</v>
      </c>
      <c r="E130" s="63">
        <f t="shared" si="4"/>
        <v>131330</v>
      </c>
    </row>
    <row r="131" spans="1:7" x14ac:dyDescent="0.3">
      <c r="A131" s="2">
        <v>10</v>
      </c>
      <c r="C131" s="38" t="s">
        <v>148</v>
      </c>
      <c r="D131" s="42">
        <f>TRUNC(66234,-1)</f>
        <v>66230</v>
      </c>
      <c r="E131" s="63">
        <f t="shared" si="4"/>
        <v>218940</v>
      </c>
    </row>
    <row r="132" spans="1:7" ht="18" thickBot="1" x14ac:dyDescent="0.35">
      <c r="A132" s="2">
        <v>11</v>
      </c>
      <c r="C132" s="38" t="s">
        <v>47</v>
      </c>
      <c r="D132" s="43">
        <f>TRUNC(2060+537,-1)</f>
        <v>2590</v>
      </c>
      <c r="E132" s="64">
        <f t="shared" si="4"/>
        <v>8560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127390</v>
      </c>
      <c r="E133" s="39">
        <f>SUM(E122:E132)</f>
        <v>421090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TRUNC(318+2838+1489,-1)</f>
        <v>4640</v>
      </c>
      <c r="E137" s="63">
        <f t="shared" si="5"/>
        <v>15330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TRUNC(3402,-1)</f>
        <v>3400</v>
      </c>
      <c r="E140" s="63">
        <f t="shared" si="5"/>
        <v>11230</v>
      </c>
    </row>
    <row r="141" spans="1:7" x14ac:dyDescent="0.3">
      <c r="A141" s="2">
        <v>6</v>
      </c>
      <c r="C141" s="38" t="s">
        <v>59</v>
      </c>
      <c r="D141" s="42">
        <f>TRUNC(10623,-1)</f>
        <v>10620</v>
      </c>
      <c r="E141" s="63">
        <f t="shared" si="5"/>
        <v>35100</v>
      </c>
    </row>
    <row r="142" spans="1:7" x14ac:dyDescent="0.3">
      <c r="A142" s="2">
        <v>7</v>
      </c>
      <c r="C142" s="38" t="s">
        <v>58</v>
      </c>
      <c r="D142" s="42">
        <f>TRUNC(7214,-1)</f>
        <v>7210</v>
      </c>
      <c r="E142" s="63">
        <f t="shared" si="5"/>
        <v>23830</v>
      </c>
    </row>
    <row r="143" spans="1:7" x14ac:dyDescent="0.3">
      <c r="A143" s="2">
        <v>8</v>
      </c>
      <c r="C143" s="38" t="s">
        <v>62</v>
      </c>
      <c r="D143" s="42">
        <f>TRUNC(4256,-1)</f>
        <v>4250</v>
      </c>
      <c r="E143" s="63">
        <f t="shared" si="5"/>
        <v>14040</v>
      </c>
    </row>
    <row r="144" spans="1:7" x14ac:dyDescent="0.3">
      <c r="A144" s="2">
        <v>9</v>
      </c>
      <c r="C144" s="38" t="s">
        <v>63</v>
      </c>
      <c r="D144" s="42">
        <f>TRUNC(20018,-1)</f>
        <v>20010</v>
      </c>
      <c r="E144" s="63">
        <f t="shared" si="5"/>
        <v>66140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50130</v>
      </c>
      <c r="E146" s="39">
        <f>SUM(E136:E145)</f>
        <v>165670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TRUNC(3548+841,-1)</f>
        <v>4380</v>
      </c>
      <c r="E149" s="62">
        <f>TRUNC(+D149*3.3058,-1)</f>
        <v>14470</v>
      </c>
    </row>
    <row r="150" spans="1:7" x14ac:dyDescent="0.3">
      <c r="A150" s="2">
        <v>2</v>
      </c>
      <c r="C150" s="38" t="s">
        <v>49</v>
      </c>
      <c r="D150" s="42">
        <f>TRUNC(418,-1)</f>
        <v>410</v>
      </c>
      <c r="E150" s="63">
        <f>TRUNC(+D150*3.3058,-1)</f>
        <v>1350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TRUNC(500+653+143+209,-1)</f>
        <v>1500</v>
      </c>
      <c r="E152" s="63">
        <f>TRUNC(+D152*3.3058,-1)</f>
        <v>4950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6290</v>
      </c>
      <c r="E154" s="39">
        <f>SUM(E149:E153)</f>
        <v>20770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TRUNC(14861,-1)</f>
        <v>14860</v>
      </c>
      <c r="E157" s="62">
        <f>TRUNC(+D157*3.3058,-1)</f>
        <v>49120</v>
      </c>
    </row>
    <row r="158" spans="1:7" x14ac:dyDescent="0.3">
      <c r="A158" s="2">
        <v>2</v>
      </c>
      <c r="C158" s="38" t="s">
        <v>52</v>
      </c>
      <c r="D158" s="42">
        <f>TRUNC(1214,-1)</f>
        <v>1210</v>
      </c>
      <c r="E158" s="63">
        <f>TRUNC(+D158*3.3058,-1)</f>
        <v>4000</v>
      </c>
    </row>
    <row r="159" spans="1:7" x14ac:dyDescent="0.3">
      <c r="A159" s="2">
        <v>3</v>
      </c>
      <c r="C159" s="38" t="s">
        <v>47</v>
      </c>
      <c r="D159" s="42">
        <f>TRUNC(3094,-1)</f>
        <v>3090</v>
      </c>
      <c r="E159" s="63">
        <f>TRUNC(+D159*3.3058,-1)</f>
        <v>10210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19160</v>
      </c>
      <c r="E161" s="39">
        <f>SUM(E157:E160)</f>
        <v>63330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2020-12-07T10:08:51Z</dcterms:modified>
</cp:coreProperties>
</file>