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45" i="4"/>
  <c r="E141" i="4"/>
  <c r="E139" i="4"/>
  <c r="E138" i="4"/>
  <c r="E136" i="4"/>
  <c r="E129" i="4"/>
  <c r="E127" i="4"/>
  <c r="E123" i="4"/>
  <c r="E115" i="4"/>
  <c r="E113" i="4"/>
  <c r="E112" i="4"/>
  <c r="E111" i="4"/>
  <c r="E110" i="4"/>
  <c r="E109" i="4"/>
  <c r="E108" i="4"/>
  <c r="E107" i="4"/>
  <c r="E106" i="4"/>
  <c r="E10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5" i="4"/>
  <c r="E64" i="4"/>
  <c r="E63" i="4"/>
  <c r="E66" i="4" s="1"/>
  <c r="E59" i="4"/>
  <c r="E57" i="4"/>
  <c r="E56" i="4"/>
  <c r="E55" i="4"/>
  <c r="E54" i="4"/>
  <c r="E51" i="4"/>
  <c r="E50" i="4"/>
  <c r="E47" i="4"/>
  <c r="E37" i="4"/>
  <c r="D159" i="4" l="1"/>
  <c r="D158" i="4"/>
  <c r="E158" i="4" s="1"/>
  <c r="D157" i="4"/>
  <c r="E157" i="4" s="1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E71" i="4" s="1"/>
  <c r="D70" i="4"/>
  <c r="D69" i="4"/>
  <c r="E69" i="4" s="1"/>
  <c r="D66" i="4"/>
  <c r="D26" i="4" s="1"/>
  <c r="E26" i="4" s="1"/>
  <c r="D58" i="4"/>
  <c r="E58" i="4" s="1"/>
  <c r="D53" i="4"/>
  <c r="E53" i="4" s="1"/>
  <c r="D52" i="4"/>
  <c r="E52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D7" i="4"/>
  <c r="D119" i="4" l="1"/>
  <c r="D28" i="4" s="1"/>
  <c r="E28" i="4" s="1"/>
  <c r="E100" i="4"/>
  <c r="E119" i="4" s="1"/>
  <c r="D60" i="4"/>
  <c r="D25" i="4" s="1"/>
  <c r="E25" i="4" s="1"/>
  <c r="E40" i="4"/>
  <c r="E60" i="4" s="1"/>
  <c r="D133" i="4"/>
  <c r="D29" i="4" s="1"/>
  <c r="E29" i="4" s="1"/>
  <c r="E122" i="4"/>
  <c r="E133" i="4" s="1"/>
  <c r="D161" i="4"/>
  <c r="D32" i="4" s="1"/>
  <c r="E32" i="4" s="1"/>
  <c r="E159" i="4"/>
  <c r="E161" i="4" s="1"/>
  <c r="D154" i="4"/>
  <c r="D31" i="4" s="1"/>
  <c r="E31" i="4" s="1"/>
  <c r="E149" i="4"/>
  <c r="E154" i="4" s="1"/>
  <c r="E24" i="4"/>
  <c r="D95" i="4"/>
  <c r="D27" i="4" s="1"/>
  <c r="E27" i="4" s="1"/>
  <c r="E70" i="4"/>
  <c r="E95" i="4" s="1"/>
  <c r="D146" i="4"/>
  <c r="D30" i="4" s="1"/>
  <c r="E30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<sst xmlns="http://schemas.openxmlformats.org/spreadsheetml/2006/main" count="391" uniqueCount="263">
  <si>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</si>
  <si>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</si>
  <si>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</si>
  <si>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</si>
  <si>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</si>
  <si>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</si>
  <si>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</si>
  <si>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</si>
  <si>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</si>
  <si>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</si>
  <si>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</si>
  <si>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</si>
  <si>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</si>
  <si>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</si>
  <si>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</si>
  <si>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</si>
  <si>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</si>
  <si>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</si>
  <si>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</si>
  <si>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</si>
  <si>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</si>
  <si>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</si>
  <si>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</si>
  <si>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</si>
  <si>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</si>
  <si>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</si>
  <si>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</si>
  <si>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</si>
  <si>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</si>
  <si>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</si>
  <si>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</si>
  <si>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</si>
  <si>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</si>
  <si>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</si>
  <si>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</si>
  <si>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</si>
  <si>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</si>
  <si>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</si>
  <si>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</si>
  <si>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</si>
  <si>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</si>
  <si>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</si>
  <si>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</si>
  <si>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</si>
  <si>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</si>
  <si>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</si>
  <si>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</si>
  <si>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</si>
  <si>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</si>
  <si>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</si>
  <si>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</si>
  <si>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</si>
  <si>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</si>
  <si>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</si>
  <si>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</si>
  <si>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</si>
  <si>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</si>
  <si>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</si>
  <si>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</si>
  <si>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</si>
  <si>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</si>
  <si>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</si>
  <si>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</si>
  <si>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</si>
  <si>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</si>
  <si>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</si>
  <si>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</si>
  <si>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</si>
  <si>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</si>
  <si>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</si>
  <si>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</si>
  <si>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</si>
  <si>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</si>
  <si>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</si>
  <si>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</si>
  <si>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</si>
  <si>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</si>
  <si>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</si>
  <si>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</si>
  <si>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</si>
  <si>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</si>
  <si>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</si>
  <si>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</si>
  <si>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</si>
  <si>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</si>
  <si>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</si>
  <si>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</si>
  <si>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</si>
  <si>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</si>
  <si>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</si>
  <si>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</si>
  <si>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</si>
  <si>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</si>
  <si>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</si>
  <si>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</si>
  <si>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</si>
  <si>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</si>
  <si>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</si>
  <si>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</si>
  <si>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</si>
  <si>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</si>
  <si>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</si>
  <si>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</si>
  <si>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</si>
  <si>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</si>
  <si>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</si>
  <si>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</si>
  <si>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</si>
  <si>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</si>
  <si>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</si>
  <si>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</si>
  <si>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</si>
  <si>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</si>
  <si>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</si>
  <si>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</si>
  <si>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</si>
  <si>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</si>
  <si>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</si>
  <si>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</si>
  <si>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</si>
  <si>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</si>
  <si>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</si>
  <si>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</si>
  <si>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</si>
  <si>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</si>
  <si>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</si>
  <si>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</si>
  <si>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</si>
  <si>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</si>
  <si>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</si>
  <si>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</si>
  <si>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</si>
  <si>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</si>
  <si>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</si>
  <si>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</si>
  <si>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</si>
  <si>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</si>
  <si>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</si>
  <si>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</si>
  <si>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</si>
  <si>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</si>
  <si>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</si>
  <si>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</si>
  <si>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</si>
  <si>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</si>
  <si>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</si>
  <si>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</si>
  <si>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</si>
  <si>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</si>
  <si>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</si>
  <si>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</si>
  <si>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</si>
  <si>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</si>
  <si>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</si>
  <si>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</si>
  <si>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</si>
  <si>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</si>
  <si>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</si>
  <si>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</si>
  <si>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</si>
  <si>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</si>
  <si>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</si>
  <si>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</si>
  <si>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</si>
  <si>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</si>
  <si>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</si>
  <si>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</si>
  <si>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</si>
  <si>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</si>
  <si>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</si>
  <si>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</si>
  <si>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</si>
  <si>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</si>
  <si>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</si>
  <si>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</si>
  <si>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</si>
  <si>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</si>
  <si>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</si>
  <si>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</si>
  <si>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</si>
  <si>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</si>
  <si>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</si>
  <si>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</si>
  <si>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</si>
  <si>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</si>
  <si>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</si>
  <si>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</si>
  <si>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</si>
  <si>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</si>
  <si>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</si>
  <si>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</si>
  <si>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</si>
  <si>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</si>
  <si>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</si>
  <si>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</si>
  <si>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</si>
  <si>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</si>
  <si>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</si>
  <si>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</si>
  <si>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</si>
  <si>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</si>
  <si>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</si>
  <si>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</si>
  <si>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</si>
  <si>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</si>
  <si>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</si>
  <si>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</si>
  <si>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</si>
  <si>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</si>
  <si>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</si>
  <si>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</si>
  <si>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</si>
  <si>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</si>
  <si>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</si>
  <si>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</si>
  <si>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</si>
  <si>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</si>
  <si>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</si>
  <si>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</si>
  <si>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</si>
  <si>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</si>
  <si>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</si>
  <si>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</si>
  <si>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</si>
  <si>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</si>
  <si>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</si>
  <si>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</si>
  <si>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</si>
  <si>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</si>
  <si>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</si>
  <si>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</si>
  <si>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</si>
  <si>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</si>
  <si>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</si>
  <si>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</si>
  <si>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</si>
  <si>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</si>
  <si>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</si>
  <si>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</si>
  <si>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</si>
  <si>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</si>
  <si>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</si>
  <si>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</si>
  <si>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</si>
  <si>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</si>
  <si>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(가칭)가흥초등학교 교사 신축공사</t>
  </si>
  <si>
    <t>교육연구</t>
  </si>
  <si>
    <t>경상도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</si>
  <si>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</si>
  <si>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</si>
  <si>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</si>
  <si>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목공사, 인테리어공사 포함</t>
    <phoneticPr fontId="2" type="noConversion"/>
  </si>
  <si>
    <t>기초공사,골재비및운반비,작업부산물,기타공사</t>
    <phoneticPr fontId="2" type="noConversion"/>
  </si>
  <si>
    <t xml:space="preserve"> 전기인입 및 수변전 설비공사</t>
    <phoneticPr fontId="2" type="noConversion"/>
  </si>
  <si>
    <t>옥외소화배관공사,펌프실배관공사,기타공사</t>
    <phoneticPr fontId="2" type="noConversion"/>
  </si>
  <si>
    <t>토목</t>
    <phoneticPr fontId="2" type="noConversion"/>
  </si>
  <si>
    <t>포장공사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</si>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</sst>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8910.4699999999993</v>
      </c>
      <c r="D7" s="36">
        <f>+C7/3.3058</f>
        <v>2695.4050456772943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912250</v>
      </c>
      <c r="E25" s="59">
        <f t="shared" si="0"/>
        <v>3015710</v>
      </c>
    </row>
    <row r="26" spans="1:5" x14ac:dyDescent="0.3">
      <c r="B26" s="2">
        <v>3</v>
      </c>
      <c r="C26" s="35" t="s">
        <v>95</v>
      </c>
      <c r="D26" s="45">
        <f>+D66</f>
        <v>15040</v>
      </c>
      <c r="E26" s="59">
        <f t="shared" si="0"/>
        <v>49710</v>
      </c>
    </row>
    <row r="27" spans="1:5" x14ac:dyDescent="0.3">
      <c r="B27" s="2">
        <v>4</v>
      </c>
      <c r="C27" s="35" t="s">
        <v>96</v>
      </c>
      <c r="D27" s="45">
        <f>+D95</f>
        <v>156450</v>
      </c>
      <c r="E27" s="59">
        <f t="shared" si="0"/>
        <v>517190</v>
      </c>
    </row>
    <row r="28" spans="1:5" x14ac:dyDescent="0.3">
      <c r="B28" s="2">
        <v>5</v>
      </c>
      <c r="C28" s="35" t="s">
        <v>97</v>
      </c>
      <c r="D28" s="45">
        <f>+D119</f>
        <v>184560</v>
      </c>
      <c r="E28" s="59">
        <f t="shared" si="0"/>
        <v>610110</v>
      </c>
    </row>
    <row r="29" spans="1:5" x14ac:dyDescent="0.3">
      <c r="B29" s="2">
        <v>6</v>
      </c>
      <c r="C29" s="35" t="s">
        <v>98</v>
      </c>
      <c r="D29" s="45">
        <f>+D133</f>
        <v>82740</v>
      </c>
      <c r="E29" s="59">
        <f t="shared" si="0"/>
        <v>273520</v>
      </c>
    </row>
    <row r="30" spans="1:5" x14ac:dyDescent="0.3">
      <c r="B30" s="2">
        <v>7</v>
      </c>
      <c r="C30" s="35" t="s">
        <v>99</v>
      </c>
      <c r="D30" s="45">
        <f>+D146</f>
        <v>28100</v>
      </c>
      <c r="E30" s="59">
        <f t="shared" si="0"/>
        <v>92890</v>
      </c>
    </row>
    <row r="31" spans="1:5" x14ac:dyDescent="0.3">
      <c r="B31" s="2">
        <v>8</v>
      </c>
      <c r="C31" s="35" t="s">
        <v>100</v>
      </c>
      <c r="D31" s="45">
        <f>+D154</f>
        <v>40630</v>
      </c>
      <c r="E31" s="59">
        <f t="shared" si="0"/>
        <v>134310</v>
      </c>
    </row>
    <row r="32" spans="1:5" x14ac:dyDescent="0.3">
      <c r="B32" s="2">
        <v>9</v>
      </c>
      <c r="C32" s="35" t="s">
        <v>101</v>
      </c>
      <c r="D32" s="45">
        <f>+D161</f>
        <v>20390</v>
      </c>
      <c r="E32" s="59">
        <f t="shared" si="0"/>
        <v>67400</v>
      </c>
    </row>
    <row r="33" spans="1:7" x14ac:dyDescent="0.3">
      <c r="B33" s="2">
        <v>10</v>
      </c>
      <c r="C33" s="35" t="s">
        <v>154</v>
      </c>
      <c r="D33" s="53">
        <f>TRUNC(SUM(D24:D32)*0.275,-1)</f>
        <v>396040</v>
      </c>
      <c r="E33" s="60">
        <f t="shared" si="0"/>
        <v>1309220</v>
      </c>
    </row>
    <row r="34" spans="1:7" x14ac:dyDescent="0.3">
      <c r="C34" s="35" t="s">
        <v>112</v>
      </c>
      <c r="D34" s="44">
        <f>TRUNC(SUM(D24:D33),-1)</f>
        <v>1836200</v>
      </c>
      <c r="E34" s="44">
        <f>SUM(E24:E33)</f>
        <v>6070060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257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239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f>TRUNC(49652,-1)</f>
        <v>49650</v>
      </c>
      <c r="E40" s="62">
        <f t="shared" ref="E40:E59" si="1">TRUNC(+D40*3.3058,-1)</f>
        <v>164130</v>
      </c>
    </row>
    <row r="41" spans="1:7" x14ac:dyDescent="0.3">
      <c r="A41" s="2">
        <v>2</v>
      </c>
      <c r="C41" s="38" t="s">
        <v>13</v>
      </c>
      <c r="D41" s="42">
        <f>TRUNC(164760,-1)</f>
        <v>164760</v>
      </c>
      <c r="E41" s="63">
        <f t="shared" si="1"/>
        <v>544660</v>
      </c>
    </row>
    <row r="42" spans="1:7" x14ac:dyDescent="0.3">
      <c r="A42" s="2">
        <v>3</v>
      </c>
      <c r="C42" s="38" t="s">
        <v>14</v>
      </c>
      <c r="D42" s="42">
        <f>TRUNC(7592,-1)</f>
        <v>7590</v>
      </c>
      <c r="E42" s="63">
        <f t="shared" si="1"/>
        <v>25090</v>
      </c>
    </row>
    <row r="43" spans="1:7" x14ac:dyDescent="0.3">
      <c r="A43" s="2">
        <v>4</v>
      </c>
      <c r="C43" s="38" t="s">
        <v>16</v>
      </c>
      <c r="D43" s="42">
        <f>TRUNC(46028,-1)</f>
        <v>46020</v>
      </c>
      <c r="E43" s="63">
        <f t="shared" si="1"/>
        <v>152130</v>
      </c>
    </row>
    <row r="44" spans="1:7" x14ac:dyDescent="0.3">
      <c r="A44" s="2">
        <v>5</v>
      </c>
      <c r="C44" s="38" t="s">
        <v>17</v>
      </c>
      <c r="D44" s="42">
        <f>TRUNC(26759,-1)</f>
        <v>26750</v>
      </c>
      <c r="E44" s="63">
        <f t="shared" si="1"/>
        <v>88430</v>
      </c>
    </row>
    <row r="45" spans="1:7" x14ac:dyDescent="0.3">
      <c r="A45" s="2">
        <v>6</v>
      </c>
      <c r="C45" s="38" t="s">
        <v>18</v>
      </c>
      <c r="D45" s="42">
        <f>TRUNC(13321,-1)</f>
        <v>13320</v>
      </c>
      <c r="E45" s="63">
        <f t="shared" si="1"/>
        <v>44030</v>
      </c>
    </row>
    <row r="46" spans="1:7" x14ac:dyDescent="0.3">
      <c r="A46" s="2">
        <v>7</v>
      </c>
      <c r="C46" s="38" t="s">
        <v>19</v>
      </c>
      <c r="D46" s="42">
        <f>TRUNC(33899,-1)</f>
        <v>33890</v>
      </c>
      <c r="E46" s="63">
        <f t="shared" si="1"/>
        <v>112030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TRUNC(76433,-1)</f>
        <v>76430</v>
      </c>
      <c r="E48" s="63">
        <f t="shared" si="1"/>
        <v>252660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TRUNC(20866,-1)</f>
        <v>20860</v>
      </c>
      <c r="E49" s="63">
        <f t="shared" si="1"/>
        <v>68950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50730</v>
      </c>
      <c r="E51" s="63">
        <f t="shared" si="1"/>
        <v>167700</v>
      </c>
    </row>
    <row r="52" spans="1:7" x14ac:dyDescent="0.3">
      <c r="A52" s="2">
        <v>13</v>
      </c>
      <c r="C52" s="38" t="s">
        <v>24</v>
      </c>
      <c r="D52" s="42">
        <f>TRUNC(9426,-1)</f>
        <v>9420</v>
      </c>
      <c r="E52" s="63">
        <f t="shared" si="1"/>
        <v>31140</v>
      </c>
    </row>
    <row r="53" spans="1:7" x14ac:dyDescent="0.3">
      <c r="A53" s="2">
        <v>14</v>
      </c>
      <c r="C53" s="38" t="s">
        <v>25</v>
      </c>
      <c r="D53" s="42">
        <f>TRUNC(60277,-1)</f>
        <v>60270</v>
      </c>
      <c r="E53" s="63">
        <f t="shared" si="1"/>
        <v>199240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TRUNC(18648+6624-758+26422,-1)</f>
        <v>50930</v>
      </c>
      <c r="E58" s="63">
        <f t="shared" si="1"/>
        <v>168360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v>301630</v>
      </c>
      <c r="E59" s="64">
        <f t="shared" si="1"/>
        <v>997120</v>
      </c>
    </row>
    <row r="60" spans="1:7" x14ac:dyDescent="0.3">
      <c r="A60" s="2">
        <v>21</v>
      </c>
      <c r="C60" s="27" t="s">
        <v>112</v>
      </c>
      <c r="D60" s="39">
        <f>SUM(D40:D59)</f>
        <v>912250</v>
      </c>
      <c r="E60" s="39">
        <f>SUM(E40:E59)</f>
        <v>3015670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257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15040</v>
      </c>
      <c r="E63" s="62">
        <f>TRUNC(+D63*3.3058,-1)</f>
        <v>49710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15040</v>
      </c>
      <c r="E66" s="57">
        <f>SUM(E63:E65)</f>
        <v>49710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257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TRUNC(6398,-1)</f>
        <v>6390</v>
      </c>
      <c r="E69" s="62">
        <f t="shared" ref="E69:E94" si="2">TRUNC(+D69*3.3058,-1)</f>
        <v>21120</v>
      </c>
    </row>
    <row r="70" spans="1:7" ht="16.5" customHeight="1" x14ac:dyDescent="0.3">
      <c r="A70" s="2">
        <v>2</v>
      </c>
      <c r="C70" s="38" t="s">
        <v>31</v>
      </c>
      <c r="D70" s="42">
        <f>TRUNC(1136,-1)</f>
        <v>1130</v>
      </c>
      <c r="E70" s="63">
        <f t="shared" si="2"/>
        <v>3730</v>
      </c>
    </row>
    <row r="71" spans="1:7" x14ac:dyDescent="0.3">
      <c r="A71" s="2">
        <v>3</v>
      </c>
      <c r="C71" s="38" t="s">
        <v>32</v>
      </c>
      <c r="D71" s="42">
        <f>TRUNC(3694,-1)</f>
        <v>3690</v>
      </c>
      <c r="E71" s="63">
        <f t="shared" si="2"/>
        <v>12190</v>
      </c>
    </row>
    <row r="72" spans="1:7" x14ac:dyDescent="0.3">
      <c r="A72" s="2">
        <v>4</v>
      </c>
      <c r="C72" s="38" t="s">
        <v>33</v>
      </c>
      <c r="D72" s="42">
        <f>TRUNC(7295,-1)</f>
        <v>7290</v>
      </c>
      <c r="E72" s="63">
        <f t="shared" si="2"/>
        <v>24090</v>
      </c>
    </row>
    <row r="73" spans="1:7" x14ac:dyDescent="0.3">
      <c r="A73" s="2">
        <v>5</v>
      </c>
      <c r="C73" s="38" t="s">
        <v>34</v>
      </c>
      <c r="D73" s="42">
        <f>TRUNC(15647,-1)</f>
        <v>15640</v>
      </c>
      <c r="E73" s="63">
        <f t="shared" si="2"/>
        <v>51700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TRUNC(5987,-1)</f>
        <v>5980</v>
      </c>
      <c r="E89" s="63">
        <f t="shared" si="2"/>
        <v>19760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TRUNC(5022,-1)</f>
        <v>5020</v>
      </c>
      <c r="E91" s="63">
        <f t="shared" si="2"/>
        <v>16590</v>
      </c>
    </row>
    <row r="92" spans="1:7" x14ac:dyDescent="0.3">
      <c r="A92" s="2">
        <v>24</v>
      </c>
      <c r="C92" s="38" t="s">
        <v>38</v>
      </c>
      <c r="D92" s="42">
        <f>TRUNC(11062,-1)</f>
        <v>11060</v>
      </c>
      <c r="E92" s="63">
        <f t="shared" si="2"/>
        <v>36560</v>
      </c>
    </row>
    <row r="93" spans="1:7" x14ac:dyDescent="0.3">
      <c r="A93" s="2">
        <v>25</v>
      </c>
      <c r="C93" s="38" t="s">
        <v>148</v>
      </c>
      <c r="D93" s="42">
        <f>TRUNC(97679,-1)</f>
        <v>97670</v>
      </c>
      <c r="E93" s="63">
        <f t="shared" si="2"/>
        <v>322870</v>
      </c>
    </row>
    <row r="94" spans="1:7" ht="17.25" thickBot="1" x14ac:dyDescent="0.35">
      <c r="A94" s="2">
        <v>26</v>
      </c>
      <c r="C94" s="38" t="s">
        <v>47</v>
      </c>
      <c r="D94" s="43">
        <f>TRUNC(2585,-1)</f>
        <v>2580</v>
      </c>
      <c r="E94" s="64">
        <f t="shared" si="2"/>
        <v>8520</v>
      </c>
    </row>
    <row r="95" spans="1:7" x14ac:dyDescent="0.3">
      <c r="A95" s="2">
        <v>27</v>
      </c>
      <c r="C95" s="27" t="s">
        <v>112</v>
      </c>
      <c r="D95" s="39">
        <f>SUM(D69:D94)</f>
        <v>156450</v>
      </c>
      <c r="E95" s="39">
        <f>SUM(E69:E94)</f>
        <v>517130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257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TRUNC(11377,-1)</f>
        <v>11370</v>
      </c>
      <c r="E98" s="62">
        <f t="shared" ref="E98:E118" si="3">TRUNC(+D98*3.3058,-1)</f>
        <v>37580</v>
      </c>
    </row>
    <row r="99" spans="1:7" x14ac:dyDescent="0.3">
      <c r="A99" s="2">
        <v>2</v>
      </c>
      <c r="C99" s="38" t="s">
        <v>40</v>
      </c>
      <c r="D99" s="42">
        <f>TRUNC(9098,-1)</f>
        <v>9090</v>
      </c>
      <c r="E99" s="63">
        <f t="shared" si="3"/>
        <v>30040</v>
      </c>
    </row>
    <row r="100" spans="1:7" x14ac:dyDescent="0.3">
      <c r="A100" s="2">
        <v>3</v>
      </c>
      <c r="C100" s="38" t="s">
        <v>41</v>
      </c>
      <c r="D100" s="42">
        <f>TRUNC(18124,-1)</f>
        <v>18120</v>
      </c>
      <c r="E100" s="63">
        <f t="shared" si="3"/>
        <v>59900</v>
      </c>
    </row>
    <row r="101" spans="1:7" x14ac:dyDescent="0.3">
      <c r="A101" s="2">
        <v>4</v>
      </c>
      <c r="C101" s="38" t="s">
        <v>42</v>
      </c>
      <c r="D101" s="42">
        <f>TRUNC(1667,-1)</f>
        <v>1660</v>
      </c>
      <c r="E101" s="63">
        <f t="shared" si="3"/>
        <v>5480</v>
      </c>
    </row>
    <row r="102" spans="1:7" x14ac:dyDescent="0.3">
      <c r="A102" s="2">
        <v>5</v>
      </c>
      <c r="C102" s="38" t="s">
        <v>43</v>
      </c>
      <c r="D102" s="42">
        <f>TRUNC(9362,-1)</f>
        <v>9360</v>
      </c>
      <c r="E102" s="63">
        <f t="shared" si="3"/>
        <v>30940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TRUNC(838,-1)</f>
        <v>830</v>
      </c>
      <c r="E104" s="63">
        <f t="shared" si="3"/>
        <v>2740</v>
      </c>
    </row>
    <row r="105" spans="1:7" x14ac:dyDescent="0.3">
      <c r="A105" s="2">
        <v>8</v>
      </c>
      <c r="C105" s="38" t="s">
        <v>46</v>
      </c>
      <c r="D105" s="42">
        <f>TRUNC(5888,-1)</f>
        <v>5880</v>
      </c>
      <c r="E105" s="63">
        <f t="shared" si="3"/>
        <v>19430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TRUNC(3454,-1)</f>
        <v>3450</v>
      </c>
      <c r="E114" s="63">
        <f t="shared" si="3"/>
        <v>11400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TRUNC(1728,-1)</f>
        <v>1720</v>
      </c>
      <c r="E116" s="63">
        <f t="shared" si="3"/>
        <v>5680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TRUNC(109565,-1)</f>
        <v>109560</v>
      </c>
      <c r="E117" s="63">
        <f t="shared" si="3"/>
        <v>362180</v>
      </c>
    </row>
    <row r="118" spans="1:7" ht="17.25" thickBot="1" x14ac:dyDescent="0.35">
      <c r="A118" s="2">
        <v>21</v>
      </c>
      <c r="C118" s="38" t="s">
        <v>47</v>
      </c>
      <c r="D118" s="43">
        <f>TRUNC(13523,-1)</f>
        <v>13520</v>
      </c>
      <c r="E118" s="64">
        <f t="shared" si="3"/>
        <v>44690</v>
      </c>
    </row>
    <row r="119" spans="1:7" x14ac:dyDescent="0.3">
      <c r="A119" s="2">
        <v>22</v>
      </c>
      <c r="C119" s="27" t="s">
        <v>112</v>
      </c>
      <c r="D119" s="39">
        <f>SUM(D98:D118)</f>
        <v>184560</v>
      </c>
      <c r="E119" s="39">
        <f>SUM(E98:E118)</f>
        <v>610060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257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TRUNC(512,-1)</f>
        <v>510</v>
      </c>
      <c r="E122" s="62">
        <f t="shared" ref="E122:E132" si="4">TRUNC(+D122*3.3058,-1)</f>
        <v>1680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TRUNC(573,-1)</f>
        <v>570</v>
      </c>
      <c r="E124" s="63">
        <f t="shared" si="4"/>
        <v>1880</v>
      </c>
    </row>
    <row r="125" spans="1:7" x14ac:dyDescent="0.3">
      <c r="A125" s="2">
        <v>4</v>
      </c>
      <c r="C125" s="38" t="s">
        <v>138</v>
      </c>
      <c r="D125" s="42">
        <f>TRUNC(5443,-1)</f>
        <v>5440</v>
      </c>
      <c r="E125" s="63">
        <f t="shared" si="4"/>
        <v>17980</v>
      </c>
    </row>
    <row r="126" spans="1:7" x14ac:dyDescent="0.3">
      <c r="A126" s="2">
        <v>5</v>
      </c>
      <c r="C126" s="38" t="s">
        <v>53</v>
      </c>
      <c r="D126" s="42">
        <f>TRUNC(1087,-1)</f>
        <v>1080</v>
      </c>
      <c r="E126" s="63">
        <f t="shared" si="4"/>
        <v>3570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TRUNC(4004,-1)</f>
        <v>4000</v>
      </c>
      <c r="E128" s="63">
        <f t="shared" si="4"/>
        <v>13220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TRUNC(15511,-1)</f>
        <v>15510</v>
      </c>
      <c r="E130" s="63">
        <f t="shared" si="4"/>
        <v>51270</v>
      </c>
    </row>
    <row r="131" spans="1:7" x14ac:dyDescent="0.3">
      <c r="A131" s="2">
        <v>10</v>
      </c>
      <c r="C131" s="38" t="s">
        <v>148</v>
      </c>
      <c r="D131" s="42">
        <f>TRUNC(51767,-1)</f>
        <v>51760</v>
      </c>
      <c r="E131" s="63">
        <f t="shared" si="4"/>
        <v>171100</v>
      </c>
    </row>
    <row r="132" spans="1:7" ht="17.25" thickBot="1" x14ac:dyDescent="0.35">
      <c r="A132" s="2">
        <v>11</v>
      </c>
      <c r="C132" s="38" t="s">
        <v>47</v>
      </c>
      <c r="D132" s="43">
        <f>TRUNC(3878,-1)</f>
        <v>3870</v>
      </c>
      <c r="E132" s="64">
        <f t="shared" si="4"/>
        <v>12790</v>
      </c>
    </row>
    <row r="133" spans="1:7" x14ac:dyDescent="0.3">
      <c r="A133" s="2">
        <v>12</v>
      </c>
      <c r="C133" s="27" t="s">
        <v>112</v>
      </c>
      <c r="D133" s="39">
        <f>SUM(D122:D132)</f>
        <v>82740</v>
      </c>
      <c r="E133" s="39">
        <f>SUM(E122:E132)</f>
        <v>273490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257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TRUNC(187+2176+749,-1)</f>
        <v>3110</v>
      </c>
      <c r="E137" s="63">
        <f t="shared" si="5"/>
        <v>10280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TRUNC(1199,-1)</f>
        <v>1190</v>
      </c>
      <c r="E140" s="63">
        <f t="shared" si="5"/>
        <v>3930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TRUNC(7272,-1)</f>
        <v>7270</v>
      </c>
      <c r="E142" s="63">
        <f t="shared" si="5"/>
        <v>24030</v>
      </c>
    </row>
    <row r="143" spans="1:7" x14ac:dyDescent="0.3">
      <c r="A143" s="2">
        <v>8</v>
      </c>
      <c r="C143" s="38" t="s">
        <v>62</v>
      </c>
      <c r="D143" s="42">
        <f>TRUNC(2853,-1)</f>
        <v>2850</v>
      </c>
      <c r="E143" s="63">
        <f t="shared" si="5"/>
        <v>9420</v>
      </c>
    </row>
    <row r="144" spans="1:7" x14ac:dyDescent="0.3">
      <c r="A144" s="2">
        <v>9</v>
      </c>
      <c r="C144" s="38" t="s">
        <v>63</v>
      </c>
      <c r="D144" s="42">
        <f>TRUNC(13688,-1)</f>
        <v>13680</v>
      </c>
      <c r="E144" s="63">
        <f t="shared" si="5"/>
        <v>45220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28100</v>
      </c>
      <c r="E146" s="39">
        <f>SUM(E136:E145)</f>
        <v>92880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257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TRUNC(5502+4370,-1)</f>
        <v>9870</v>
      </c>
      <c r="E149" s="62">
        <f>TRUNC(+D149*3.3058,-1)</f>
        <v>32620</v>
      </c>
      <c r="F149" s="2" t="s">
        <v>255</v>
      </c>
    </row>
    <row r="150" spans="1:7" x14ac:dyDescent="0.3">
      <c r="A150" s="2">
        <v>2</v>
      </c>
      <c r="C150" s="38" t="s">
        <v>49</v>
      </c>
      <c r="D150" s="42">
        <f>TRUNC(11371,-1)</f>
        <v>11370</v>
      </c>
      <c r="E150" s="63">
        <f>TRUNC(+D150*3.3058,-1)</f>
        <v>37580</v>
      </c>
      <c r="F150" s="2" t="s">
        <v>255</v>
      </c>
    </row>
    <row r="151" spans="1:7" x14ac:dyDescent="0.3">
      <c r="A151" s="2">
        <v>3</v>
      </c>
      <c r="C151" s="38" t="s">
        <v>50</v>
      </c>
      <c r="D151" s="42">
        <f>TRUNC(16318,-1)</f>
        <v>16310</v>
      </c>
      <c r="E151" s="63">
        <f>TRUNC(+D151*3.3058,-1)</f>
        <v>53910</v>
      </c>
      <c r="F151" s="2" t="s">
        <v>255</v>
      </c>
    </row>
    <row r="152" spans="1:7" x14ac:dyDescent="0.3">
      <c r="A152" s="2">
        <v>4</v>
      </c>
      <c r="C152" s="38" t="s">
        <v>47</v>
      </c>
      <c r="D152" s="42">
        <f>TRUNC(3081,-1)</f>
        <v>3080</v>
      </c>
      <c r="E152" s="63">
        <f>TRUNC(+D152*3.3058,-1)</f>
        <v>10180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40630</v>
      </c>
      <c r="E154" s="39">
        <f>SUM(E149:E153)</f>
        <v>134290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257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TRUNC(13151,-1)</f>
        <v>13150</v>
      </c>
      <c r="E157" s="62">
        <f>TRUNC(+D157*3.3058,-1)</f>
        <v>43470</v>
      </c>
    </row>
    <row r="158" spans="1:7" x14ac:dyDescent="0.3">
      <c r="A158" s="2">
        <v>2</v>
      </c>
      <c r="C158" s="38" t="s">
        <v>52</v>
      </c>
      <c r="D158" s="42">
        <f>TRUNC(6271,-1)</f>
        <v>6270</v>
      </c>
      <c r="E158" s="63">
        <f>TRUNC(+D158*3.3058,-1)</f>
        <v>20720</v>
      </c>
    </row>
    <row r="159" spans="1:7" x14ac:dyDescent="0.3">
      <c r="A159" s="2">
        <v>3</v>
      </c>
      <c r="C159" s="38" t="s">
        <v>47</v>
      </c>
      <c r="D159" s="42">
        <f>TRUNC(977,-1)</f>
        <v>970</v>
      </c>
      <c r="E159" s="63">
        <f>TRUNC(+D159*3.3058,-1)</f>
        <v>3200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20390</v>
      </c>
      <c r="E161" s="39">
        <f>SUM(E157:E160)</f>
        <v>67390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2020-12-07T10:14:49Z</dcterms:modified>
</cp:coreProperties>
</file>