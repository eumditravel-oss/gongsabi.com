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44" i="4" l="1"/>
  <c r="D143" i="4"/>
  <c r="D142" i="4"/>
  <c r="D140" i="4"/>
  <c r="D137" i="4"/>
  <c r="D132" i="4"/>
  <c r="D131" i="4"/>
  <c r="D130" i="4"/>
  <c r="D127" i="4"/>
  <c r="D124" i="4"/>
  <c r="D122" i="4"/>
  <c r="D118" i="4"/>
  <c r="D117" i="4"/>
  <c r="D104" i="4"/>
  <c r="D102" i="4"/>
  <c r="D100" i="4"/>
  <c r="D99" i="4"/>
  <c r="D98" i="4"/>
  <c r="D94" i="4"/>
  <c r="D93" i="4"/>
  <c r="D92" i="4"/>
  <c r="D91" i="4"/>
  <c r="D90" i="4"/>
  <c r="D89" i="4"/>
  <c r="D73" i="4"/>
  <c r="D72" i="4"/>
  <c r="D71" i="4"/>
  <c r="D70" i="4"/>
  <c r="D69" i="4"/>
  <c r="D59" i="4"/>
  <c r="D58" i="4"/>
  <c r="D53" i="4"/>
  <c r="D52" i="4"/>
  <c r="D50" i="4"/>
  <c r="D49" i="4"/>
  <c r="D48" i="4"/>
  <c r="D46" i="4"/>
  <c r="D45" i="4"/>
  <c r="D44" i="4"/>
  <c r="D43" i="4"/>
  <c r="D41" i="4"/>
  <c r="D40" i="4"/>
  <c r="E160" i="4" l="1"/>
  <c r="E159" i="4"/>
  <c r="E158" i="4"/>
  <c r="E157" i="4"/>
  <c r="E153" i="4"/>
  <c r="E152" i="4"/>
  <c r="E151" i="4"/>
  <c r="E150" i="4"/>
  <c r="E149" i="4"/>
  <c r="E154" i="4" s="1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66" i="4"/>
  <c r="E146" i="4"/>
  <c r="E133" i="4"/>
  <c r="E119" i="4"/>
  <c r="E95" i="4"/>
  <c r="E60" i="4"/>
  <c r="D161" i="4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1" i="4"/>
  <c r="E31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<sst xmlns="http://schemas.openxmlformats.org/spreadsheetml/2006/main" count="391" uniqueCount="267">
  <si>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</si>
  <si>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</si>
  <si>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</si>
  <si>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</si>
  <si>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</si>
  <si>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</si>
  <si>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</si>
  <si>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</si>
  <si>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</si>
  <si>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</si>
  <si>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</si>
  <si>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</si>
  <si>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</si>
  <si>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</si>
  <si>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</si>
  <si>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</si>
  <si>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</si>
  <si>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</si>
  <si>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</si>
  <si>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</si>
  <si>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</si>
  <si>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</si>
  <si>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</si>
  <si>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</si>
  <si>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</si>
  <si>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</si>
  <si>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</si>
  <si>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</si>
  <si>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</si>
  <si>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</si>
  <si>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</si>
  <si>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</si>
  <si>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</si>
  <si>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</si>
  <si>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</si>
  <si>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</si>
  <si>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</si>
  <si>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</si>
  <si>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</si>
  <si>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</si>
  <si>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</si>
  <si>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</si>
  <si>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</si>
  <si>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</si>
  <si>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</si>
  <si>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</si>
  <si>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</si>
  <si>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</si>
  <si>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</si>
  <si>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</si>
  <si>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</si>
  <si>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</si>
  <si>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</si>
  <si>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</si>
  <si>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</si>
  <si>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</si>
  <si>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</si>
  <si>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</si>
  <si>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</si>
  <si>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</si>
  <si>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</si>
  <si>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</si>
  <si>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</si>
  <si>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</si>
  <si>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</si>
  <si>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</si>
  <si>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</si>
  <si>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</si>
  <si>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</si>
  <si>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</si>
  <si>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</si>
  <si>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</si>
  <si>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</si>
  <si>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</si>
  <si>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</si>
  <si>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</si>
  <si>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</si>
  <si>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</si>
  <si>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</si>
  <si>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</si>
  <si>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</si>
  <si>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</si>
  <si>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</si>
  <si>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</si>
  <si>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</si>
  <si>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</si>
  <si>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</si>
  <si>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</si>
  <si>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</si>
  <si>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</si>
  <si>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</si>
  <si>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</si>
  <si>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</si>
  <si>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</si>
  <si>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</si>
  <si>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</si>
  <si>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</si>
  <si>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</si>
  <si>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</si>
  <si>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</si>
  <si>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</si>
  <si>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</si>
  <si>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</si>
  <si>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</si>
  <si>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</si>
  <si>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</si>
  <si>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</si>
  <si>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</si>
  <si>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</si>
  <si>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</si>
  <si>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</si>
  <si>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</si>
  <si>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</si>
  <si>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</si>
  <si>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</si>
  <si>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</si>
  <si>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</si>
  <si>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</si>
  <si>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</si>
  <si>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</si>
  <si>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</si>
  <si>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</si>
  <si>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</si>
  <si>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</si>
  <si>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</si>
  <si>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</si>
  <si>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</si>
  <si>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</si>
  <si>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</si>
  <si>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</si>
  <si>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</si>
  <si>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</si>
  <si>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</si>
  <si>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</si>
  <si>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</si>
  <si>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</si>
  <si>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</si>
  <si>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</si>
  <si>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</si>
  <si>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</si>
  <si>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</si>
  <si>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</si>
  <si>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</si>
  <si>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</si>
  <si>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</si>
  <si>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</si>
  <si>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</si>
  <si>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</si>
  <si>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</si>
  <si>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</si>
  <si>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</si>
  <si>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</si>
  <si>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</si>
  <si>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</si>
  <si>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</si>
  <si>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</si>
  <si>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</si>
  <si>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</si>
  <si>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</si>
  <si>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</si>
  <si>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</si>
  <si>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</si>
  <si>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</si>
  <si>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</si>
  <si>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</si>
  <si>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</si>
  <si>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</si>
  <si>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</si>
  <si>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</si>
  <si>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</si>
  <si>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</si>
  <si>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</si>
  <si>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</si>
  <si>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</si>
  <si>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</si>
  <si>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</si>
  <si>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</si>
  <si>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</si>
  <si>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</si>
  <si>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</si>
  <si>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</si>
  <si>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</si>
  <si>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</si>
  <si>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</si>
  <si>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</si>
  <si>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</si>
  <si>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</si>
  <si>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</si>
  <si>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</si>
  <si>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</si>
  <si>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</si>
  <si>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</si>
  <si>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</si>
  <si>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</si>
  <si>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</si>
  <si>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</si>
  <si>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</si>
  <si>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</si>
  <si>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</si>
  <si>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</si>
  <si>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</si>
  <si>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</si>
  <si>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</si>
  <si>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</si>
  <si>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</si>
  <si>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</si>
  <si>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</si>
  <si>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</si>
  <si>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</si>
  <si>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</si>
  <si>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</si>
  <si>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</si>
  <si>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</si>
  <si>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</si>
  <si>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</si>
  <si>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</si>
  <si>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</si>
  <si>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</si>
  <si>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</si>
  <si>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</si>
  <si>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</si>
  <si>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</si>
  <si>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</si>
  <si>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</si>
  <si>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</si>
  <si>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</si>
  <si>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</si>
  <si>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</si>
  <si>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</si>
  <si>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</si>
  <si>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</si>
  <si>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</si>
  <si>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</si>
  <si>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</si>
  <si>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</si>
  <si>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</si>
  <si>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</si>
  <si>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</si>
  <si>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</si>
  <si>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</si>
  <si>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</si>
  <si>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</si>
  <si>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</si>
  <si>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</si>
  <si>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</si>
  <si>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</si>
  <si>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</si>
  <si>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</si>
  <si>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</si>
  <si>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</si>
  <si>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</si>
  <si>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</si>
  <si>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</si>
  <si>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</si>
  <si>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운반비, 기타공사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</si>
  <si>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</si>
  <si>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</si>
  <si>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경인연안VTS 관제센터 신축공사</t>
  </si>
  <si>
    <t>기타</t>
  </si>
  <si>
    <t>인천시</t>
  </si>
  <si>
    <t>기초공사, 해체및철거공사, 골재비및운반비, 작업부산물, 기타공사</t>
    <phoneticPr fontId="2" type="noConversion"/>
  </si>
  <si>
    <t>바닥난방공사,기타공사</t>
    <phoneticPr fontId="2" type="noConversion"/>
  </si>
  <si>
    <t>CCTV설비공사</t>
    <phoneticPr fontId="2" type="noConversion"/>
  </si>
  <si>
    <t>펌프실배관공사,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</si>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</sst>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1826.66</v>
      </c>
      <c r="D7" s="36">
        <f>+C7/3.3058</f>
        <v>552.56216347026441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1509750</v>
      </c>
      <c r="E25" s="59">
        <f t="shared" si="0"/>
        <v>4990930</v>
      </c>
    </row>
    <row r="26" spans="1:5" x14ac:dyDescent="0.3">
      <c r="B26" s="2">
        <v>3</v>
      </c>
      <c r="C26" s="35" t="s">
        <v>95</v>
      </c>
      <c r="D26" s="45">
        <f>+D66</f>
        <v>65380</v>
      </c>
      <c r="E26" s="59">
        <f t="shared" si="0"/>
        <v>216130</v>
      </c>
    </row>
    <row r="27" spans="1:5" x14ac:dyDescent="0.3">
      <c r="B27" s="2">
        <v>4</v>
      </c>
      <c r="C27" s="35" t="s">
        <v>96</v>
      </c>
      <c r="D27" s="45">
        <f>+D95</f>
        <v>294900</v>
      </c>
      <c r="E27" s="59">
        <f t="shared" si="0"/>
        <v>974880</v>
      </c>
    </row>
    <row r="28" spans="1:5" x14ac:dyDescent="0.3">
      <c r="B28" s="2">
        <v>5</v>
      </c>
      <c r="C28" s="35" t="s">
        <v>97</v>
      </c>
      <c r="D28" s="45">
        <f>+D119</f>
        <v>507600</v>
      </c>
      <c r="E28" s="59">
        <f t="shared" si="0"/>
        <v>1678020</v>
      </c>
    </row>
    <row r="29" spans="1:5" x14ac:dyDescent="0.3">
      <c r="B29" s="2">
        <v>6</v>
      </c>
      <c r="C29" s="35" t="s">
        <v>98</v>
      </c>
      <c r="D29" s="45">
        <f>+D133</f>
        <v>183450</v>
      </c>
      <c r="E29" s="59">
        <f t="shared" si="0"/>
        <v>606440</v>
      </c>
    </row>
    <row r="30" spans="1:5" x14ac:dyDescent="0.3">
      <c r="B30" s="2">
        <v>7</v>
      </c>
      <c r="C30" s="35" t="s">
        <v>99</v>
      </c>
      <c r="D30" s="45">
        <f>+D146</f>
        <v>58540</v>
      </c>
      <c r="E30" s="59">
        <f t="shared" si="0"/>
        <v>193520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720390</v>
      </c>
      <c r="E33" s="60">
        <f t="shared" si="0"/>
        <v>2381460</v>
      </c>
    </row>
    <row r="34" spans="1:7" x14ac:dyDescent="0.3">
      <c r="C34" s="35" t="s">
        <v>112</v>
      </c>
      <c r="D34" s="44">
        <f>SUM(D24:D33)</f>
        <v>3340010</v>
      </c>
      <c r="E34" s="44">
        <f>SUM(E24:E33)</f>
        <v>11041380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248</v>
      </c>
      <c r="D39" s="57" t="s">
        <v>249</v>
      </c>
      <c r="E39" s="57" t="s">
        <v>250</v>
      </c>
      <c r="G39" s="55"/>
    </row>
    <row r="40" spans="1:7" x14ac:dyDescent="0.3">
      <c r="A40" s="2">
        <v>1</v>
      </c>
      <c r="C40" s="38" t="s">
        <v>15</v>
      </c>
      <c r="D40" s="40">
        <f>TRUNC(70289,-1)</f>
        <v>70280</v>
      </c>
      <c r="E40" s="62">
        <f t="shared" ref="E40:E59" si="1">TRUNC(+D40*3.3058,-1)</f>
        <v>232330</v>
      </c>
    </row>
    <row r="41" spans="1:7" x14ac:dyDescent="0.3">
      <c r="A41" s="2">
        <v>2</v>
      </c>
      <c r="C41" s="38" t="s">
        <v>13</v>
      </c>
      <c r="D41" s="42">
        <f>TRUNC(218575,-1)</f>
        <v>218570</v>
      </c>
      <c r="E41" s="63">
        <f t="shared" si="1"/>
        <v>722540</v>
      </c>
    </row>
    <row r="42" spans="1:7" x14ac:dyDescent="0.3">
      <c r="A42" s="2">
        <v>3</v>
      </c>
      <c r="C42" s="38" t="s">
        <v>14</v>
      </c>
      <c r="D42" s="42">
        <v>239240</v>
      </c>
      <c r="E42" s="63">
        <f t="shared" si="1"/>
        <v>790870</v>
      </c>
    </row>
    <row r="43" spans="1:7" x14ac:dyDescent="0.3">
      <c r="A43" s="2">
        <v>4</v>
      </c>
      <c r="C43" s="38" t="s">
        <v>16</v>
      </c>
      <c r="D43" s="42">
        <f>TRUNC(14043,-1)</f>
        <v>14040</v>
      </c>
      <c r="E43" s="63">
        <f t="shared" si="1"/>
        <v>46410</v>
      </c>
    </row>
    <row r="44" spans="1:7" x14ac:dyDescent="0.3">
      <c r="A44" s="2">
        <v>5</v>
      </c>
      <c r="C44" s="38" t="s">
        <v>17</v>
      </c>
      <c r="D44" s="42">
        <f>TRUNC(32016,-1)</f>
        <v>32010</v>
      </c>
      <c r="E44" s="63">
        <f t="shared" si="1"/>
        <v>105810</v>
      </c>
    </row>
    <row r="45" spans="1:7" x14ac:dyDescent="0.3">
      <c r="A45" s="2">
        <v>6</v>
      </c>
      <c r="C45" s="38" t="s">
        <v>18</v>
      </c>
      <c r="D45" s="42">
        <f>TRUNC(13762,-1)</f>
        <v>13760</v>
      </c>
      <c r="E45" s="63">
        <f t="shared" si="1"/>
        <v>45480</v>
      </c>
    </row>
    <row r="46" spans="1:7" x14ac:dyDescent="0.3">
      <c r="A46" s="2">
        <v>7</v>
      </c>
      <c r="C46" s="38" t="s">
        <v>19</v>
      </c>
      <c r="D46" s="42">
        <f>TRUNC(173598,-1)</f>
        <v>173590</v>
      </c>
      <c r="E46" s="63">
        <f t="shared" si="1"/>
        <v>573850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TRUNC(74405,-1)</f>
        <v>74400</v>
      </c>
      <c r="E48" s="63">
        <f t="shared" si="1"/>
        <v>245950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TRUNC(37486,-1)</f>
        <v>37480</v>
      </c>
      <c r="E49" s="63">
        <f t="shared" si="1"/>
        <v>123900</v>
      </c>
    </row>
    <row r="50" spans="1:7" x14ac:dyDescent="0.3">
      <c r="A50" s="2">
        <v>11</v>
      </c>
      <c r="C50" s="38" t="s">
        <v>155</v>
      </c>
      <c r="D50" s="42">
        <f>TRUNC(62022,-1)</f>
        <v>62020</v>
      </c>
      <c r="E50" s="63">
        <f t="shared" si="1"/>
        <v>205020</v>
      </c>
      <c r="F50" s="2" t="s">
        <v>255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TRUNC(28308,-1)</f>
        <v>28300</v>
      </c>
      <c r="E52" s="63">
        <f t="shared" si="1"/>
        <v>93550</v>
      </c>
    </row>
    <row r="53" spans="1:7" x14ac:dyDescent="0.3">
      <c r="A53" s="2">
        <v>14</v>
      </c>
      <c r="C53" s="38" t="s">
        <v>25</v>
      </c>
      <c r="D53" s="42">
        <f>TRUNC(129845,-1)</f>
        <v>129840</v>
      </c>
      <c r="E53" s="63">
        <f t="shared" si="1"/>
        <v>429220</v>
      </c>
      <c r="F53" s="2" t="s">
        <v>256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TRUNC(60002+46519+33162-1512+53788,-1)</f>
        <v>191950</v>
      </c>
      <c r="E58" s="63">
        <f t="shared" si="1"/>
        <v>634540</v>
      </c>
      <c r="F58" s="2" t="s">
        <v>260</v>
      </c>
    </row>
    <row r="59" spans="1:7" ht="17.25" thickBot="1" x14ac:dyDescent="0.35">
      <c r="A59" s="2">
        <v>20</v>
      </c>
      <c r="C59" s="38" t="s">
        <v>148</v>
      </c>
      <c r="D59" s="43">
        <f>TRUNC(224271,-1)</f>
        <v>224270</v>
      </c>
      <c r="E59" s="64">
        <f t="shared" si="1"/>
        <v>741390</v>
      </c>
    </row>
    <row r="60" spans="1:7" x14ac:dyDescent="0.3">
      <c r="A60" s="2">
        <v>21</v>
      </c>
      <c r="C60" s="27" t="s">
        <v>112</v>
      </c>
      <c r="D60" s="39">
        <f>SUM(D40:D59)</f>
        <v>1509750</v>
      </c>
      <c r="E60" s="39">
        <f>SUM(E40:E59)</f>
        <v>4990860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65380</v>
      </c>
      <c r="E65" s="64">
        <f>TRUNC(+D65*3.3058,-1)</f>
        <v>216130</v>
      </c>
    </row>
    <row r="66" spans="1:7" x14ac:dyDescent="0.3">
      <c r="A66" s="2">
        <v>4</v>
      </c>
      <c r="C66" s="27" t="s">
        <v>112</v>
      </c>
      <c r="D66" s="39">
        <f>SUM(D63:D65)</f>
        <v>65380</v>
      </c>
      <c r="E66" s="65">
        <f>SUM(E63:E65)</f>
        <v>216130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TRUNC(15509,-1)</f>
        <v>15500</v>
      </c>
      <c r="E69" s="62">
        <f t="shared" ref="E69:E94" si="2">TRUNC(+D69*3.3058,-1)</f>
        <v>51230</v>
      </c>
    </row>
    <row r="70" spans="1:7" ht="16.5" customHeight="1" x14ac:dyDescent="0.3">
      <c r="A70" s="2">
        <v>2</v>
      </c>
      <c r="C70" s="38" t="s">
        <v>31</v>
      </c>
      <c r="D70" s="42">
        <f>TRUNC(3022,-1)</f>
        <v>3020</v>
      </c>
      <c r="E70" s="63">
        <f t="shared" si="2"/>
        <v>9980</v>
      </c>
    </row>
    <row r="71" spans="1:7" x14ac:dyDescent="0.3">
      <c r="A71" s="2">
        <v>3</v>
      </c>
      <c r="C71" s="38" t="s">
        <v>32</v>
      </c>
      <c r="D71" s="42">
        <f>TRUNC(8209,-1)</f>
        <v>8200</v>
      </c>
      <c r="E71" s="63">
        <f t="shared" si="2"/>
        <v>27100</v>
      </c>
    </row>
    <row r="72" spans="1:7" x14ac:dyDescent="0.3">
      <c r="A72" s="2">
        <v>4</v>
      </c>
      <c r="C72" s="38" t="s">
        <v>33</v>
      </c>
      <c r="D72" s="42">
        <f>TRUNC(962,-1)</f>
        <v>960</v>
      </c>
      <c r="E72" s="63">
        <f t="shared" si="2"/>
        <v>3170</v>
      </c>
    </row>
    <row r="73" spans="1:7" x14ac:dyDescent="0.3">
      <c r="A73" s="2">
        <v>5</v>
      </c>
      <c r="C73" s="38" t="s">
        <v>34</v>
      </c>
      <c r="D73" s="42">
        <f>TRUNC(10161,-1)</f>
        <v>10160</v>
      </c>
      <c r="E73" s="63">
        <f t="shared" si="2"/>
        <v>33580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TRUNC(7622,-1)</f>
        <v>7620</v>
      </c>
      <c r="E89" s="63">
        <f t="shared" si="2"/>
        <v>25190</v>
      </c>
    </row>
    <row r="90" spans="1:7" x14ac:dyDescent="0.3">
      <c r="A90" s="2">
        <v>22</v>
      </c>
      <c r="C90" s="38" t="s">
        <v>36</v>
      </c>
      <c r="D90" s="42">
        <f>TRUNC(2415,-1)</f>
        <v>2410</v>
      </c>
      <c r="E90" s="63">
        <f t="shared" si="2"/>
        <v>7960</v>
      </c>
    </row>
    <row r="91" spans="1:7" x14ac:dyDescent="0.3">
      <c r="A91" s="2">
        <v>23</v>
      </c>
      <c r="C91" s="38" t="s">
        <v>37</v>
      </c>
      <c r="D91" s="42">
        <f>TRUNC(4908,-1)</f>
        <v>4900</v>
      </c>
      <c r="E91" s="63">
        <f t="shared" si="2"/>
        <v>16190</v>
      </c>
    </row>
    <row r="92" spans="1:7" x14ac:dyDescent="0.3">
      <c r="A92" s="2">
        <v>24</v>
      </c>
      <c r="C92" s="38" t="s">
        <v>38</v>
      </c>
      <c r="D92" s="42">
        <f>TRUNC(9032,-1)</f>
        <v>9030</v>
      </c>
      <c r="E92" s="63">
        <f t="shared" si="2"/>
        <v>29850</v>
      </c>
    </row>
    <row r="93" spans="1:7" x14ac:dyDescent="0.3">
      <c r="A93" s="2">
        <v>25</v>
      </c>
      <c r="C93" s="38" t="s">
        <v>148</v>
      </c>
      <c r="D93" s="42">
        <f>TRUNC(90226,-1)</f>
        <v>90220</v>
      </c>
      <c r="E93" s="63">
        <f t="shared" si="2"/>
        <v>298240</v>
      </c>
    </row>
    <row r="94" spans="1:7" ht="17.25" thickBot="1" x14ac:dyDescent="0.35">
      <c r="A94" s="2">
        <v>26</v>
      </c>
      <c r="C94" s="38" t="s">
        <v>47</v>
      </c>
      <c r="D94" s="43">
        <f>TRUNC(1439+141444,-1)</f>
        <v>142880</v>
      </c>
      <c r="E94" s="64">
        <f t="shared" si="2"/>
        <v>472330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294900</v>
      </c>
      <c r="E95" s="39">
        <f>SUM(E69:E94)</f>
        <v>974820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TRUNC(23988,-1)</f>
        <v>23980</v>
      </c>
      <c r="E98" s="62">
        <f t="shared" ref="E98:E118" si="3">TRUNC(+D98*3.3058,-1)</f>
        <v>79270</v>
      </c>
    </row>
    <row r="99" spans="1:7" x14ac:dyDescent="0.3">
      <c r="A99" s="2">
        <v>2</v>
      </c>
      <c r="C99" s="38" t="s">
        <v>40</v>
      </c>
      <c r="D99" s="42">
        <f>TRUNC(23988,-1)</f>
        <v>23980</v>
      </c>
      <c r="E99" s="63">
        <f t="shared" si="3"/>
        <v>79270</v>
      </c>
    </row>
    <row r="100" spans="1:7" x14ac:dyDescent="0.3">
      <c r="A100" s="2">
        <v>3</v>
      </c>
      <c r="C100" s="38" t="s">
        <v>41</v>
      </c>
      <c r="D100" s="42">
        <f>TRUNC(50385,-1)</f>
        <v>50380</v>
      </c>
      <c r="E100" s="63">
        <f t="shared" si="3"/>
        <v>166540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TRUNC(22489,-1)</f>
        <v>22480</v>
      </c>
      <c r="E102" s="63">
        <f t="shared" si="3"/>
        <v>74310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TRUNC(1523,-1)</f>
        <v>1520</v>
      </c>
      <c r="E104" s="63">
        <f t="shared" si="3"/>
        <v>5020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43460</v>
      </c>
      <c r="E116" s="63">
        <f t="shared" si="3"/>
        <v>143670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TRUNC(321323,-1)</f>
        <v>321320</v>
      </c>
      <c r="E117" s="63">
        <f t="shared" si="3"/>
        <v>1062210</v>
      </c>
    </row>
    <row r="118" spans="1:7" ht="17.25" thickBot="1" x14ac:dyDescent="0.35">
      <c r="A118" s="2">
        <v>21</v>
      </c>
      <c r="C118" s="38" t="s">
        <v>47</v>
      </c>
      <c r="D118" s="43">
        <f>TRUNC(20485,-1)</f>
        <v>20480</v>
      </c>
      <c r="E118" s="64">
        <f t="shared" si="3"/>
        <v>67700</v>
      </c>
    </row>
    <row r="119" spans="1:7" x14ac:dyDescent="0.3">
      <c r="A119" s="2">
        <v>22</v>
      </c>
      <c r="C119" s="27" t="s">
        <v>112</v>
      </c>
      <c r="D119" s="39">
        <f>SUM(D98:D118)</f>
        <v>507600</v>
      </c>
      <c r="E119" s="39">
        <f>SUM(E98:E118)</f>
        <v>1677990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TRUNC(8005,-1)</f>
        <v>8000</v>
      </c>
      <c r="E122" s="62">
        <f t="shared" ref="E122:E132" si="4">TRUNC(+D122*3.3058,-1)</f>
        <v>26440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TRUNC(3803,-1)</f>
        <v>3800</v>
      </c>
      <c r="E124" s="63">
        <f t="shared" si="4"/>
        <v>12560</v>
      </c>
    </row>
    <row r="125" spans="1:7" x14ac:dyDescent="0.3">
      <c r="A125" s="2">
        <v>4</v>
      </c>
      <c r="C125" s="38" t="s">
        <v>138</v>
      </c>
      <c r="D125" s="42">
        <v>14950</v>
      </c>
      <c r="E125" s="63">
        <f t="shared" si="4"/>
        <v>49420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TRUNC(7211,-1)</f>
        <v>7210</v>
      </c>
      <c r="E127" s="63">
        <f t="shared" si="4"/>
        <v>23830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TRUNC(78511,-1)</f>
        <v>78510</v>
      </c>
      <c r="E130" s="63">
        <f t="shared" si="4"/>
        <v>259530</v>
      </c>
    </row>
    <row r="131" spans="1:7" x14ac:dyDescent="0.3">
      <c r="A131" s="2">
        <v>10</v>
      </c>
      <c r="C131" s="38" t="s">
        <v>148</v>
      </c>
      <c r="D131" s="42">
        <f>TRUNC(68879,-1)</f>
        <v>68870</v>
      </c>
      <c r="E131" s="63">
        <f t="shared" si="4"/>
        <v>227670</v>
      </c>
    </row>
    <row r="132" spans="1:7" ht="18" thickBot="1" x14ac:dyDescent="0.35">
      <c r="A132" s="2">
        <v>11</v>
      </c>
      <c r="C132" s="38" t="s">
        <v>47</v>
      </c>
      <c r="D132" s="43">
        <f>TRUNC(2111,-1)</f>
        <v>2110</v>
      </c>
      <c r="E132" s="64">
        <f t="shared" si="4"/>
        <v>6970</v>
      </c>
      <c r="F132" s="54" t="s">
        <v>262</v>
      </c>
    </row>
    <row r="133" spans="1:7" x14ac:dyDescent="0.3">
      <c r="A133" s="2">
        <v>12</v>
      </c>
      <c r="C133" s="27" t="s">
        <v>112</v>
      </c>
      <c r="D133" s="39">
        <f>SUM(D122:D132)</f>
        <v>183450</v>
      </c>
      <c r="E133" s="39">
        <f>SUM(E122:E132)</f>
        <v>606420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TRUNC(2715+1230,-1)</f>
        <v>3940</v>
      </c>
      <c r="E137" s="63">
        <f t="shared" si="5"/>
        <v>13020</v>
      </c>
      <c r="F137" s="2" t="s">
        <v>263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TRUNC(18051,-1)</f>
        <v>18050</v>
      </c>
      <c r="E140" s="63">
        <f t="shared" si="5"/>
        <v>59660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TRUNC(7058,-1)</f>
        <v>7050</v>
      </c>
      <c r="E142" s="63">
        <f t="shared" si="5"/>
        <v>23300</v>
      </c>
    </row>
    <row r="143" spans="1:7" x14ac:dyDescent="0.3">
      <c r="A143" s="2">
        <v>8</v>
      </c>
      <c r="C143" s="38" t="s">
        <v>62</v>
      </c>
      <c r="D143" s="42">
        <f>TRUNC(12397,-1)</f>
        <v>12390</v>
      </c>
      <c r="E143" s="63">
        <f t="shared" si="5"/>
        <v>40950</v>
      </c>
    </row>
    <row r="144" spans="1:7" x14ac:dyDescent="0.3">
      <c r="A144" s="2">
        <v>9</v>
      </c>
      <c r="C144" s="38" t="s">
        <v>63</v>
      </c>
      <c r="D144" s="42">
        <f>TRUNC(17111,-1)</f>
        <v>17110</v>
      </c>
      <c r="E144" s="63">
        <f t="shared" si="5"/>
        <v>56560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58540</v>
      </c>
      <c r="E146" s="39">
        <f>SUM(E136:E145)</f>
        <v>193490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  <c r="F152" s="2" t="s">
        <v>254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2020-12-07T10:05:14Z</dcterms:modified>
</cp:coreProperties>
</file>