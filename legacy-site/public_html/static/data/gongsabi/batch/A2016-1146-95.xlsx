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3" i="4" l="1"/>
  <c r="D152" i="4"/>
  <c r="D151" i="4"/>
  <c r="D149" i="4"/>
  <c r="D144" i="4"/>
  <c r="D143" i="4"/>
  <c r="D142" i="4"/>
  <c r="D141" i="4"/>
  <c r="D137" i="4"/>
  <c r="D132" i="4"/>
  <c r="D131" i="4"/>
  <c r="D128" i="4"/>
  <c r="D126" i="4"/>
  <c r="D125" i="4"/>
  <c r="D118" i="4"/>
  <c r="D117" i="4"/>
  <c r="D116" i="4"/>
  <c r="D114" i="4"/>
  <c r="D105" i="4"/>
  <c r="D104" i="4"/>
  <c r="D103" i="4"/>
  <c r="D102" i="4"/>
  <c r="D100" i="4"/>
  <c r="D99" i="4"/>
  <c r="D98" i="4"/>
  <c r="D93" i="4"/>
  <c r="D91" i="4"/>
  <c r="D89" i="4"/>
  <c r="D72" i="4"/>
  <c r="D71" i="4"/>
  <c r="D70" i="4"/>
  <c r="D69" i="4"/>
  <c r="D63" i="4"/>
  <c r="D59" i="4"/>
  <c r="D58" i="4"/>
  <c r="D53" i="4"/>
  <c r="D50" i="4"/>
  <c r="D49" i="4"/>
  <c r="D48" i="4"/>
  <c r="D46" i="4"/>
  <c r="D45" i="4"/>
  <c r="D44" i="4"/>
  <c r="D43" i="4"/>
  <c r="D42" i="4"/>
  <c r="D41" i="4"/>
  <c r="D40" i="4"/>
  <c r="D94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<sst xmlns="http://schemas.openxmlformats.org/spreadsheetml/2006/main" count="391" uniqueCount="265">
  <si>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</si>
  <si>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</si>
  <si>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</si>
  <si>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</si>
  <si>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</si>
  <si>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</si>
  <si>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</si>
  <si>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</si>
  <si>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</si>
  <si>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</si>
  <si>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</si>
  <si>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</si>
  <si>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</si>
  <si>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</si>
  <si>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</si>
  <si>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</si>
  <si>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</si>
  <si>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</si>
  <si>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</si>
  <si>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</si>
  <si>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</si>
  <si>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</si>
  <si>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</si>
  <si>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</si>
  <si>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</si>
  <si>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</si>
  <si>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</si>
  <si>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</si>
  <si>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</si>
  <si>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</si>
  <si>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</si>
  <si>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</si>
  <si>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</si>
  <si>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</si>
  <si>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</si>
  <si>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</si>
  <si>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</si>
  <si>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</si>
  <si>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</si>
  <si>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</si>
  <si>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</si>
  <si>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</si>
  <si>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</si>
  <si>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</si>
  <si>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</si>
  <si>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</si>
  <si>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</si>
  <si>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</si>
  <si>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</si>
  <si>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</si>
  <si>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</si>
  <si>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</si>
  <si>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</si>
  <si>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</si>
  <si>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</si>
  <si>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</si>
  <si>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</si>
  <si>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</si>
  <si>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</si>
  <si>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</si>
  <si>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</si>
  <si>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</si>
  <si>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</si>
  <si>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</si>
  <si>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</si>
  <si>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</si>
  <si>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</si>
  <si>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</si>
  <si>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</si>
  <si>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</si>
  <si>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</si>
  <si>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</si>
  <si>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</si>
  <si>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</si>
  <si>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</si>
  <si>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</si>
  <si>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</si>
  <si>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</si>
  <si>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</si>
  <si>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</si>
  <si>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</si>
  <si>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</si>
  <si>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</si>
  <si>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</si>
  <si>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</si>
  <si>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</si>
  <si>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</si>
  <si>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</si>
  <si>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</si>
  <si>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</si>
  <si>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</si>
  <si>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</si>
  <si>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</si>
  <si>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</si>
  <si>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</si>
  <si>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</si>
  <si>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</si>
  <si>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</si>
  <si>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</si>
  <si>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</si>
  <si>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</si>
  <si>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</si>
  <si>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</si>
  <si>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</si>
  <si>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</si>
  <si>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</si>
  <si>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</si>
  <si>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</si>
  <si>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</si>
  <si>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</si>
  <si>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</si>
  <si>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</si>
  <si>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</si>
  <si>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</si>
  <si>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</si>
  <si>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</si>
  <si>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</si>
  <si>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</si>
  <si>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</si>
  <si>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</si>
  <si>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</si>
  <si>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</si>
  <si>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</si>
  <si>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</si>
  <si>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</si>
  <si>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</si>
  <si>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</si>
  <si>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</si>
  <si>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</si>
  <si>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</si>
  <si>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</si>
  <si>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</si>
  <si>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</si>
  <si>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</si>
  <si>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</si>
  <si>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</si>
  <si>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</si>
  <si>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</si>
  <si>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</si>
  <si>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</si>
  <si>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</si>
  <si>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</si>
  <si>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</si>
  <si>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</si>
  <si>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</si>
  <si>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</si>
  <si>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</si>
  <si>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</si>
  <si>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</si>
  <si>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</si>
  <si>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</si>
  <si>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</si>
  <si>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</si>
  <si>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</si>
  <si>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</si>
  <si>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</si>
  <si>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</si>
  <si>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</si>
  <si>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</si>
  <si>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</si>
  <si>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</si>
  <si>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</si>
  <si>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</si>
  <si>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</si>
  <si>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</si>
  <si>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</si>
  <si>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</si>
  <si>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</si>
  <si>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</si>
  <si>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</si>
  <si>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</si>
  <si>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</si>
  <si>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</si>
  <si>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</si>
  <si>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</si>
  <si>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</si>
  <si>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</si>
  <si>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</si>
  <si>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</si>
  <si>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</si>
  <si>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</si>
  <si>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</si>
  <si>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</si>
  <si>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</si>
  <si>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</si>
  <si>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</si>
  <si>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</si>
  <si>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</si>
  <si>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</si>
  <si>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</si>
  <si>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</si>
  <si>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</si>
  <si>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</si>
  <si>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</si>
  <si>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</si>
  <si>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</si>
  <si>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</si>
  <si>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</si>
  <si>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</si>
  <si>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</si>
  <si>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</si>
  <si>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</si>
  <si>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</si>
  <si>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</si>
  <si>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</si>
  <si>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</si>
  <si>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</si>
  <si>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</si>
  <si>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</si>
  <si>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</si>
  <si>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</si>
  <si>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</si>
  <si>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</si>
  <si>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</si>
  <si>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</si>
  <si>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</si>
  <si>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</si>
  <si>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</si>
  <si>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</si>
  <si>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</si>
  <si>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</si>
  <si>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</si>
  <si>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</si>
  <si>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</si>
  <si>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</si>
  <si>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</si>
  <si>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</si>
  <si>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</si>
  <si>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</si>
  <si>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</si>
  <si>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</si>
  <si>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</si>
  <si>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</si>
  <si>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</si>
  <si>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</si>
  <si>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</si>
  <si>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</si>
  <si>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</si>
  <si>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</si>
  <si>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</si>
  <si>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</si>
  <si>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</si>
  <si>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</si>
  <si>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</si>
  <si>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</si>
  <si>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</si>
  <si>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</si>
  <si>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</si>
  <si>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</si>
  <si>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</si>
  <si>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</si>
  <si>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</si>
  <si>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</si>
  <si>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</si>
  <si>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교육연구</t>
  </si>
  <si>
    <t>대구시</t>
  </si>
  <si>
    <t>기초공사, 골재비및운반비, 기타공사</t>
    <phoneticPr fontId="2" type="noConversion"/>
  </si>
  <si>
    <t>공조배관공사, 우수처리시설공사,바닥난방공사, 기타공사</t>
    <phoneticPr fontId="2" type="noConversion"/>
  </si>
  <si>
    <t>CCTV설비공사, 기타공사</t>
    <phoneticPr fontId="2" type="noConversion"/>
  </si>
  <si>
    <t>펌프실배관공사, 기타공사</t>
    <phoneticPr fontId="2" type="noConversion"/>
  </si>
  <si>
    <t>운반비, 기타공사</t>
    <phoneticPr fontId="2" type="noConversion"/>
  </si>
  <si>
    <t>(가칭)서재1중학교 신축공사(장기계속)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</si>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</sst>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261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12069.41</v>
      </c>
      <c r="D7" s="36">
        <f>+C7/3.3058</f>
        <v>3650.9800955895698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850060</v>
      </c>
      <c r="E25" s="59">
        <f t="shared" si="0"/>
        <v>2810120</v>
      </c>
    </row>
    <row r="26" spans="1:5" x14ac:dyDescent="0.3">
      <c r="B26" s="2">
        <v>3</v>
      </c>
      <c r="C26" s="35" t="s">
        <v>95</v>
      </c>
      <c r="D26" s="45">
        <f>+D66</f>
        <v>11890</v>
      </c>
      <c r="E26" s="59">
        <f t="shared" si="0"/>
        <v>39300</v>
      </c>
    </row>
    <row r="27" spans="1:5" x14ac:dyDescent="0.3">
      <c r="B27" s="2">
        <v>4</v>
      </c>
      <c r="C27" s="35" t="s">
        <v>96</v>
      </c>
      <c r="D27" s="45">
        <f>+D95</f>
        <v>176010</v>
      </c>
      <c r="E27" s="59">
        <f t="shared" si="0"/>
        <v>581850</v>
      </c>
    </row>
    <row r="28" spans="1:5" x14ac:dyDescent="0.3">
      <c r="B28" s="2">
        <v>5</v>
      </c>
      <c r="C28" s="35" t="s">
        <v>97</v>
      </c>
      <c r="D28" s="45">
        <f>+D119</f>
        <v>174380</v>
      </c>
      <c r="E28" s="59">
        <f t="shared" si="0"/>
        <v>576460</v>
      </c>
    </row>
    <row r="29" spans="1:5" x14ac:dyDescent="0.3">
      <c r="B29" s="2">
        <v>6</v>
      </c>
      <c r="C29" s="35" t="s">
        <v>98</v>
      </c>
      <c r="D29" s="45">
        <f>+D133</f>
        <v>46940</v>
      </c>
      <c r="E29" s="59">
        <f t="shared" si="0"/>
        <v>155170</v>
      </c>
    </row>
    <row r="30" spans="1:5" x14ac:dyDescent="0.3">
      <c r="B30" s="2">
        <v>7</v>
      </c>
      <c r="C30" s="35" t="s">
        <v>99</v>
      </c>
      <c r="D30" s="45">
        <f>+D146</f>
        <v>39050</v>
      </c>
      <c r="E30" s="59">
        <f t="shared" si="0"/>
        <v>129090</v>
      </c>
    </row>
    <row r="31" spans="1:5" x14ac:dyDescent="0.3">
      <c r="B31" s="2">
        <v>8</v>
      </c>
      <c r="C31" s="35" t="s">
        <v>100</v>
      </c>
      <c r="D31" s="45">
        <f>+D154</f>
        <v>40940</v>
      </c>
      <c r="E31" s="59">
        <f t="shared" si="0"/>
        <v>135330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155</v>
      </c>
      <c r="D33" s="53">
        <f>TRUNC(SUM(D24:D32)*0.275,-1)</f>
        <v>368290</v>
      </c>
      <c r="E33" s="60">
        <f t="shared" si="0"/>
        <v>1217490</v>
      </c>
    </row>
    <row r="34" spans="1:7" x14ac:dyDescent="0.3">
      <c r="C34" s="35" t="s">
        <v>112</v>
      </c>
      <c r="D34" s="44">
        <f>SUM(D24:D33)</f>
        <v>1707560</v>
      </c>
      <c r="E34" s="44">
        <f>SUM(E24:E33)</f>
        <v>5644810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TRUNC(48284,-1)</f>
        <v>48280</v>
      </c>
      <c r="E40" s="62">
        <f t="shared" ref="E40:E59" si="1">TRUNC(+D40*3.3058,-1)</f>
        <v>159600</v>
      </c>
    </row>
    <row r="41" spans="1:7" x14ac:dyDescent="0.3">
      <c r="A41" s="2">
        <v>2</v>
      </c>
      <c r="C41" s="38" t="s">
        <v>13</v>
      </c>
      <c r="D41" s="42">
        <f>TRUNC(187859,-1)</f>
        <v>187850</v>
      </c>
      <c r="E41" s="63">
        <f t="shared" si="1"/>
        <v>620990</v>
      </c>
    </row>
    <row r="42" spans="1:7" x14ac:dyDescent="0.3">
      <c r="A42" s="2">
        <v>3</v>
      </c>
      <c r="C42" s="38" t="s">
        <v>14</v>
      </c>
      <c r="D42" s="42">
        <f>TRUNC(9745,-1)</f>
        <v>9740</v>
      </c>
      <c r="E42" s="63">
        <f t="shared" si="1"/>
        <v>32190</v>
      </c>
    </row>
    <row r="43" spans="1:7" x14ac:dyDescent="0.3">
      <c r="A43" s="2">
        <v>4</v>
      </c>
      <c r="C43" s="38" t="s">
        <v>16</v>
      </c>
      <c r="D43" s="42">
        <f>TRUNC(29085,-1)</f>
        <v>29080</v>
      </c>
      <c r="E43" s="63">
        <f t="shared" si="1"/>
        <v>96130</v>
      </c>
    </row>
    <row r="44" spans="1:7" x14ac:dyDescent="0.3">
      <c r="A44" s="2">
        <v>5</v>
      </c>
      <c r="C44" s="38" t="s">
        <v>17</v>
      </c>
      <c r="D44" s="42">
        <f>TRUNC(26008,-1)</f>
        <v>26000</v>
      </c>
      <c r="E44" s="63">
        <f t="shared" si="1"/>
        <v>85950</v>
      </c>
    </row>
    <row r="45" spans="1:7" x14ac:dyDescent="0.3">
      <c r="A45" s="2">
        <v>6</v>
      </c>
      <c r="C45" s="38" t="s">
        <v>18</v>
      </c>
      <c r="D45" s="42">
        <f>TRUNC(12068,-1)</f>
        <v>12060</v>
      </c>
      <c r="E45" s="63">
        <f t="shared" si="1"/>
        <v>39860</v>
      </c>
    </row>
    <row r="46" spans="1:7" x14ac:dyDescent="0.3">
      <c r="A46" s="2">
        <v>7</v>
      </c>
      <c r="C46" s="38" t="s">
        <v>19</v>
      </c>
      <c r="D46" s="42">
        <f>TRUNC(60481,-1)</f>
        <v>60480</v>
      </c>
      <c r="E46" s="63">
        <f t="shared" si="1"/>
        <v>199930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TRUNC(47469,-1)</f>
        <v>47460</v>
      </c>
      <c r="E48" s="63">
        <f t="shared" si="1"/>
        <v>156890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TRUNC(18699,-1)</f>
        <v>18690</v>
      </c>
      <c r="E49" s="63">
        <f t="shared" si="1"/>
        <v>61780</v>
      </c>
    </row>
    <row r="50" spans="1:7" x14ac:dyDescent="0.3">
      <c r="A50" s="2">
        <v>11</v>
      </c>
      <c r="C50" s="38" t="s">
        <v>156</v>
      </c>
      <c r="D50" s="42">
        <f>TRUNC(41221,-1)</f>
        <v>41220</v>
      </c>
      <c r="E50" s="63">
        <f t="shared" si="1"/>
        <v>136260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13440</v>
      </c>
      <c r="E52" s="63">
        <f t="shared" si="1"/>
        <v>44420</v>
      </c>
    </row>
    <row r="53" spans="1:7" x14ac:dyDescent="0.3">
      <c r="A53" s="2">
        <v>14</v>
      </c>
      <c r="C53" s="38" t="s">
        <v>25</v>
      </c>
      <c r="D53" s="42">
        <f>TRUNC(77022,-1)</f>
        <v>77020</v>
      </c>
      <c r="E53" s="63">
        <f t="shared" si="1"/>
        <v>254610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TRUNC(10371+6270+17154,-1)</f>
        <v>33790</v>
      </c>
      <c r="E58" s="63">
        <f t="shared" si="1"/>
        <v>111700</v>
      </c>
      <c r="F58" s="2" t="s">
        <v>256</v>
      </c>
    </row>
    <row r="59" spans="1:7" ht="17.25" thickBot="1" x14ac:dyDescent="0.35">
      <c r="A59" s="2">
        <v>20</v>
      </c>
      <c r="C59" s="38" t="s">
        <v>149</v>
      </c>
      <c r="D59" s="43">
        <f>TRUNC(244959,-1)</f>
        <v>244950</v>
      </c>
      <c r="E59" s="64">
        <f t="shared" si="1"/>
        <v>809750</v>
      </c>
    </row>
    <row r="60" spans="1:7" x14ac:dyDescent="0.3">
      <c r="A60" s="2">
        <v>21</v>
      </c>
      <c r="C60" s="27" t="s">
        <v>112</v>
      </c>
      <c r="D60" s="39">
        <f>SUM(D40:D59)</f>
        <v>850060</v>
      </c>
      <c r="E60" s="39">
        <f>SUM(E40:E59)</f>
        <v>2810060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TRUNC(11899,-1)</f>
        <v>11890</v>
      </c>
      <c r="E63" s="62">
        <f>TRUNC(+D63*3.3058,-1)</f>
        <v>39300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11890</v>
      </c>
      <c r="E66" s="65">
        <f>SUM(E63:E65)</f>
        <v>39300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TRUNC(9141,-1)</f>
        <v>9140</v>
      </c>
      <c r="E69" s="62">
        <f t="shared" ref="E69:E94" si="2">TRUNC(+D69*3.3058,-1)</f>
        <v>30210</v>
      </c>
    </row>
    <row r="70" spans="1:7" ht="16.5" customHeight="1" x14ac:dyDescent="0.3">
      <c r="A70" s="2">
        <v>2</v>
      </c>
      <c r="C70" s="38" t="s">
        <v>31</v>
      </c>
      <c r="D70" s="42">
        <f>TRUNC(868,-1)</f>
        <v>860</v>
      </c>
      <c r="E70" s="63">
        <f t="shared" si="2"/>
        <v>2840</v>
      </c>
    </row>
    <row r="71" spans="1:7" x14ac:dyDescent="0.3">
      <c r="A71" s="2">
        <v>3</v>
      </c>
      <c r="C71" s="38" t="s">
        <v>32</v>
      </c>
      <c r="D71" s="42">
        <f>TRUNC(4505,-1)</f>
        <v>4500</v>
      </c>
      <c r="E71" s="63">
        <f t="shared" si="2"/>
        <v>14870</v>
      </c>
    </row>
    <row r="72" spans="1:7" x14ac:dyDescent="0.3">
      <c r="A72" s="2">
        <v>4</v>
      </c>
      <c r="C72" s="38" t="s">
        <v>33</v>
      </c>
      <c r="D72" s="42">
        <f>TRUNC(4274,-1)</f>
        <v>4270</v>
      </c>
      <c r="E72" s="63">
        <f t="shared" si="2"/>
        <v>14110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TRUNC(26815,-1)</f>
        <v>26810</v>
      </c>
      <c r="E89" s="63">
        <f t="shared" si="2"/>
        <v>88620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TRUNC(4248,-1)</f>
        <v>4240</v>
      </c>
      <c r="E91" s="63">
        <f t="shared" si="2"/>
        <v>14010</v>
      </c>
    </row>
    <row r="92" spans="1:7" x14ac:dyDescent="0.3">
      <c r="A92" s="2">
        <v>24</v>
      </c>
      <c r="C92" s="38" t="s">
        <v>38</v>
      </c>
      <c r="D92" s="42">
        <v>15650</v>
      </c>
      <c r="E92" s="63">
        <f t="shared" si="2"/>
        <v>51730</v>
      </c>
    </row>
    <row r="93" spans="1:7" x14ac:dyDescent="0.3">
      <c r="A93" s="2">
        <v>25</v>
      </c>
      <c r="C93" s="38" t="s">
        <v>149</v>
      </c>
      <c r="D93" s="42">
        <f>TRUNC(92072,-1)</f>
        <v>92070</v>
      </c>
      <c r="E93" s="63">
        <f t="shared" si="2"/>
        <v>304360</v>
      </c>
    </row>
    <row r="94" spans="1:7" ht="17.25" thickBot="1" x14ac:dyDescent="0.35">
      <c r="A94" s="2">
        <v>26</v>
      </c>
      <c r="C94" s="38" t="s">
        <v>47</v>
      </c>
      <c r="D94" s="43">
        <f>836+2085+351+15198</f>
        <v>18470</v>
      </c>
      <c r="E94" s="64">
        <f t="shared" si="2"/>
        <v>61050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176010</v>
      </c>
      <c r="E95" s="39">
        <f>SUM(E69:E94)</f>
        <v>581800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TRUNC(8364,-1)</f>
        <v>8360</v>
      </c>
      <c r="E98" s="62">
        <f t="shared" ref="E98:E118" si="3">TRUNC(+D98*3.3058,-1)</f>
        <v>27630</v>
      </c>
    </row>
    <row r="99" spans="1:7" x14ac:dyDescent="0.3">
      <c r="A99" s="2">
        <v>2</v>
      </c>
      <c r="C99" s="38" t="s">
        <v>40</v>
      </c>
      <c r="D99" s="42">
        <f>TRUNC(2596,-1)</f>
        <v>2590</v>
      </c>
      <c r="E99" s="63">
        <f t="shared" si="3"/>
        <v>8560</v>
      </c>
    </row>
    <row r="100" spans="1:7" x14ac:dyDescent="0.3">
      <c r="A100" s="2">
        <v>3</v>
      </c>
      <c r="C100" s="38" t="s">
        <v>41</v>
      </c>
      <c r="D100" s="42">
        <f>TRUNC(23245,-1)</f>
        <v>23240</v>
      </c>
      <c r="E100" s="63">
        <f t="shared" si="3"/>
        <v>76820</v>
      </c>
    </row>
    <row r="101" spans="1:7" x14ac:dyDescent="0.3">
      <c r="A101" s="2">
        <v>4</v>
      </c>
      <c r="C101" s="38" t="s">
        <v>42</v>
      </c>
      <c r="D101" s="42">
        <v>1450</v>
      </c>
      <c r="E101" s="63">
        <f t="shared" si="3"/>
        <v>4790</v>
      </c>
    </row>
    <row r="102" spans="1:7" x14ac:dyDescent="0.3">
      <c r="A102" s="2">
        <v>5</v>
      </c>
      <c r="C102" s="38" t="s">
        <v>43</v>
      </c>
      <c r="D102" s="42">
        <f>TRUNC(11089,-1)</f>
        <v>11080</v>
      </c>
      <c r="E102" s="63">
        <f t="shared" si="3"/>
        <v>36620</v>
      </c>
    </row>
    <row r="103" spans="1:7" x14ac:dyDescent="0.3">
      <c r="A103" s="2">
        <v>6</v>
      </c>
      <c r="C103" s="38" t="s">
        <v>44</v>
      </c>
      <c r="D103" s="42">
        <f>TRUNC(6652,-1)</f>
        <v>6650</v>
      </c>
      <c r="E103" s="63">
        <f t="shared" si="3"/>
        <v>21980</v>
      </c>
    </row>
    <row r="104" spans="1:7" x14ac:dyDescent="0.3">
      <c r="A104" s="2">
        <v>7</v>
      </c>
      <c r="C104" s="38" t="s">
        <v>45</v>
      </c>
      <c r="D104" s="42">
        <f>TRUNC(4117,-1)</f>
        <v>4110</v>
      </c>
      <c r="E104" s="63">
        <f t="shared" si="3"/>
        <v>13580</v>
      </c>
    </row>
    <row r="105" spans="1:7" x14ac:dyDescent="0.3">
      <c r="A105" s="2">
        <v>8</v>
      </c>
      <c r="C105" s="38" t="s">
        <v>46</v>
      </c>
      <c r="D105" s="42">
        <f>TRUNC(2885,-1)</f>
        <v>2880</v>
      </c>
      <c r="E105" s="63">
        <f t="shared" si="3"/>
        <v>9520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TRUNC(3191,-1)</f>
        <v>3190</v>
      </c>
      <c r="E114" s="63">
        <f t="shared" si="3"/>
        <v>10540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TRUNC(4073,-1)</f>
        <v>4070</v>
      </c>
      <c r="E116" s="63">
        <f t="shared" si="3"/>
        <v>13450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TRUNC(97011,-1)</f>
        <v>97010</v>
      </c>
      <c r="E117" s="63">
        <f t="shared" si="3"/>
        <v>320690</v>
      </c>
    </row>
    <row r="118" spans="1:7" ht="17.25" thickBot="1" x14ac:dyDescent="0.35">
      <c r="A118" s="2">
        <v>21</v>
      </c>
      <c r="C118" s="38" t="s">
        <v>47</v>
      </c>
      <c r="D118" s="43">
        <f>TRUNC(9758,-1)</f>
        <v>9750</v>
      </c>
      <c r="E118" s="64">
        <f t="shared" si="3"/>
        <v>32230</v>
      </c>
    </row>
    <row r="119" spans="1:7" x14ac:dyDescent="0.3">
      <c r="A119" s="2">
        <v>22</v>
      </c>
      <c r="C119" s="27" t="s">
        <v>112</v>
      </c>
      <c r="D119" s="39">
        <f>SUM(D98:D118)</f>
        <v>174380</v>
      </c>
      <c r="E119" s="39">
        <f>SUM(E98:E118)</f>
        <v>576410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TRUNC(8171,-1)</f>
        <v>8170</v>
      </c>
      <c r="E125" s="63">
        <f t="shared" si="4"/>
        <v>27000</v>
      </c>
    </row>
    <row r="126" spans="1:7" x14ac:dyDescent="0.3">
      <c r="A126" s="2">
        <v>5</v>
      </c>
      <c r="C126" s="38" t="s">
        <v>53</v>
      </c>
      <c r="D126" s="42">
        <f>TRUNC(925,-1)</f>
        <v>920</v>
      </c>
      <c r="E126" s="63">
        <f t="shared" si="4"/>
        <v>3040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TRUNC(2919,-1)</f>
        <v>2910</v>
      </c>
      <c r="E128" s="63">
        <f t="shared" si="4"/>
        <v>9610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7370</v>
      </c>
      <c r="E130" s="63">
        <f t="shared" si="4"/>
        <v>24360</v>
      </c>
    </row>
    <row r="131" spans="1:7" x14ac:dyDescent="0.3">
      <c r="A131" s="2">
        <v>10</v>
      </c>
      <c r="C131" s="38" t="s">
        <v>149</v>
      </c>
      <c r="D131" s="42">
        <f>TRUNC(23385,-1)</f>
        <v>23380</v>
      </c>
      <c r="E131" s="63">
        <f t="shared" si="4"/>
        <v>77280</v>
      </c>
    </row>
    <row r="132" spans="1:7" ht="18" thickBot="1" x14ac:dyDescent="0.35">
      <c r="A132" s="2">
        <v>11</v>
      </c>
      <c r="C132" s="38" t="s">
        <v>47</v>
      </c>
      <c r="D132" s="43">
        <f>TRUNC(1842+2354,-1)</f>
        <v>4190</v>
      </c>
      <c r="E132" s="64">
        <f t="shared" si="4"/>
        <v>13850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46940</v>
      </c>
      <c r="E133" s="39">
        <f>SUM(E122:E132)</f>
        <v>155140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TRUNC(3589+5712,-1)</f>
        <v>9300</v>
      </c>
      <c r="E137" s="63">
        <f t="shared" si="5"/>
        <v>30740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2550</v>
      </c>
      <c r="E139" s="63">
        <f t="shared" si="5"/>
        <v>8420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f>TRUNC(8236,-1)</f>
        <v>8230</v>
      </c>
      <c r="E141" s="63">
        <f t="shared" si="5"/>
        <v>27200</v>
      </c>
    </row>
    <row r="142" spans="1:7" x14ac:dyDescent="0.3">
      <c r="A142" s="2">
        <v>7</v>
      </c>
      <c r="C142" s="38" t="s">
        <v>58</v>
      </c>
      <c r="D142" s="42">
        <f>TRUNC(8637,-1)</f>
        <v>8630</v>
      </c>
      <c r="E142" s="63">
        <f t="shared" si="5"/>
        <v>28520</v>
      </c>
    </row>
    <row r="143" spans="1:7" x14ac:dyDescent="0.3">
      <c r="A143" s="2">
        <v>8</v>
      </c>
      <c r="C143" s="38" t="s">
        <v>62</v>
      </c>
      <c r="D143" s="42">
        <f>TRUNC(4355,-1)</f>
        <v>4350</v>
      </c>
      <c r="E143" s="63">
        <f t="shared" si="5"/>
        <v>14380</v>
      </c>
    </row>
    <row r="144" spans="1:7" x14ac:dyDescent="0.3">
      <c r="A144" s="2">
        <v>9</v>
      </c>
      <c r="C144" s="38" t="s">
        <v>63</v>
      </c>
      <c r="D144" s="42">
        <f>TRUNC(5993,-1)</f>
        <v>5990</v>
      </c>
      <c r="E144" s="63">
        <f t="shared" si="5"/>
        <v>19800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39050</v>
      </c>
      <c r="E146" s="39">
        <f>SUM(E136:E145)</f>
        <v>129060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TRUNC(7967+7599,-1)</f>
        <v>15560</v>
      </c>
      <c r="E149" s="62">
        <f>TRUNC(+D149*3.3058,-1)</f>
        <v>51430</v>
      </c>
    </row>
    <row r="150" spans="1:7" x14ac:dyDescent="0.3">
      <c r="A150" s="2">
        <v>2</v>
      </c>
      <c r="C150" s="38" t="s">
        <v>49</v>
      </c>
      <c r="D150" s="42">
        <v>5990</v>
      </c>
      <c r="E150" s="63">
        <f>TRUNC(+D150*3.3058,-1)</f>
        <v>19800</v>
      </c>
    </row>
    <row r="151" spans="1:7" x14ac:dyDescent="0.3">
      <c r="A151" s="2">
        <v>3</v>
      </c>
      <c r="C151" s="38" t="s">
        <v>50</v>
      </c>
      <c r="D151" s="42">
        <f>TRUNC(9689,-1)</f>
        <v>9680</v>
      </c>
      <c r="E151" s="63">
        <f>TRUNC(+D151*3.3058,-1)</f>
        <v>32000</v>
      </c>
    </row>
    <row r="152" spans="1:7" x14ac:dyDescent="0.3">
      <c r="A152" s="2">
        <v>4</v>
      </c>
      <c r="C152" s="38" t="s">
        <v>47</v>
      </c>
      <c r="D152" s="42">
        <f>TRUNC(190+604,-1)</f>
        <v>790</v>
      </c>
      <c r="E152" s="63">
        <f>TRUNC(+D152*3.3058,-1)</f>
        <v>2610</v>
      </c>
      <c r="F152" s="2" t="s">
        <v>260</v>
      </c>
    </row>
    <row r="153" spans="1:7" ht="17.25" thickBot="1" x14ac:dyDescent="0.35">
      <c r="A153" s="2">
        <v>5</v>
      </c>
      <c r="C153" s="38" t="s">
        <v>149</v>
      </c>
      <c r="D153" s="43">
        <f>TRUNC(8925,-1)</f>
        <v>8920</v>
      </c>
      <c r="E153" s="64">
        <f>TRUNC(+D153*3.3058,-1)</f>
        <v>29480</v>
      </c>
    </row>
    <row r="154" spans="1:7" x14ac:dyDescent="0.3">
      <c r="A154" s="2">
        <v>6</v>
      </c>
      <c r="C154" s="27" t="s">
        <v>112</v>
      </c>
      <c r="D154" s="39">
        <f>SUM(D149:D153)</f>
        <v>40940</v>
      </c>
      <c r="E154" s="39">
        <f>SUM(E149:E153)</f>
        <v>135320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2020-12-08T01:16:24Z</dcterms:modified>
</cp:coreProperties>
</file>