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9" i="4"/>
  <c r="E158" i="4"/>
  <c r="E157" i="4"/>
  <c r="E161" i="4" s="1"/>
  <c r="E153" i="4"/>
  <c r="E145" i="4"/>
  <c r="E139" i="4"/>
  <c r="E138" i="4"/>
  <c r="E136" i="4"/>
  <c r="E131" i="4"/>
  <c r="E129" i="4"/>
  <c r="E127" i="4"/>
  <c r="E124" i="4"/>
  <c r="E123" i="4"/>
  <c r="E115" i="4"/>
  <c r="E114" i="4"/>
  <c r="E113" i="4"/>
  <c r="E112" i="4"/>
  <c r="E111" i="4"/>
  <c r="E110" i="4"/>
  <c r="E109" i="4"/>
  <c r="E108" i="4"/>
  <c r="E107" i="4"/>
  <c r="E106" i="4"/>
  <c r="E101" i="4"/>
  <c r="E99" i="4"/>
  <c r="E98" i="4"/>
  <c r="E94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1" i="4"/>
  <c r="E65" i="4"/>
  <c r="E64" i="4"/>
  <c r="E57" i="4"/>
  <c r="E56" i="4"/>
  <c r="E55" i="4"/>
  <c r="E54" i="4"/>
  <c r="E53" i="4"/>
  <c r="E51" i="4"/>
  <c r="E50" i="4"/>
  <c r="E46" i="4"/>
  <c r="E37" i="4"/>
  <c r="D161" i="4" l="1"/>
  <c r="D32" i="4" s="1"/>
  <c r="E32" i="4" s="1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0" i="4"/>
  <c r="E130" i="4" s="1"/>
  <c r="D128" i="4"/>
  <c r="E128" i="4" s="1"/>
  <c r="D126" i="4"/>
  <c r="E126" i="4" s="1"/>
  <c r="D125" i="4"/>
  <c r="E125" i="4" s="1"/>
  <c r="D122" i="4"/>
  <c r="E122" i="4" s="1"/>
  <c r="D118" i="4"/>
  <c r="E118" i="4" s="1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0" i="4"/>
  <c r="D92" i="4"/>
  <c r="E92" i="4" s="1"/>
  <c r="D91" i="4"/>
  <c r="E91" i="4" s="1"/>
  <c r="D89" i="4"/>
  <c r="E89" i="4" s="1"/>
  <c r="D76" i="4"/>
  <c r="E76" i="4" s="1"/>
  <c r="D73" i="4"/>
  <c r="E73" i="4" s="1"/>
  <c r="D72" i="4"/>
  <c r="D70" i="4"/>
  <c r="E70" i="4" s="1"/>
  <c r="D69" i="4"/>
  <c r="E69" i="4" s="1"/>
  <c r="D63" i="4"/>
  <c r="D59" i="4"/>
  <c r="E59" i="4" s="1"/>
  <c r="D58" i="4"/>
  <c r="E58" i="4" s="1"/>
  <c r="D52" i="4"/>
  <c r="E52" i="4" s="1"/>
  <c r="D49" i="4"/>
  <c r="E49" i="4" s="1"/>
  <c r="D48" i="4"/>
  <c r="E48" i="4" s="1"/>
  <c r="D47" i="4"/>
  <c r="E47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E95" i="4" l="1"/>
  <c r="D146" i="4"/>
  <c r="D30" i="4" s="1"/>
  <c r="E30" i="4" s="1"/>
  <c r="E137" i="4"/>
  <c r="E146" i="4" s="1"/>
  <c r="E133" i="4"/>
  <c r="D154" i="4"/>
  <c r="D31" i="4" s="1"/>
  <c r="E31" i="4" s="1"/>
  <c r="E149" i="4"/>
  <c r="E154" i="4" s="1"/>
  <c r="D95" i="4"/>
  <c r="D27" i="4" s="1"/>
  <c r="E27" i="4" s="1"/>
  <c r="E72" i="4"/>
  <c r="D133" i="4"/>
  <c r="D29" i="4" s="1"/>
  <c r="E29" i="4" s="1"/>
  <c r="D60" i="4"/>
  <c r="D25" i="4" s="1"/>
  <c r="E25" i="4" s="1"/>
  <c r="E40" i="4"/>
  <c r="E60" i="4" s="1"/>
  <c r="D66" i="4"/>
  <c r="D26" i="4" s="1"/>
  <c r="E26" i="4" s="1"/>
  <c r="E63" i="4"/>
  <c r="E66" i="4" s="1"/>
  <c r="D119" i="4"/>
  <c r="D28" i="4" s="1"/>
  <c r="E28" i="4" s="1"/>
  <c r="E100" i="4"/>
  <c r="E11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s="1"/>
  <c r="E33" i="4" l="1"/>
  <c r="E34" i="4" s="1"/>
</calcChain>
</file>

<file path=xl/sharedStrings.xml><?xml version="1.0" encoding="utf-8"?>
<sst xmlns="http://schemas.openxmlformats.org/spreadsheetml/2006/main" count="394" uniqueCount="266">
  <si>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</si>
  <si>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</si>
  <si>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</si>
  <si>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</si>
  <si>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</si>
  <si>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</si>
  <si>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</si>
  <si>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</si>
  <si>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</si>
  <si>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</si>
  <si>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</si>
  <si>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</si>
  <si>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</si>
  <si>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</si>
  <si>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</si>
  <si>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</si>
  <si>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</si>
  <si>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</si>
  <si>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</si>
  <si>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</si>
  <si>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</si>
  <si>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</si>
  <si>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</si>
  <si>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</si>
  <si>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</si>
  <si>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</si>
  <si>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</si>
  <si>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</si>
  <si>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</si>
  <si>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</si>
  <si>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</si>
  <si>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</si>
  <si>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</si>
  <si>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</si>
  <si>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</si>
  <si>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</si>
  <si>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</si>
  <si>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</si>
  <si>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</si>
  <si>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</si>
  <si>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</si>
  <si>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</si>
  <si>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</si>
  <si>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</si>
  <si>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</si>
  <si>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</si>
  <si>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</si>
  <si>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</si>
  <si>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</si>
  <si>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</si>
  <si>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</si>
  <si>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</si>
  <si>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</si>
  <si>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</si>
  <si>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</si>
  <si>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</si>
  <si>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</si>
  <si>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</si>
  <si>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</si>
  <si>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</si>
  <si>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</si>
  <si>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</si>
  <si>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</si>
  <si>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</si>
  <si>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</si>
  <si>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</si>
  <si>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</si>
  <si>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</si>
  <si>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</si>
  <si>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</si>
  <si>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</si>
  <si>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</si>
  <si>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</si>
  <si>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</si>
  <si>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</si>
  <si>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</si>
  <si>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</si>
  <si>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</si>
  <si>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</si>
  <si>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</si>
  <si>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</si>
  <si>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</si>
  <si>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</si>
  <si>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</si>
  <si>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</si>
  <si>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</si>
  <si>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</si>
  <si>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</si>
  <si>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</si>
  <si>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</si>
  <si>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</si>
  <si>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</si>
  <si>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</si>
  <si>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</si>
  <si>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</si>
  <si>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</si>
  <si>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</si>
  <si>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</si>
  <si>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</si>
  <si>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</si>
  <si>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</si>
  <si>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</si>
  <si>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</si>
  <si>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</si>
  <si>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</si>
  <si>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</si>
  <si>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</si>
  <si>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</si>
  <si>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</si>
  <si>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</si>
  <si>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</si>
  <si>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</si>
  <si>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</si>
  <si>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</si>
  <si>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</si>
  <si>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</si>
  <si>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</si>
  <si>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</si>
  <si>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</si>
  <si>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</si>
  <si>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</si>
  <si>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</si>
  <si>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</si>
  <si>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</si>
  <si>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</si>
  <si>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</si>
  <si>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</si>
  <si>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</si>
  <si>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</si>
  <si>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</si>
  <si>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</si>
  <si>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</si>
  <si>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</si>
  <si>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</si>
  <si>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</si>
  <si>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</si>
  <si>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</si>
  <si>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</si>
  <si>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</si>
  <si>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</si>
  <si>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</si>
  <si>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</si>
  <si>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</si>
  <si>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</si>
  <si>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</si>
  <si>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</si>
  <si>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</si>
  <si>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</si>
  <si>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</si>
  <si>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</si>
  <si>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</si>
  <si>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</si>
  <si>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</si>
  <si>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</si>
  <si>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</si>
  <si>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</si>
  <si>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</si>
  <si>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</si>
  <si>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</si>
  <si>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</si>
  <si>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</si>
  <si>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</si>
  <si>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</si>
  <si>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</si>
  <si>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</si>
  <si>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</si>
  <si>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</si>
  <si>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</si>
  <si>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</si>
  <si>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</si>
  <si>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</si>
  <si>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</si>
  <si>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</si>
  <si>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</si>
  <si>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</si>
  <si>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</si>
  <si>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</si>
  <si>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</si>
  <si>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</si>
  <si>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</si>
  <si>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</si>
  <si>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</si>
  <si>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</si>
  <si>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</si>
  <si>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</si>
  <si>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</si>
  <si>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</si>
  <si>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</si>
  <si>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</si>
  <si>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</si>
  <si>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</si>
  <si>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</si>
  <si>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</si>
  <si>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</si>
  <si>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</si>
  <si>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</si>
  <si>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</si>
  <si>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</si>
  <si>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</si>
  <si>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</si>
  <si>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</si>
  <si>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</si>
  <si>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</si>
  <si>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</si>
  <si>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</si>
  <si>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</si>
  <si>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</si>
  <si>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</si>
  <si>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</si>
  <si>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</si>
  <si>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</si>
  <si>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</si>
  <si>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</si>
  <si>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</si>
  <si>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</si>
  <si>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</si>
  <si>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</si>
  <si>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</si>
  <si>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</si>
  <si>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</si>
  <si>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</si>
  <si>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</si>
  <si>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</si>
  <si>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</si>
  <si>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</si>
  <si>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</si>
  <si>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</si>
  <si>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</si>
  <si>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</si>
  <si>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</si>
  <si>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</si>
  <si>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</si>
  <si>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</si>
  <si>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</si>
  <si>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</si>
  <si>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</si>
  <si>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</si>
  <si>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</si>
  <si>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</si>
  <si>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</si>
  <si>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</si>
  <si>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</si>
  <si>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</si>
  <si>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</si>
  <si>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</si>
  <si>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전주하가초등학교 신축공사</t>
  </si>
  <si>
    <t>교육연구</t>
  </si>
  <si>
    <t>전라도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</si>
  <si>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</si>
  <si>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</si>
  <si>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</si>
  <si>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</si>
  <si>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</si>
  <si>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기초공사,골재비및운반비,품질공사비, 기타공사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</si>
  <si>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</si>
  <si>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</si>
  <si>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펌프실배관공사, 기타공사</t>
    <phoneticPr fontId="2" type="noConversion"/>
  </si>
  <si>
    <t>토목</t>
    <phoneticPr fontId="2" type="noConversion"/>
  </si>
  <si>
    <t>토목 상수도공사, 기타공사</t>
    <phoneticPr fontId="2" type="noConversion"/>
  </si>
  <si>
    <t>원/ m2</t>
    <phoneticPr fontId="2" type="noConversion"/>
  </si>
  <si>
    <t>원/ m2</t>
  </si>
  <si>
    <t>원 /평</t>
  </si>
  <si>
    <t>난방배관공사, 바닥난방공사,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</si>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</sst>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11373.94</v>
      </c>
      <c r="D7" s="36">
        <f>+C7/3.3058</f>
        <v>3440.601367293847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930620</v>
      </c>
      <c r="E25" s="60">
        <f t="shared" si="0"/>
        <v>3076440</v>
      </c>
    </row>
    <row r="26" spans="1:5" x14ac:dyDescent="0.3">
      <c r="B26" s="2">
        <v>3</v>
      </c>
      <c r="C26" s="35" t="s">
        <v>95</v>
      </c>
      <c r="D26" s="56">
        <f>+D66</f>
        <v>4260</v>
      </c>
      <c r="E26" s="60">
        <f t="shared" si="0"/>
        <v>14080</v>
      </c>
    </row>
    <row r="27" spans="1:5" x14ac:dyDescent="0.3">
      <c r="B27" s="2">
        <v>4</v>
      </c>
      <c r="C27" s="35" t="s">
        <v>96</v>
      </c>
      <c r="D27" s="56">
        <f>+D95</f>
        <v>93110</v>
      </c>
      <c r="E27" s="60">
        <f t="shared" si="0"/>
        <v>307800</v>
      </c>
    </row>
    <row r="28" spans="1:5" x14ac:dyDescent="0.3">
      <c r="B28" s="2">
        <v>5</v>
      </c>
      <c r="C28" s="35" t="s">
        <v>97</v>
      </c>
      <c r="D28" s="56">
        <f>+D119</f>
        <v>134030</v>
      </c>
      <c r="E28" s="60">
        <f t="shared" si="0"/>
        <v>443070</v>
      </c>
    </row>
    <row r="29" spans="1:5" x14ac:dyDescent="0.3">
      <c r="B29" s="2">
        <v>6</v>
      </c>
      <c r="C29" s="35" t="s">
        <v>98</v>
      </c>
      <c r="D29" s="56">
        <f>+D133</f>
        <v>79840</v>
      </c>
      <c r="E29" s="60">
        <f t="shared" si="0"/>
        <v>263930</v>
      </c>
    </row>
    <row r="30" spans="1:5" x14ac:dyDescent="0.3">
      <c r="B30" s="2">
        <v>7</v>
      </c>
      <c r="C30" s="35" t="s">
        <v>99</v>
      </c>
      <c r="D30" s="56">
        <f>+D146</f>
        <v>31370</v>
      </c>
      <c r="E30" s="60">
        <f t="shared" si="0"/>
        <v>103700</v>
      </c>
    </row>
    <row r="31" spans="1:5" x14ac:dyDescent="0.3">
      <c r="B31" s="2">
        <v>8</v>
      </c>
      <c r="C31" s="35" t="s">
        <v>100</v>
      </c>
      <c r="D31" s="56">
        <f>+D154</f>
        <v>57010</v>
      </c>
      <c r="E31" s="60">
        <f t="shared" si="0"/>
        <v>188460</v>
      </c>
    </row>
    <row r="32" spans="1:5" x14ac:dyDescent="0.3">
      <c r="B32" s="2">
        <v>9</v>
      </c>
      <c r="C32" s="35" t="s">
        <v>101</v>
      </c>
      <c r="D32" s="56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1">
        <f>TRUNC(SUM(D24:D32)*0.275,-1)</f>
        <v>365810</v>
      </c>
      <c r="E33" s="61">
        <f t="shared" si="0"/>
        <v>1209290</v>
      </c>
    </row>
    <row r="34" spans="1:7" x14ac:dyDescent="0.3">
      <c r="C34" s="35" t="s">
        <v>112</v>
      </c>
      <c r="D34" s="44">
        <f>SUM(D24:D33)</f>
        <v>1696050</v>
      </c>
      <c r="E34" s="44">
        <f>SUM(E24:E33)</f>
        <v>5606770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235</v>
      </c>
      <c r="D36" s="54" t="s">
        <v>259</v>
      </c>
      <c r="E36" s="54" t="s">
        <v>153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TRUNC(38716,-1)</f>
        <v>38710</v>
      </c>
      <c r="E40" s="63">
        <f t="shared" ref="E40:E59" si="1">TRUNC(+D40*3.3058,-1)</f>
        <v>127960</v>
      </c>
    </row>
    <row r="41" spans="1:7" x14ac:dyDescent="0.3">
      <c r="A41" s="2">
        <v>2</v>
      </c>
      <c r="C41" s="38" t="s">
        <v>13</v>
      </c>
      <c r="D41" s="42">
        <f>TRUNC(133534,-1)</f>
        <v>133530</v>
      </c>
      <c r="E41" s="64">
        <f t="shared" si="1"/>
        <v>441420</v>
      </c>
    </row>
    <row r="42" spans="1:7" x14ac:dyDescent="0.3">
      <c r="A42" s="2">
        <v>3</v>
      </c>
      <c r="C42" s="38" t="s">
        <v>14</v>
      </c>
      <c r="D42" s="42">
        <f>TRUNC(10658,-1)</f>
        <v>10650</v>
      </c>
      <c r="E42" s="64">
        <f t="shared" si="1"/>
        <v>35200</v>
      </c>
    </row>
    <row r="43" spans="1:7" x14ac:dyDescent="0.3">
      <c r="A43" s="2">
        <v>4</v>
      </c>
      <c r="C43" s="38" t="s">
        <v>16</v>
      </c>
      <c r="D43" s="42">
        <f>TRUNC(32672,-1)</f>
        <v>32670</v>
      </c>
      <c r="E43" s="64">
        <f t="shared" si="1"/>
        <v>108000</v>
      </c>
    </row>
    <row r="44" spans="1:7" x14ac:dyDescent="0.3">
      <c r="A44" s="2">
        <v>5</v>
      </c>
      <c r="C44" s="38" t="s">
        <v>17</v>
      </c>
      <c r="D44" s="42">
        <f>TRUNC(15296,-1)</f>
        <v>15290</v>
      </c>
      <c r="E44" s="64">
        <f t="shared" si="1"/>
        <v>50540</v>
      </c>
    </row>
    <row r="45" spans="1:7" x14ac:dyDescent="0.3">
      <c r="A45" s="2">
        <v>6</v>
      </c>
      <c r="C45" s="38" t="s">
        <v>18</v>
      </c>
      <c r="D45" s="42">
        <f>TRUNC(9935,-1)</f>
        <v>9930</v>
      </c>
      <c r="E45" s="64">
        <f t="shared" si="1"/>
        <v>32820</v>
      </c>
    </row>
    <row r="46" spans="1:7" x14ac:dyDescent="0.3">
      <c r="A46" s="2">
        <v>7</v>
      </c>
      <c r="C46" s="38" t="s">
        <v>19</v>
      </c>
      <c r="D46" s="42">
        <v>19180</v>
      </c>
      <c r="E46" s="64">
        <f t="shared" si="1"/>
        <v>63400</v>
      </c>
    </row>
    <row r="47" spans="1:7" x14ac:dyDescent="0.3">
      <c r="A47" s="2">
        <v>8</v>
      </c>
      <c r="C47" s="38" t="s">
        <v>20</v>
      </c>
      <c r="D47" s="42">
        <f>TRUNC(111331,-1)</f>
        <v>111330</v>
      </c>
      <c r="E47" s="64">
        <f t="shared" si="1"/>
        <v>368030</v>
      </c>
    </row>
    <row r="48" spans="1:7" x14ac:dyDescent="0.3">
      <c r="A48" s="2">
        <v>9</v>
      </c>
      <c r="C48" s="38" t="s">
        <v>21</v>
      </c>
      <c r="D48" s="42">
        <f>TRUNC(64519,-1)</f>
        <v>64510</v>
      </c>
      <c r="E48" s="64">
        <f t="shared" si="1"/>
        <v>213250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TRUNC(20107,-1)</f>
        <v>20100</v>
      </c>
      <c r="E49" s="64">
        <f t="shared" si="1"/>
        <v>66440</v>
      </c>
    </row>
    <row r="50" spans="1:7" x14ac:dyDescent="0.3">
      <c r="A50" s="2">
        <v>11</v>
      </c>
      <c r="C50" s="38" t="s">
        <v>155</v>
      </c>
      <c r="D50" s="42">
        <v>42970</v>
      </c>
      <c r="E50" s="64">
        <f t="shared" si="1"/>
        <v>142050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TRUNC(13521,-1)</f>
        <v>13520</v>
      </c>
      <c r="E52" s="64">
        <f t="shared" si="1"/>
        <v>44690</v>
      </c>
    </row>
    <row r="53" spans="1:7" x14ac:dyDescent="0.3">
      <c r="A53" s="2">
        <v>14</v>
      </c>
      <c r="C53" s="38" t="s">
        <v>25</v>
      </c>
      <c r="D53" s="42">
        <v>0</v>
      </c>
      <c r="E53" s="64">
        <f t="shared" si="1"/>
        <v>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TRUNC(20180+7441+928+19056,-1)</f>
        <v>47600</v>
      </c>
      <c r="E58" s="64">
        <f t="shared" si="1"/>
        <v>157350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TRUNC(370631,-1)</f>
        <v>370630</v>
      </c>
      <c r="E59" s="65">
        <f t="shared" si="1"/>
        <v>1225220</v>
      </c>
    </row>
    <row r="60" spans="1:7" x14ac:dyDescent="0.3">
      <c r="A60" s="2">
        <v>21</v>
      </c>
      <c r="C60" s="27" t="s">
        <v>112</v>
      </c>
      <c r="D60" s="39">
        <f>SUM(D40:D59)</f>
        <v>930620</v>
      </c>
      <c r="E60" s="39">
        <f>SUM(E40:E59)</f>
        <v>3076370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236</v>
      </c>
      <c r="C62" s="53" t="s">
        <v>237</v>
      </c>
      <c r="D62" s="54" t="s">
        <v>259</v>
      </c>
      <c r="E62" s="54" t="s">
        <v>153</v>
      </c>
      <c r="F62" s="52"/>
      <c r="G62" s="52"/>
    </row>
    <row r="63" spans="1:7" x14ac:dyDescent="0.3">
      <c r="A63" s="2">
        <v>1</v>
      </c>
      <c r="C63" s="38" t="s">
        <v>27</v>
      </c>
      <c r="D63" s="40">
        <f>TRUNC(4269,-1)</f>
        <v>4260</v>
      </c>
      <c r="E63" s="63">
        <f>TRUNC(+D63*3.3058,-1)</f>
        <v>14080</v>
      </c>
    </row>
    <row r="64" spans="1:7" x14ac:dyDescent="0.3">
      <c r="A64" s="2">
        <v>2</v>
      </c>
      <c r="C64" s="38" t="s">
        <v>29</v>
      </c>
      <c r="D64" s="4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5">
        <f>SUM(D63:D65)</f>
        <v>4260</v>
      </c>
      <c r="E66" s="55">
        <f>SUM(E63:E65)</f>
        <v>14080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238</v>
      </c>
      <c r="C68" s="53" t="s">
        <v>239</v>
      </c>
      <c r="D68" s="54" t="s">
        <v>259</v>
      </c>
      <c r="E68" s="54" t="s">
        <v>153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TRUNC(6805,-1)</f>
        <v>6800</v>
      </c>
      <c r="E69" s="63">
        <f t="shared" ref="E69:E94" si="2">TRUNC(+D69*3.3058,-1)</f>
        <v>22470</v>
      </c>
    </row>
    <row r="70" spans="1:7" ht="16.5" customHeight="1" x14ac:dyDescent="0.3">
      <c r="A70" s="2">
        <v>2</v>
      </c>
      <c r="C70" s="38" t="s">
        <v>31</v>
      </c>
      <c r="D70" s="42">
        <f>TRUNC(2142,-1)</f>
        <v>2140</v>
      </c>
      <c r="E70" s="64">
        <f t="shared" si="2"/>
        <v>7070</v>
      </c>
    </row>
    <row r="71" spans="1:7" x14ac:dyDescent="0.3">
      <c r="A71" s="2">
        <v>3</v>
      </c>
      <c r="C71" s="38" t="s">
        <v>32</v>
      </c>
      <c r="D71" s="42">
        <v>3770</v>
      </c>
      <c r="E71" s="64">
        <f t="shared" si="2"/>
        <v>12460</v>
      </c>
    </row>
    <row r="72" spans="1:7" x14ac:dyDescent="0.3">
      <c r="A72" s="2">
        <v>4</v>
      </c>
      <c r="C72" s="38" t="s">
        <v>33</v>
      </c>
      <c r="D72" s="42">
        <f>TRUNC(5735,-1)</f>
        <v>5730</v>
      </c>
      <c r="E72" s="64">
        <f t="shared" si="2"/>
        <v>18940</v>
      </c>
    </row>
    <row r="73" spans="1:7" x14ac:dyDescent="0.3">
      <c r="A73" s="2">
        <v>5</v>
      </c>
      <c r="C73" s="38" t="s">
        <v>34</v>
      </c>
      <c r="D73" s="42">
        <f>TRUNC(9192,-1)</f>
        <v>9190</v>
      </c>
      <c r="E73" s="64">
        <f t="shared" si="2"/>
        <v>30380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TRUNC(33473,-1)</f>
        <v>33470</v>
      </c>
      <c r="E76" s="64">
        <f t="shared" si="2"/>
        <v>110640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TRUNC(5358,-1)</f>
        <v>5350</v>
      </c>
      <c r="E89" s="64">
        <f t="shared" si="2"/>
        <v>17680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TRUNC(5916,-1)</f>
        <v>5910</v>
      </c>
      <c r="E91" s="64">
        <f t="shared" si="2"/>
        <v>19530</v>
      </c>
    </row>
    <row r="92" spans="1:7" x14ac:dyDescent="0.3">
      <c r="A92" s="2">
        <v>24</v>
      </c>
      <c r="C92" s="38" t="s">
        <v>38</v>
      </c>
      <c r="D92" s="42">
        <f>TRUNC(13589,-1)</f>
        <v>13580</v>
      </c>
      <c r="E92" s="64">
        <f t="shared" si="2"/>
        <v>44890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TRUNC(1108+1447+4616,-1)</f>
        <v>7170</v>
      </c>
      <c r="E94" s="65">
        <f t="shared" si="2"/>
        <v>23700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93110</v>
      </c>
      <c r="E95" s="39">
        <f>SUM(E69:E94)</f>
        <v>307760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240</v>
      </c>
      <c r="C97" s="53" t="s">
        <v>239</v>
      </c>
      <c r="D97" s="54" t="s">
        <v>259</v>
      </c>
      <c r="E97" s="54" t="s">
        <v>153</v>
      </c>
      <c r="F97" s="52"/>
      <c r="G97" s="52"/>
    </row>
    <row r="98" spans="1:7" x14ac:dyDescent="0.3">
      <c r="A98" s="2">
        <v>1</v>
      </c>
      <c r="C98" s="38" t="s">
        <v>39</v>
      </c>
      <c r="D98" s="40">
        <v>12160</v>
      </c>
      <c r="E98" s="63">
        <f t="shared" ref="E98:E118" si="3">TRUNC(+D98*3.3058,-1)</f>
        <v>40190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TRUNC(28572,-1)</f>
        <v>28570</v>
      </c>
      <c r="E100" s="64">
        <f t="shared" si="3"/>
        <v>94440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TRUNC(14966,-1)</f>
        <v>14960</v>
      </c>
      <c r="E102" s="64">
        <f t="shared" si="3"/>
        <v>49450</v>
      </c>
    </row>
    <row r="103" spans="1:7" x14ac:dyDescent="0.3">
      <c r="A103" s="2">
        <v>6</v>
      </c>
      <c r="C103" s="38" t="s">
        <v>44</v>
      </c>
      <c r="D103" s="42">
        <f>TRUNC(5097,-1)</f>
        <v>5090</v>
      </c>
      <c r="E103" s="64">
        <f t="shared" si="3"/>
        <v>16820</v>
      </c>
    </row>
    <row r="104" spans="1:7" x14ac:dyDescent="0.3">
      <c r="A104" s="2">
        <v>7</v>
      </c>
      <c r="C104" s="38" t="s">
        <v>45</v>
      </c>
      <c r="D104" s="42">
        <f>TRUNC(5796,-1)</f>
        <v>5790</v>
      </c>
      <c r="E104" s="64">
        <f t="shared" si="3"/>
        <v>19140</v>
      </c>
    </row>
    <row r="105" spans="1:7" x14ac:dyDescent="0.3">
      <c r="A105" s="2">
        <v>8</v>
      </c>
      <c r="C105" s="38" t="s">
        <v>46</v>
      </c>
      <c r="D105" s="42">
        <f>TRUNC(4784,-1)</f>
        <v>4780</v>
      </c>
      <c r="E105" s="64">
        <f t="shared" si="3"/>
        <v>15800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TRUNC(4017,-1)</f>
        <v>4010</v>
      </c>
      <c r="E116" s="64">
        <f t="shared" si="3"/>
        <v>13250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TRUNC(58229,-1)</f>
        <v>58220</v>
      </c>
      <c r="E117" s="64">
        <f t="shared" si="3"/>
        <v>192460</v>
      </c>
    </row>
    <row r="118" spans="1:7" ht="17.25" thickBot="1" x14ac:dyDescent="0.35">
      <c r="A118" s="2">
        <v>21</v>
      </c>
      <c r="C118" s="38" t="s">
        <v>47</v>
      </c>
      <c r="D118" s="43">
        <f>TRUNC(459,-1)</f>
        <v>450</v>
      </c>
      <c r="E118" s="65">
        <f t="shared" si="3"/>
        <v>1480</v>
      </c>
    </row>
    <row r="119" spans="1:7" x14ac:dyDescent="0.3">
      <c r="A119" s="2">
        <v>22</v>
      </c>
      <c r="C119" s="27" t="s">
        <v>112</v>
      </c>
      <c r="D119" s="39">
        <f>SUM(D98:D118)</f>
        <v>134030</v>
      </c>
      <c r="E119" s="39">
        <f>SUM(E98:E118)</f>
        <v>443030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241</v>
      </c>
      <c r="C121" s="53" t="s">
        <v>239</v>
      </c>
      <c r="D121" s="54" t="s">
        <v>259</v>
      </c>
      <c r="E121" s="54" t="s">
        <v>153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TRUNC(3351,-1)</f>
        <v>3350</v>
      </c>
      <c r="E122" s="63">
        <f t="shared" ref="E122:E132" si="4">TRUNC(+D122*3.3058,-1)</f>
        <v>11070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4650</v>
      </c>
      <c r="E124" s="64">
        <f t="shared" si="4"/>
        <v>15370</v>
      </c>
    </row>
    <row r="125" spans="1:7" x14ac:dyDescent="0.3">
      <c r="A125" s="2">
        <v>4</v>
      </c>
      <c r="C125" s="38" t="s">
        <v>138</v>
      </c>
      <c r="D125" s="42">
        <f>TRUNC(6393,-1)</f>
        <v>6390</v>
      </c>
      <c r="E125" s="64">
        <f t="shared" si="4"/>
        <v>21120</v>
      </c>
    </row>
    <row r="126" spans="1:7" x14ac:dyDescent="0.3">
      <c r="A126" s="2">
        <v>5</v>
      </c>
      <c r="C126" s="38" t="s">
        <v>53</v>
      </c>
      <c r="D126" s="42">
        <f>TRUNC(3047,-1)</f>
        <v>3040</v>
      </c>
      <c r="E126" s="64">
        <f t="shared" si="4"/>
        <v>10040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TRUNC(5721,-1)</f>
        <v>5720</v>
      </c>
      <c r="E128" s="64">
        <f t="shared" si="4"/>
        <v>18900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TRUNC(14988,-1)</f>
        <v>14980</v>
      </c>
      <c r="E130" s="64">
        <f t="shared" si="4"/>
        <v>49520</v>
      </c>
    </row>
    <row r="131" spans="1:7" x14ac:dyDescent="0.3">
      <c r="A131" s="2">
        <v>10</v>
      </c>
      <c r="C131" s="38" t="s">
        <v>148</v>
      </c>
      <c r="D131" s="42">
        <v>39310</v>
      </c>
      <c r="E131" s="64">
        <f t="shared" si="4"/>
        <v>129950</v>
      </c>
    </row>
    <row r="132" spans="1:7" ht="17.25" thickBot="1" x14ac:dyDescent="0.35">
      <c r="A132" s="2">
        <v>11</v>
      </c>
      <c r="C132" s="38" t="s">
        <v>47</v>
      </c>
      <c r="D132" s="43">
        <f>TRUNC(2409,-1)</f>
        <v>2400</v>
      </c>
      <c r="E132" s="65">
        <f t="shared" si="4"/>
        <v>7930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79840</v>
      </c>
      <c r="E133" s="39">
        <f>SUM(E122:E132)</f>
        <v>263900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242</v>
      </c>
      <c r="C135" s="53" t="s">
        <v>239</v>
      </c>
      <c r="D135" s="54" t="s">
        <v>259</v>
      </c>
      <c r="E135" s="54" t="s">
        <v>153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TRUNC(2220+4266,-1)</f>
        <v>6480</v>
      </c>
      <c r="E137" s="64">
        <f t="shared" si="5"/>
        <v>21420</v>
      </c>
      <c r="F137" s="2" t="s">
        <v>256</v>
      </c>
    </row>
    <row r="138" spans="1:7" x14ac:dyDescent="0.3">
      <c r="A138" s="2">
        <v>3</v>
      </c>
      <c r="C138" s="38" t="s">
        <v>60</v>
      </c>
      <c r="D138" s="4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TRUNC(7739,-1)</f>
        <v>7730</v>
      </c>
      <c r="E140" s="64">
        <f t="shared" si="5"/>
        <v>25550</v>
      </c>
    </row>
    <row r="141" spans="1:7" x14ac:dyDescent="0.3">
      <c r="A141" s="2">
        <v>6</v>
      </c>
      <c r="C141" s="38" t="s">
        <v>59</v>
      </c>
      <c r="D141" s="42">
        <f>TRUNC(4311,-1)</f>
        <v>4310</v>
      </c>
      <c r="E141" s="64">
        <f t="shared" si="5"/>
        <v>14240</v>
      </c>
    </row>
    <row r="142" spans="1:7" x14ac:dyDescent="0.3">
      <c r="A142" s="2">
        <v>7</v>
      </c>
      <c r="C142" s="38" t="s">
        <v>58</v>
      </c>
      <c r="D142" s="42">
        <f>TRUNC(2892,-1)</f>
        <v>2890</v>
      </c>
      <c r="E142" s="64">
        <f t="shared" si="5"/>
        <v>9550</v>
      </c>
    </row>
    <row r="143" spans="1:7" x14ac:dyDescent="0.3">
      <c r="A143" s="2">
        <v>8</v>
      </c>
      <c r="C143" s="38" t="s">
        <v>62</v>
      </c>
      <c r="D143" s="42">
        <f>TRUNC(3966,-1)</f>
        <v>3960</v>
      </c>
      <c r="E143" s="64">
        <f t="shared" si="5"/>
        <v>13090</v>
      </c>
    </row>
    <row r="144" spans="1:7" x14ac:dyDescent="0.3">
      <c r="A144" s="2">
        <v>9</v>
      </c>
      <c r="C144" s="38" t="s">
        <v>63</v>
      </c>
      <c r="D144" s="42">
        <f>TRUNC(6005,-1)</f>
        <v>6000</v>
      </c>
      <c r="E144" s="64">
        <f t="shared" si="5"/>
        <v>19830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31370</v>
      </c>
      <c r="E146" s="39">
        <f>SUM(E136:E145)</f>
        <v>103680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243</v>
      </c>
      <c r="C148" s="53" t="s">
        <v>239</v>
      </c>
      <c r="D148" s="54" t="s">
        <v>259</v>
      </c>
      <c r="E148" s="54" t="s">
        <v>153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TRUNC(11768+1716,-1)</f>
        <v>13480</v>
      </c>
      <c r="E149" s="63">
        <f>TRUNC(+D149*3.3058,-1)</f>
        <v>44560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TRUNC(14947,-1)</f>
        <v>14940</v>
      </c>
      <c r="E150" s="64">
        <f>TRUNC(+D150*3.3058,-1)</f>
        <v>49380</v>
      </c>
      <c r="F150" s="2" t="s">
        <v>257</v>
      </c>
    </row>
    <row r="151" spans="1:7" x14ac:dyDescent="0.3">
      <c r="A151" s="2">
        <v>3</v>
      </c>
      <c r="C151" s="38" t="s">
        <v>50</v>
      </c>
      <c r="D151" s="42">
        <f>TRUNC(3985,-1)</f>
        <v>3980</v>
      </c>
      <c r="E151" s="64">
        <f>TRUNC(+D151*3.3058,-1)</f>
        <v>13150</v>
      </c>
      <c r="F151" s="2" t="s">
        <v>257</v>
      </c>
    </row>
    <row r="152" spans="1:7" x14ac:dyDescent="0.3">
      <c r="A152" s="2">
        <v>4</v>
      </c>
      <c r="C152" s="38" t="s">
        <v>47</v>
      </c>
      <c r="D152" s="42">
        <f>TRUNC(3047+21564,-1)</f>
        <v>24610</v>
      </c>
      <c r="E152" s="64">
        <f>TRUNC(+D152*3.3058,-1)</f>
        <v>81350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  <c r="F153" s="2" t="s">
        <v>257</v>
      </c>
    </row>
    <row r="154" spans="1:7" x14ac:dyDescent="0.3">
      <c r="A154" s="2">
        <v>6</v>
      </c>
      <c r="C154" s="27" t="s">
        <v>112</v>
      </c>
      <c r="D154" s="39">
        <f>SUM(D149:D153)</f>
        <v>57010</v>
      </c>
      <c r="E154" s="39">
        <f>SUM(E149:E153)</f>
        <v>188440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244</v>
      </c>
      <c r="C156" s="53" t="s">
        <v>239</v>
      </c>
      <c r="D156" s="54" t="s">
        <v>259</v>
      </c>
      <c r="E156" s="54" t="s">
        <v>153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2020-12-07T10:12:44Z</dcterms:modified>
</cp:coreProperties>
</file>