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39" i="4"/>
  <c r="E138" i="4"/>
  <c r="E136" i="4"/>
  <c r="E129" i="4"/>
  <c r="E127" i="4"/>
  <c r="E126" i="4"/>
  <c r="E124" i="4"/>
  <c r="E123" i="4"/>
  <c r="E115" i="4"/>
  <c r="E113" i="4"/>
  <c r="E112" i="4"/>
  <c r="E111" i="4"/>
  <c r="E110" i="4"/>
  <c r="E109" i="4"/>
  <c r="E108" i="4"/>
  <c r="E107" i="4"/>
  <c r="E106" i="4"/>
  <c r="E103" i="4"/>
  <c r="E10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2" i="4"/>
  <c r="E64" i="4"/>
  <c r="E57" i="4"/>
  <c r="E56" i="4"/>
  <c r="E55" i="4"/>
  <c r="E54" i="4"/>
  <c r="E51" i="4"/>
  <c r="E47" i="4"/>
  <c r="E42" i="4"/>
  <c r="E37" i="4"/>
  <c r="D159" i="4" l="1"/>
  <c r="E159" i="4" s="1"/>
  <c r="D158" i="4"/>
  <c r="E158" i="4" s="1"/>
  <c r="D157" i="4"/>
  <c r="D153" i="4"/>
  <c r="E153" i="4" s="1"/>
  <c r="D152" i="4"/>
  <c r="E152" i="4" s="1"/>
  <c r="D150" i="4"/>
  <c r="E150" i="4" s="1"/>
  <c r="D149" i="4"/>
  <c r="D144" i="4"/>
  <c r="E144" i="4" s="1"/>
  <c r="D143" i="4"/>
  <c r="E143" i="4" s="1"/>
  <c r="D142" i="4"/>
  <c r="E142" i="4" s="1"/>
  <c r="D141" i="4"/>
  <c r="E141" i="4" s="1"/>
  <c r="D140" i="4"/>
  <c r="E140" i="4" s="1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0" i="4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1" i="4"/>
  <c r="E71" i="4" s="1"/>
  <c r="D70" i="4"/>
  <c r="E70" i="4" s="1"/>
  <c r="D69" i="4"/>
  <c r="D65" i="4"/>
  <c r="E65" i="4" s="1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24" i="4"/>
  <c r="E24" i="4" s="1"/>
  <c r="D7" i="4"/>
  <c r="E133" i="4" l="1"/>
  <c r="D95" i="4"/>
  <c r="D27" i="4" s="1"/>
  <c r="E27" i="4" s="1"/>
  <c r="E69" i="4"/>
  <c r="E95" i="4" s="1"/>
  <c r="D119" i="4"/>
  <c r="D28" i="4" s="1"/>
  <c r="E28" i="4" s="1"/>
  <c r="E100" i="4"/>
  <c r="D133" i="4"/>
  <c r="D29" i="4" s="1"/>
  <c r="E29" i="4" s="1"/>
  <c r="E122" i="4"/>
  <c r="D154" i="4"/>
  <c r="D31" i="4" s="1"/>
  <c r="E31" i="4" s="1"/>
  <c r="E149" i="4"/>
  <c r="E154" i="4" s="1"/>
  <c r="D161" i="4"/>
  <c r="D32" i="4" s="1"/>
  <c r="E32" i="4" s="1"/>
  <c r="E157" i="4"/>
  <c r="E161" i="4" s="1"/>
  <c r="D60" i="4"/>
  <c r="D25" i="4" s="1"/>
  <c r="E25" i="4" s="1"/>
  <c r="E40" i="4"/>
  <c r="E60" i="4" s="1"/>
  <c r="D66" i="4"/>
  <c r="D26" i="4" s="1"/>
  <c r="E26" i="4" s="1"/>
  <c r="E63" i="4"/>
  <c r="E66" i="4" s="1"/>
  <c r="D146" i="4"/>
  <c r="D30" i="4" s="1"/>
  <c r="E30" i="4" s="1"/>
  <c r="E137" i="4"/>
  <c r="E146" i="4" s="1"/>
  <c r="E119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<sst xmlns="http://schemas.openxmlformats.org/spreadsheetml/2006/main" count="395" uniqueCount="267">
  <si>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</si>
  <si>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</si>
  <si>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</si>
  <si>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</si>
  <si>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</si>
  <si>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</si>
  <si>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</si>
  <si>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</si>
  <si>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</si>
  <si>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</si>
  <si>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</si>
  <si>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</si>
  <si>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</si>
  <si>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</si>
  <si>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</si>
  <si>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</si>
  <si>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</si>
  <si>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</si>
  <si>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</si>
  <si>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</si>
  <si>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</si>
  <si>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</si>
  <si>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</si>
  <si>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</si>
  <si>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</si>
  <si>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</si>
  <si>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</si>
  <si>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</si>
  <si>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</si>
  <si>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</si>
  <si>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</si>
  <si>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</si>
  <si>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</si>
  <si>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</si>
  <si>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</si>
  <si>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</si>
  <si>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</si>
  <si>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</si>
  <si>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</si>
  <si>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</si>
  <si>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</si>
  <si>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</si>
  <si>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</si>
  <si>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</si>
  <si>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</si>
  <si>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</si>
  <si>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</si>
  <si>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</si>
  <si>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</si>
  <si>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</si>
  <si>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</si>
  <si>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</si>
  <si>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</si>
  <si>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</si>
  <si>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</si>
  <si>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</si>
  <si>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</si>
  <si>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</si>
  <si>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</si>
  <si>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</si>
  <si>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</si>
  <si>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</si>
  <si>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</si>
  <si>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</si>
  <si>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</si>
  <si>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</si>
  <si>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</si>
  <si>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</si>
  <si>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</si>
  <si>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</si>
  <si>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</si>
  <si>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</si>
  <si>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</si>
  <si>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</si>
  <si>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</si>
  <si>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</si>
  <si>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</si>
  <si>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</si>
  <si>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</si>
  <si>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</si>
  <si>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</si>
  <si>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</si>
  <si>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</si>
  <si>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</si>
  <si>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</si>
  <si>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</si>
  <si>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</si>
  <si>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</si>
  <si>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</si>
  <si>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</si>
  <si>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</si>
  <si>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</si>
  <si>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</si>
  <si>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</si>
  <si>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</si>
  <si>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</si>
  <si>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</si>
  <si>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</si>
  <si>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</si>
  <si>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</si>
  <si>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</si>
  <si>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</si>
  <si>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</si>
  <si>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</si>
  <si>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</si>
  <si>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</si>
  <si>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</si>
  <si>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</si>
  <si>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</si>
  <si>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</si>
  <si>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</si>
  <si>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</si>
  <si>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</si>
  <si>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</si>
  <si>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</si>
  <si>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</si>
  <si>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</si>
  <si>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</si>
  <si>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</si>
  <si>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</si>
  <si>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</si>
  <si>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</si>
  <si>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</si>
  <si>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</si>
  <si>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</si>
  <si>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</si>
  <si>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</si>
  <si>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</si>
  <si>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</si>
  <si>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</si>
  <si>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</si>
  <si>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</si>
  <si>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</si>
  <si>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</si>
  <si>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</si>
  <si>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</si>
  <si>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</si>
  <si>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</si>
  <si>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</si>
  <si>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</si>
  <si>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</si>
  <si>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</si>
  <si>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</si>
  <si>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</si>
  <si>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</si>
  <si>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</si>
  <si>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</si>
  <si>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</si>
  <si>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</si>
  <si>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</si>
  <si>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</si>
  <si>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</si>
  <si>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</si>
  <si>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</si>
  <si>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</si>
  <si>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</si>
  <si>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</si>
  <si>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</si>
  <si>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</si>
  <si>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</si>
  <si>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</si>
  <si>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</si>
  <si>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</si>
  <si>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</si>
  <si>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</si>
  <si>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</si>
  <si>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</si>
  <si>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</si>
  <si>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</si>
  <si>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</si>
  <si>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</si>
  <si>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</si>
  <si>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</si>
  <si>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</si>
  <si>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</si>
  <si>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</si>
  <si>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</si>
  <si>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</si>
  <si>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</si>
  <si>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</si>
  <si>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</si>
  <si>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</si>
  <si>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</si>
  <si>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</si>
  <si>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</si>
  <si>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</si>
  <si>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</si>
  <si>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</si>
  <si>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</si>
  <si>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</si>
  <si>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</si>
  <si>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</si>
  <si>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</si>
  <si>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</si>
  <si>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</si>
  <si>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</si>
  <si>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</si>
  <si>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</si>
  <si>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</si>
  <si>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</si>
  <si>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</si>
  <si>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</si>
  <si>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</si>
  <si>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</si>
  <si>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</si>
  <si>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</si>
  <si>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</si>
  <si>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</si>
  <si>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</si>
  <si>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</si>
  <si>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</si>
  <si>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</si>
  <si>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</si>
  <si>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</si>
  <si>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</si>
  <si>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</si>
  <si>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</si>
  <si>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</si>
  <si>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</si>
  <si>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</si>
  <si>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</si>
  <si>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</si>
  <si>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</si>
  <si>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</si>
  <si>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</si>
  <si>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</si>
  <si>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</si>
  <si>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</si>
  <si>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</si>
  <si>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</si>
  <si>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</si>
  <si>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</si>
  <si>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</si>
  <si>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</si>
  <si>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</si>
  <si>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</si>
  <si>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</si>
  <si>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</si>
  <si>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</si>
  <si>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</si>
  <si>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</si>
  <si>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</si>
  <si>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</si>
  <si>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</si>
  <si>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</si>
  <si>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</si>
  <si>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원/ m2</t>
    <phoneticPr fontId="2" type="noConversion"/>
  </si>
  <si>
    <t xml:space="preserve"> 김포지사 사옥신축 공사</t>
  </si>
  <si>
    <t>업무</t>
  </si>
  <si>
    <t>충청도</t>
  </si>
  <si>
    <t>평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</si>
  <si>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</si>
  <si>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</si>
  <si>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기초공사,폐기물처리비,골재비및운반비,작업부산물,품질시험비,기타공사</t>
    <phoneticPr fontId="2" type="noConversion"/>
  </si>
  <si>
    <t>공조배관공사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</si>
  <si>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</si>
  <si>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</si>
  <si>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CCTV설비공사,주차관제설비공사</t>
    <phoneticPr fontId="2" type="noConversion"/>
  </si>
  <si>
    <t>펌프실배관공사</t>
    <phoneticPr fontId="2" type="noConversion"/>
  </si>
  <si>
    <t>토목</t>
    <phoneticPr fontId="2" type="noConversion"/>
  </si>
  <si>
    <t>토목 사급자재비, 토목 운반비,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</si>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</sst>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250</v>
      </c>
    </row>
    <row r="7" spans="1:4" ht="17.25" thickBot="1" x14ac:dyDescent="0.35">
      <c r="C7" s="37">
        <v>3599.42</v>
      </c>
      <c r="D7" s="36">
        <f>+C7/3.3058</f>
        <v>1088.8196503115737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246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856780</v>
      </c>
      <c r="E25" s="60">
        <f t="shared" si="0"/>
        <v>2832340</v>
      </c>
    </row>
    <row r="26" spans="1:5" x14ac:dyDescent="0.3">
      <c r="B26" s="2">
        <v>3</v>
      </c>
      <c r="C26" s="35" t="s">
        <v>95</v>
      </c>
      <c r="D26" s="45">
        <f>+D66</f>
        <v>58190</v>
      </c>
      <c r="E26" s="60">
        <f t="shared" si="0"/>
        <v>192360</v>
      </c>
    </row>
    <row r="27" spans="1:5" x14ac:dyDescent="0.3">
      <c r="B27" s="2">
        <v>4</v>
      </c>
      <c r="C27" s="35" t="s">
        <v>96</v>
      </c>
      <c r="D27" s="45">
        <f>+D95</f>
        <v>411200</v>
      </c>
      <c r="E27" s="60">
        <f t="shared" si="0"/>
        <v>1359340</v>
      </c>
    </row>
    <row r="28" spans="1:5" x14ac:dyDescent="0.3">
      <c r="B28" s="2">
        <v>5</v>
      </c>
      <c r="C28" s="35" t="s">
        <v>97</v>
      </c>
      <c r="D28" s="45">
        <f>+D119</f>
        <v>195070</v>
      </c>
      <c r="E28" s="60">
        <f t="shared" si="0"/>
        <v>644860</v>
      </c>
    </row>
    <row r="29" spans="1:5" x14ac:dyDescent="0.3">
      <c r="B29" s="2">
        <v>6</v>
      </c>
      <c r="C29" s="35" t="s">
        <v>98</v>
      </c>
      <c r="D29" s="45">
        <f>+D133</f>
        <v>83810</v>
      </c>
      <c r="E29" s="60">
        <f t="shared" si="0"/>
        <v>277050</v>
      </c>
    </row>
    <row r="30" spans="1:5" x14ac:dyDescent="0.3">
      <c r="B30" s="2">
        <v>7</v>
      </c>
      <c r="C30" s="35" t="s">
        <v>99</v>
      </c>
      <c r="D30" s="45">
        <f>+D146</f>
        <v>35840</v>
      </c>
      <c r="E30" s="60">
        <f t="shared" si="0"/>
        <v>118470</v>
      </c>
    </row>
    <row r="31" spans="1:5" x14ac:dyDescent="0.3">
      <c r="B31" s="2">
        <v>8</v>
      </c>
      <c r="C31" s="35" t="s">
        <v>100</v>
      </c>
      <c r="D31" s="45">
        <f>+D154</f>
        <v>39090</v>
      </c>
      <c r="E31" s="60">
        <f t="shared" si="0"/>
        <v>129220</v>
      </c>
    </row>
    <row r="32" spans="1:5" x14ac:dyDescent="0.3">
      <c r="B32" s="2">
        <v>9</v>
      </c>
      <c r="C32" s="35" t="s">
        <v>101</v>
      </c>
      <c r="D32" s="45">
        <f>+D161</f>
        <v>35660</v>
      </c>
      <c r="E32" s="60">
        <f t="shared" si="0"/>
        <v>117880</v>
      </c>
    </row>
    <row r="33" spans="1:7" x14ac:dyDescent="0.3">
      <c r="B33" s="2">
        <v>10</v>
      </c>
      <c r="C33" s="35" t="s">
        <v>153</v>
      </c>
      <c r="D33" s="53">
        <f>TRUNC(SUM(D24:D32)*0.275,-1)</f>
        <v>471800</v>
      </c>
      <c r="E33" s="61">
        <f t="shared" si="0"/>
        <v>1559670</v>
      </c>
    </row>
    <row r="34" spans="1:7" x14ac:dyDescent="0.3">
      <c r="C34" s="35" t="s">
        <v>112</v>
      </c>
      <c r="D34" s="44">
        <f>SUM(D24:D33)</f>
        <v>2187440</v>
      </c>
      <c r="E34" s="44">
        <f>SUM(E24:E33)</f>
        <v>7231190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TRUNC(50651,-1)</f>
        <v>50650</v>
      </c>
      <c r="E40" s="63">
        <f t="shared" ref="E40:E59" si="1">TRUNC(+D40*3.3058,-1)</f>
        <v>167430</v>
      </c>
    </row>
    <row r="41" spans="1:7" x14ac:dyDescent="0.3">
      <c r="A41" s="2">
        <v>2</v>
      </c>
      <c r="C41" s="38" t="s">
        <v>13</v>
      </c>
      <c r="D41" s="42">
        <f>TRUNC(136908,-1)</f>
        <v>136900</v>
      </c>
      <c r="E41" s="64">
        <f t="shared" si="1"/>
        <v>452560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TRUNC(14483,-1)</f>
        <v>14480</v>
      </c>
      <c r="E43" s="64">
        <f t="shared" si="1"/>
        <v>47860</v>
      </c>
    </row>
    <row r="44" spans="1:7" x14ac:dyDescent="0.3">
      <c r="A44" s="2">
        <v>5</v>
      </c>
      <c r="C44" s="38" t="s">
        <v>17</v>
      </c>
      <c r="D44" s="42">
        <f>TRUNC(34263,-1)</f>
        <v>34260</v>
      </c>
      <c r="E44" s="64">
        <f t="shared" si="1"/>
        <v>113250</v>
      </c>
    </row>
    <row r="45" spans="1:7" x14ac:dyDescent="0.3">
      <c r="A45" s="2">
        <v>6</v>
      </c>
      <c r="C45" s="38" t="s">
        <v>18</v>
      </c>
      <c r="D45" s="42">
        <f>TRUNC(12377,-1)</f>
        <v>12370</v>
      </c>
      <c r="E45" s="64">
        <f t="shared" si="1"/>
        <v>40890</v>
      </c>
    </row>
    <row r="46" spans="1:7" x14ac:dyDescent="0.3">
      <c r="A46" s="2">
        <v>7</v>
      </c>
      <c r="C46" s="38" t="s">
        <v>19</v>
      </c>
      <c r="D46" s="42">
        <f>TRUNC(64065,-1)</f>
        <v>64060</v>
      </c>
      <c r="E46" s="64">
        <f t="shared" si="1"/>
        <v>211760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TRUNC(38030,-1)</f>
        <v>38030</v>
      </c>
      <c r="E48" s="64">
        <f t="shared" si="1"/>
        <v>125710</v>
      </c>
    </row>
    <row r="49" spans="1:7" x14ac:dyDescent="0.3">
      <c r="A49" s="2">
        <v>10</v>
      </c>
      <c r="C49" s="38" t="s">
        <v>22</v>
      </c>
      <c r="D49" s="42">
        <f>TRUNC(8254,-1)</f>
        <v>8250</v>
      </c>
      <c r="E49" s="64">
        <f t="shared" si="1"/>
        <v>27270</v>
      </c>
    </row>
    <row r="50" spans="1:7" x14ac:dyDescent="0.3">
      <c r="A50" s="2">
        <v>11</v>
      </c>
      <c r="C50" s="38" t="s">
        <v>154</v>
      </c>
      <c r="D50" s="42">
        <f>TRUNC(51486,-1)</f>
        <v>51480</v>
      </c>
      <c r="E50" s="64">
        <f t="shared" si="1"/>
        <v>170180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TRUNC(14513,-1)</f>
        <v>14510</v>
      </c>
      <c r="E52" s="64">
        <f t="shared" si="1"/>
        <v>47960</v>
      </c>
    </row>
    <row r="53" spans="1:7" x14ac:dyDescent="0.3">
      <c r="A53" s="2">
        <v>14</v>
      </c>
      <c r="C53" s="38" t="s">
        <v>25</v>
      </c>
      <c r="D53" s="42">
        <f>TRUNC(94503,-1)</f>
        <v>94500</v>
      </c>
      <c r="E53" s="64">
        <f t="shared" si="1"/>
        <v>312390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TRUNC(30405+1129+6171-704+1101+28168,-1)</f>
        <v>66270</v>
      </c>
      <c r="E58" s="64">
        <f t="shared" si="1"/>
        <v>219070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TRUNC(271026,-1)</f>
        <v>271020</v>
      </c>
      <c r="E59" s="65">
        <f t="shared" si="1"/>
        <v>895930</v>
      </c>
    </row>
    <row r="60" spans="1:7" x14ac:dyDescent="0.3">
      <c r="A60" s="2">
        <v>21</v>
      </c>
      <c r="C60" s="27" t="s">
        <v>112</v>
      </c>
      <c r="D60" s="39">
        <f>SUM(D40:D59)</f>
        <v>856780</v>
      </c>
      <c r="E60" s="39">
        <f>SUM(E40:E59)</f>
        <v>2832260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234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TRUNC(15516,-1)</f>
        <v>15510</v>
      </c>
      <c r="E63" s="63">
        <f>TRUNC(+D63*3.3058,-1)</f>
        <v>51270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TRUNC(42688,-1)</f>
        <v>42680</v>
      </c>
      <c r="E65" s="65">
        <f>TRUNC(+D65*3.3058,-1)</f>
        <v>141090</v>
      </c>
    </row>
    <row r="66" spans="1:7" x14ac:dyDescent="0.3">
      <c r="A66" s="2">
        <v>4</v>
      </c>
      <c r="C66" s="27" t="s">
        <v>112</v>
      </c>
      <c r="D66" s="57">
        <f>SUM(D63:D65)</f>
        <v>58190</v>
      </c>
      <c r="E66" s="57">
        <f>SUM(E63:E65)</f>
        <v>192360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TRUNC(31871,-1)</f>
        <v>31870</v>
      </c>
      <c r="E69" s="63">
        <f t="shared" ref="E69:E94" si="2">TRUNC(+D69*3.3058,-1)</f>
        <v>105350</v>
      </c>
    </row>
    <row r="70" spans="1:7" ht="16.5" customHeight="1" x14ac:dyDescent="0.3">
      <c r="A70" s="2">
        <v>2</v>
      </c>
      <c r="C70" s="38" t="s">
        <v>31</v>
      </c>
      <c r="D70" s="42">
        <f>TRUNC(530,-1)</f>
        <v>530</v>
      </c>
      <c r="E70" s="64">
        <f t="shared" si="2"/>
        <v>1750</v>
      </c>
    </row>
    <row r="71" spans="1:7" x14ac:dyDescent="0.3">
      <c r="A71" s="2">
        <v>3</v>
      </c>
      <c r="C71" s="38" t="s">
        <v>32</v>
      </c>
      <c r="D71" s="42">
        <f>TRUNC(14166,-1)</f>
        <v>14160</v>
      </c>
      <c r="E71" s="64">
        <f t="shared" si="2"/>
        <v>46810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f>TRUNC(13804,-1)</f>
        <v>13800</v>
      </c>
      <c r="E73" s="64">
        <f t="shared" si="2"/>
        <v>45620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TRUNC(829,-1)</f>
        <v>820</v>
      </c>
      <c r="E75" s="64">
        <f t="shared" si="2"/>
        <v>2710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TRUNC(5828,-1)</f>
        <v>5820</v>
      </c>
      <c r="E89" s="64">
        <f t="shared" si="2"/>
        <v>19230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TRUNC(6918,-1)</f>
        <v>6910</v>
      </c>
      <c r="E91" s="64">
        <f t="shared" si="2"/>
        <v>22840</v>
      </c>
    </row>
    <row r="92" spans="1:7" x14ac:dyDescent="0.3">
      <c r="A92" s="2">
        <v>24</v>
      </c>
      <c r="C92" s="38" t="s">
        <v>38</v>
      </c>
      <c r="D92" s="42">
        <f>TRUNC(6745,-1)</f>
        <v>6740</v>
      </c>
      <c r="E92" s="64">
        <f t="shared" si="2"/>
        <v>22280</v>
      </c>
    </row>
    <row r="93" spans="1:7" x14ac:dyDescent="0.3">
      <c r="A93" s="2">
        <v>25</v>
      </c>
      <c r="C93" s="38" t="s">
        <v>148</v>
      </c>
      <c r="D93" s="42">
        <f>TRUNC(251521,-1)</f>
        <v>251520</v>
      </c>
      <c r="E93" s="64">
        <f t="shared" si="2"/>
        <v>831470</v>
      </c>
    </row>
    <row r="94" spans="1:7" ht="17.25" thickBot="1" x14ac:dyDescent="0.35">
      <c r="A94" s="2">
        <v>26</v>
      </c>
      <c r="C94" s="38" t="s">
        <v>47</v>
      </c>
      <c r="D94" s="43">
        <f>TRUNC(34966+44069,-1)</f>
        <v>79030</v>
      </c>
      <c r="E94" s="65">
        <f t="shared" si="2"/>
        <v>261250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411200</v>
      </c>
      <c r="E95" s="39">
        <f>SUM(E69:E94)</f>
        <v>1359310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TRUNC(12654,-1)</f>
        <v>12650</v>
      </c>
      <c r="E98" s="63">
        <f t="shared" ref="E98:E118" si="3">TRUNC(+D98*3.3058,-1)</f>
        <v>41810</v>
      </c>
    </row>
    <row r="99" spans="1:7" x14ac:dyDescent="0.3">
      <c r="A99" s="2">
        <v>2</v>
      </c>
      <c r="C99" s="38" t="s">
        <v>40</v>
      </c>
      <c r="D99" s="42">
        <f>TRUNC(15524,-1)</f>
        <v>15520</v>
      </c>
      <c r="E99" s="64">
        <f t="shared" si="3"/>
        <v>51300</v>
      </c>
    </row>
    <row r="100" spans="1:7" x14ac:dyDescent="0.3">
      <c r="A100" s="2">
        <v>3</v>
      </c>
      <c r="C100" s="38" t="s">
        <v>41</v>
      </c>
      <c r="D100" s="42">
        <f>TRUNC(42458,-1)</f>
        <v>42450</v>
      </c>
      <c r="E100" s="64">
        <f t="shared" si="3"/>
        <v>140330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TRUNC(13506,-1)</f>
        <v>13500</v>
      </c>
      <c r="E102" s="64">
        <f t="shared" si="3"/>
        <v>44620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TRUNC(6459,-1)</f>
        <v>6450</v>
      </c>
      <c r="E104" s="64">
        <f t="shared" si="3"/>
        <v>21320</v>
      </c>
    </row>
    <row r="105" spans="1:7" x14ac:dyDescent="0.3">
      <c r="A105" s="2">
        <v>8</v>
      </c>
      <c r="C105" s="38" t="s">
        <v>46</v>
      </c>
      <c r="D105" s="42">
        <f>TRUNC(2512,-1)</f>
        <v>2510</v>
      </c>
      <c r="E105" s="64">
        <f t="shared" si="3"/>
        <v>8290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TRUNC(4309,-1)</f>
        <v>4300</v>
      </c>
      <c r="E114" s="64">
        <f t="shared" si="3"/>
        <v>14210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TRUNC(17004,-1)</f>
        <v>17000</v>
      </c>
      <c r="E116" s="64">
        <f t="shared" si="3"/>
        <v>56190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TRUNC(74744,-1)</f>
        <v>74740</v>
      </c>
      <c r="E117" s="64">
        <f t="shared" si="3"/>
        <v>247070</v>
      </c>
    </row>
    <row r="118" spans="1:7" ht="17.25" thickBot="1" x14ac:dyDescent="0.35">
      <c r="A118" s="2">
        <v>21</v>
      </c>
      <c r="C118" s="38" t="s">
        <v>47</v>
      </c>
      <c r="D118" s="43">
        <f>TRUNC(5952,-1)</f>
        <v>5950</v>
      </c>
      <c r="E118" s="65">
        <f t="shared" si="3"/>
        <v>19660</v>
      </c>
    </row>
    <row r="119" spans="1:7" x14ac:dyDescent="0.3">
      <c r="A119" s="2">
        <v>22</v>
      </c>
      <c r="C119" s="27" t="s">
        <v>112</v>
      </c>
      <c r="D119" s="39">
        <f>SUM(D98:D118)</f>
        <v>195070</v>
      </c>
      <c r="E119" s="39">
        <f>SUM(E98:E118)</f>
        <v>644800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TRUNC(3203,-1)</f>
        <v>3200</v>
      </c>
      <c r="E122" s="63">
        <f t="shared" ref="E122:E132" si="4">TRUNC(+D122*3.3058,-1)</f>
        <v>10570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2120</v>
      </c>
      <c r="E124" s="64">
        <f t="shared" si="4"/>
        <v>7000</v>
      </c>
    </row>
    <row r="125" spans="1:7" x14ac:dyDescent="0.3">
      <c r="A125" s="2">
        <v>4</v>
      </c>
      <c r="C125" s="38" t="s">
        <v>138</v>
      </c>
      <c r="D125" s="42">
        <f>TRUNC(6207,-1)</f>
        <v>6200</v>
      </c>
      <c r="E125" s="64">
        <f t="shared" si="4"/>
        <v>20490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TRUNC(2235,-1)</f>
        <v>2230</v>
      </c>
      <c r="E128" s="64">
        <f t="shared" si="4"/>
        <v>7370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TRUNC(15597,-1)</f>
        <v>15590</v>
      </c>
      <c r="E130" s="64">
        <f t="shared" si="4"/>
        <v>51530</v>
      </c>
    </row>
    <row r="131" spans="1:7" x14ac:dyDescent="0.3">
      <c r="A131" s="2">
        <v>10</v>
      </c>
      <c r="C131" s="38" t="s">
        <v>148</v>
      </c>
      <c r="D131" s="42">
        <f>TRUNC(51135,-1)</f>
        <v>51130</v>
      </c>
      <c r="E131" s="64">
        <f t="shared" si="4"/>
        <v>169020</v>
      </c>
    </row>
    <row r="132" spans="1:7" ht="17.25" thickBot="1" x14ac:dyDescent="0.35">
      <c r="A132" s="2">
        <v>11</v>
      </c>
      <c r="C132" s="38" t="s">
        <v>47</v>
      </c>
      <c r="D132" s="43">
        <f>TRUNC(2212+1135,-1)</f>
        <v>3340</v>
      </c>
      <c r="E132" s="65">
        <f t="shared" si="4"/>
        <v>11040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83810</v>
      </c>
      <c r="E133" s="39">
        <f>SUM(E122:E132)</f>
        <v>277020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TRUNC(5392,-1)</f>
        <v>5390</v>
      </c>
      <c r="E137" s="64">
        <f t="shared" si="5"/>
        <v>17810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TRUNC(3570,-1)</f>
        <v>3570</v>
      </c>
      <c r="E140" s="64">
        <f t="shared" si="5"/>
        <v>11800</v>
      </c>
    </row>
    <row r="141" spans="1:7" x14ac:dyDescent="0.3">
      <c r="A141" s="2">
        <v>6</v>
      </c>
      <c r="C141" s="38" t="s">
        <v>59</v>
      </c>
      <c r="D141" s="42">
        <f>TRUNC(3908,-1)</f>
        <v>3900</v>
      </c>
      <c r="E141" s="64">
        <f t="shared" si="5"/>
        <v>12890</v>
      </c>
    </row>
    <row r="142" spans="1:7" x14ac:dyDescent="0.3">
      <c r="A142" s="2">
        <v>7</v>
      </c>
      <c r="C142" s="38" t="s">
        <v>58</v>
      </c>
      <c r="D142" s="42">
        <f>TRUNC(4718,-1)</f>
        <v>4710</v>
      </c>
      <c r="E142" s="64">
        <f t="shared" si="5"/>
        <v>15570</v>
      </c>
    </row>
    <row r="143" spans="1:7" x14ac:dyDescent="0.3">
      <c r="A143" s="2">
        <v>8</v>
      </c>
      <c r="C143" s="38" t="s">
        <v>62</v>
      </c>
      <c r="D143" s="42">
        <f>TRUNC(3178,-1)</f>
        <v>3170</v>
      </c>
      <c r="E143" s="64">
        <f t="shared" si="5"/>
        <v>10470</v>
      </c>
    </row>
    <row r="144" spans="1:7" x14ac:dyDescent="0.3">
      <c r="A144" s="2">
        <v>9</v>
      </c>
      <c r="C144" s="38" t="s">
        <v>63</v>
      </c>
      <c r="D144" s="42">
        <f>TRUNC(15106,-1)</f>
        <v>15100</v>
      </c>
      <c r="E144" s="64">
        <f t="shared" si="5"/>
        <v>49910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35840</v>
      </c>
      <c r="E146" s="39">
        <f>SUM(E136:E145)</f>
        <v>118450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TRUNC(3620+170,-1)</f>
        <v>3790</v>
      </c>
      <c r="E149" s="63">
        <f>TRUNC(+D149*3.3058,-1)</f>
        <v>12520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TRUNC(4399,-1)</f>
        <v>4390</v>
      </c>
      <c r="E150" s="64">
        <f>TRUNC(+D150*3.3058,-1)</f>
        <v>14510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v>2560</v>
      </c>
      <c r="E151" s="64">
        <f>TRUNC(+D151*3.3058,-1)</f>
        <v>8460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10967+709+1954</f>
        <v>13630</v>
      </c>
      <c r="E152" s="64">
        <f>TRUNC(+D152*3.3058,-1)</f>
        <v>45050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TRUNC(14724,-1)</f>
        <v>14720</v>
      </c>
      <c r="E153" s="65">
        <f>TRUNC(+D153*3.3058,-1)</f>
        <v>48660</v>
      </c>
      <c r="F153" s="58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39090</v>
      </c>
      <c r="E154" s="39">
        <f>SUM(E149:E153)</f>
        <v>129200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TRUNC(15225,-1)</f>
        <v>15220</v>
      </c>
      <c r="E157" s="63">
        <f>TRUNC(+D157*3.3058,-1)</f>
        <v>50310</v>
      </c>
    </row>
    <row r="158" spans="1:7" x14ac:dyDescent="0.3">
      <c r="A158" s="2">
        <v>2</v>
      </c>
      <c r="C158" s="38" t="s">
        <v>52</v>
      </c>
      <c r="D158" s="42">
        <f>TRUNC(1538,-1)</f>
        <v>1530</v>
      </c>
      <c r="E158" s="64">
        <f>TRUNC(+D158*3.3058,-1)</f>
        <v>5050</v>
      </c>
    </row>
    <row r="159" spans="1:7" x14ac:dyDescent="0.3">
      <c r="A159" s="2">
        <v>3</v>
      </c>
      <c r="C159" s="38" t="s">
        <v>47</v>
      </c>
      <c r="D159" s="42">
        <f>TRUNC(18672+242,-1)</f>
        <v>18910</v>
      </c>
      <c r="E159" s="64">
        <f>TRUNC(+D159*3.3058,-1)</f>
        <v>62510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35660</v>
      </c>
      <c r="E161" s="39">
        <f>SUM(E157:E160)</f>
        <v>117870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2020-12-07T10:18:02Z</dcterms:modified>
</cp:coreProperties>
</file>