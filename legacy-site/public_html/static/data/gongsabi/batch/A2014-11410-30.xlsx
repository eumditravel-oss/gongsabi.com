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4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58" i="4" l="1"/>
  <c r="D132" i="4"/>
  <c r="D124" i="4"/>
  <c r="D125" i="4"/>
  <c r="D122" i="4"/>
  <c r="D130" i="4"/>
  <c r="D115" i="4"/>
  <c r="D118" i="4"/>
  <c r="D105" i="4"/>
  <c r="D101" i="4"/>
  <c r="D104" i="4"/>
  <c r="D108" i="4"/>
  <c r="D100" i="4"/>
  <c r="D102" i="4"/>
  <c r="D99" i="4"/>
  <c r="D98" i="4"/>
  <c r="D114" i="4"/>
  <c r="D72" i="4"/>
  <c r="D90" i="4"/>
  <c r="D75" i="4"/>
  <c r="D94" i="4"/>
  <c r="D78" i="4"/>
  <c r="D71" i="4"/>
  <c r="D70" i="4"/>
  <c r="D69" i="4"/>
  <c r="D54" i="4"/>
  <c r="D41" i="4"/>
  <c r="D42" i="4"/>
  <c r="D50" i="4"/>
  <c r="D55" i="4"/>
  <c r="D43" i="4"/>
  <c r="D51" i="4"/>
  <c r="D53" i="4"/>
  <c r="D46" i="4"/>
  <c r="D44" i="4"/>
  <c r="D49" i="4"/>
  <c r="D47" i="4"/>
  <c r="D52" i="4"/>
  <c r="D48" i="4"/>
  <c r="D37" i="4"/>
  <c r="D40" i="4"/>
  <c r="D137" i="4"/>
  <c r="D136" i="4"/>
  <c r="D159" i="4"/>
  <c r="D152" i="4"/>
  <c r="E160" i="4" l="1"/>
  <c r="E159" i="4"/>
  <c r="E158" i="4"/>
  <c r="E157" i="4"/>
  <c r="E153" i="4"/>
  <c r="E152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32" i="4"/>
  <c r="E131" i="4"/>
  <c r="E130" i="4"/>
  <c r="E129" i="4"/>
  <c r="E128" i="4"/>
  <c r="E127" i="4"/>
  <c r="E126" i="4"/>
  <c r="E125" i="4"/>
  <c r="E124" i="4"/>
  <c r="E123" i="4"/>
  <c r="E122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5" i="4"/>
  <c r="E64" i="4"/>
  <c r="E63" i="4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7" i="4"/>
  <c r="E66" i="4" l="1"/>
  <c r="E161" i="4"/>
  <c r="E133" i="4"/>
  <c r="E119" i="4"/>
  <c r="E95" i="4"/>
  <c r="E60" i="4"/>
  <c r="E146" i="4"/>
  <c r="E154" i="4"/>
  <c r="D161" i="4"/>
  <c r="D32" i="4" s="1"/>
  <c r="E32" i="4" s="1"/>
  <c r="D154" i="4"/>
  <c r="D31" i="4" s="1"/>
  <c r="D146" i="4"/>
  <c r="D30" i="4" s="1"/>
  <c r="E30" i="4" s="1"/>
  <c r="D133" i="4"/>
  <c r="D29" i="4" s="1"/>
  <c r="E29" i="4" s="1"/>
  <c r="D119" i="4"/>
  <c r="D28" i="4" s="1"/>
  <c r="E28" i="4" s="1"/>
  <c r="D95" i="4"/>
  <c r="D27" i="4" s="1"/>
  <c r="E27" i="4" s="1"/>
  <c r="D66" i="4"/>
  <c r="D60" i="4"/>
  <c r="D25" i="4" s="1"/>
  <c r="E25" i="4" s="1"/>
  <c r="D24" i="4"/>
  <c r="E24" i="4" s="1"/>
  <c r="D26" i="4"/>
  <c r="E26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E31" i="4" l="1"/>
  <c r="D33" i="4"/>
  <c r="E33" i="4" s="1"/>
  <c r="D34" i="4" l="1"/>
  <c r="E34" i="4"/>
</calcChain>
</file>

<file path=xl/sharedStrings.xml><?xml version="1.0" encoding="utf-8"?>
<sst xmlns="http://schemas.openxmlformats.org/spreadsheetml/2006/main" count="389" uniqueCount="264">
  <si>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</si>
  <si>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</si>
  <si>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</si>
  <si>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</si>
  <si>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</si>
  <si>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</si>
  <si>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</si>
  <si>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</si>
  <si>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</si>
  <si>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</si>
  <si>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</si>
  <si>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</si>
  <si>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</si>
  <si>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</si>
  <si>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</si>
  <si>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</si>
  <si>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</si>
  <si>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</si>
  <si>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</si>
  <si>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</si>
  <si>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</si>
  <si>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</si>
  <si>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</si>
  <si>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</si>
  <si>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</si>
  <si>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</si>
  <si>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</si>
  <si>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</si>
  <si>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</si>
  <si>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</si>
  <si>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</si>
  <si>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</si>
  <si>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</si>
  <si>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</si>
  <si>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</si>
  <si>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</si>
  <si>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</si>
  <si>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</si>
  <si>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</si>
  <si>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</si>
  <si>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</si>
  <si>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</si>
  <si>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</si>
  <si>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</si>
  <si>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</si>
  <si>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</si>
  <si>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</si>
  <si>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</si>
  <si>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</si>
  <si>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</si>
  <si>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</si>
  <si>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</si>
  <si>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</si>
  <si>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</si>
  <si>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</si>
  <si>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</si>
  <si>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</si>
  <si>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</si>
  <si>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</si>
  <si>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</si>
  <si>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</si>
  <si>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</si>
  <si>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</si>
  <si>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</si>
  <si>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</si>
  <si>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</si>
  <si>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</si>
  <si>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</si>
  <si>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</si>
  <si>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</si>
  <si>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</si>
  <si>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</si>
  <si>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</si>
  <si>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</si>
  <si>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</si>
  <si>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</si>
  <si>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</si>
  <si>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</si>
  <si>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</si>
  <si>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</si>
  <si>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</si>
  <si>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</si>
  <si>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</si>
  <si>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</si>
  <si>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</si>
  <si>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</si>
  <si>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</si>
  <si>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</si>
  <si>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</si>
  <si>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</si>
  <si>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</si>
  <si>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</si>
  <si>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</si>
  <si>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</si>
  <si>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</si>
  <si>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</si>
  <si>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</si>
  <si>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</si>
  <si>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</si>
  <si>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</si>
  <si>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</si>
  <si>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</si>
  <si>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</si>
  <si>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</si>
  <si>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</si>
  <si>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</si>
  <si>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</si>
  <si>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</si>
  <si>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</si>
  <si>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</si>
  <si>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</si>
  <si>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</si>
  <si>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</si>
  <si>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</si>
  <si>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</si>
  <si>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</si>
  <si>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</si>
  <si>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</si>
  <si>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</si>
  <si>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</si>
  <si>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</si>
  <si>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</si>
  <si>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</si>
  <si>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</si>
  <si>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</si>
  <si>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</si>
  <si>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</si>
  <si>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</si>
  <si>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</si>
  <si>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</si>
  <si>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</si>
  <si>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</si>
  <si>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</si>
  <si>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</si>
  <si>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</si>
  <si>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</si>
  <si>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</si>
  <si>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</si>
  <si>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</si>
  <si>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</si>
  <si>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</si>
  <si>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</si>
  <si>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</si>
  <si>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</si>
  <si>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</si>
  <si>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</si>
  <si>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</si>
  <si>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</si>
  <si>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</si>
  <si>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</si>
  <si>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</si>
  <si>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</si>
  <si>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</si>
  <si>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</si>
  <si>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</si>
  <si>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</si>
  <si>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</si>
  <si>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</si>
  <si>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</si>
  <si>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</si>
  <si>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</si>
  <si>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</si>
  <si>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</si>
  <si>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</si>
  <si>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</si>
  <si>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</si>
  <si>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</si>
  <si>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</si>
  <si>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</si>
  <si>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</si>
  <si>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</si>
  <si>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</si>
  <si>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</si>
  <si>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</si>
  <si>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</si>
  <si>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</si>
  <si>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</si>
  <si>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</si>
  <si>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</si>
  <si>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</si>
  <si>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</si>
  <si>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</si>
  <si>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</si>
  <si>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</si>
  <si>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</si>
  <si>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</si>
  <si>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</si>
  <si>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</si>
  <si>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</si>
  <si>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</si>
  <si>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</si>
  <si>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</si>
  <si>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</si>
  <si>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</si>
  <si>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</si>
  <si>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</si>
  <si>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</si>
  <si>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</si>
  <si>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</si>
  <si>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</si>
  <si>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</si>
  <si>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</si>
  <si>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</si>
  <si>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</si>
  <si>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</si>
  <si>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</si>
  <si>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</si>
  <si>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</si>
  <si>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</si>
  <si>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</si>
  <si>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</si>
  <si>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</si>
  <si>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</si>
  <si>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</si>
  <si>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</si>
  <si>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</si>
  <si>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</si>
  <si>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</si>
  <si>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</si>
  <si>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</si>
  <si>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</si>
  <si>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</si>
  <si>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</si>
  <si>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</si>
  <si>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</si>
  <si>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</si>
  <si>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</si>
  <si>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</si>
  <si>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</si>
  <si>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</si>
  <si>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</si>
  <si>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</si>
  <si>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</si>
  <si>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</si>
  <si>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</si>
  <si>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</si>
  <si>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</si>
  <si>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</si>
  <si>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</si>
  <si>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</si>
  <si>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</si>
  <si>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</si>
  <si>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</si>
  <si>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</si>
  <si>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</si>
  <si>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</si>
  <si>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</si>
  <si>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</si>
  <si>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0000연수원 건립공사</t>
    <phoneticPr fontId="2" type="noConversion"/>
  </si>
  <si>
    <t>교육연구</t>
  </si>
  <si>
    <t>강원도</t>
  </si>
  <si>
    <t>부대토목공사(흙막이공사 포함)</t>
    <phoneticPr fontId="2" type="noConversion"/>
  </si>
  <si>
    <t>부대조경공사</t>
    <phoneticPr fontId="2" type="noConversion"/>
  </si>
  <si>
    <t>기계 소화설비공사</t>
    <phoneticPr fontId="2" type="noConversion"/>
  </si>
  <si>
    <t>전기 소방공사</t>
    <phoneticPr fontId="2" type="noConversion"/>
  </si>
  <si>
    <t>공조배관공사,위생배관공사,시스템가대설치공사</t>
    <phoneticPr fontId="2" type="noConversion"/>
  </si>
  <si>
    <t>숙소1단위세대공사,숙소2단위세대공사,태양광발전설비공사</t>
    <phoneticPr fontId="2" type="noConversion"/>
  </si>
  <si>
    <t>단위세대통신공사,CCTV설비공사,객실관리설비공사,기타공사</t>
    <phoneticPr fontId="2" type="noConversion"/>
  </si>
  <si>
    <t>골재비,군시설지장물철거,기타공사,부대공사,운반비,작업부산물,파일및지정공사</t>
    <phoneticPr fontId="2" type="noConversion"/>
  </si>
  <si>
    <t>원/ m2</t>
  </si>
  <si>
    <t>원 /평</t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</si>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</sst>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DEADB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81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0" fontId="0" fillId="4" borderId="0" xfId="0" applyNumberFormat="1" applyFill="1">
      <alignment vertical="center"/>
    </xf>
    <xf numFmtId="41" fontId="0" fillId="4" borderId="0" xfId="1" applyNumberFormat="1" applyFont="1" applyFill="1">
      <alignment vertical="center"/>
    </xf>
    <xf numFmtId="178" fontId="0" fillId="4" borderId="0" xfId="1" applyNumberFormat="1" applyFont="1" applyFill="1" applyAlignment="1">
      <alignment vertical="center" shrinkToFit="1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/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72" t="s">
        <v>156</v>
      </c>
      <c r="B2" s="75" t="s">
        <v>0</v>
      </c>
      <c r="C2" s="76"/>
      <c r="D2" s="75" t="s">
        <v>1</v>
      </c>
      <c r="E2" s="76"/>
      <c r="F2" s="75" t="s">
        <v>157</v>
      </c>
      <c r="G2" s="76"/>
      <c r="H2" s="75" t="s">
        <v>2</v>
      </c>
      <c r="I2" s="76"/>
      <c r="J2" s="75" t="s">
        <v>3</v>
      </c>
      <c r="K2" s="76"/>
      <c r="L2" s="75" t="s">
        <v>158</v>
      </c>
      <c r="M2" s="76"/>
      <c r="N2" s="75" t="s">
        <v>159</v>
      </c>
      <c r="O2" s="76"/>
      <c r="P2" s="75" t="s">
        <v>5</v>
      </c>
      <c r="Q2" s="76"/>
      <c r="R2" s="69" t="s">
        <v>94</v>
      </c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  <c r="AF2" s="70"/>
      <c r="AG2" s="71"/>
    </row>
    <row r="3" spans="1:33" x14ac:dyDescent="0.3">
      <c r="A3" s="73"/>
      <c r="B3" s="77"/>
      <c r="C3" s="78"/>
      <c r="D3" s="77"/>
      <c r="E3" s="78"/>
      <c r="F3" s="77"/>
      <c r="G3" s="78"/>
      <c r="H3" s="77"/>
      <c r="I3" s="78"/>
      <c r="J3" s="77"/>
      <c r="K3" s="78"/>
      <c r="L3" s="77"/>
      <c r="M3" s="78"/>
      <c r="N3" s="77"/>
      <c r="O3" s="78"/>
      <c r="P3" s="77"/>
      <c r="Q3" s="78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4"/>
      <c r="B4" s="79"/>
      <c r="C4" s="80"/>
      <c r="D4" s="79"/>
      <c r="E4" s="80"/>
      <c r="F4" s="79"/>
      <c r="G4" s="80"/>
      <c r="H4" s="79"/>
      <c r="I4" s="80"/>
      <c r="J4" s="79"/>
      <c r="K4" s="80"/>
      <c r="L4" s="79"/>
      <c r="M4" s="80"/>
      <c r="N4" s="79"/>
      <c r="O4" s="80"/>
      <c r="P4" s="79"/>
      <c r="Q4" s="80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261</v>
      </c>
      <c r="H5" s="5">
        <v>1</v>
      </c>
      <c r="I5" s="1" t="s">
        <v>160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161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162</v>
      </c>
    </row>
    <row r="6" spans="1:33" x14ac:dyDescent="0.3">
      <c r="A6" s="4">
        <f>+A5+1</f>
        <v>2</v>
      </c>
      <c r="B6" s="5">
        <f>+B5+1</f>
        <v>2</v>
      </c>
      <c r="C6" s="17" t="s">
        <v>163</v>
      </c>
      <c r="D6" s="5">
        <v>2</v>
      </c>
      <c r="E6" s="1" t="s">
        <v>164</v>
      </c>
      <c r="F6" s="5">
        <v>2</v>
      </c>
      <c r="G6" s="17" t="s">
        <v>165</v>
      </c>
      <c r="H6" s="5">
        <v>2</v>
      </c>
      <c r="I6" s="1" t="s">
        <v>212</v>
      </c>
      <c r="J6" s="19">
        <v>2</v>
      </c>
      <c r="K6" s="1" t="s">
        <v>213</v>
      </c>
      <c r="L6" s="5">
        <v>2</v>
      </c>
      <c r="M6" s="6" t="s">
        <v>214</v>
      </c>
      <c r="N6" s="5">
        <v>2</v>
      </c>
      <c r="O6" s="6" t="s">
        <v>215</v>
      </c>
      <c r="P6" s="5">
        <v>2</v>
      </c>
      <c r="Q6" s="1" t="s">
        <v>216</v>
      </c>
      <c r="R6" s="28">
        <v>2</v>
      </c>
      <c r="S6" s="29" t="s">
        <v>217</v>
      </c>
      <c r="T6" s="28">
        <v>2</v>
      </c>
      <c r="U6" s="29" t="s">
        <v>218</v>
      </c>
      <c r="V6" s="28">
        <v>2</v>
      </c>
      <c r="W6" s="29" t="s">
        <v>219</v>
      </c>
      <c r="X6" s="28">
        <v>2</v>
      </c>
      <c r="Y6" s="29" t="s">
        <v>220</v>
      </c>
      <c r="Z6" s="28">
        <v>2</v>
      </c>
      <c r="AA6" s="29" t="s">
        <v>221</v>
      </c>
      <c r="AB6" s="28">
        <v>2</v>
      </c>
      <c r="AC6" s="29" t="s">
        <v>222</v>
      </c>
      <c r="AD6" s="28">
        <v>2</v>
      </c>
      <c r="AE6" s="29" t="s">
        <v>223</v>
      </c>
      <c r="AF6" s="28">
        <v>2</v>
      </c>
      <c r="AG6" s="38" t="s">
        <v>224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225</v>
      </c>
      <c r="D7" s="5">
        <v>3</v>
      </c>
      <c r="E7" s="1" t="s">
        <v>226</v>
      </c>
      <c r="F7" s="5">
        <v>3</v>
      </c>
      <c r="G7" s="17" t="s">
        <v>227</v>
      </c>
      <c r="H7" s="5">
        <v>3</v>
      </c>
      <c r="I7" s="1" t="s">
        <v>228</v>
      </c>
      <c r="J7" s="19">
        <v>3</v>
      </c>
      <c r="K7" s="1" t="s">
        <v>229</v>
      </c>
      <c r="L7" s="5">
        <v>3</v>
      </c>
      <c r="M7" s="6" t="s">
        <v>230</v>
      </c>
      <c r="N7" s="5">
        <v>3</v>
      </c>
      <c r="O7" s="6" t="s">
        <v>231</v>
      </c>
      <c r="P7" s="5">
        <v>3</v>
      </c>
      <c r="Q7" s="1" t="s">
        <v>232</v>
      </c>
      <c r="R7" s="28">
        <v>3</v>
      </c>
      <c r="S7" s="29" t="s">
        <v>233</v>
      </c>
      <c r="T7" s="28">
        <v>3</v>
      </c>
      <c r="U7" s="29" t="s">
        <v>234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166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167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168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169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170</v>
      </c>
      <c r="F9" s="5">
        <v>5</v>
      </c>
      <c r="G9" s="17" t="s">
        <v>171</v>
      </c>
      <c r="H9" s="5">
        <v>5</v>
      </c>
      <c r="I9" s="1" t="s">
        <v>79</v>
      </c>
      <c r="J9" s="19">
        <v>5</v>
      </c>
      <c r="K9" s="1" t="s">
        <v>172</v>
      </c>
      <c r="L9" s="5"/>
      <c r="M9" s="6"/>
      <c r="N9" s="5"/>
      <c r="O9" s="6"/>
      <c r="P9" s="5">
        <v>5</v>
      </c>
      <c r="Q9" s="1" t="s">
        <v>173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174</v>
      </c>
      <c r="J10" s="19">
        <v>6</v>
      </c>
      <c r="K10" s="1" t="s">
        <v>175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176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177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178</v>
      </c>
      <c r="F12" s="5">
        <v>8</v>
      </c>
      <c r="G12" s="17" t="s">
        <v>179</v>
      </c>
      <c r="H12" s="5">
        <v>8</v>
      </c>
      <c r="I12" s="1" t="s">
        <v>81</v>
      </c>
      <c r="J12" s="19">
        <v>8</v>
      </c>
      <c r="K12" s="1" t="s">
        <v>180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181</v>
      </c>
      <c r="X12" s="28">
        <v>8</v>
      </c>
      <c r="Y12" s="29" t="s">
        <v>46</v>
      </c>
      <c r="Z12" s="28">
        <v>8</v>
      </c>
      <c r="AA12" s="29" t="s">
        <v>182</v>
      </c>
      <c r="AB12" s="28">
        <v>8</v>
      </c>
      <c r="AC12" s="29" t="s">
        <v>183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184</v>
      </c>
      <c r="D13" s="5">
        <v>9</v>
      </c>
      <c r="E13" s="1" t="s">
        <v>185</v>
      </c>
      <c r="F13" s="5"/>
      <c r="G13" s="17"/>
      <c r="H13" s="5">
        <v>9</v>
      </c>
      <c r="I13" s="1" t="s">
        <v>82</v>
      </c>
      <c r="J13" s="19">
        <v>9</v>
      </c>
      <c r="K13" s="1" t="s">
        <v>186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187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188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189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190</v>
      </c>
      <c r="J15" s="19">
        <v>11</v>
      </c>
      <c r="K15" s="1" t="s">
        <v>191</v>
      </c>
      <c r="L15" s="5"/>
      <c r="M15" s="6"/>
      <c r="N15" s="5"/>
      <c r="O15" s="6"/>
      <c r="P15" s="5"/>
      <c r="Q15" s="1"/>
      <c r="R15" s="28">
        <v>11</v>
      </c>
      <c r="S15" s="29" t="s">
        <v>192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193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194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195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196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197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198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199</v>
      </c>
      <c r="L19" s="5"/>
      <c r="M19" s="6"/>
      <c r="N19" s="5"/>
      <c r="O19" s="6"/>
      <c r="P19" s="5"/>
      <c r="Q19" s="1"/>
      <c r="R19" s="28">
        <v>15</v>
      </c>
      <c r="S19" s="29" t="s">
        <v>200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201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202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203</v>
      </c>
      <c r="X21" s="28">
        <v>17</v>
      </c>
      <c r="Y21" s="29" t="s">
        <v>204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205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206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207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208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209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210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211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248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249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236</v>
      </c>
    </row>
    <row r="7" spans="1:4" ht="17.25" thickBot="1" x14ac:dyDescent="0.35">
      <c r="C7" s="37">
        <v>13667</v>
      </c>
      <c r="D7" s="36">
        <f>+C7/3.3058</f>
        <v>4134.2488958799686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250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201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262</v>
      </c>
    </row>
    <row r="19" spans="1:5" x14ac:dyDescent="0.3">
      <c r="A19" s="2">
        <v>9</v>
      </c>
      <c r="B19" s="2" t="s">
        <v>263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237</v>
      </c>
      <c r="E23" s="35" t="s">
        <v>153</v>
      </c>
    </row>
    <row r="24" spans="1:5" x14ac:dyDescent="0.3">
      <c r="B24" s="2">
        <v>1</v>
      </c>
      <c r="C24" s="35" t="s">
        <v>110</v>
      </c>
      <c r="D24" s="41">
        <f>+D37</f>
        <v>18530</v>
      </c>
      <c r="E24" s="58">
        <f t="shared" ref="E24:E33" si="0">TRUNC(+D24*3.3058,-1)</f>
        <v>61250</v>
      </c>
    </row>
    <row r="25" spans="1:5" x14ac:dyDescent="0.3">
      <c r="B25" s="2">
        <v>2</v>
      </c>
      <c r="C25" s="35" t="s">
        <v>111</v>
      </c>
      <c r="D25" s="45">
        <f>+D60</f>
        <v>565810</v>
      </c>
      <c r="E25" s="59">
        <f t="shared" si="0"/>
        <v>1870450</v>
      </c>
    </row>
    <row r="26" spans="1:5" x14ac:dyDescent="0.3">
      <c r="B26" s="2">
        <v>3</v>
      </c>
      <c r="C26" s="35" t="s">
        <v>95</v>
      </c>
      <c r="D26" s="45">
        <f>+D66</f>
        <v>0</v>
      </c>
      <c r="E26" s="59">
        <f t="shared" si="0"/>
        <v>0</v>
      </c>
    </row>
    <row r="27" spans="1:5" x14ac:dyDescent="0.3">
      <c r="B27" s="2">
        <v>4</v>
      </c>
      <c r="C27" s="35" t="s">
        <v>96</v>
      </c>
      <c r="D27" s="45">
        <f>+D95</f>
        <v>200210</v>
      </c>
      <c r="E27" s="59">
        <f t="shared" si="0"/>
        <v>661850</v>
      </c>
    </row>
    <row r="28" spans="1:5" x14ac:dyDescent="0.3">
      <c r="B28" s="2">
        <v>5</v>
      </c>
      <c r="C28" s="35" t="s">
        <v>97</v>
      </c>
      <c r="D28" s="45">
        <f>+D119</f>
        <v>97860</v>
      </c>
      <c r="E28" s="59">
        <f t="shared" si="0"/>
        <v>323500</v>
      </c>
    </row>
    <row r="29" spans="1:5" x14ac:dyDescent="0.3">
      <c r="B29" s="2">
        <v>6</v>
      </c>
      <c r="C29" s="35" t="s">
        <v>98</v>
      </c>
      <c r="D29" s="45">
        <f>+D133</f>
        <v>53710</v>
      </c>
      <c r="E29" s="59">
        <f t="shared" si="0"/>
        <v>177550</v>
      </c>
    </row>
    <row r="30" spans="1:5" x14ac:dyDescent="0.3">
      <c r="B30" s="2">
        <v>7</v>
      </c>
      <c r="C30" s="35" t="s">
        <v>99</v>
      </c>
      <c r="D30" s="45">
        <f>+D146</f>
        <v>55140</v>
      </c>
      <c r="E30" s="59">
        <f t="shared" si="0"/>
        <v>182280</v>
      </c>
    </row>
    <row r="31" spans="1:5" x14ac:dyDescent="0.3">
      <c r="B31" s="2">
        <v>8</v>
      </c>
      <c r="C31" s="35" t="s">
        <v>100</v>
      </c>
      <c r="D31" s="45">
        <f>+D154</f>
        <v>63810</v>
      </c>
      <c r="E31" s="59">
        <f t="shared" si="0"/>
        <v>210940</v>
      </c>
    </row>
    <row r="32" spans="1:5" x14ac:dyDescent="0.3">
      <c r="B32" s="2">
        <v>9</v>
      </c>
      <c r="C32" s="35" t="s">
        <v>101</v>
      </c>
      <c r="D32" s="45">
        <f>+D161</f>
        <v>42380</v>
      </c>
      <c r="E32" s="59">
        <f t="shared" si="0"/>
        <v>140090</v>
      </c>
    </row>
    <row r="33" spans="1:7" x14ac:dyDescent="0.3">
      <c r="B33" s="2">
        <v>10</v>
      </c>
      <c r="C33" s="35" t="s">
        <v>154</v>
      </c>
      <c r="D33" s="53">
        <f>TRUNC(SUM(D24:D32)*0.275,-1)</f>
        <v>301790</v>
      </c>
      <c r="E33" s="60">
        <f t="shared" si="0"/>
        <v>997650</v>
      </c>
    </row>
    <row r="34" spans="1:7" x14ac:dyDescent="0.3">
      <c r="C34" s="35" t="s">
        <v>112</v>
      </c>
      <c r="D34" s="44">
        <f>SUM(D24:D33)</f>
        <v>1399240</v>
      </c>
      <c r="E34" s="44">
        <f>SUM(E24:E33)</f>
        <v>4625560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238</v>
      </c>
      <c r="D36" s="57" t="s">
        <v>235</v>
      </c>
      <c r="E36" s="57" t="s">
        <v>153</v>
      </c>
      <c r="G36" s="55"/>
    </row>
    <row r="37" spans="1:7" ht="17.25" thickBot="1" x14ac:dyDescent="0.35">
      <c r="C37" s="38" t="s">
        <v>143</v>
      </c>
      <c r="D37" s="52">
        <f>TRUNC(18539,-1)</f>
        <v>18530</v>
      </c>
      <c r="E37" s="61">
        <f>TRUNC(+D37*3.3058,-1)</f>
        <v>61250</v>
      </c>
    </row>
    <row r="38" spans="1:7" s="66" customFormat="1" x14ac:dyDescent="0.3">
      <c r="C38" s="67"/>
      <c r="D38" s="67"/>
      <c r="E38" s="67"/>
      <c r="G38" s="68"/>
    </row>
    <row r="39" spans="1:7" s="66" customFormat="1" ht="17.25" thickBot="1" x14ac:dyDescent="0.35">
      <c r="B39" s="66" t="s">
        <v>111</v>
      </c>
      <c r="C39" s="66" t="s">
        <v>242</v>
      </c>
      <c r="D39" s="67" t="s">
        <v>259</v>
      </c>
      <c r="E39" s="67" t="s">
        <v>260</v>
      </c>
      <c r="G39" s="68"/>
    </row>
    <row r="40" spans="1:7" x14ac:dyDescent="0.3">
      <c r="A40" s="2">
        <v>1</v>
      </c>
      <c r="C40" s="38" t="s">
        <v>15</v>
      </c>
      <c r="D40" s="40">
        <f>TRUNC(43026,-1)</f>
        <v>43020</v>
      </c>
      <c r="E40" s="62">
        <f t="shared" ref="E40:E59" si="1">TRUNC(+D40*3.3058,-1)</f>
        <v>142210</v>
      </c>
    </row>
    <row r="41" spans="1:7" x14ac:dyDescent="0.3">
      <c r="A41" s="2">
        <v>2</v>
      </c>
      <c r="C41" s="38" t="s">
        <v>13</v>
      </c>
      <c r="D41" s="42">
        <f>TRUNC(122042,-1)</f>
        <v>122040</v>
      </c>
      <c r="E41" s="63">
        <f t="shared" si="1"/>
        <v>403430</v>
      </c>
    </row>
    <row r="42" spans="1:7" x14ac:dyDescent="0.3">
      <c r="A42" s="2">
        <v>3</v>
      </c>
      <c r="C42" s="38" t="s">
        <v>14</v>
      </c>
      <c r="D42" s="42">
        <f>TRUNC(29739,-1)</f>
        <v>29730</v>
      </c>
      <c r="E42" s="63">
        <f t="shared" si="1"/>
        <v>98280</v>
      </c>
    </row>
    <row r="43" spans="1:7" x14ac:dyDescent="0.3">
      <c r="A43" s="2">
        <v>4</v>
      </c>
      <c r="C43" s="38" t="s">
        <v>16</v>
      </c>
      <c r="D43" s="42">
        <f>TRUNC(20937,-1)</f>
        <v>20930</v>
      </c>
      <c r="E43" s="63">
        <f t="shared" si="1"/>
        <v>69190</v>
      </c>
    </row>
    <row r="44" spans="1:7" x14ac:dyDescent="0.3">
      <c r="A44" s="2">
        <v>5</v>
      </c>
      <c r="C44" s="38" t="s">
        <v>17</v>
      </c>
      <c r="D44" s="42">
        <f>TRUNC(30802,-1)</f>
        <v>30800</v>
      </c>
      <c r="E44" s="63">
        <f t="shared" si="1"/>
        <v>101810</v>
      </c>
    </row>
    <row r="45" spans="1:7" x14ac:dyDescent="0.3">
      <c r="A45" s="2">
        <v>6</v>
      </c>
      <c r="C45" s="38" t="s">
        <v>18</v>
      </c>
      <c r="D45" s="42">
        <v>0</v>
      </c>
      <c r="E45" s="63">
        <f t="shared" si="1"/>
        <v>0</v>
      </c>
    </row>
    <row r="46" spans="1:7" x14ac:dyDescent="0.3">
      <c r="A46" s="2">
        <v>7</v>
      </c>
      <c r="C46" s="38" t="s">
        <v>19</v>
      </c>
      <c r="D46" s="42">
        <f>TRUNC(11322,-1)</f>
        <v>11320</v>
      </c>
      <c r="E46" s="63">
        <f t="shared" si="1"/>
        <v>37420</v>
      </c>
    </row>
    <row r="47" spans="1:7" x14ac:dyDescent="0.3">
      <c r="A47" s="2">
        <v>8</v>
      </c>
      <c r="C47" s="38" t="s">
        <v>20</v>
      </c>
      <c r="D47" s="42">
        <f>TRUNC(297,-1)</f>
        <v>290</v>
      </c>
      <c r="E47" s="63">
        <f t="shared" si="1"/>
        <v>950</v>
      </c>
    </row>
    <row r="48" spans="1:7" x14ac:dyDescent="0.3">
      <c r="A48" s="2">
        <v>9</v>
      </c>
      <c r="C48" s="38" t="s">
        <v>21</v>
      </c>
      <c r="D48" s="42">
        <f>TRUNC(59730,-1)</f>
        <v>59730</v>
      </c>
      <c r="E48" s="63">
        <f t="shared" si="1"/>
        <v>197450</v>
      </c>
    </row>
    <row r="49" spans="1:7" x14ac:dyDescent="0.3">
      <c r="A49" s="2">
        <v>10</v>
      </c>
      <c r="C49" s="38" t="s">
        <v>22</v>
      </c>
      <c r="D49" s="42">
        <f>TRUNC(30820,-1)</f>
        <v>30820</v>
      </c>
      <c r="E49" s="63">
        <f t="shared" si="1"/>
        <v>101880</v>
      </c>
    </row>
    <row r="50" spans="1:7" x14ac:dyDescent="0.3">
      <c r="A50" s="2">
        <v>11</v>
      </c>
      <c r="C50" s="38" t="s">
        <v>155</v>
      </c>
      <c r="D50" s="42">
        <f>TRUNC(22154,-1)</f>
        <v>22150</v>
      </c>
      <c r="E50" s="63">
        <f t="shared" si="1"/>
        <v>73220</v>
      </c>
    </row>
    <row r="51" spans="1:7" x14ac:dyDescent="0.3">
      <c r="A51" s="2">
        <v>12</v>
      </c>
      <c r="C51" s="38" t="s">
        <v>23</v>
      </c>
      <c r="D51" s="42">
        <f>TRUNC(12704,-1)</f>
        <v>12700</v>
      </c>
      <c r="E51" s="63">
        <f t="shared" si="1"/>
        <v>41980</v>
      </c>
    </row>
    <row r="52" spans="1:7" x14ac:dyDescent="0.3">
      <c r="A52" s="2">
        <v>13</v>
      </c>
      <c r="C52" s="38" t="s">
        <v>24</v>
      </c>
      <c r="D52" s="42">
        <f>TRUNC(10626,-1)</f>
        <v>10620</v>
      </c>
      <c r="E52" s="63">
        <f t="shared" si="1"/>
        <v>35100</v>
      </c>
    </row>
    <row r="53" spans="1:7" x14ac:dyDescent="0.3">
      <c r="A53" s="2">
        <v>14</v>
      </c>
      <c r="C53" s="38" t="s">
        <v>25</v>
      </c>
      <c r="D53" s="42">
        <f>TRUNC(42386,-1)</f>
        <v>42380</v>
      </c>
      <c r="E53" s="63">
        <f t="shared" si="1"/>
        <v>140090</v>
      </c>
    </row>
    <row r="54" spans="1:7" x14ac:dyDescent="0.3">
      <c r="A54" s="2">
        <v>15</v>
      </c>
      <c r="C54" s="38" t="s">
        <v>147</v>
      </c>
      <c r="D54" s="42">
        <f>TRUNC(86913,-1)</f>
        <v>86910</v>
      </c>
      <c r="E54" s="63">
        <f t="shared" si="1"/>
        <v>287300</v>
      </c>
    </row>
    <row r="55" spans="1:7" x14ac:dyDescent="0.3">
      <c r="A55" s="2">
        <v>16</v>
      </c>
      <c r="C55" s="38" t="s">
        <v>144</v>
      </c>
      <c r="D55" s="42">
        <f>TRUNC(2358,-1)</f>
        <v>2350</v>
      </c>
      <c r="E55" s="63">
        <f t="shared" si="1"/>
        <v>7760</v>
      </c>
    </row>
    <row r="56" spans="1:7" x14ac:dyDescent="0.3">
      <c r="A56" s="2">
        <v>17</v>
      </c>
      <c r="C56" s="38" t="s">
        <v>145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TRUNC(6385+1504+7714+297+2001-998+23120,-1)</f>
        <v>40020</v>
      </c>
      <c r="E58" s="63">
        <f t="shared" si="1"/>
        <v>132290</v>
      </c>
      <c r="F58" s="2" t="s">
        <v>258</v>
      </c>
    </row>
    <row r="59" spans="1:7" ht="17.25" thickBot="1" x14ac:dyDescent="0.35">
      <c r="A59" s="2">
        <v>20</v>
      </c>
      <c r="C59" s="38" t="s">
        <v>148</v>
      </c>
      <c r="D59" s="43">
        <v>0</v>
      </c>
      <c r="E59" s="64">
        <f t="shared" si="1"/>
        <v>0</v>
      </c>
    </row>
    <row r="60" spans="1:7" x14ac:dyDescent="0.3">
      <c r="A60" s="2">
        <v>21</v>
      </c>
      <c r="C60" s="27" t="s">
        <v>112</v>
      </c>
      <c r="D60" s="39">
        <f>SUM(D40:D59)</f>
        <v>565810</v>
      </c>
      <c r="E60" s="39">
        <f>SUM(E40:E59)</f>
        <v>1870360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239</v>
      </c>
      <c r="C62" s="56" t="s">
        <v>240</v>
      </c>
      <c r="D62" s="57" t="s">
        <v>237</v>
      </c>
      <c r="E62" s="57" t="s">
        <v>153</v>
      </c>
      <c r="G62" s="55"/>
    </row>
    <row r="63" spans="1:7" x14ac:dyDescent="0.3">
      <c r="A63" s="2">
        <v>1</v>
      </c>
      <c r="C63" s="38" t="s">
        <v>27</v>
      </c>
      <c r="D63" s="40">
        <v>0</v>
      </c>
      <c r="E63" s="62">
        <f>TRUNC(+D63*3.3058,-1)</f>
        <v>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v>0</v>
      </c>
      <c r="E65" s="64">
        <f>TRUNC(+D65*3.3058,-1)</f>
        <v>0</v>
      </c>
    </row>
    <row r="66" spans="1:7" x14ac:dyDescent="0.3">
      <c r="A66" s="2">
        <v>4</v>
      </c>
      <c r="C66" s="27" t="s">
        <v>112</v>
      </c>
      <c r="D66" s="39">
        <f>SUM(D63:D65)</f>
        <v>0</v>
      </c>
      <c r="E66" s="65">
        <f>SUM(E63:E65)</f>
        <v>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241</v>
      </c>
      <c r="C68" s="56" t="s">
        <v>242</v>
      </c>
      <c r="D68" s="57" t="s">
        <v>235</v>
      </c>
      <c r="E68" s="57" t="s">
        <v>153</v>
      </c>
      <c r="G68" s="55"/>
    </row>
    <row r="69" spans="1:7" x14ac:dyDescent="0.3">
      <c r="A69" s="2">
        <v>1</v>
      </c>
      <c r="C69" s="38" t="s">
        <v>30</v>
      </c>
      <c r="D69" s="40">
        <f>TRUNC(15444,-1)</f>
        <v>15440</v>
      </c>
      <c r="E69" s="62">
        <f t="shared" ref="E69:E94" si="2">TRUNC(+D69*3.3058,-1)</f>
        <v>51040</v>
      </c>
    </row>
    <row r="70" spans="1:7" ht="16.5" customHeight="1" x14ac:dyDescent="0.3">
      <c r="A70" s="2">
        <v>2</v>
      </c>
      <c r="C70" s="38" t="s">
        <v>31</v>
      </c>
      <c r="D70" s="42">
        <f>TRUNC(1369,-1)</f>
        <v>1360</v>
      </c>
      <c r="E70" s="63">
        <f t="shared" si="2"/>
        <v>4490</v>
      </c>
    </row>
    <row r="71" spans="1:7" x14ac:dyDescent="0.3">
      <c r="A71" s="2">
        <v>3</v>
      </c>
      <c r="C71" s="38" t="s">
        <v>32</v>
      </c>
      <c r="D71" s="42">
        <f>TRUNC(21470,-1)</f>
        <v>21470</v>
      </c>
      <c r="E71" s="63">
        <f t="shared" si="2"/>
        <v>70970</v>
      </c>
    </row>
    <row r="72" spans="1:7" x14ac:dyDescent="0.3">
      <c r="A72" s="2">
        <v>4</v>
      </c>
      <c r="C72" s="38" t="s">
        <v>33</v>
      </c>
      <c r="D72" s="42">
        <f>TRUNC(3935,-1)</f>
        <v>3930</v>
      </c>
      <c r="E72" s="63">
        <f t="shared" si="2"/>
        <v>12990</v>
      </c>
    </row>
    <row r="73" spans="1:7" x14ac:dyDescent="0.3">
      <c r="A73" s="2">
        <v>5</v>
      </c>
      <c r="C73" s="38" t="s">
        <v>34</v>
      </c>
      <c r="D73" s="42">
        <v>0</v>
      </c>
      <c r="E73" s="63">
        <f t="shared" si="2"/>
        <v>0</v>
      </c>
    </row>
    <row r="74" spans="1:7" x14ac:dyDescent="0.3">
      <c r="A74" s="2">
        <v>6</v>
      </c>
      <c r="C74" s="38" t="s">
        <v>176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140</v>
      </c>
      <c r="D75" s="42">
        <f>TRUNC(6303,-1)</f>
        <v>6300</v>
      </c>
      <c r="E75" s="63">
        <f t="shared" si="2"/>
        <v>20820</v>
      </c>
    </row>
    <row r="76" spans="1:7" x14ac:dyDescent="0.3">
      <c r="A76" s="2">
        <v>8</v>
      </c>
      <c r="C76" s="38" t="s">
        <v>119</v>
      </c>
      <c r="D76" s="42">
        <v>0</v>
      </c>
      <c r="E76" s="63">
        <f t="shared" si="2"/>
        <v>0</v>
      </c>
    </row>
    <row r="77" spans="1:7" x14ac:dyDescent="0.3">
      <c r="A77" s="2">
        <v>9</v>
      </c>
      <c r="C77" s="38" t="s">
        <v>152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137</v>
      </c>
      <c r="D78" s="42">
        <f>TRUNC(32500,-1)</f>
        <v>32500</v>
      </c>
      <c r="E78" s="63">
        <f t="shared" si="2"/>
        <v>107430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3">
        <f t="shared" si="2"/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35</v>
      </c>
      <c r="D89" s="42">
        <v>0</v>
      </c>
      <c r="E89" s="63">
        <f t="shared" si="2"/>
        <v>0</v>
      </c>
    </row>
    <row r="90" spans="1:7" x14ac:dyDescent="0.3">
      <c r="A90" s="2">
        <v>22</v>
      </c>
      <c r="C90" s="38" t="s">
        <v>36</v>
      </c>
      <c r="D90" s="42">
        <f>TRUNC(2147,-1)</f>
        <v>2140</v>
      </c>
      <c r="E90" s="63">
        <f t="shared" si="2"/>
        <v>7070</v>
      </c>
    </row>
    <row r="91" spans="1:7" x14ac:dyDescent="0.3">
      <c r="A91" s="2">
        <v>23</v>
      </c>
      <c r="C91" s="38" t="s">
        <v>37</v>
      </c>
      <c r="D91" s="42">
        <v>0</v>
      </c>
      <c r="E91" s="63">
        <f t="shared" si="2"/>
        <v>0</v>
      </c>
    </row>
    <row r="92" spans="1:7" x14ac:dyDescent="0.3">
      <c r="A92" s="2">
        <v>24</v>
      </c>
      <c r="C92" s="38" t="s">
        <v>38</v>
      </c>
      <c r="D92" s="42">
        <v>0</v>
      </c>
      <c r="E92" s="63">
        <f t="shared" si="2"/>
        <v>0</v>
      </c>
    </row>
    <row r="93" spans="1:7" x14ac:dyDescent="0.3">
      <c r="A93" s="2">
        <v>25</v>
      </c>
      <c r="C93" s="38" t="s">
        <v>148</v>
      </c>
      <c r="D93" s="42">
        <v>0</v>
      </c>
      <c r="E93" s="63">
        <f t="shared" si="2"/>
        <v>0</v>
      </c>
    </row>
    <row r="94" spans="1:7" ht="17.25" thickBot="1" x14ac:dyDescent="0.35">
      <c r="A94" s="2">
        <v>26</v>
      </c>
      <c r="C94" s="38" t="s">
        <v>47</v>
      </c>
      <c r="D94" s="43">
        <f>TRUNC(62235+51945+2898,-1)</f>
        <v>117070</v>
      </c>
      <c r="E94" s="64">
        <f t="shared" si="2"/>
        <v>387010</v>
      </c>
      <c r="F94" s="2" t="s">
        <v>255</v>
      </c>
    </row>
    <row r="95" spans="1:7" x14ac:dyDescent="0.3">
      <c r="A95" s="2">
        <v>27</v>
      </c>
      <c r="C95" s="27" t="s">
        <v>112</v>
      </c>
      <c r="D95" s="39">
        <f>SUM(D69:D94)</f>
        <v>200210</v>
      </c>
      <c r="E95" s="39">
        <f>SUM(E69:E94)</f>
        <v>661820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243</v>
      </c>
      <c r="C97" s="56" t="s">
        <v>242</v>
      </c>
      <c r="D97" s="57" t="s">
        <v>235</v>
      </c>
      <c r="E97" s="57" t="s">
        <v>153</v>
      </c>
      <c r="G97" s="55"/>
    </row>
    <row r="98" spans="1:7" x14ac:dyDescent="0.3">
      <c r="A98" s="2">
        <v>1</v>
      </c>
      <c r="C98" s="38" t="s">
        <v>39</v>
      </c>
      <c r="D98" s="40">
        <f>TRUNC(21065,-1)</f>
        <v>21060</v>
      </c>
      <c r="E98" s="62">
        <f t="shared" ref="E98:E118" si="3">TRUNC(+D98*3.3058,-1)</f>
        <v>69620</v>
      </c>
    </row>
    <row r="99" spans="1:7" x14ac:dyDescent="0.3">
      <c r="A99" s="2">
        <v>2</v>
      </c>
      <c r="C99" s="38" t="s">
        <v>40</v>
      </c>
      <c r="D99" s="42">
        <f>TRUNC(5405,-1)</f>
        <v>5400</v>
      </c>
      <c r="E99" s="63">
        <f t="shared" si="3"/>
        <v>17850</v>
      </c>
    </row>
    <row r="100" spans="1:7" x14ac:dyDescent="0.3">
      <c r="A100" s="2">
        <v>3</v>
      </c>
      <c r="C100" s="38" t="s">
        <v>41</v>
      </c>
      <c r="D100" s="42">
        <f>TRUNC(16664,-1)</f>
        <v>16660</v>
      </c>
      <c r="E100" s="63">
        <f t="shared" si="3"/>
        <v>55070</v>
      </c>
    </row>
    <row r="101" spans="1:7" x14ac:dyDescent="0.3">
      <c r="A101" s="2">
        <v>4</v>
      </c>
      <c r="C101" s="38" t="s">
        <v>42</v>
      </c>
      <c r="D101" s="42">
        <f>TRUNC(811,-1)</f>
        <v>810</v>
      </c>
      <c r="E101" s="63">
        <f t="shared" si="3"/>
        <v>2670</v>
      </c>
    </row>
    <row r="102" spans="1:7" x14ac:dyDescent="0.3">
      <c r="A102" s="2">
        <v>5</v>
      </c>
      <c r="C102" s="38" t="s">
        <v>43</v>
      </c>
      <c r="D102" s="42">
        <f>TRUNC(3520,-1)</f>
        <v>3520</v>
      </c>
      <c r="E102" s="63">
        <f t="shared" si="3"/>
        <v>11630</v>
      </c>
    </row>
    <row r="103" spans="1:7" x14ac:dyDescent="0.3">
      <c r="A103" s="2">
        <v>6</v>
      </c>
      <c r="C103" s="38" t="s">
        <v>44</v>
      </c>
      <c r="D103" s="42">
        <v>0</v>
      </c>
      <c r="E103" s="63">
        <f t="shared" si="3"/>
        <v>0</v>
      </c>
    </row>
    <row r="104" spans="1:7" x14ac:dyDescent="0.3">
      <c r="A104" s="2">
        <v>7</v>
      </c>
      <c r="C104" s="38" t="s">
        <v>45</v>
      </c>
      <c r="D104" s="42">
        <f>TRUNC(2874,-1)</f>
        <v>2870</v>
      </c>
      <c r="E104" s="63">
        <f t="shared" si="3"/>
        <v>9480</v>
      </c>
    </row>
    <row r="105" spans="1:7" x14ac:dyDescent="0.3">
      <c r="A105" s="2">
        <v>8</v>
      </c>
      <c r="C105" s="38" t="s">
        <v>46</v>
      </c>
      <c r="D105" s="42">
        <f>TRUNC(6475,-1)</f>
        <v>6470</v>
      </c>
      <c r="E105" s="63">
        <f t="shared" si="3"/>
        <v>21380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120</v>
      </c>
      <c r="D108" s="42">
        <f>TRUNC(246,-1)</f>
        <v>240</v>
      </c>
      <c r="E108" s="63">
        <f t="shared" si="3"/>
        <v>790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130</v>
      </c>
      <c r="D114" s="42">
        <f>TRUNC(4492,-1)</f>
        <v>4490</v>
      </c>
      <c r="E114" s="63">
        <f t="shared" si="3"/>
        <v>14840</v>
      </c>
    </row>
    <row r="115" spans="1:7" x14ac:dyDescent="0.3">
      <c r="A115" s="2">
        <v>18</v>
      </c>
      <c r="C115" s="38" t="s">
        <v>116</v>
      </c>
      <c r="D115" s="42">
        <f>TRUNC(8801,-1)</f>
        <v>8800</v>
      </c>
      <c r="E115" s="63">
        <f t="shared" si="3"/>
        <v>29090</v>
      </c>
    </row>
    <row r="116" spans="1:7" x14ac:dyDescent="0.3">
      <c r="A116" s="2">
        <v>19</v>
      </c>
      <c r="C116" s="38" t="s">
        <v>115</v>
      </c>
      <c r="D116" s="42">
        <v>0</v>
      </c>
      <c r="E116" s="63">
        <f t="shared" si="3"/>
        <v>0</v>
      </c>
    </row>
    <row r="117" spans="1:7" x14ac:dyDescent="0.3">
      <c r="A117" s="2">
        <v>20</v>
      </c>
      <c r="C117" s="38" t="s">
        <v>148</v>
      </c>
      <c r="D117" s="42">
        <v>0</v>
      </c>
      <c r="E117" s="63">
        <f t="shared" si="3"/>
        <v>0</v>
      </c>
    </row>
    <row r="118" spans="1:7" ht="17.25" thickBot="1" x14ac:dyDescent="0.35">
      <c r="A118" s="2">
        <v>21</v>
      </c>
      <c r="C118" s="38" t="s">
        <v>47</v>
      </c>
      <c r="D118" s="43">
        <f>TRUNC(25149+816+1576,-1)</f>
        <v>27540</v>
      </c>
      <c r="E118" s="64">
        <f t="shared" si="3"/>
        <v>91040</v>
      </c>
      <c r="F118" s="2" t="s">
        <v>256</v>
      </c>
    </row>
    <row r="119" spans="1:7" x14ac:dyDescent="0.3">
      <c r="A119" s="2">
        <v>22</v>
      </c>
      <c r="C119" s="27" t="s">
        <v>112</v>
      </c>
      <c r="D119" s="39">
        <f>SUM(D98:D118)</f>
        <v>97860</v>
      </c>
      <c r="E119" s="39">
        <f>SUM(E98:E118)</f>
        <v>323460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244</v>
      </c>
      <c r="C121" s="56" t="s">
        <v>242</v>
      </c>
      <c r="D121" s="57" t="s">
        <v>235</v>
      </c>
      <c r="E121" s="57" t="s">
        <v>153</v>
      </c>
      <c r="G121" s="55"/>
    </row>
    <row r="122" spans="1:7" x14ac:dyDescent="0.3">
      <c r="A122" s="2">
        <v>1</v>
      </c>
      <c r="C122" s="38" t="s">
        <v>55</v>
      </c>
      <c r="D122" s="40">
        <f>TRUNC(4352,-1)</f>
        <v>4350</v>
      </c>
      <c r="E122" s="62">
        <f t="shared" ref="E122:E132" si="4">TRUNC(+D122*3.3058,-1)</f>
        <v>14380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4"/>
        <v>0</v>
      </c>
    </row>
    <row r="124" spans="1:7" x14ac:dyDescent="0.3">
      <c r="A124" s="2">
        <v>3</v>
      </c>
      <c r="C124" s="38" t="s">
        <v>151</v>
      </c>
      <c r="D124" s="42">
        <f>TRUNC(2636,-1)</f>
        <v>2630</v>
      </c>
      <c r="E124" s="63">
        <f t="shared" si="4"/>
        <v>8690</v>
      </c>
    </row>
    <row r="125" spans="1:7" x14ac:dyDescent="0.3">
      <c r="A125" s="2">
        <v>4</v>
      </c>
      <c r="C125" s="38" t="s">
        <v>138</v>
      </c>
      <c r="D125" s="42">
        <f>TRUNC(7977,-1)</f>
        <v>7970</v>
      </c>
      <c r="E125" s="63">
        <f t="shared" si="4"/>
        <v>26340</v>
      </c>
    </row>
    <row r="126" spans="1:7" x14ac:dyDescent="0.3">
      <c r="A126" s="2">
        <v>5</v>
      </c>
      <c r="C126" s="38" t="s">
        <v>53</v>
      </c>
      <c r="D126" s="42">
        <v>0</v>
      </c>
      <c r="E126" s="63">
        <f t="shared" si="4"/>
        <v>0</v>
      </c>
    </row>
    <row r="127" spans="1:7" x14ac:dyDescent="0.3">
      <c r="A127" s="2">
        <v>6</v>
      </c>
      <c r="C127" s="38" t="s">
        <v>56</v>
      </c>
      <c r="D127" s="42">
        <v>0</v>
      </c>
      <c r="E127" s="63">
        <f t="shared" si="4"/>
        <v>0</v>
      </c>
    </row>
    <row r="128" spans="1:7" x14ac:dyDescent="0.3">
      <c r="A128" s="2">
        <v>7</v>
      </c>
      <c r="C128" s="38" t="s">
        <v>46</v>
      </c>
      <c r="D128" s="42">
        <v>0</v>
      </c>
      <c r="E128" s="63">
        <f t="shared" si="4"/>
        <v>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f>TRUNC(12342,-1)</f>
        <v>12340</v>
      </c>
      <c r="E130" s="63">
        <f t="shared" si="4"/>
        <v>40790</v>
      </c>
    </row>
    <row r="131" spans="1:7" x14ac:dyDescent="0.3">
      <c r="A131" s="2">
        <v>10</v>
      </c>
      <c r="C131" s="38" t="s">
        <v>148</v>
      </c>
      <c r="D131" s="42">
        <v>0</v>
      </c>
      <c r="E131" s="63">
        <f t="shared" si="4"/>
        <v>0</v>
      </c>
    </row>
    <row r="132" spans="1:7" ht="18" thickBot="1" x14ac:dyDescent="0.35">
      <c r="A132" s="2">
        <v>11</v>
      </c>
      <c r="C132" s="38" t="s">
        <v>47</v>
      </c>
      <c r="D132" s="43">
        <f>TRUNC(6462+4307+7627+8031,-1)</f>
        <v>26420</v>
      </c>
      <c r="E132" s="64">
        <f t="shared" si="4"/>
        <v>87330</v>
      </c>
      <c r="F132" s="54" t="s">
        <v>257</v>
      </c>
    </row>
    <row r="133" spans="1:7" x14ac:dyDescent="0.3">
      <c r="A133" s="2">
        <v>12</v>
      </c>
      <c r="C133" s="27" t="s">
        <v>112</v>
      </c>
      <c r="D133" s="39">
        <f>SUM(D122:D132)</f>
        <v>53710</v>
      </c>
      <c r="E133" s="39">
        <f>SUM(E122:E132)</f>
        <v>177530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245</v>
      </c>
      <c r="C135" s="56" t="s">
        <v>242</v>
      </c>
      <c r="D135" s="57" t="s">
        <v>235</v>
      </c>
      <c r="E135" s="57" t="s">
        <v>153</v>
      </c>
      <c r="G135" s="55"/>
    </row>
    <row r="136" spans="1:7" x14ac:dyDescent="0.3">
      <c r="A136" s="2">
        <v>1</v>
      </c>
      <c r="C136" s="38" t="s">
        <v>131</v>
      </c>
      <c r="D136" s="40">
        <f>TRUNC(38004,-1)</f>
        <v>38000</v>
      </c>
      <c r="E136" s="62">
        <f t="shared" ref="E136:E145" si="5">TRUNC(+D136*3.3058,-1)</f>
        <v>125620</v>
      </c>
      <c r="F136" s="2" t="s">
        <v>253</v>
      </c>
    </row>
    <row r="137" spans="1:7" x14ac:dyDescent="0.3">
      <c r="A137" s="2">
        <v>2</v>
      </c>
      <c r="C137" s="38" t="s">
        <v>47</v>
      </c>
      <c r="D137" s="42">
        <f>TRUNC(17141,-1)</f>
        <v>17140</v>
      </c>
      <c r="E137" s="63">
        <f t="shared" si="5"/>
        <v>56660</v>
      </c>
      <c r="F137" s="2" t="s">
        <v>254</v>
      </c>
    </row>
    <row r="138" spans="1:7" x14ac:dyDescent="0.3">
      <c r="A138" s="2">
        <v>3</v>
      </c>
      <c r="C138" s="38" t="s">
        <v>60</v>
      </c>
      <c r="D138" s="42">
        <v>0</v>
      </c>
      <c r="E138" s="63">
        <f t="shared" si="5"/>
        <v>0</v>
      </c>
    </row>
    <row r="139" spans="1:7" x14ac:dyDescent="0.3">
      <c r="A139" s="2">
        <v>4</v>
      </c>
      <c r="C139" s="38" t="s">
        <v>61</v>
      </c>
      <c r="D139" s="42">
        <v>0</v>
      </c>
      <c r="E139" s="63">
        <f t="shared" si="5"/>
        <v>0</v>
      </c>
    </row>
    <row r="140" spans="1:7" x14ac:dyDescent="0.3">
      <c r="A140" s="2">
        <v>5</v>
      </c>
      <c r="C140" s="38" t="s">
        <v>57</v>
      </c>
      <c r="D140" s="42">
        <v>0</v>
      </c>
      <c r="E140" s="63">
        <f t="shared" si="5"/>
        <v>0</v>
      </c>
    </row>
    <row r="141" spans="1:7" x14ac:dyDescent="0.3">
      <c r="A141" s="2">
        <v>6</v>
      </c>
      <c r="C141" s="38" t="s">
        <v>59</v>
      </c>
      <c r="D141" s="42">
        <v>0</v>
      </c>
      <c r="E141" s="63">
        <f t="shared" si="5"/>
        <v>0</v>
      </c>
    </row>
    <row r="142" spans="1:7" x14ac:dyDescent="0.3">
      <c r="A142" s="2">
        <v>7</v>
      </c>
      <c r="C142" s="38" t="s">
        <v>58</v>
      </c>
      <c r="D142" s="42">
        <v>0</v>
      </c>
      <c r="E142" s="63">
        <f t="shared" si="5"/>
        <v>0</v>
      </c>
    </row>
    <row r="143" spans="1:7" x14ac:dyDescent="0.3">
      <c r="A143" s="2">
        <v>8</v>
      </c>
      <c r="C143" s="38" t="s">
        <v>62</v>
      </c>
      <c r="D143" s="42">
        <v>0</v>
      </c>
      <c r="E143" s="63">
        <f t="shared" si="5"/>
        <v>0</v>
      </c>
    </row>
    <row r="144" spans="1:7" x14ac:dyDescent="0.3">
      <c r="A144" s="2">
        <v>9</v>
      </c>
      <c r="C144" s="38" t="s">
        <v>63</v>
      </c>
      <c r="D144" s="42">
        <v>0</v>
      </c>
      <c r="E144" s="63">
        <f t="shared" si="5"/>
        <v>0</v>
      </c>
    </row>
    <row r="145" spans="1:7" ht="17.25" thickBot="1" x14ac:dyDescent="0.35">
      <c r="A145" s="2">
        <v>10</v>
      </c>
      <c r="C145" s="38" t="s">
        <v>148</v>
      </c>
      <c r="D145" s="43">
        <v>0</v>
      </c>
      <c r="E145" s="64">
        <f t="shared" si="5"/>
        <v>0</v>
      </c>
    </row>
    <row r="146" spans="1:7" x14ac:dyDescent="0.3">
      <c r="A146" s="2">
        <v>11</v>
      </c>
      <c r="C146" s="27" t="s">
        <v>112</v>
      </c>
      <c r="D146" s="39">
        <f>SUM(D136:D145)</f>
        <v>55140</v>
      </c>
      <c r="E146" s="39">
        <f>SUM(E136:E145)</f>
        <v>182280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246</v>
      </c>
      <c r="C148" s="56" t="s">
        <v>242</v>
      </c>
      <c r="D148" s="57" t="s">
        <v>235</v>
      </c>
      <c r="E148" s="57" t="s">
        <v>153</v>
      </c>
      <c r="G148" s="55"/>
    </row>
    <row r="149" spans="1:7" x14ac:dyDescent="0.3">
      <c r="A149" s="2">
        <v>1</v>
      </c>
      <c r="C149" s="38" t="s">
        <v>48</v>
      </c>
      <c r="D149" s="40">
        <v>0</v>
      </c>
      <c r="E149" s="62">
        <f>TRUNC(+D149*3.3058,-1)</f>
        <v>0</v>
      </c>
    </row>
    <row r="150" spans="1:7" x14ac:dyDescent="0.3">
      <c r="A150" s="2">
        <v>2</v>
      </c>
      <c r="C150" s="38" t="s">
        <v>49</v>
      </c>
      <c r="D150" s="42">
        <v>0</v>
      </c>
      <c r="E150" s="63">
        <f>TRUNC(+D150*3.3058,-1)</f>
        <v>0</v>
      </c>
    </row>
    <row r="151" spans="1:7" x14ac:dyDescent="0.3">
      <c r="A151" s="2">
        <v>3</v>
      </c>
      <c r="C151" s="38" t="s">
        <v>50</v>
      </c>
      <c r="D151" s="42">
        <v>0</v>
      </c>
      <c r="E151" s="63">
        <f>TRUNC(+D151*3.3058,-1)</f>
        <v>0</v>
      </c>
    </row>
    <row r="152" spans="1:7" x14ac:dyDescent="0.3">
      <c r="A152" s="2">
        <v>4</v>
      </c>
      <c r="C152" s="38" t="s">
        <v>47</v>
      </c>
      <c r="D152" s="42">
        <f>TRUNC(63810,-1)</f>
        <v>63810</v>
      </c>
      <c r="E152" s="63">
        <f>TRUNC(+D152*3.3058,-1)</f>
        <v>210940</v>
      </c>
      <c r="F152" s="2" t="s">
        <v>251</v>
      </c>
    </row>
    <row r="153" spans="1:7" ht="17.25" thickBot="1" x14ac:dyDescent="0.35">
      <c r="A153" s="2">
        <v>5</v>
      </c>
      <c r="C153" s="38" t="s">
        <v>148</v>
      </c>
      <c r="D153" s="43">
        <v>0</v>
      </c>
      <c r="E153" s="64">
        <f>TRUNC(+D153*3.3058,-1)</f>
        <v>0</v>
      </c>
    </row>
    <row r="154" spans="1:7" x14ac:dyDescent="0.3">
      <c r="A154" s="2">
        <v>6</v>
      </c>
      <c r="C154" s="27" t="s">
        <v>112</v>
      </c>
      <c r="D154" s="39">
        <f>SUM(D149:D153)</f>
        <v>63810</v>
      </c>
      <c r="E154" s="39">
        <f>SUM(E149:E153)</f>
        <v>210940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247</v>
      </c>
      <c r="C156" s="56" t="s">
        <v>242</v>
      </c>
      <c r="D156" s="57" t="s">
        <v>235</v>
      </c>
      <c r="E156" s="57" t="s">
        <v>153</v>
      </c>
      <c r="G156" s="55"/>
    </row>
    <row r="157" spans="1:7" x14ac:dyDescent="0.3">
      <c r="A157" s="2">
        <v>1</v>
      </c>
      <c r="C157" s="38" t="s">
        <v>51</v>
      </c>
      <c r="D157" s="40">
        <v>0</v>
      </c>
      <c r="E157" s="62">
        <f>TRUNC(+D157*3.3058,-1)</f>
        <v>0</v>
      </c>
    </row>
    <row r="158" spans="1:7" x14ac:dyDescent="0.3">
      <c r="A158" s="2">
        <v>2</v>
      </c>
      <c r="C158" s="38" t="s">
        <v>52</v>
      </c>
      <c r="D158" s="42">
        <v>0</v>
      </c>
      <c r="E158" s="63">
        <f>TRUNC(+D158*3.3058,-1)</f>
        <v>0</v>
      </c>
    </row>
    <row r="159" spans="1:7" x14ac:dyDescent="0.3">
      <c r="A159" s="2">
        <v>3</v>
      </c>
      <c r="C159" s="38" t="s">
        <v>47</v>
      </c>
      <c r="D159" s="42">
        <f>TRUNC(42388,-1)</f>
        <v>42380</v>
      </c>
      <c r="E159" s="63">
        <f>TRUNC(+D159*3.3058,-1)</f>
        <v>140090</v>
      </c>
      <c r="F159" s="2" t="s">
        <v>252</v>
      </c>
    </row>
    <row r="160" spans="1:7" ht="17.25" thickBot="1" x14ac:dyDescent="0.35">
      <c r="A160" s="2">
        <v>4</v>
      </c>
      <c r="C160" s="38" t="s">
        <v>148</v>
      </c>
      <c r="D160" s="43">
        <v>0</v>
      </c>
      <c r="E160" s="64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42380</v>
      </c>
      <c r="E161" s="39">
        <f>SUM(E157:E160)</f>
        <v>140090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2020-12-07T09:51:06Z</dcterms:modified>
</cp:coreProperties>
</file>