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9" i="4"/>
  <c r="E145" i="4"/>
  <c r="E144" i="4"/>
  <c r="E143" i="4"/>
  <c r="E142" i="4"/>
  <c r="E141" i="4"/>
  <c r="E140" i="4"/>
  <c r="E139" i="4"/>
  <c r="E138" i="4"/>
  <c r="E129" i="4"/>
  <c r="E127" i="4"/>
  <c r="E126" i="4"/>
  <c r="E123" i="4"/>
  <c r="E115" i="4"/>
  <c r="E114" i="4"/>
  <c r="E113" i="4"/>
  <c r="E112" i="4"/>
  <c r="E111" i="4"/>
  <c r="E110" i="4"/>
  <c r="E109" i="4"/>
  <c r="E108" i="4"/>
  <c r="E107" i="4"/>
  <c r="E106" i="4"/>
  <c r="E105" i="4"/>
  <c r="E103" i="4"/>
  <c r="E101" i="4"/>
  <c r="E92" i="4"/>
  <c r="E91" i="4"/>
  <c r="E89" i="4"/>
  <c r="E88" i="4"/>
  <c r="E87" i="4"/>
  <c r="E86" i="4"/>
  <c r="E84" i="4"/>
  <c r="E83" i="4"/>
  <c r="E82" i="4"/>
  <c r="E80" i="4"/>
  <c r="E78" i="4"/>
  <c r="E77" i="4"/>
  <c r="E76" i="4"/>
  <c r="E74" i="4"/>
  <c r="E73" i="4"/>
  <c r="E64" i="4"/>
  <c r="E57" i="4"/>
  <c r="E56" i="4"/>
  <c r="E55" i="4"/>
  <c r="E54" i="4"/>
  <c r="E154" i="4" l="1"/>
  <c r="D157" i="4"/>
  <c r="E157" i="4" s="1"/>
  <c r="D158" i="4"/>
  <c r="E158" i="4" s="1"/>
  <c r="D159" i="4"/>
  <c r="E159" i="4" s="1"/>
  <c r="D161" i="4"/>
  <c r="D32" i="4" s="1"/>
  <c r="E32" i="4" s="1"/>
  <c r="D150" i="4"/>
  <c r="E150" i="4" s="1"/>
  <c r="D152" i="4"/>
  <c r="E152" i="4" s="1"/>
  <c r="D153" i="4"/>
  <c r="E153" i="4" s="1"/>
  <c r="D154" i="4"/>
  <c r="D31" i="4" s="1"/>
  <c r="E31" i="4" s="1"/>
  <c r="D136" i="4"/>
  <c r="E136" i="4" s="1"/>
  <c r="E146" i="4" s="1"/>
  <c r="D137" i="4"/>
  <c r="E137" i="4" s="1"/>
  <c r="D146" i="4"/>
  <c r="D122" i="4"/>
  <c r="E122" i="4" s="1"/>
  <c r="D124" i="4"/>
  <c r="E124" i="4" s="1"/>
  <c r="D125" i="4"/>
  <c r="E125" i="4" s="1"/>
  <c r="D128" i="4"/>
  <c r="E128" i="4" s="1"/>
  <c r="D130" i="4"/>
  <c r="E130" i="4" s="1"/>
  <c r="D131" i="4"/>
  <c r="E131" i="4" s="1"/>
  <c r="D132" i="4"/>
  <c r="E132" i="4" s="1"/>
  <c r="D98" i="4"/>
  <c r="E98" i="4" s="1"/>
  <c r="D99" i="4"/>
  <c r="E99" i="4" s="1"/>
  <c r="D100" i="4"/>
  <c r="E100" i="4" s="1"/>
  <c r="D102" i="4"/>
  <c r="E102" i="4" s="1"/>
  <c r="D104" i="4"/>
  <c r="E104" i="4" s="1"/>
  <c r="D116" i="4"/>
  <c r="E116" i="4" s="1"/>
  <c r="D117" i="4"/>
  <c r="E117" i="4" s="1"/>
  <c r="D118" i="4"/>
  <c r="E118" i="4" s="1"/>
  <c r="D119" i="4"/>
  <c r="D28" i="4" s="1"/>
  <c r="E28" i="4" s="1"/>
  <c r="D69" i="4"/>
  <c r="E69" i="4" s="1"/>
  <c r="D70" i="4"/>
  <c r="E70" i="4" s="1"/>
  <c r="D71" i="4"/>
  <c r="E71" i="4" s="1"/>
  <c r="D72" i="4"/>
  <c r="E72" i="4" s="1"/>
  <c r="D75" i="4"/>
  <c r="E75" i="4" s="1"/>
  <c r="D79" i="4"/>
  <c r="E79" i="4" s="1"/>
  <c r="D81" i="4"/>
  <c r="E81" i="4" s="1"/>
  <c r="D85" i="4"/>
  <c r="E85" i="4" s="1"/>
  <c r="D90" i="4"/>
  <c r="E90" i="4" s="1"/>
  <c r="D93" i="4"/>
  <c r="E93" i="4" s="1"/>
  <c r="D94" i="4"/>
  <c r="E94" i="4" s="1"/>
  <c r="D95" i="4"/>
  <c r="D27" i="4" s="1"/>
  <c r="E27" i="4" s="1"/>
  <c r="D63" i="4"/>
  <c r="E63" i="4" s="1"/>
  <c r="D65" i="4"/>
  <c r="E65" i="4" s="1"/>
  <c r="D66" i="4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8" i="4"/>
  <c r="E58" i="4" s="1"/>
  <c r="D59" i="4"/>
  <c r="E59" i="4" s="1"/>
  <c r="D60" i="4"/>
  <c r="D25" i="4" s="1"/>
  <c r="D37" i="4"/>
  <c r="E37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133" i="4"/>
  <c r="D133" i="4"/>
  <c r="D29" i="4" s="1"/>
  <c r="E29" i="4" s="1"/>
  <c r="E66" i="4"/>
  <c r="E95" i="4"/>
  <c r="E119" i="4"/>
  <c r="E161" i="4"/>
  <c r="E60" i="4"/>
  <c r="D34" i="4" l="1"/>
  <c r="E34" i="4"/>
</calcChain>
</file>

<file path=xl/sharedStrings.xml><?xml version="1.0" encoding="utf-8"?>
<sst xmlns="http://schemas.openxmlformats.org/spreadsheetml/2006/main" count="397" uniqueCount="271">
  <si>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</si>
  <si>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</si>
  <si>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</si>
  <si>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</si>
  <si>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</si>
  <si>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</si>
  <si>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</si>
  <si>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</si>
  <si>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</si>
  <si>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</si>
  <si>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</si>
  <si>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</si>
  <si>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</si>
  <si>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</si>
  <si>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</si>
  <si>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</si>
  <si>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</si>
  <si>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</si>
  <si>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</si>
  <si>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</si>
  <si>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</si>
  <si>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</si>
  <si>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</si>
  <si>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</si>
  <si>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</si>
  <si>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</si>
  <si>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</si>
  <si>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</si>
  <si>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</si>
  <si>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</si>
  <si>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</si>
  <si>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</si>
  <si>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</si>
  <si>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</si>
  <si>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</si>
  <si>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</si>
  <si>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</si>
  <si>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</si>
  <si>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</si>
  <si>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</si>
  <si>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</si>
  <si>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</si>
  <si>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</si>
  <si>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</si>
  <si>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</si>
  <si>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</si>
  <si>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</si>
  <si>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</si>
  <si>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</si>
  <si>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</si>
  <si>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</si>
  <si>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</si>
  <si>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</si>
  <si>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</si>
  <si>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</si>
  <si>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</si>
  <si>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</si>
  <si>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</si>
  <si>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</si>
  <si>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</si>
  <si>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</si>
  <si>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</si>
  <si>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</si>
  <si>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</si>
  <si>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</si>
  <si>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</si>
  <si>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</si>
  <si>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</si>
  <si>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</si>
  <si>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</si>
  <si>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</si>
  <si>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</si>
  <si>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</si>
  <si>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</si>
  <si>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</si>
  <si>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</si>
  <si>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</si>
  <si>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</si>
  <si>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</si>
  <si>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</si>
  <si>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</si>
  <si>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</si>
  <si>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</si>
  <si>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</si>
  <si>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</si>
  <si>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</si>
  <si>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</si>
  <si>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</si>
  <si>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</si>
  <si>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</si>
  <si>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</si>
  <si>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</si>
  <si>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</si>
  <si>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</si>
  <si>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</si>
  <si>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</si>
  <si>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</si>
  <si>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</si>
  <si>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</si>
  <si>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</si>
  <si>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</si>
  <si>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</si>
  <si>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</si>
  <si>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</si>
  <si>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</si>
  <si>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</si>
  <si>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</si>
  <si>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</si>
  <si>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</si>
  <si>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</si>
  <si>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</si>
  <si>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</si>
  <si>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</si>
  <si>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</si>
  <si>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</si>
  <si>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</si>
  <si>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</si>
  <si>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</si>
  <si>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</si>
  <si>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</si>
  <si>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</si>
  <si>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</si>
  <si>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</si>
  <si>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</si>
  <si>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</si>
  <si>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</si>
  <si>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</si>
  <si>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</si>
  <si>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</si>
  <si>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</si>
  <si>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</si>
  <si>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</si>
  <si>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</si>
  <si>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</si>
  <si>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</si>
  <si>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</si>
  <si>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</si>
  <si>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</si>
  <si>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</si>
  <si>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</si>
  <si>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</si>
  <si>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</si>
  <si>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</si>
  <si>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</si>
  <si>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</si>
  <si>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</si>
  <si>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</si>
  <si>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</si>
  <si>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</si>
  <si>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</si>
  <si>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</si>
  <si>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</si>
  <si>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</si>
  <si>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</si>
  <si>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</si>
  <si>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</si>
  <si>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</si>
  <si>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</si>
  <si>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</si>
  <si>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</si>
  <si>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</si>
  <si>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</si>
  <si>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</si>
  <si>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</si>
  <si>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</si>
  <si>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</si>
  <si>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</si>
  <si>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</si>
  <si>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</si>
  <si>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</si>
  <si>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</si>
  <si>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</si>
  <si>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</si>
  <si>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</si>
  <si>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</si>
  <si>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</si>
  <si>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</si>
  <si>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</si>
  <si>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</si>
  <si>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</si>
  <si>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</si>
  <si>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</si>
  <si>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</si>
  <si>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</si>
  <si>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</si>
  <si>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</si>
  <si>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</si>
  <si>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</si>
  <si>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</si>
  <si>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</si>
  <si>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</si>
  <si>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</si>
  <si>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</si>
  <si>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</si>
  <si>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</si>
  <si>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</si>
  <si>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</si>
  <si>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</si>
  <si>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</si>
  <si>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</si>
  <si>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</si>
  <si>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</si>
  <si>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</si>
  <si>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</si>
  <si>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</si>
  <si>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</si>
  <si>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</si>
  <si>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</si>
  <si>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</si>
  <si>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</si>
  <si>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</si>
  <si>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</si>
  <si>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</si>
  <si>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</si>
  <si>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</si>
  <si>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</si>
  <si>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</si>
  <si>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</si>
  <si>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</si>
  <si>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</si>
  <si>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</si>
  <si>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</si>
  <si>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</si>
  <si>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</si>
  <si>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</si>
  <si>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</si>
  <si>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</si>
  <si>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</si>
  <si>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</si>
  <si>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</si>
  <si>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</si>
  <si>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</si>
  <si>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</si>
  <si>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</si>
  <si>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</si>
  <si>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</si>
  <si>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</si>
  <si>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</si>
  <si>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</si>
  <si>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</si>
  <si>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</si>
  <si>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</si>
  <si>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</si>
  <si>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</si>
  <si>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</si>
  <si>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</si>
  <si>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평</t>
    <phoneticPr fontId="2" type="noConversion"/>
  </si>
  <si>
    <t>원/ m2</t>
    <phoneticPr fontId="2" type="noConversion"/>
  </si>
  <si>
    <t>00세무서 청사 신축공사</t>
  </si>
  <si>
    <t>지정공사,철제칸막이공사,잡공사및외벽패널공사,철거공사,골재비,운반비,정화조공사</t>
    <phoneticPr fontId="2" type="noConversion"/>
  </si>
  <si>
    <t>환기덕트설치공사</t>
  </si>
  <si>
    <t>난방배관공사</t>
    <phoneticPr fontId="2" type="noConversion"/>
  </si>
  <si>
    <t>공조배관공사,위생배관공사,지열히트펌프설치공사,주방기구설치공사</t>
    <phoneticPr fontId="2" type="noConversion"/>
  </si>
  <si>
    <t>피뢰침설비공사</t>
  </si>
  <si>
    <t>전기실설비공사,강전트레이설비공사</t>
    <phoneticPr fontId="2" type="noConversion"/>
  </si>
  <si>
    <t>케이블트레이설비공사</t>
  </si>
  <si>
    <t>인터폰설비</t>
  </si>
  <si>
    <t>전기소방</t>
    <phoneticPr fontId="2" type="noConversion"/>
  </si>
  <si>
    <t>토목 배수공, 상수공, 시설물공, 철거공,자재공</t>
    <phoneticPr fontId="2" type="noConversion"/>
  </si>
  <si>
    <t>도급자설치관급</t>
  </si>
  <si>
    <t>수목이식공사, 조경구조물공사</t>
    <phoneticPr fontId="2" type="noConversion"/>
  </si>
  <si>
    <t>원/ m2</t>
    <phoneticPr fontId="2" type="noConversion"/>
  </si>
  <si>
    <t>도급자설치 관급</t>
    <phoneticPr fontId="2" type="noConversion"/>
  </si>
  <si>
    <t>관급자설치</t>
    <phoneticPr fontId="2" type="noConversion"/>
  </si>
  <si>
    <t>도급자설치, 관급자설치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</si>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</sst>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70" zoomScaleNormal="7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4937</v>
      </c>
      <c r="D7" s="36">
        <f>+C7/3.3058</f>
        <v>1493.4357795389919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247</v>
      </c>
      <c r="E23" s="35" t="s">
        <v>265</v>
      </c>
    </row>
    <row r="24" spans="1:5" x14ac:dyDescent="0.3">
      <c r="B24" s="2">
        <v>1</v>
      </c>
      <c r="C24" s="35" t="s">
        <v>110</v>
      </c>
      <c r="D24" s="41">
        <f>D37</f>
        <v>5740</v>
      </c>
      <c r="E24" s="59">
        <f t="shared" ref="E24:E33" si="0">TRUNC(+D24*3.3058,-1)</f>
        <v>18970</v>
      </c>
    </row>
    <row r="25" spans="1:5" x14ac:dyDescent="0.3">
      <c r="B25" s="2">
        <v>2</v>
      </c>
      <c r="C25" s="35" t="s">
        <v>111</v>
      </c>
      <c r="D25" s="45">
        <f>+D60</f>
        <v>611530</v>
      </c>
      <c r="E25" s="60">
        <f t="shared" si="0"/>
        <v>2021590</v>
      </c>
    </row>
    <row r="26" spans="1:5" x14ac:dyDescent="0.3">
      <c r="B26" s="2">
        <v>3</v>
      </c>
      <c r="C26" s="35" t="s">
        <v>95</v>
      </c>
      <c r="D26" s="45">
        <f>+D66</f>
        <v>29560</v>
      </c>
      <c r="E26" s="60">
        <f t="shared" si="0"/>
        <v>97710</v>
      </c>
    </row>
    <row r="27" spans="1:5" x14ac:dyDescent="0.3">
      <c r="B27" s="2">
        <v>4</v>
      </c>
      <c r="C27" s="35" t="s">
        <v>96</v>
      </c>
      <c r="D27" s="45">
        <f>+D95</f>
        <v>210790</v>
      </c>
      <c r="E27" s="60">
        <f t="shared" si="0"/>
        <v>696820</v>
      </c>
    </row>
    <row r="28" spans="1:5" x14ac:dyDescent="0.3">
      <c r="B28" s="2">
        <v>5</v>
      </c>
      <c r="C28" s="35" t="s">
        <v>97</v>
      </c>
      <c r="D28" s="45">
        <f>+D119</f>
        <v>127550</v>
      </c>
      <c r="E28" s="60">
        <f t="shared" si="0"/>
        <v>421650</v>
      </c>
    </row>
    <row r="29" spans="1:5" x14ac:dyDescent="0.3">
      <c r="B29" s="2">
        <v>6</v>
      </c>
      <c r="C29" s="35" t="s">
        <v>98</v>
      </c>
      <c r="D29" s="45">
        <f>+D133</f>
        <v>32790</v>
      </c>
      <c r="E29" s="60">
        <f t="shared" si="0"/>
        <v>108390</v>
      </c>
    </row>
    <row r="30" spans="1:5" x14ac:dyDescent="0.3">
      <c r="B30" s="2">
        <v>7</v>
      </c>
      <c r="C30" s="35" t="s">
        <v>99</v>
      </c>
      <c r="D30" s="45">
        <f>+D146</f>
        <v>16470</v>
      </c>
      <c r="E30" s="60">
        <f t="shared" si="0"/>
        <v>54440</v>
      </c>
    </row>
    <row r="31" spans="1:5" x14ac:dyDescent="0.3">
      <c r="B31" s="2">
        <v>8</v>
      </c>
      <c r="C31" s="35" t="s">
        <v>100</v>
      </c>
      <c r="D31" s="45">
        <f>+D154</f>
        <v>25060</v>
      </c>
      <c r="E31" s="60">
        <f t="shared" si="0"/>
        <v>82840</v>
      </c>
    </row>
    <row r="32" spans="1:5" x14ac:dyDescent="0.3">
      <c r="B32" s="2">
        <v>9</v>
      </c>
      <c r="C32" s="35" t="s">
        <v>101</v>
      </c>
      <c r="D32" s="45">
        <f>+D161</f>
        <v>13100</v>
      </c>
      <c r="E32" s="60">
        <f t="shared" si="0"/>
        <v>43300</v>
      </c>
    </row>
    <row r="33" spans="1:7" x14ac:dyDescent="0.3">
      <c r="B33" s="2">
        <v>10</v>
      </c>
      <c r="C33" s="35" t="s">
        <v>153</v>
      </c>
      <c r="D33" s="53">
        <f>TRUNC(SUM(D24:D32)*0.275,-1)</f>
        <v>294960</v>
      </c>
      <c r="E33" s="61">
        <f t="shared" si="0"/>
        <v>975070</v>
      </c>
    </row>
    <row r="34" spans="1:7" x14ac:dyDescent="0.3">
      <c r="C34" s="35" t="s">
        <v>112</v>
      </c>
      <c r="D34" s="44">
        <f>SUM(D24:D33)</f>
        <v>1367550</v>
      </c>
      <c r="E34" s="44">
        <f>SUM(E24:E33)</f>
        <v>4520780</v>
      </c>
    </row>
    <row r="35" spans="1:7" s="56" customFormat="1" x14ac:dyDescent="0.3">
      <c r="C35" s="57"/>
      <c r="D35" s="57"/>
      <c r="E35" s="57"/>
      <c r="F35" s="55"/>
      <c r="G35" s="55"/>
    </row>
    <row r="36" spans="1:7" s="56" customFormat="1" ht="17.25" thickBot="1" x14ac:dyDescent="0.35">
      <c r="B36" s="56" t="s">
        <v>12</v>
      </c>
      <c r="C36" s="56" t="s">
        <v>235</v>
      </c>
      <c r="D36" s="57" t="s">
        <v>261</v>
      </c>
      <c r="E36" s="57" t="s">
        <v>265</v>
      </c>
      <c r="F36" s="55"/>
      <c r="G36" s="55"/>
    </row>
    <row r="37" spans="1:7" ht="17.25" thickBot="1" x14ac:dyDescent="0.35">
      <c r="C37" s="38" t="s">
        <v>143</v>
      </c>
      <c r="D37" s="52">
        <f>TRUNC(5747.24,-1)</f>
        <v>5740</v>
      </c>
      <c r="E37" s="62">
        <f>TRUNC(+D37*3.3058,-1)</f>
        <v>18970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TRUNC(42460.91,-1)</f>
        <v>42460</v>
      </c>
      <c r="E40" s="63">
        <f t="shared" ref="E40:E59" si="1">TRUNC(+D40*3.3058,-1)</f>
        <v>140360</v>
      </c>
    </row>
    <row r="41" spans="1:7" x14ac:dyDescent="0.3">
      <c r="A41" s="2">
        <v>2</v>
      </c>
      <c r="C41" s="38" t="s">
        <v>13</v>
      </c>
      <c r="D41" s="42">
        <f>TRUNC(102556.16,-1)</f>
        <v>102550</v>
      </c>
      <c r="E41" s="64">
        <f t="shared" si="1"/>
        <v>339000</v>
      </c>
    </row>
    <row r="42" spans="1:7" x14ac:dyDescent="0.3">
      <c r="A42" s="2">
        <v>3</v>
      </c>
      <c r="C42" s="38" t="s">
        <v>14</v>
      </c>
      <c r="D42" s="42">
        <f>TRUNC(1181.38,-1)</f>
        <v>1180</v>
      </c>
      <c r="E42" s="64">
        <f t="shared" si="1"/>
        <v>3900</v>
      </c>
    </row>
    <row r="43" spans="1:7" x14ac:dyDescent="0.3">
      <c r="A43" s="2">
        <v>4</v>
      </c>
      <c r="C43" s="38" t="s">
        <v>16</v>
      </c>
      <c r="D43" s="42">
        <f>TRUNC(21703.44,-1)</f>
        <v>21700</v>
      </c>
      <c r="E43" s="64">
        <f t="shared" si="1"/>
        <v>71730</v>
      </c>
    </row>
    <row r="44" spans="1:7" x14ac:dyDescent="0.3">
      <c r="A44" s="2">
        <v>5</v>
      </c>
      <c r="C44" s="38" t="s">
        <v>17</v>
      </c>
      <c r="D44" s="42">
        <f>TRUNC(26856.85,-1)</f>
        <v>26850</v>
      </c>
      <c r="E44" s="64">
        <f t="shared" si="1"/>
        <v>88760</v>
      </c>
    </row>
    <row r="45" spans="1:7" x14ac:dyDescent="0.3">
      <c r="A45" s="2">
        <v>6</v>
      </c>
      <c r="C45" s="38" t="s">
        <v>18</v>
      </c>
      <c r="D45" s="42">
        <f>TRUNC(12153.69,-1)</f>
        <v>12150</v>
      </c>
      <c r="E45" s="64">
        <f t="shared" si="1"/>
        <v>40160</v>
      </c>
    </row>
    <row r="46" spans="1:7" x14ac:dyDescent="0.3">
      <c r="A46" s="2">
        <v>7</v>
      </c>
      <c r="C46" s="38" t="s">
        <v>19</v>
      </c>
      <c r="D46" s="42">
        <f>TRUNC(76262.05,-1)</f>
        <v>76260</v>
      </c>
      <c r="E46" s="64">
        <f t="shared" si="1"/>
        <v>252100</v>
      </c>
    </row>
    <row r="47" spans="1:7" x14ac:dyDescent="0.3">
      <c r="A47" s="2">
        <v>8</v>
      </c>
      <c r="C47" s="38" t="s">
        <v>20</v>
      </c>
      <c r="D47" s="42">
        <f>TRUNC(2280.78,-1)</f>
        <v>2280</v>
      </c>
      <c r="E47" s="64">
        <f t="shared" si="1"/>
        <v>7530</v>
      </c>
    </row>
    <row r="48" spans="1:7" x14ac:dyDescent="0.3">
      <c r="A48" s="2">
        <v>9</v>
      </c>
      <c r="C48" s="38" t="s">
        <v>21</v>
      </c>
      <c r="D48" s="42">
        <f>TRUNC(48454.01,-1)</f>
        <v>48450</v>
      </c>
      <c r="E48" s="64">
        <f t="shared" si="1"/>
        <v>160160</v>
      </c>
    </row>
    <row r="49" spans="1:7" x14ac:dyDescent="0.3">
      <c r="A49" s="2">
        <v>10</v>
      </c>
      <c r="C49" s="38" t="s">
        <v>22</v>
      </c>
      <c r="D49" s="42">
        <f>TRUNC(14330.83,-1)</f>
        <v>14330</v>
      </c>
      <c r="E49" s="64">
        <f t="shared" si="1"/>
        <v>47370</v>
      </c>
    </row>
    <row r="50" spans="1:7" x14ac:dyDescent="0.3">
      <c r="A50" s="2">
        <v>11</v>
      </c>
      <c r="C50" s="38" t="s">
        <v>154</v>
      </c>
      <c r="D50" s="42">
        <f>TRUNC(68184.2055904395,-1)</f>
        <v>68180</v>
      </c>
      <c r="E50" s="64">
        <f t="shared" si="1"/>
        <v>225380</v>
      </c>
    </row>
    <row r="51" spans="1:7" x14ac:dyDescent="0.3">
      <c r="A51" s="2">
        <v>12</v>
      </c>
      <c r="C51" s="38" t="s">
        <v>23</v>
      </c>
      <c r="D51" s="42">
        <f>TRUNC(13714.72,-1)</f>
        <v>13710</v>
      </c>
      <c r="E51" s="64">
        <f t="shared" si="1"/>
        <v>45320</v>
      </c>
    </row>
    <row r="52" spans="1:7" x14ac:dyDescent="0.3">
      <c r="A52" s="2">
        <v>13</v>
      </c>
      <c r="C52" s="38" t="s">
        <v>24</v>
      </c>
      <c r="D52" s="42">
        <f>TRUNC(6810.25,-1)</f>
        <v>6810</v>
      </c>
      <c r="E52" s="64">
        <f t="shared" si="1"/>
        <v>22510</v>
      </c>
    </row>
    <row r="53" spans="1:7" x14ac:dyDescent="0.3">
      <c r="A53" s="2">
        <v>14</v>
      </c>
      <c r="C53" s="38" t="s">
        <v>25</v>
      </c>
      <c r="D53" s="42">
        <f>TRUNC(37534.4,-1)</f>
        <v>37530</v>
      </c>
      <c r="E53" s="64">
        <f t="shared" si="1"/>
        <v>124060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1380</v>
      </c>
      <c r="E55" s="64">
        <f t="shared" si="1"/>
        <v>4560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TRUNC(12704.7753696577+7459.99311322666+5823.701033016+4845.76058335021+2608.8717844845+2141.63135507393+4984.74174599959,-1)</f>
        <v>40560</v>
      </c>
      <c r="E58" s="64">
        <f t="shared" si="1"/>
        <v>134080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TRUNC(95159.61,-1)</f>
        <v>95150</v>
      </c>
      <c r="E59" s="65">
        <f t="shared" si="1"/>
        <v>314540</v>
      </c>
      <c r="F59" s="2" t="s">
        <v>262</v>
      </c>
    </row>
    <row r="60" spans="1:7" x14ac:dyDescent="0.3">
      <c r="A60" s="2">
        <v>21</v>
      </c>
      <c r="C60" s="27" t="s">
        <v>112</v>
      </c>
      <c r="D60" s="39">
        <f>SUM(D40:D59)</f>
        <v>611530</v>
      </c>
      <c r="E60" s="39">
        <f>SUM(E40:E59)</f>
        <v>2021520</v>
      </c>
    </row>
    <row r="61" spans="1:7" s="56" customFormat="1" x14ac:dyDescent="0.3">
      <c r="C61" s="57"/>
      <c r="D61" s="57"/>
      <c r="E61" s="57"/>
      <c r="F61" s="55"/>
      <c r="G61" s="55"/>
    </row>
    <row r="62" spans="1:7" s="56" customFormat="1" ht="17.25" thickBot="1" x14ac:dyDescent="0.35">
      <c r="B62" s="56" t="s">
        <v>236</v>
      </c>
      <c r="C62" s="56" t="s">
        <v>237</v>
      </c>
      <c r="D62" s="57" t="s">
        <v>261</v>
      </c>
      <c r="E62" s="57" t="s">
        <v>265</v>
      </c>
      <c r="F62" s="55"/>
      <c r="G62" s="55"/>
    </row>
    <row r="63" spans="1:7" x14ac:dyDescent="0.3">
      <c r="A63" s="2">
        <v>1</v>
      </c>
      <c r="C63" s="38" t="s">
        <v>27</v>
      </c>
      <c r="D63" s="40">
        <f>TRUNC(871.13935588414,-1)</f>
        <v>870</v>
      </c>
      <c r="E63" s="63">
        <f>TRUNC(+D63*3.3058,-1)</f>
        <v>2870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TRUNC(28698.9708324894,-1)</f>
        <v>28690</v>
      </c>
      <c r="E65" s="65">
        <f>TRUNC(+D65*3.3058,-1)</f>
        <v>94840</v>
      </c>
    </row>
    <row r="66" spans="1:7" x14ac:dyDescent="0.3">
      <c r="A66" s="2">
        <v>4</v>
      </c>
      <c r="C66" s="27" t="s">
        <v>112</v>
      </c>
      <c r="D66" s="58">
        <f>SUM(D63:D65)</f>
        <v>29560</v>
      </c>
      <c r="E66" s="58">
        <f>SUM(E63:E65)</f>
        <v>97710</v>
      </c>
    </row>
    <row r="67" spans="1:7" s="56" customFormat="1" x14ac:dyDescent="0.3">
      <c r="C67" s="57"/>
      <c r="D67" s="57"/>
      <c r="E67" s="57"/>
      <c r="F67" s="55"/>
      <c r="G67" s="55"/>
    </row>
    <row r="68" spans="1:7" s="56" customFormat="1" ht="17.25" thickBot="1" x14ac:dyDescent="0.35">
      <c r="B68" s="56" t="s">
        <v>238</v>
      </c>
      <c r="C68" s="56" t="s">
        <v>239</v>
      </c>
      <c r="D68" s="57" t="s">
        <v>261</v>
      </c>
      <c r="E68" s="57" t="s">
        <v>265</v>
      </c>
      <c r="F68" s="55"/>
      <c r="G68" s="55"/>
    </row>
    <row r="69" spans="1:7" x14ac:dyDescent="0.3">
      <c r="A69" s="2">
        <v>1</v>
      </c>
      <c r="C69" s="38" t="s">
        <v>30</v>
      </c>
      <c r="D69" s="40">
        <f>TRUNC(15714.9,-1)</f>
        <v>15710</v>
      </c>
      <c r="E69" s="63">
        <f>TRUNC(+D69*3.3058,-1)</f>
        <v>51930</v>
      </c>
    </row>
    <row r="70" spans="1:7" ht="16.5" customHeight="1" x14ac:dyDescent="0.3">
      <c r="A70" s="2">
        <v>2</v>
      </c>
      <c r="C70" s="38" t="s">
        <v>31</v>
      </c>
      <c r="D70" s="42">
        <f>TRUNC(382.04,-1)</f>
        <v>380</v>
      </c>
      <c r="E70" s="64">
        <f>TRUNC(+D70*3.3058,-1)</f>
        <v>1250</v>
      </c>
    </row>
    <row r="71" spans="1:7" x14ac:dyDescent="0.3">
      <c r="A71" s="2">
        <v>3</v>
      </c>
      <c r="C71" s="38" t="s">
        <v>32</v>
      </c>
      <c r="D71" s="42">
        <f>TRUNC(14388.93,-1)</f>
        <v>14380</v>
      </c>
      <c r="E71" s="64">
        <f t="shared" ref="E71:E73" si="2">TRUNC(+D71*3.3058,-1)</f>
        <v>47530</v>
      </c>
    </row>
    <row r="72" spans="1:7" x14ac:dyDescent="0.3">
      <c r="A72" s="2">
        <v>4</v>
      </c>
      <c r="C72" s="38" t="s">
        <v>33</v>
      </c>
      <c r="D72" s="42">
        <f>TRUNC(2089.78,-1)</f>
        <v>2080</v>
      </c>
      <c r="E72" s="64">
        <f t="shared" si="2"/>
        <v>6870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TRUNC(611.22,-1)</f>
        <v>610</v>
      </c>
      <c r="E75" s="64">
        <f>TRUNC(+D75*3.3058,-1)</f>
        <v>2010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TRUNC(7529.9,-1)</f>
        <v>7520</v>
      </c>
      <c r="E79" s="64">
        <f t="shared" si="3"/>
        <v>24850</v>
      </c>
      <c r="F79" s="2" t="s">
        <v>250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TRUNC(16409.99,-1)</f>
        <v>16400</v>
      </c>
      <c r="E81" s="64">
        <f t="shared" si="3"/>
        <v>54210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  <c r="F84" s="2" t="s">
        <v>251</v>
      </c>
    </row>
    <row r="85" spans="1:7" x14ac:dyDescent="0.3">
      <c r="A85" s="2">
        <v>17</v>
      </c>
      <c r="C85" s="38" t="s">
        <v>123</v>
      </c>
      <c r="D85" s="42">
        <f>TRUNC(1136.14,-1)</f>
        <v>1130</v>
      </c>
      <c r="E85" s="64">
        <f t="shared" si="3"/>
        <v>3730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TRUNC(2175.41,-1)</f>
        <v>2170</v>
      </c>
      <c r="E90" s="64">
        <f>TRUNC(+D90*3.3058,-1)</f>
        <v>7170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TRUNC(47797.55,-1)</f>
        <v>47790</v>
      </c>
      <c r="E93" s="64">
        <f>TRUNC(+D93*3.3058,-1)</f>
        <v>157980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f>TRUNC(36991.2414421714+28077.7115657282+31954.44+5601.13064614138,-1)</f>
        <v>102620</v>
      </c>
      <c r="E94" s="65">
        <f>TRUNC(+D94*3.3058,-1)</f>
        <v>339240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210790</v>
      </c>
      <c r="E95" s="39">
        <f>SUM(E69:E94)</f>
        <v>696770</v>
      </c>
    </row>
    <row r="96" spans="1:7" s="56" customFormat="1" x14ac:dyDescent="0.3">
      <c r="C96" s="57"/>
      <c r="D96" s="57"/>
      <c r="E96" s="57"/>
      <c r="F96" s="55"/>
      <c r="G96" s="55"/>
    </row>
    <row r="97" spans="1:7" s="56" customFormat="1" ht="17.25" thickBot="1" x14ac:dyDescent="0.35">
      <c r="B97" s="56" t="s">
        <v>240</v>
      </c>
      <c r="C97" s="56" t="s">
        <v>239</v>
      </c>
      <c r="D97" s="57" t="s">
        <v>261</v>
      </c>
      <c r="E97" s="57" t="s">
        <v>265</v>
      </c>
      <c r="F97" s="55"/>
      <c r="G97" s="55"/>
    </row>
    <row r="98" spans="1:7" x14ac:dyDescent="0.3">
      <c r="A98" s="2">
        <v>1</v>
      </c>
      <c r="C98" s="38" t="s">
        <v>39</v>
      </c>
      <c r="D98" s="40">
        <f>TRUNC(5904.91,-1)</f>
        <v>5900</v>
      </c>
      <c r="E98" s="63">
        <f t="shared" ref="E98:E118" si="4">TRUNC(+D98*3.3058,-1)</f>
        <v>19500</v>
      </c>
    </row>
    <row r="99" spans="1:7" x14ac:dyDescent="0.3">
      <c r="A99" s="2">
        <v>2</v>
      </c>
      <c r="C99" s="38" t="s">
        <v>40</v>
      </c>
      <c r="D99" s="42">
        <f>TRUNC(9158.21,-1)</f>
        <v>9150</v>
      </c>
      <c r="E99" s="64">
        <f t="shared" si="4"/>
        <v>30240</v>
      </c>
    </row>
    <row r="100" spans="1:7" x14ac:dyDescent="0.3">
      <c r="A100" s="2">
        <v>3</v>
      </c>
      <c r="C100" s="38" t="s">
        <v>41</v>
      </c>
      <c r="D100" s="42">
        <f>TRUNC(25824.78,-1)</f>
        <v>25820</v>
      </c>
      <c r="E100" s="64">
        <f t="shared" si="4"/>
        <v>85350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TRUNC(6129.88,-1)</f>
        <v>6120</v>
      </c>
      <c r="E102" s="64">
        <f t="shared" si="4"/>
        <v>20230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TRUNC(912.96,-1)</f>
        <v>910</v>
      </c>
      <c r="E104" s="64">
        <f t="shared" si="4"/>
        <v>3000</v>
      </c>
      <c r="F104" s="2" t="s">
        <v>253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4"/>
        <v>0</v>
      </c>
    </row>
    <row r="116" spans="1:7" x14ac:dyDescent="0.3">
      <c r="A116" s="2">
        <v>19</v>
      </c>
      <c r="C116" s="38" t="s">
        <v>115</v>
      </c>
      <c r="D116" s="42">
        <f>TRUNC(4336.67,-1)</f>
        <v>4330</v>
      </c>
      <c r="E116" s="64">
        <f t="shared" si="4"/>
        <v>14310</v>
      </c>
    </row>
    <row r="117" spans="1:7" x14ac:dyDescent="0.3">
      <c r="A117" s="2">
        <v>20</v>
      </c>
      <c r="C117" s="38" t="s">
        <v>148</v>
      </c>
      <c r="D117" s="42">
        <f>TRUNC(21794.612112619+49297.1440145838,-1)</f>
        <v>71090</v>
      </c>
      <c r="E117" s="64">
        <f t="shared" si="4"/>
        <v>235000</v>
      </c>
      <c r="F117" s="2" t="s">
        <v>264</v>
      </c>
    </row>
    <row r="118" spans="1:7" ht="17.25" thickBot="1" x14ac:dyDescent="0.35">
      <c r="A118" s="2">
        <v>21</v>
      </c>
      <c r="C118" s="38" t="s">
        <v>47</v>
      </c>
      <c r="D118" s="43">
        <f>TRUNC(3242.61231517116+990.628114239417,-1)</f>
        <v>4230</v>
      </c>
      <c r="E118" s="65">
        <f t="shared" si="4"/>
        <v>13980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127550</v>
      </c>
      <c r="E119" s="39">
        <f>SUM(E98:E118)</f>
        <v>421610</v>
      </c>
    </row>
    <row r="120" spans="1:7" s="56" customFormat="1" x14ac:dyDescent="0.3">
      <c r="C120" s="57"/>
      <c r="D120" s="57"/>
      <c r="E120" s="57"/>
      <c r="F120" s="55"/>
      <c r="G120" s="55"/>
    </row>
    <row r="121" spans="1:7" s="56" customFormat="1" ht="17.25" thickBot="1" x14ac:dyDescent="0.35">
      <c r="B121" s="56" t="s">
        <v>241</v>
      </c>
      <c r="C121" s="56" t="s">
        <v>239</v>
      </c>
      <c r="D121" s="57" t="s">
        <v>261</v>
      </c>
      <c r="E121" s="57" t="s">
        <v>265</v>
      </c>
      <c r="F121" s="55"/>
      <c r="G121" s="55"/>
    </row>
    <row r="122" spans="1:7" x14ac:dyDescent="0.3">
      <c r="A122" s="2">
        <v>1</v>
      </c>
      <c r="C122" s="38" t="s">
        <v>55</v>
      </c>
      <c r="D122" s="40">
        <f>TRUNC(1553.26,-1)</f>
        <v>1550</v>
      </c>
      <c r="E122" s="63">
        <f t="shared" ref="E122:E132" si="5">TRUNC(+D122*3.3058,-1)</f>
        <v>5120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f>TRUNC(339.66,-1)</f>
        <v>330</v>
      </c>
      <c r="E124" s="64">
        <f t="shared" si="5"/>
        <v>1090</v>
      </c>
    </row>
    <row r="125" spans="1:7" x14ac:dyDescent="0.3">
      <c r="A125" s="2">
        <v>4</v>
      </c>
      <c r="C125" s="38" t="s">
        <v>138</v>
      </c>
      <c r="D125" s="42">
        <f>TRUNC(2840.3,-1)</f>
        <v>2840</v>
      </c>
      <c r="E125" s="64">
        <f t="shared" si="5"/>
        <v>9380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TRUNC(1089.94,-1)</f>
        <v>1080</v>
      </c>
      <c r="E128" s="64">
        <f t="shared" si="5"/>
        <v>3570</v>
      </c>
      <c r="F128" s="2" t="s">
        <v>255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TRUNC(17196.87,-1)</f>
        <v>17190</v>
      </c>
      <c r="E130" s="64">
        <f t="shared" si="5"/>
        <v>56820</v>
      </c>
    </row>
    <row r="131" spans="1:7" x14ac:dyDescent="0.3">
      <c r="A131" s="2">
        <v>10</v>
      </c>
      <c r="C131" s="38" t="s">
        <v>148</v>
      </c>
      <c r="D131" s="42">
        <f>TRUNC(9677.94,-1)</f>
        <v>9670</v>
      </c>
      <c r="E131" s="64">
        <f t="shared" si="5"/>
        <v>31960</v>
      </c>
      <c r="F131" s="2" t="s">
        <v>263</v>
      </c>
    </row>
    <row r="132" spans="1:7" ht="18" thickBot="1" x14ac:dyDescent="0.35">
      <c r="A132" s="2">
        <v>11</v>
      </c>
      <c r="C132" s="38" t="s">
        <v>47</v>
      </c>
      <c r="D132" s="43">
        <f>TRUNC(137.83,-1)</f>
        <v>130</v>
      </c>
      <c r="E132" s="65">
        <f t="shared" si="5"/>
        <v>420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32790</v>
      </c>
      <c r="E133" s="39">
        <f>SUM(E122:E132)</f>
        <v>108360</v>
      </c>
    </row>
    <row r="134" spans="1:7" s="56" customFormat="1" x14ac:dyDescent="0.3">
      <c r="C134" s="57"/>
      <c r="D134" s="57"/>
      <c r="E134" s="57"/>
      <c r="F134" s="55"/>
      <c r="G134" s="55"/>
    </row>
    <row r="135" spans="1:7" s="56" customFormat="1" ht="17.25" thickBot="1" x14ac:dyDescent="0.35">
      <c r="B135" s="56" t="s">
        <v>242</v>
      </c>
      <c r="C135" s="56" t="s">
        <v>239</v>
      </c>
      <c r="D135" s="57" t="s">
        <v>261</v>
      </c>
      <c r="E135" s="57" t="s">
        <v>265</v>
      </c>
      <c r="F135" s="55"/>
      <c r="G135" s="55"/>
    </row>
    <row r="136" spans="1:7" x14ac:dyDescent="0.3">
      <c r="A136" s="2">
        <v>1</v>
      </c>
      <c r="C136" s="38" t="s">
        <v>131</v>
      </c>
      <c r="D136" s="40">
        <f>TRUNC(9574.56248734049,-1)</f>
        <v>9570</v>
      </c>
      <c r="E136" s="63">
        <f t="shared" ref="E136:E145" si="6">TRUNC(+D136*3.3058,-1)</f>
        <v>31630</v>
      </c>
    </row>
    <row r="137" spans="1:7" x14ac:dyDescent="0.3">
      <c r="A137" s="2">
        <v>2</v>
      </c>
      <c r="C137" s="38" t="s">
        <v>47</v>
      </c>
      <c r="D137" s="42">
        <f>TRUNC(6906.79825805145,-1)</f>
        <v>6900</v>
      </c>
      <c r="E137" s="64">
        <f t="shared" si="6"/>
        <v>22810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16470</v>
      </c>
      <c r="E146" s="39">
        <f>SUM(E136:E145)</f>
        <v>54440</v>
      </c>
    </row>
    <row r="147" spans="1:7" s="56" customFormat="1" x14ac:dyDescent="0.3">
      <c r="C147" s="57"/>
      <c r="D147" s="57"/>
      <c r="E147" s="57"/>
      <c r="F147" s="55"/>
      <c r="G147" s="55"/>
    </row>
    <row r="148" spans="1:7" s="56" customFormat="1" ht="17.25" thickBot="1" x14ac:dyDescent="0.35">
      <c r="B148" s="56" t="s">
        <v>243</v>
      </c>
      <c r="C148" s="56" t="s">
        <v>239</v>
      </c>
      <c r="D148" s="57" t="s">
        <v>261</v>
      </c>
      <c r="E148" s="57" t="s">
        <v>265</v>
      </c>
      <c r="F148" s="55"/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TRUNC(7074.32185537776,-1)</f>
        <v>7070</v>
      </c>
      <c r="E150" s="64">
        <f>TRUNC(+D150*3.3058,-1)</f>
        <v>23370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TRUNC(4048.65080008102+238.419890621835+5129.28924448045+1394.56491796638+1807.95219769091,-1)</f>
        <v>12610</v>
      </c>
      <c r="E152" s="64">
        <f>TRUNC(+D152*3.3058,-1)</f>
        <v>41680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TRUNC(5380.59550334211,-1)</f>
        <v>5380</v>
      </c>
      <c r="E153" s="65">
        <f>TRUNC(+D153*3.3058,-1)</f>
        <v>17780</v>
      </c>
      <c r="F153" s="2" t="s">
        <v>259</v>
      </c>
    </row>
    <row r="154" spans="1:7" x14ac:dyDescent="0.3">
      <c r="A154" s="2">
        <v>6</v>
      </c>
      <c r="C154" s="27" t="s">
        <v>112</v>
      </c>
      <c r="D154" s="39">
        <f>SUM(D149:D153)</f>
        <v>25060</v>
      </c>
      <c r="E154" s="39">
        <f>SUM(E149:E153)</f>
        <v>82830</v>
      </c>
    </row>
    <row r="155" spans="1:7" s="56" customFormat="1" x14ac:dyDescent="0.3">
      <c r="C155" s="57"/>
      <c r="D155" s="57"/>
      <c r="E155" s="57"/>
      <c r="F155" s="55"/>
      <c r="G155" s="55"/>
    </row>
    <row r="156" spans="1:7" s="56" customFormat="1" ht="17.25" thickBot="1" x14ac:dyDescent="0.35">
      <c r="B156" s="56" t="s">
        <v>244</v>
      </c>
      <c r="C156" s="56" t="s">
        <v>239</v>
      </c>
      <c r="D156" s="57" t="s">
        <v>261</v>
      </c>
      <c r="E156" s="57" t="s">
        <v>265</v>
      </c>
      <c r="F156" s="55"/>
      <c r="G156" s="55"/>
    </row>
    <row r="157" spans="1:7" x14ac:dyDescent="0.3">
      <c r="A157" s="2">
        <v>1</v>
      </c>
      <c r="C157" s="38" t="s">
        <v>51</v>
      </c>
      <c r="D157" s="40">
        <f>TRUNC(5952.86915130646,-1)</f>
        <v>5950</v>
      </c>
      <c r="E157" s="63">
        <f>TRUNC(+D157*3.3058,-1)</f>
        <v>19660</v>
      </c>
    </row>
    <row r="158" spans="1:7" x14ac:dyDescent="0.3">
      <c r="A158" s="2">
        <v>2</v>
      </c>
      <c r="C158" s="38" t="s">
        <v>52</v>
      </c>
      <c r="D158" s="42">
        <f>TRUNC(4876.95118493012,-1)</f>
        <v>4870</v>
      </c>
      <c r="E158" s="64">
        <f>TRUNC(+D158*3.3058,-1)</f>
        <v>16090</v>
      </c>
    </row>
    <row r="159" spans="1:7" x14ac:dyDescent="0.3">
      <c r="A159" s="2">
        <v>3</v>
      </c>
      <c r="C159" s="38" t="s">
        <v>47</v>
      </c>
      <c r="D159" s="42">
        <f>TRUNC(1083.23921409763+1203.05408142597,-1)</f>
        <v>2280</v>
      </c>
      <c r="E159" s="64">
        <f>TRUNC(+D159*3.3058,-1)</f>
        <v>7530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6" x14ac:dyDescent="0.3">
      <c r="A161" s="2">
        <v>5</v>
      </c>
      <c r="C161" s="27" t="s">
        <v>112</v>
      </c>
      <c r="D161" s="39">
        <f>SUM(D157:D160)</f>
        <v>13100</v>
      </c>
      <c r="E161" s="39">
        <f t="shared" ref="E161" si="7">SUM(E157:E160)</f>
        <v>43280</v>
      </c>
      <c r="F161" s="39"/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2020-12-07T09:07:51Z</dcterms:modified>
</cp:coreProperties>
</file>