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1" i="4"/>
  <c r="D150" i="4"/>
  <c r="D149" i="4"/>
  <c r="D144" i="4"/>
  <c r="D142" i="4"/>
  <c r="D141" i="4"/>
  <c r="D132" i="4"/>
  <c r="D131" i="4"/>
  <c r="D130" i="4"/>
  <c r="D128" i="4"/>
  <c r="D126" i="4"/>
  <c r="D125" i="4"/>
  <c r="D122" i="4"/>
  <c r="D118" i="4"/>
  <c r="D117" i="4"/>
  <c r="D105" i="4"/>
  <c r="D104" i="4"/>
  <c r="D103" i="4"/>
  <c r="D100" i="4"/>
  <c r="D99" i="4"/>
  <c r="D98" i="4"/>
  <c r="D94" i="4"/>
  <c r="D93" i="4"/>
  <c r="D92" i="4"/>
  <c r="D91" i="4"/>
  <c r="D90" i="4"/>
  <c r="D73" i="4"/>
  <c r="D72" i="4"/>
  <c r="D71" i="4"/>
  <c r="D70" i="4"/>
  <c r="D69" i="4"/>
  <c r="D63" i="4"/>
  <c r="D59" i="4"/>
  <c r="D58" i="4"/>
  <c r="D53" i="4"/>
  <c r="D52" i="4"/>
  <c r="D50" i="4"/>
  <c r="D49" i="4"/>
  <c r="D48" i="4"/>
  <c r="D45" i="4"/>
  <c r="D44" i="4"/>
  <c r="D43" i="4"/>
  <c r="D41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<sst xmlns="http://schemas.openxmlformats.org/spreadsheetml/2006/main" count="390" uniqueCount="264">
  <si>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</si>
  <si>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</si>
  <si>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</si>
  <si>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</si>
  <si>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</si>
  <si>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</si>
  <si>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</si>
  <si>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</si>
  <si>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</si>
  <si>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</si>
  <si>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</si>
  <si>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</si>
  <si>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</si>
  <si>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</si>
  <si>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</si>
  <si>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</si>
  <si>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</si>
  <si>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</si>
  <si>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</si>
  <si>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</si>
  <si>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</si>
  <si>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</si>
  <si>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</si>
  <si>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</si>
  <si>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</si>
  <si>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</si>
  <si>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</si>
  <si>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</si>
  <si>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</si>
  <si>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</si>
  <si>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</si>
  <si>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</si>
  <si>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</si>
  <si>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</si>
  <si>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</si>
  <si>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</si>
  <si>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</si>
  <si>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</si>
  <si>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</si>
  <si>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</si>
  <si>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</si>
  <si>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</si>
  <si>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</si>
  <si>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</si>
  <si>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</si>
  <si>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</si>
  <si>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</si>
  <si>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</si>
  <si>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</si>
  <si>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</si>
  <si>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</si>
  <si>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</si>
  <si>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</si>
  <si>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</si>
  <si>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</si>
  <si>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</si>
  <si>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</si>
  <si>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</si>
  <si>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</si>
  <si>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</si>
  <si>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</si>
  <si>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</si>
  <si>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</si>
  <si>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</si>
  <si>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</si>
  <si>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</si>
  <si>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</si>
  <si>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</si>
  <si>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</si>
  <si>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</si>
  <si>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</si>
  <si>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</si>
  <si>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</si>
  <si>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</si>
  <si>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</si>
  <si>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</si>
  <si>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</si>
  <si>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</si>
  <si>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</si>
  <si>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</si>
  <si>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</si>
  <si>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</si>
  <si>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</si>
  <si>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</si>
  <si>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</si>
  <si>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</si>
  <si>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</si>
  <si>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</si>
  <si>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</si>
  <si>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</si>
  <si>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</si>
  <si>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</si>
  <si>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</si>
  <si>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</si>
  <si>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</si>
  <si>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</si>
  <si>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</si>
  <si>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</si>
  <si>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</si>
  <si>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</si>
  <si>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</si>
  <si>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</si>
  <si>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</si>
  <si>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</si>
  <si>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</si>
  <si>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</si>
  <si>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</si>
  <si>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</si>
  <si>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</si>
  <si>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</si>
  <si>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</si>
  <si>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</si>
  <si>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</si>
  <si>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</si>
  <si>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</si>
  <si>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</si>
  <si>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</si>
  <si>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</si>
  <si>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</si>
  <si>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</si>
  <si>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</si>
  <si>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</si>
  <si>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</si>
  <si>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</si>
  <si>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</si>
  <si>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</si>
  <si>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</si>
  <si>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</si>
  <si>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</si>
  <si>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</si>
  <si>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</si>
  <si>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</si>
  <si>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</si>
  <si>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</si>
  <si>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</si>
  <si>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</si>
  <si>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</si>
  <si>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</si>
  <si>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</si>
  <si>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</si>
  <si>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</si>
  <si>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</si>
  <si>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</si>
  <si>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</si>
  <si>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</si>
  <si>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</si>
  <si>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</si>
  <si>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</si>
  <si>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</si>
  <si>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</si>
  <si>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</si>
  <si>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</si>
  <si>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</si>
  <si>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</si>
  <si>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</si>
  <si>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</si>
  <si>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</si>
  <si>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</si>
  <si>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</si>
  <si>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</si>
  <si>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</si>
  <si>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</si>
  <si>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</si>
  <si>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</si>
  <si>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</si>
  <si>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</si>
  <si>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</si>
  <si>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</si>
  <si>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</si>
  <si>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</si>
  <si>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</si>
  <si>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</si>
  <si>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</si>
  <si>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</si>
  <si>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</si>
  <si>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</si>
  <si>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</si>
  <si>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</si>
  <si>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</si>
  <si>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</si>
  <si>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</si>
  <si>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</si>
  <si>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</si>
  <si>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</si>
  <si>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</si>
  <si>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</si>
  <si>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</si>
  <si>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</si>
  <si>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</si>
  <si>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</si>
  <si>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</si>
  <si>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</si>
  <si>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</si>
  <si>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</si>
  <si>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</si>
  <si>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</si>
  <si>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</si>
  <si>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</si>
  <si>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</si>
  <si>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</si>
  <si>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</si>
  <si>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</si>
  <si>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</si>
  <si>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</si>
  <si>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</si>
  <si>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</si>
  <si>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</si>
  <si>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</si>
  <si>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</si>
  <si>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</si>
  <si>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</si>
  <si>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</si>
  <si>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</si>
  <si>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</si>
  <si>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</si>
  <si>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</si>
  <si>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</si>
  <si>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</si>
  <si>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</si>
  <si>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</si>
  <si>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</si>
  <si>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</si>
  <si>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</si>
  <si>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</si>
  <si>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</si>
  <si>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</si>
  <si>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</si>
  <si>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</si>
  <si>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</si>
  <si>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</si>
  <si>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</si>
  <si>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</si>
  <si>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</si>
  <si>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</si>
  <si>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</si>
  <si>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</si>
  <si>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</si>
  <si>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</si>
  <si>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</si>
  <si>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</si>
  <si>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</si>
  <si>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</si>
  <si>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</si>
  <si>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</si>
  <si>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</si>
  <si>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</si>
  <si>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</si>
  <si>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</si>
  <si>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</si>
  <si>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</si>
  <si>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</si>
  <si>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</si>
  <si>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</si>
  <si>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</si>
  <si>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운동</t>
  </si>
  <si>
    <t>진남수영장 건립 공사</t>
    <phoneticPr fontId="2" type="noConversion"/>
  </si>
  <si>
    <t>전라도</t>
  </si>
  <si>
    <t>난방배관공사, 기타공사</t>
    <phoneticPr fontId="2" type="noConversion"/>
  </si>
  <si>
    <t>상수도공사, 사급자재비, 운반비, 기타공사</t>
    <phoneticPr fontId="2" type="noConversion"/>
  </si>
  <si>
    <t>포장공사</t>
    <phoneticPr fontId="2" type="noConversion"/>
  </si>
  <si>
    <t>기초공사, 골재비및운반비, 작업부산물, 품질시험비,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</si>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</sst>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6496.87</v>
      </c>
      <c r="D7" s="36">
        <f>+C7/3.3058</f>
        <v>1965.2943311755096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1077630</v>
      </c>
      <c r="E25" s="59">
        <f t="shared" si="0"/>
        <v>3562420</v>
      </c>
    </row>
    <row r="26" spans="1:5" x14ac:dyDescent="0.3">
      <c r="B26" s="2">
        <v>3</v>
      </c>
      <c r="C26" s="35" t="s">
        <v>95</v>
      </c>
      <c r="D26" s="45">
        <f>+D66</f>
        <v>34440</v>
      </c>
      <c r="E26" s="59">
        <f t="shared" si="0"/>
        <v>113850</v>
      </c>
    </row>
    <row r="27" spans="1:5" x14ac:dyDescent="0.3">
      <c r="B27" s="2">
        <v>4</v>
      </c>
      <c r="C27" s="35" t="s">
        <v>96</v>
      </c>
      <c r="D27" s="45">
        <f>+D95</f>
        <v>388800</v>
      </c>
      <c r="E27" s="59">
        <f t="shared" si="0"/>
        <v>1285290</v>
      </c>
    </row>
    <row r="28" spans="1:5" x14ac:dyDescent="0.3">
      <c r="B28" s="2">
        <v>5</v>
      </c>
      <c r="C28" s="35" t="s">
        <v>97</v>
      </c>
      <c r="D28" s="45">
        <f>+D119</f>
        <v>238260</v>
      </c>
      <c r="E28" s="59">
        <f t="shared" si="0"/>
        <v>787630</v>
      </c>
    </row>
    <row r="29" spans="1:5" x14ac:dyDescent="0.3">
      <c r="B29" s="2">
        <v>6</v>
      </c>
      <c r="C29" s="35" t="s">
        <v>98</v>
      </c>
      <c r="D29" s="45">
        <f>+D133</f>
        <v>164470</v>
      </c>
      <c r="E29" s="59">
        <f t="shared" si="0"/>
        <v>543700</v>
      </c>
    </row>
    <row r="30" spans="1:5" x14ac:dyDescent="0.3">
      <c r="B30" s="2">
        <v>7</v>
      </c>
      <c r="C30" s="35" t="s">
        <v>99</v>
      </c>
      <c r="D30" s="45">
        <f>+D146</f>
        <v>68290</v>
      </c>
      <c r="E30" s="59">
        <f t="shared" si="0"/>
        <v>225750</v>
      </c>
    </row>
    <row r="31" spans="1:5" x14ac:dyDescent="0.3">
      <c r="B31" s="2">
        <v>8</v>
      </c>
      <c r="C31" s="35" t="s">
        <v>100</v>
      </c>
      <c r="D31" s="45">
        <f>+D154</f>
        <v>308310</v>
      </c>
      <c r="E31" s="59">
        <f t="shared" si="0"/>
        <v>1019210</v>
      </c>
    </row>
    <row r="32" spans="1:5" x14ac:dyDescent="0.3">
      <c r="B32" s="2">
        <v>9</v>
      </c>
      <c r="C32" s="35" t="s">
        <v>101</v>
      </c>
      <c r="D32" s="45">
        <f>+D161</f>
        <v>57050</v>
      </c>
      <c r="E32" s="59">
        <f t="shared" si="0"/>
        <v>188590</v>
      </c>
    </row>
    <row r="33" spans="1:7" x14ac:dyDescent="0.3">
      <c r="B33" s="2">
        <v>10</v>
      </c>
      <c r="C33" s="35" t="s">
        <v>155</v>
      </c>
      <c r="D33" s="53">
        <f>TRUNC(SUM(D24:D32)*0.275,-1)</f>
        <v>642740</v>
      </c>
      <c r="E33" s="60">
        <f t="shared" si="0"/>
        <v>2124760</v>
      </c>
    </row>
    <row r="34" spans="1:7" x14ac:dyDescent="0.3">
      <c r="C34" s="35" t="s">
        <v>112</v>
      </c>
      <c r="D34" s="44">
        <f>SUM(D24:D33)</f>
        <v>2979990</v>
      </c>
      <c r="E34" s="44">
        <f>SUM(E24:E33)</f>
        <v>9851200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v>52270</v>
      </c>
      <c r="E40" s="62">
        <f t="shared" ref="E40:E59" si="1">TRUNC(+D40*3.3058,-1)</f>
        <v>172790</v>
      </c>
    </row>
    <row r="41" spans="1:7" x14ac:dyDescent="0.3">
      <c r="A41" s="2">
        <v>2</v>
      </c>
      <c r="C41" s="38" t="s">
        <v>13</v>
      </c>
      <c r="D41" s="42">
        <f>TRUNC(144154,-1)</f>
        <v>144150</v>
      </c>
      <c r="E41" s="63">
        <f t="shared" si="1"/>
        <v>476530</v>
      </c>
    </row>
    <row r="42" spans="1:7" x14ac:dyDescent="0.3">
      <c r="A42" s="2">
        <v>3</v>
      </c>
      <c r="C42" s="38" t="s">
        <v>14</v>
      </c>
      <c r="D42" s="42">
        <v>97660</v>
      </c>
      <c r="E42" s="63">
        <f t="shared" si="1"/>
        <v>322840</v>
      </c>
    </row>
    <row r="43" spans="1:7" x14ac:dyDescent="0.3">
      <c r="A43" s="2">
        <v>4</v>
      </c>
      <c r="C43" s="38" t="s">
        <v>16</v>
      </c>
      <c r="D43" s="42">
        <f>TRUNC(11696,-1)</f>
        <v>11690</v>
      </c>
      <c r="E43" s="63">
        <f t="shared" si="1"/>
        <v>38640</v>
      </c>
    </row>
    <row r="44" spans="1:7" x14ac:dyDescent="0.3">
      <c r="A44" s="2">
        <v>5</v>
      </c>
      <c r="C44" s="38" t="s">
        <v>17</v>
      </c>
      <c r="D44" s="42">
        <f>TRUNC(64373,-1)</f>
        <v>64370</v>
      </c>
      <c r="E44" s="63">
        <f t="shared" si="1"/>
        <v>212790</v>
      </c>
    </row>
    <row r="45" spans="1:7" x14ac:dyDescent="0.3">
      <c r="A45" s="2">
        <v>6</v>
      </c>
      <c r="C45" s="38" t="s">
        <v>18</v>
      </c>
      <c r="D45" s="42">
        <f>TRUNC(30902,-1)</f>
        <v>30900</v>
      </c>
      <c r="E45" s="63">
        <f t="shared" si="1"/>
        <v>102140</v>
      </c>
    </row>
    <row r="46" spans="1:7" x14ac:dyDescent="0.3">
      <c r="A46" s="2">
        <v>7</v>
      </c>
      <c r="C46" s="38" t="s">
        <v>19</v>
      </c>
      <c r="D46" s="42">
        <v>10580</v>
      </c>
      <c r="E46" s="63">
        <f t="shared" si="1"/>
        <v>34970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TRUNC(152286,-1)</f>
        <v>152280</v>
      </c>
      <c r="E48" s="63">
        <f t="shared" si="1"/>
        <v>503400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TRUNC(13458,-1)</f>
        <v>13450</v>
      </c>
      <c r="E49" s="63">
        <f t="shared" si="1"/>
        <v>44460</v>
      </c>
    </row>
    <row r="50" spans="1:7" x14ac:dyDescent="0.3">
      <c r="A50" s="2">
        <v>11</v>
      </c>
      <c r="C50" s="38" t="s">
        <v>156</v>
      </c>
      <c r="D50" s="42">
        <f>TRUNC(39359,-1)</f>
        <v>39350</v>
      </c>
      <c r="E50" s="63">
        <f t="shared" si="1"/>
        <v>130080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TRUNC(6568,-1)</f>
        <v>6560</v>
      </c>
      <c r="E52" s="63">
        <f t="shared" si="1"/>
        <v>21680</v>
      </c>
    </row>
    <row r="53" spans="1:7" x14ac:dyDescent="0.3">
      <c r="A53" s="2">
        <v>14</v>
      </c>
      <c r="C53" s="38" t="s">
        <v>25</v>
      </c>
      <c r="D53" s="42">
        <f>TRUNC(77855,-1)</f>
        <v>77850</v>
      </c>
      <c r="E53" s="63">
        <f t="shared" si="1"/>
        <v>257350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TRUNC(12114+6985-881+2703+106905,-1)</f>
        <v>127820</v>
      </c>
      <c r="E58" s="63">
        <f t="shared" si="1"/>
        <v>422540</v>
      </c>
      <c r="F58" s="2" t="s">
        <v>260</v>
      </c>
    </row>
    <row r="59" spans="1:7" ht="17.25" thickBot="1" x14ac:dyDescent="0.35">
      <c r="A59" s="2">
        <v>20</v>
      </c>
      <c r="C59" s="38" t="s">
        <v>149</v>
      </c>
      <c r="D59" s="43">
        <f>TRUNC(248707,-1)</f>
        <v>248700</v>
      </c>
      <c r="E59" s="64">
        <f t="shared" si="1"/>
        <v>822150</v>
      </c>
    </row>
    <row r="60" spans="1:7" x14ac:dyDescent="0.3">
      <c r="A60" s="2">
        <v>21</v>
      </c>
      <c r="C60" s="27" t="s">
        <v>112</v>
      </c>
      <c r="D60" s="39">
        <f>SUM(D40:D59)</f>
        <v>1077630</v>
      </c>
      <c r="E60" s="39">
        <f>SUM(E40:E59)</f>
        <v>3562360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TRUNC(34449,-1)</f>
        <v>34440</v>
      </c>
      <c r="E63" s="62">
        <f>TRUNC(+D63*3.3058,-1)</f>
        <v>113850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34440</v>
      </c>
      <c r="E66" s="65">
        <f>SUM(E63:E65)</f>
        <v>113850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TRUNC(17711,-1)</f>
        <v>17710</v>
      </c>
      <c r="E69" s="62">
        <f t="shared" ref="E69:E94" si="2">TRUNC(+D69*3.3058,-1)</f>
        <v>58540</v>
      </c>
    </row>
    <row r="70" spans="1:7" ht="16.5" customHeight="1" x14ac:dyDescent="0.3">
      <c r="A70" s="2">
        <v>2</v>
      </c>
      <c r="C70" s="38" t="s">
        <v>31</v>
      </c>
      <c r="D70" s="42">
        <f>TRUNC(1672,-1)</f>
        <v>1670</v>
      </c>
      <c r="E70" s="63">
        <f t="shared" si="2"/>
        <v>5520</v>
      </c>
    </row>
    <row r="71" spans="1:7" x14ac:dyDescent="0.3">
      <c r="A71" s="2">
        <v>3</v>
      </c>
      <c r="C71" s="38" t="s">
        <v>32</v>
      </c>
      <c r="D71" s="42">
        <f>TRUNC(43931,-1)</f>
        <v>43930</v>
      </c>
      <c r="E71" s="63">
        <f t="shared" si="2"/>
        <v>145220</v>
      </c>
    </row>
    <row r="72" spans="1:7" x14ac:dyDescent="0.3">
      <c r="A72" s="2">
        <v>4</v>
      </c>
      <c r="C72" s="38" t="s">
        <v>33</v>
      </c>
      <c r="D72" s="42">
        <f>TRUNC(8959,-1)</f>
        <v>8950</v>
      </c>
      <c r="E72" s="63">
        <f t="shared" si="2"/>
        <v>29580</v>
      </c>
    </row>
    <row r="73" spans="1:7" x14ac:dyDescent="0.3">
      <c r="A73" s="2">
        <v>5</v>
      </c>
      <c r="C73" s="38" t="s">
        <v>34</v>
      </c>
      <c r="D73" s="42">
        <f>TRUNC(5468,-1)</f>
        <v>5460</v>
      </c>
      <c r="E73" s="63">
        <f t="shared" si="2"/>
        <v>18040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1980</v>
      </c>
      <c r="E75" s="63">
        <f t="shared" si="2"/>
        <v>6540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2680</v>
      </c>
      <c r="E89" s="63">
        <f t="shared" si="2"/>
        <v>8850</v>
      </c>
    </row>
    <row r="90" spans="1:7" x14ac:dyDescent="0.3">
      <c r="A90" s="2">
        <v>22</v>
      </c>
      <c r="C90" s="38" t="s">
        <v>36</v>
      </c>
      <c r="D90" s="42">
        <f>TRUNC(3366,-1)</f>
        <v>3360</v>
      </c>
      <c r="E90" s="63">
        <f t="shared" si="2"/>
        <v>11100</v>
      </c>
    </row>
    <row r="91" spans="1:7" x14ac:dyDescent="0.3">
      <c r="A91" s="2">
        <v>23</v>
      </c>
      <c r="C91" s="38" t="s">
        <v>37</v>
      </c>
      <c r="D91" s="42">
        <f>TRUNC(35146,-1)</f>
        <v>35140</v>
      </c>
      <c r="E91" s="63">
        <f t="shared" si="2"/>
        <v>116160</v>
      </c>
    </row>
    <row r="92" spans="1:7" x14ac:dyDescent="0.3">
      <c r="A92" s="2">
        <v>24</v>
      </c>
      <c r="C92" s="38" t="s">
        <v>38</v>
      </c>
      <c r="D92" s="42">
        <f>TRUNC(7377,-1)</f>
        <v>7370</v>
      </c>
      <c r="E92" s="63">
        <f t="shared" si="2"/>
        <v>24360</v>
      </c>
    </row>
    <row r="93" spans="1:7" x14ac:dyDescent="0.3">
      <c r="A93" s="2">
        <v>25</v>
      </c>
      <c r="C93" s="38" t="s">
        <v>149</v>
      </c>
      <c r="D93" s="42">
        <f>TRUNC(250253,-1)</f>
        <v>250250</v>
      </c>
      <c r="E93" s="63">
        <f t="shared" si="2"/>
        <v>827270</v>
      </c>
    </row>
    <row r="94" spans="1:7" ht="17.25" thickBot="1" x14ac:dyDescent="0.35">
      <c r="A94" s="2">
        <v>26</v>
      </c>
      <c r="C94" s="38" t="s">
        <v>47</v>
      </c>
      <c r="D94" s="43">
        <f>TRUNC(7799+2506,-1)</f>
        <v>10300</v>
      </c>
      <c r="E94" s="64">
        <f t="shared" si="2"/>
        <v>34040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388800</v>
      </c>
      <c r="E95" s="39">
        <f>SUM(E69:E94)</f>
        <v>1285220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TRUNC(31843,-1)</f>
        <v>31840</v>
      </c>
      <c r="E98" s="62">
        <f t="shared" ref="E98:E118" si="3">TRUNC(+D98*3.3058,-1)</f>
        <v>105250</v>
      </c>
    </row>
    <row r="99" spans="1:7" x14ac:dyDescent="0.3">
      <c r="A99" s="2">
        <v>2</v>
      </c>
      <c r="C99" s="38" t="s">
        <v>40</v>
      </c>
      <c r="D99" s="42">
        <f>TRUNC(7761,-1)</f>
        <v>7760</v>
      </c>
      <c r="E99" s="63">
        <f t="shared" si="3"/>
        <v>25650</v>
      </c>
    </row>
    <row r="100" spans="1:7" x14ac:dyDescent="0.3">
      <c r="A100" s="2">
        <v>3</v>
      </c>
      <c r="C100" s="38" t="s">
        <v>41</v>
      </c>
      <c r="D100" s="42">
        <f>TRUNC(26947,-1)</f>
        <v>26940</v>
      </c>
      <c r="E100" s="63">
        <f t="shared" si="3"/>
        <v>89050</v>
      </c>
    </row>
    <row r="101" spans="1:7" x14ac:dyDescent="0.3">
      <c r="A101" s="2">
        <v>4</v>
      </c>
      <c r="C101" s="38" t="s">
        <v>42</v>
      </c>
      <c r="D101" s="42">
        <v>3670</v>
      </c>
      <c r="E101" s="63">
        <f t="shared" si="3"/>
        <v>12130</v>
      </c>
    </row>
    <row r="102" spans="1:7" x14ac:dyDescent="0.3">
      <c r="A102" s="2">
        <v>5</v>
      </c>
      <c r="C102" s="38" t="s">
        <v>43</v>
      </c>
      <c r="D102" s="42">
        <v>5480</v>
      </c>
      <c r="E102" s="63">
        <f t="shared" si="3"/>
        <v>18110</v>
      </c>
    </row>
    <row r="103" spans="1:7" x14ac:dyDescent="0.3">
      <c r="A103" s="2">
        <v>6</v>
      </c>
      <c r="C103" s="38" t="s">
        <v>44</v>
      </c>
      <c r="D103" s="42">
        <f>TRUNC(3276,-1)</f>
        <v>3270</v>
      </c>
      <c r="E103" s="63">
        <f t="shared" si="3"/>
        <v>10800</v>
      </c>
    </row>
    <row r="104" spans="1:7" x14ac:dyDescent="0.3">
      <c r="A104" s="2">
        <v>7</v>
      </c>
      <c r="C104" s="38" t="s">
        <v>45</v>
      </c>
      <c r="D104" s="42">
        <f>TRUNC(8302,-1)</f>
        <v>8300</v>
      </c>
      <c r="E104" s="63">
        <f t="shared" si="3"/>
        <v>27430</v>
      </c>
    </row>
    <row r="105" spans="1:7" x14ac:dyDescent="0.3">
      <c r="A105" s="2">
        <v>8</v>
      </c>
      <c r="C105" s="38" t="s">
        <v>46</v>
      </c>
      <c r="D105" s="42">
        <f>TRUNC(2921,-1)</f>
        <v>2920</v>
      </c>
      <c r="E105" s="63">
        <f t="shared" si="3"/>
        <v>9650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149</v>
      </c>
      <c r="D117" s="42">
        <f>TRUNC(144263,-1)</f>
        <v>144260</v>
      </c>
      <c r="E117" s="63">
        <f t="shared" si="3"/>
        <v>476890</v>
      </c>
    </row>
    <row r="118" spans="1:7" ht="17.25" thickBot="1" x14ac:dyDescent="0.35">
      <c r="A118" s="2">
        <v>21</v>
      </c>
      <c r="C118" s="38" t="s">
        <v>47</v>
      </c>
      <c r="D118" s="43">
        <f>TRUNC(3823,-1)</f>
        <v>3820</v>
      </c>
      <c r="E118" s="64">
        <f t="shared" si="3"/>
        <v>12620</v>
      </c>
    </row>
    <row r="119" spans="1:7" x14ac:dyDescent="0.3">
      <c r="A119" s="2">
        <v>22</v>
      </c>
      <c r="C119" s="27" t="s">
        <v>112</v>
      </c>
      <c r="D119" s="39">
        <f>SUM(D98:D118)</f>
        <v>238260</v>
      </c>
      <c r="E119" s="39">
        <f>SUM(E98:E118)</f>
        <v>787580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TRUNC(1615,-1)</f>
        <v>1610</v>
      </c>
      <c r="E122" s="62">
        <f t="shared" ref="E122:E132" si="4">TRUNC(+D122*3.3058,-1)</f>
        <v>5320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TRUNC(8821,-1)</f>
        <v>8820</v>
      </c>
      <c r="E125" s="63">
        <f t="shared" si="4"/>
        <v>29150</v>
      </c>
    </row>
    <row r="126" spans="1:7" x14ac:dyDescent="0.3">
      <c r="A126" s="2">
        <v>5</v>
      </c>
      <c r="C126" s="38" t="s">
        <v>53</v>
      </c>
      <c r="D126" s="42">
        <f>TRUNC(9706,-1)</f>
        <v>9700</v>
      </c>
      <c r="E126" s="63">
        <f t="shared" si="4"/>
        <v>32060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TRUNC(2093,-1)</f>
        <v>2090</v>
      </c>
      <c r="E128" s="63">
        <f t="shared" si="4"/>
        <v>6900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TRUNC(10814,-1)</f>
        <v>10810</v>
      </c>
      <c r="E130" s="63">
        <f t="shared" si="4"/>
        <v>35730</v>
      </c>
    </row>
    <row r="131" spans="1:7" x14ac:dyDescent="0.3">
      <c r="A131" s="2">
        <v>10</v>
      </c>
      <c r="C131" s="38" t="s">
        <v>149</v>
      </c>
      <c r="D131" s="42">
        <f>TRUNC(124051,-1)</f>
        <v>124050</v>
      </c>
      <c r="E131" s="63">
        <f t="shared" si="4"/>
        <v>410080</v>
      </c>
    </row>
    <row r="132" spans="1:7" ht="18" thickBot="1" x14ac:dyDescent="0.35">
      <c r="A132" s="2">
        <v>11</v>
      </c>
      <c r="C132" s="38" t="s">
        <v>47</v>
      </c>
      <c r="D132" s="43">
        <f>TRUNC(6417+975,-1)</f>
        <v>7390</v>
      </c>
      <c r="E132" s="64">
        <f t="shared" si="4"/>
        <v>24420</v>
      </c>
      <c r="F132" s="54" t="s">
        <v>253</v>
      </c>
    </row>
    <row r="133" spans="1:7" x14ac:dyDescent="0.3">
      <c r="A133" s="2">
        <v>12</v>
      </c>
      <c r="C133" s="27" t="s">
        <v>112</v>
      </c>
      <c r="D133" s="39">
        <f>SUM(D122:D132)</f>
        <v>164470</v>
      </c>
      <c r="E133" s="39">
        <f>SUM(E122:E132)</f>
        <v>543660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8630</v>
      </c>
      <c r="E140" s="63">
        <f t="shared" si="5"/>
        <v>28520</v>
      </c>
    </row>
    <row r="141" spans="1:7" x14ac:dyDescent="0.3">
      <c r="A141" s="2">
        <v>6</v>
      </c>
      <c r="C141" s="38" t="s">
        <v>59</v>
      </c>
      <c r="D141" s="42">
        <f>TRUNC(26372,-1)</f>
        <v>26370</v>
      </c>
      <c r="E141" s="63">
        <f t="shared" si="5"/>
        <v>87170</v>
      </c>
    </row>
    <row r="142" spans="1:7" x14ac:dyDescent="0.3">
      <c r="A142" s="2">
        <v>7</v>
      </c>
      <c r="C142" s="38" t="s">
        <v>58</v>
      </c>
      <c r="D142" s="42">
        <f>TRUNC(8228,-1)</f>
        <v>8220</v>
      </c>
      <c r="E142" s="63">
        <f t="shared" si="5"/>
        <v>27170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f>TRUNC(25071,-1)</f>
        <v>25070</v>
      </c>
      <c r="E144" s="63">
        <f t="shared" si="5"/>
        <v>82870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68290</v>
      </c>
      <c r="E146" s="39">
        <f>SUM(E136:E145)</f>
        <v>225730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TRUNC(5682+5386,-1)</f>
        <v>11060</v>
      </c>
      <c r="E149" s="62">
        <f>TRUNC(+D149*3.3058,-1)</f>
        <v>36560</v>
      </c>
    </row>
    <row r="150" spans="1:7" x14ac:dyDescent="0.3">
      <c r="A150" s="2">
        <v>2</v>
      </c>
      <c r="C150" s="38" t="s">
        <v>49</v>
      </c>
      <c r="D150" s="42">
        <f>TRUNC(8819,-1)</f>
        <v>8810</v>
      </c>
      <c r="E150" s="63">
        <f>TRUNC(+D150*3.3058,-1)</f>
        <v>29120</v>
      </c>
    </row>
    <row r="151" spans="1:7" x14ac:dyDescent="0.3">
      <c r="A151" s="2">
        <v>3</v>
      </c>
      <c r="C151" s="38" t="s">
        <v>50</v>
      </c>
      <c r="D151" s="42">
        <f>TRUNC(72636,-1)</f>
        <v>72630</v>
      </c>
      <c r="E151" s="63">
        <f>TRUNC(+D151*3.3058,-1)</f>
        <v>240100</v>
      </c>
    </row>
    <row r="152" spans="1:7" x14ac:dyDescent="0.3">
      <c r="A152" s="2">
        <v>4</v>
      </c>
      <c r="C152" s="38" t="s">
        <v>47</v>
      </c>
      <c r="D152" s="42">
        <f>TRUNC(6778+12466+13561+5830,-1)</f>
        <v>38630</v>
      </c>
      <c r="E152" s="63">
        <f>TRUNC(+D152*3.3058,-1)</f>
        <v>127700</v>
      </c>
      <c r="F152" s="2" t="s">
        <v>258</v>
      </c>
    </row>
    <row r="153" spans="1:7" ht="17.25" thickBot="1" x14ac:dyDescent="0.35">
      <c r="A153" s="2">
        <v>5</v>
      </c>
      <c r="C153" s="38" t="s">
        <v>149</v>
      </c>
      <c r="D153" s="43">
        <f>TRUNC(177189,-1)</f>
        <v>177180</v>
      </c>
      <c r="E153" s="64">
        <f>TRUNC(+D153*3.3058,-1)</f>
        <v>585720</v>
      </c>
    </row>
    <row r="154" spans="1:7" x14ac:dyDescent="0.3">
      <c r="A154" s="2">
        <v>6</v>
      </c>
      <c r="C154" s="27" t="s">
        <v>112</v>
      </c>
      <c r="D154" s="39">
        <f>SUM(D149:D153)</f>
        <v>308310</v>
      </c>
      <c r="E154" s="39">
        <f>SUM(E149:E153)</f>
        <v>1019200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TRUNC(42298,-1)</f>
        <v>42290</v>
      </c>
      <c r="E157" s="62">
        <f>TRUNC(+D157*3.3058,-1)</f>
        <v>139800</v>
      </c>
    </row>
    <row r="158" spans="1:7" x14ac:dyDescent="0.3">
      <c r="A158" s="2">
        <v>2</v>
      </c>
      <c r="C158" s="38" t="s">
        <v>52</v>
      </c>
      <c r="D158" s="42">
        <f>TRUNC(7474,-1)</f>
        <v>7470</v>
      </c>
      <c r="E158" s="63">
        <f>TRUNC(+D158*3.3058,-1)</f>
        <v>24690</v>
      </c>
    </row>
    <row r="159" spans="1:7" x14ac:dyDescent="0.3">
      <c r="A159" s="2">
        <v>3</v>
      </c>
      <c r="C159" s="38" t="s">
        <v>47</v>
      </c>
      <c r="D159" s="42">
        <f>TRUNC(7293,-1)</f>
        <v>7290</v>
      </c>
      <c r="E159" s="63">
        <f>TRUNC(+D159*3.3058,-1)</f>
        <v>24090</v>
      </c>
      <c r="F159" s="2" t="s">
        <v>259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57050</v>
      </c>
      <c r="E161" s="39">
        <f>SUM(E157:E160)</f>
        <v>188580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2020-12-08T01:30:29Z</dcterms:modified>
</cp:coreProperties>
</file>