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2" i="4"/>
  <c r="D140" i="4"/>
  <c r="D137" i="4"/>
  <c r="D132" i="4"/>
  <c r="D130" i="4"/>
  <c r="D128" i="4"/>
  <c r="D127" i="4"/>
  <c r="D125" i="4"/>
  <c r="D124" i="4"/>
  <c r="D122" i="4"/>
  <c r="D118" i="4"/>
  <c r="D117" i="4"/>
  <c r="D116" i="4"/>
  <c r="D105" i="4"/>
  <c r="D104" i="4"/>
  <c r="D102" i="4"/>
  <c r="D100" i="4"/>
  <c r="D99" i="4"/>
  <c r="D98" i="4"/>
  <c r="D94" i="4"/>
  <c r="D93" i="4"/>
  <c r="D92" i="4"/>
  <c r="D91" i="4"/>
  <c r="D89" i="4"/>
  <c r="D75" i="4"/>
  <c r="D73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<sst xmlns="http://schemas.openxmlformats.org/spreadsheetml/2006/main" count="391" uniqueCount="267">
  <si>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</si>
  <si>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</si>
  <si>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</si>
  <si>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</si>
  <si>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</si>
  <si>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</si>
  <si>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</si>
  <si>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</si>
  <si>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</si>
  <si>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</si>
  <si>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</si>
  <si>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</si>
  <si>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</si>
  <si>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</si>
  <si>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</si>
  <si>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</si>
  <si>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</si>
  <si>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</si>
  <si>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</si>
  <si>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</si>
  <si>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</si>
  <si>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</si>
  <si>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</si>
  <si>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</si>
  <si>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</si>
  <si>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</si>
  <si>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</si>
  <si>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</si>
  <si>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</si>
  <si>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</si>
  <si>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</si>
  <si>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</si>
  <si>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</si>
  <si>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</si>
  <si>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</si>
  <si>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</si>
  <si>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</si>
  <si>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</si>
  <si>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</si>
  <si>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</si>
  <si>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</si>
  <si>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</si>
  <si>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</si>
  <si>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</si>
  <si>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</si>
  <si>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</si>
  <si>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</si>
  <si>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</si>
  <si>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</si>
  <si>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</si>
  <si>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</si>
  <si>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</si>
  <si>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</si>
  <si>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</si>
  <si>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</si>
  <si>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</si>
  <si>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</si>
  <si>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</si>
  <si>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</si>
  <si>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</si>
  <si>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</si>
  <si>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</si>
  <si>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</si>
  <si>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</si>
  <si>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</si>
  <si>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</si>
  <si>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</si>
  <si>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</si>
  <si>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</si>
  <si>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</si>
  <si>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</si>
  <si>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</si>
  <si>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</si>
  <si>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</si>
  <si>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</si>
  <si>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</si>
  <si>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</si>
  <si>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</si>
  <si>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</si>
  <si>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</si>
  <si>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</si>
  <si>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</si>
  <si>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</si>
  <si>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</si>
  <si>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</si>
  <si>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</si>
  <si>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</si>
  <si>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</si>
  <si>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</si>
  <si>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</si>
  <si>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</si>
  <si>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</si>
  <si>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</si>
  <si>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</si>
  <si>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</si>
  <si>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</si>
  <si>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</si>
  <si>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</si>
  <si>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</si>
  <si>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</si>
  <si>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</si>
  <si>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</si>
  <si>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</si>
  <si>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</si>
  <si>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</si>
  <si>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</si>
  <si>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</si>
  <si>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</si>
  <si>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</si>
  <si>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</si>
  <si>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</si>
  <si>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</si>
  <si>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</si>
  <si>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</si>
  <si>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</si>
  <si>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</si>
  <si>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</si>
  <si>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</si>
  <si>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</si>
  <si>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</si>
  <si>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</si>
  <si>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</si>
  <si>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</si>
  <si>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</si>
  <si>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</si>
  <si>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</si>
  <si>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</si>
  <si>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</si>
  <si>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</si>
  <si>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</si>
  <si>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</si>
  <si>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</si>
  <si>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</si>
  <si>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</si>
  <si>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</si>
  <si>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</si>
  <si>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</si>
  <si>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</si>
  <si>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</si>
  <si>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</si>
  <si>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</si>
  <si>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</si>
  <si>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</si>
  <si>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</si>
  <si>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</si>
  <si>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</si>
  <si>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</si>
  <si>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</si>
  <si>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</si>
  <si>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</si>
  <si>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</si>
  <si>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</si>
  <si>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</si>
  <si>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</si>
  <si>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</si>
  <si>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</si>
  <si>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</si>
  <si>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</si>
  <si>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</si>
  <si>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</si>
  <si>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</si>
  <si>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</si>
  <si>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</si>
  <si>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</si>
  <si>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</si>
  <si>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</si>
  <si>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</si>
  <si>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</si>
  <si>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</si>
  <si>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</si>
  <si>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</si>
  <si>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</si>
  <si>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</si>
  <si>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</si>
  <si>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</si>
  <si>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</si>
  <si>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</si>
  <si>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</si>
  <si>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</si>
  <si>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</si>
  <si>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</si>
  <si>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</si>
  <si>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</si>
  <si>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</si>
  <si>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</si>
  <si>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</si>
  <si>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</si>
  <si>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</si>
  <si>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</si>
  <si>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</si>
  <si>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</si>
  <si>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</si>
  <si>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</si>
  <si>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</si>
  <si>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</si>
  <si>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</si>
  <si>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</si>
  <si>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</si>
  <si>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</si>
  <si>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</si>
  <si>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</si>
  <si>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</si>
  <si>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</si>
  <si>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</si>
  <si>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</si>
  <si>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</si>
  <si>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</si>
  <si>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</si>
  <si>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</si>
  <si>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</si>
  <si>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</si>
  <si>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</si>
  <si>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</si>
  <si>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</si>
  <si>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</si>
  <si>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</si>
  <si>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</si>
  <si>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</si>
  <si>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</si>
  <si>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</si>
  <si>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</si>
  <si>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</si>
  <si>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</si>
  <si>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</si>
  <si>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</si>
  <si>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</si>
  <si>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</si>
  <si>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</si>
  <si>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</si>
  <si>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</si>
  <si>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</si>
  <si>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</si>
  <si>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</si>
  <si>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</si>
  <si>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</si>
  <si>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</si>
  <si>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</si>
  <si>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</si>
  <si>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</si>
  <si>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</si>
  <si>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</si>
  <si>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</si>
  <si>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</si>
  <si>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</si>
  <si>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</si>
  <si>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</si>
  <si>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</si>
  <si>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</si>
  <si>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</si>
  <si>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</si>
  <si>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</si>
  <si>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</si>
  <si>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</si>
  <si>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</si>
  <si>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</si>
  <si>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</si>
  <si>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</si>
  <si>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</si>
  <si>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</si>
  <si>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</si>
  <si>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마이크로의료로봇센터 신축공사</t>
    <phoneticPr fontId="2" type="noConversion"/>
  </si>
  <si>
    <t>광주시</t>
  </si>
  <si>
    <t>난방배관공사, 기타공사</t>
    <phoneticPr fontId="2" type="noConversion"/>
  </si>
  <si>
    <t>펌프실배관공사,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</si>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</sst>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4103.8</v>
      </c>
      <c r="D7" s="36">
        <f>+C7/3.3058</f>
        <v>1241.3939137273883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918710</v>
      </c>
      <c r="E25" s="59">
        <f t="shared" si="0"/>
        <v>3037070</v>
      </c>
    </row>
    <row r="26" spans="1:5" x14ac:dyDescent="0.3">
      <c r="B26" s="2">
        <v>3</v>
      </c>
      <c r="C26" s="35" t="s">
        <v>95</v>
      </c>
      <c r="D26" s="45">
        <f>+D66</f>
        <v>680</v>
      </c>
      <c r="E26" s="59">
        <f t="shared" si="0"/>
        <v>2240</v>
      </c>
    </row>
    <row r="27" spans="1:5" x14ac:dyDescent="0.3">
      <c r="B27" s="2">
        <v>4</v>
      </c>
      <c r="C27" s="35" t="s">
        <v>96</v>
      </c>
      <c r="D27" s="45">
        <f>+D95</f>
        <v>190010</v>
      </c>
      <c r="E27" s="59">
        <f t="shared" si="0"/>
        <v>628130</v>
      </c>
    </row>
    <row r="28" spans="1:5" x14ac:dyDescent="0.3">
      <c r="B28" s="2">
        <v>5</v>
      </c>
      <c r="C28" s="35" t="s">
        <v>97</v>
      </c>
      <c r="D28" s="45">
        <f>+D119</f>
        <v>294750</v>
      </c>
      <c r="E28" s="59">
        <f t="shared" si="0"/>
        <v>974380</v>
      </c>
    </row>
    <row r="29" spans="1:5" x14ac:dyDescent="0.3">
      <c r="B29" s="2">
        <v>6</v>
      </c>
      <c r="C29" s="35" t="s">
        <v>98</v>
      </c>
      <c r="D29" s="45">
        <f>+D133</f>
        <v>77060</v>
      </c>
      <c r="E29" s="59">
        <f t="shared" si="0"/>
        <v>254740</v>
      </c>
    </row>
    <row r="30" spans="1:5" x14ac:dyDescent="0.3">
      <c r="B30" s="2">
        <v>7</v>
      </c>
      <c r="C30" s="35" t="s">
        <v>99</v>
      </c>
      <c r="D30" s="45">
        <f>+D146</f>
        <v>25620</v>
      </c>
      <c r="E30" s="59">
        <f t="shared" si="0"/>
        <v>84690</v>
      </c>
    </row>
    <row r="31" spans="1:5" x14ac:dyDescent="0.3">
      <c r="B31" s="2">
        <v>8</v>
      </c>
      <c r="C31" s="35" t="s">
        <v>100</v>
      </c>
      <c r="D31" s="45">
        <f>+D154</f>
        <v>23930</v>
      </c>
      <c r="E31" s="59">
        <f t="shared" si="0"/>
        <v>79100</v>
      </c>
    </row>
    <row r="32" spans="1:5" x14ac:dyDescent="0.3">
      <c r="B32" s="2">
        <v>9</v>
      </c>
      <c r="C32" s="35" t="s">
        <v>101</v>
      </c>
      <c r="D32" s="45">
        <f>+D161</f>
        <v>15350</v>
      </c>
      <c r="E32" s="59">
        <f t="shared" si="0"/>
        <v>50740</v>
      </c>
    </row>
    <row r="33" spans="1:7" x14ac:dyDescent="0.3">
      <c r="B33" s="2">
        <v>10</v>
      </c>
      <c r="C33" s="35" t="s">
        <v>154</v>
      </c>
      <c r="D33" s="53">
        <f>TRUNC(SUM(D24:D32)*0.275,-1)</f>
        <v>425180</v>
      </c>
      <c r="E33" s="60">
        <f t="shared" si="0"/>
        <v>1405560</v>
      </c>
    </row>
    <row r="34" spans="1:7" x14ac:dyDescent="0.3">
      <c r="C34" s="35" t="s">
        <v>112</v>
      </c>
      <c r="D34" s="44">
        <f>SUM(D24:D33)</f>
        <v>1971290</v>
      </c>
      <c r="E34" s="44">
        <f>SUM(E24:E33)</f>
        <v>6516650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TRUNC(60038,-1)</f>
        <v>60030</v>
      </c>
      <c r="E40" s="62">
        <f t="shared" ref="E40:E59" si="1">TRUNC(+D40*3.3058,-1)</f>
        <v>198440</v>
      </c>
    </row>
    <row r="41" spans="1:7" x14ac:dyDescent="0.3">
      <c r="A41" s="2">
        <v>2</v>
      </c>
      <c r="C41" s="38" t="s">
        <v>13</v>
      </c>
      <c r="D41" s="42">
        <f>TRUNC(112702,-1)</f>
        <v>112700</v>
      </c>
      <c r="E41" s="63">
        <f t="shared" si="1"/>
        <v>372560</v>
      </c>
    </row>
    <row r="42" spans="1:7" x14ac:dyDescent="0.3">
      <c r="A42" s="2">
        <v>3</v>
      </c>
      <c r="C42" s="38" t="s">
        <v>14</v>
      </c>
      <c r="D42" s="42">
        <f>TRUNC(24543,-1)</f>
        <v>24540</v>
      </c>
      <c r="E42" s="63">
        <f t="shared" si="1"/>
        <v>81120</v>
      </c>
    </row>
    <row r="43" spans="1:7" x14ac:dyDescent="0.3">
      <c r="A43" s="2">
        <v>4</v>
      </c>
      <c r="C43" s="38" t="s">
        <v>16</v>
      </c>
      <c r="D43" s="42">
        <f>TRUNC(19071,-1)</f>
        <v>19070</v>
      </c>
      <c r="E43" s="63">
        <f t="shared" si="1"/>
        <v>63040</v>
      </c>
    </row>
    <row r="44" spans="1:7" x14ac:dyDescent="0.3">
      <c r="A44" s="2">
        <v>5</v>
      </c>
      <c r="C44" s="38" t="s">
        <v>17</v>
      </c>
      <c r="D44" s="42">
        <f>TRUNC(38715,-1)</f>
        <v>38710</v>
      </c>
      <c r="E44" s="63">
        <f t="shared" si="1"/>
        <v>127960</v>
      </c>
    </row>
    <row r="45" spans="1:7" x14ac:dyDescent="0.3">
      <c r="A45" s="2">
        <v>6</v>
      </c>
      <c r="C45" s="38" t="s">
        <v>18</v>
      </c>
      <c r="D45" s="42">
        <f>TRUNC(5971,-1)</f>
        <v>5970</v>
      </c>
      <c r="E45" s="63">
        <f t="shared" si="1"/>
        <v>19730</v>
      </c>
    </row>
    <row r="46" spans="1:7" x14ac:dyDescent="0.3">
      <c r="A46" s="2">
        <v>7</v>
      </c>
      <c r="C46" s="38" t="s">
        <v>19</v>
      </c>
      <c r="D46" s="42">
        <f>TRUNC(27195,-1)</f>
        <v>27190</v>
      </c>
      <c r="E46" s="63">
        <f t="shared" si="1"/>
        <v>89880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TRUNC(129874,-1)</f>
        <v>129870</v>
      </c>
      <c r="E48" s="63">
        <f t="shared" si="1"/>
        <v>429320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TRUNC(30294,-1)</f>
        <v>30290</v>
      </c>
      <c r="E49" s="63">
        <f t="shared" si="1"/>
        <v>100130</v>
      </c>
    </row>
    <row r="50" spans="1:7" x14ac:dyDescent="0.3">
      <c r="A50" s="2">
        <v>11</v>
      </c>
      <c r="C50" s="38" t="s">
        <v>155</v>
      </c>
      <c r="D50" s="42">
        <f>TRUNC(63458,-1)</f>
        <v>63450</v>
      </c>
      <c r="E50" s="63">
        <f t="shared" si="1"/>
        <v>209750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TRUNC(11052,-1)</f>
        <v>11050</v>
      </c>
      <c r="E52" s="63">
        <f t="shared" si="1"/>
        <v>36520</v>
      </c>
    </row>
    <row r="53" spans="1:7" x14ac:dyDescent="0.3">
      <c r="A53" s="2">
        <v>14</v>
      </c>
      <c r="C53" s="38" t="s">
        <v>25</v>
      </c>
      <c r="D53" s="42">
        <f>TRUNC(63994,-1)</f>
        <v>63990</v>
      </c>
      <c r="E53" s="63">
        <f t="shared" si="1"/>
        <v>211530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TRUNC(39051+4095+86812,-1)</f>
        <v>129950</v>
      </c>
      <c r="E58" s="63">
        <f t="shared" si="1"/>
        <v>429580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TRUNC(201907,-1)</f>
        <v>201900</v>
      </c>
      <c r="E59" s="64">
        <f t="shared" si="1"/>
        <v>667440</v>
      </c>
    </row>
    <row r="60" spans="1:7" x14ac:dyDescent="0.3">
      <c r="A60" s="2">
        <v>21</v>
      </c>
      <c r="C60" s="27" t="s">
        <v>112</v>
      </c>
      <c r="D60" s="39">
        <f>SUM(D40:D59)</f>
        <v>918710</v>
      </c>
      <c r="E60" s="39">
        <f>SUM(E40:E59)</f>
        <v>3037000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TRUNC(683,-1)</f>
        <v>680</v>
      </c>
      <c r="E63" s="62">
        <f>TRUNC(+D63*3.3058,-1)</f>
        <v>2240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680</v>
      </c>
      <c r="E66" s="65">
        <f>SUM(E63:E65)</f>
        <v>2240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TRUNC(4739,-1)</f>
        <v>4730</v>
      </c>
      <c r="E69" s="62">
        <f t="shared" ref="E69:E94" si="2">TRUNC(+D69*3.3058,-1)</f>
        <v>15630</v>
      </c>
    </row>
    <row r="70" spans="1:7" ht="16.5" customHeight="1" x14ac:dyDescent="0.3">
      <c r="A70" s="2">
        <v>2</v>
      </c>
      <c r="C70" s="38" t="s">
        <v>31</v>
      </c>
      <c r="D70" s="42">
        <f>TRUNC(2112,-1)</f>
        <v>2110</v>
      </c>
      <c r="E70" s="63">
        <f t="shared" si="2"/>
        <v>6970</v>
      </c>
    </row>
    <row r="71" spans="1:7" x14ac:dyDescent="0.3">
      <c r="A71" s="2">
        <v>3</v>
      </c>
      <c r="C71" s="38" t="s">
        <v>32</v>
      </c>
      <c r="D71" s="42">
        <f>TRUNC(5564,-1)</f>
        <v>5560</v>
      </c>
      <c r="E71" s="63">
        <f t="shared" si="2"/>
        <v>18380</v>
      </c>
    </row>
    <row r="72" spans="1:7" x14ac:dyDescent="0.3">
      <c r="A72" s="2">
        <v>4</v>
      </c>
      <c r="C72" s="38" t="s">
        <v>33</v>
      </c>
      <c r="D72" s="42">
        <v>4700</v>
      </c>
      <c r="E72" s="63">
        <f t="shared" si="2"/>
        <v>15530</v>
      </c>
    </row>
    <row r="73" spans="1:7" x14ac:dyDescent="0.3">
      <c r="A73" s="2">
        <v>5</v>
      </c>
      <c r="C73" s="38" t="s">
        <v>34</v>
      </c>
      <c r="D73" s="42">
        <f>TRUNC(8464,-1)</f>
        <v>8460</v>
      </c>
      <c r="E73" s="63">
        <f t="shared" si="2"/>
        <v>27960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TRUNC(715,-1)</f>
        <v>710</v>
      </c>
      <c r="E75" s="63">
        <f t="shared" si="2"/>
        <v>2340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TRUNC(18689,-1)</f>
        <v>18680</v>
      </c>
      <c r="E89" s="63">
        <f t="shared" si="2"/>
        <v>61750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TRUNC(7575,-1)</f>
        <v>7570</v>
      </c>
      <c r="E91" s="63">
        <f t="shared" si="2"/>
        <v>25020</v>
      </c>
    </row>
    <row r="92" spans="1:7" x14ac:dyDescent="0.3">
      <c r="A92" s="2">
        <v>24</v>
      </c>
      <c r="C92" s="38" t="s">
        <v>38</v>
      </c>
      <c r="D92" s="42">
        <f>TRUNC(6165,-1)</f>
        <v>6160</v>
      </c>
      <c r="E92" s="63">
        <f t="shared" si="2"/>
        <v>20360</v>
      </c>
    </row>
    <row r="93" spans="1:7" x14ac:dyDescent="0.3">
      <c r="A93" s="2">
        <v>25</v>
      </c>
      <c r="C93" s="38" t="s">
        <v>148</v>
      </c>
      <c r="D93" s="42">
        <f>TRUNC(130909,-1)</f>
        <v>130900</v>
      </c>
      <c r="E93" s="63">
        <f t="shared" si="2"/>
        <v>432720</v>
      </c>
    </row>
    <row r="94" spans="1:7" ht="17.25" thickBot="1" x14ac:dyDescent="0.35">
      <c r="A94" s="2">
        <v>26</v>
      </c>
      <c r="C94" s="38" t="s">
        <v>47</v>
      </c>
      <c r="D94" s="43">
        <f>TRUNC(347+89,-1)</f>
        <v>430</v>
      </c>
      <c r="E94" s="64">
        <f t="shared" si="2"/>
        <v>1420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190010</v>
      </c>
      <c r="E95" s="39">
        <f>SUM(E69:E94)</f>
        <v>628080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TRUNC(23678,-1)</f>
        <v>23670</v>
      </c>
      <c r="E98" s="62">
        <f t="shared" ref="E98:E118" si="3">TRUNC(+D98*3.3058,-1)</f>
        <v>78240</v>
      </c>
    </row>
    <row r="99" spans="1:7" x14ac:dyDescent="0.3">
      <c r="A99" s="2">
        <v>2</v>
      </c>
      <c r="C99" s="38" t="s">
        <v>40</v>
      </c>
      <c r="D99" s="42">
        <f>TRUNC(2831,-1)</f>
        <v>2830</v>
      </c>
      <c r="E99" s="63">
        <f t="shared" si="3"/>
        <v>9350</v>
      </c>
    </row>
    <row r="100" spans="1:7" x14ac:dyDescent="0.3">
      <c r="A100" s="2">
        <v>3</v>
      </c>
      <c r="C100" s="38" t="s">
        <v>41</v>
      </c>
      <c r="D100" s="42">
        <f>TRUNC(33072,-1)</f>
        <v>33070</v>
      </c>
      <c r="E100" s="63">
        <f t="shared" si="3"/>
        <v>109320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TRUNC(25504,-1)</f>
        <v>25500</v>
      </c>
      <c r="E102" s="63">
        <f t="shared" si="3"/>
        <v>84290</v>
      </c>
    </row>
    <row r="103" spans="1:7" x14ac:dyDescent="0.3">
      <c r="A103" s="2">
        <v>6</v>
      </c>
      <c r="C103" s="38" t="s">
        <v>44</v>
      </c>
      <c r="D103" s="42">
        <v>6330</v>
      </c>
      <c r="E103" s="63">
        <f t="shared" si="3"/>
        <v>20920</v>
      </c>
    </row>
    <row r="104" spans="1:7" x14ac:dyDescent="0.3">
      <c r="A104" s="2">
        <v>7</v>
      </c>
      <c r="C104" s="38" t="s">
        <v>45</v>
      </c>
      <c r="D104" s="42">
        <f>TRUNC(6401,-1)</f>
        <v>6400</v>
      </c>
      <c r="E104" s="63">
        <f t="shared" si="3"/>
        <v>21150</v>
      </c>
    </row>
    <row r="105" spans="1:7" x14ac:dyDescent="0.3">
      <c r="A105" s="2">
        <v>8</v>
      </c>
      <c r="C105" s="38" t="s">
        <v>46</v>
      </c>
      <c r="D105" s="42">
        <f>TRUNC(8602,-1)</f>
        <v>8600</v>
      </c>
      <c r="E105" s="63">
        <f t="shared" si="3"/>
        <v>28420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TRUNC(9364,-1)</f>
        <v>9360</v>
      </c>
      <c r="E116" s="63">
        <f t="shared" si="3"/>
        <v>30940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TRUNC(177675,-1)</f>
        <v>177670</v>
      </c>
      <c r="E117" s="63">
        <f t="shared" si="3"/>
        <v>587340</v>
      </c>
    </row>
    <row r="118" spans="1:7" ht="17.25" thickBot="1" x14ac:dyDescent="0.35">
      <c r="A118" s="2">
        <v>21</v>
      </c>
      <c r="C118" s="38" t="s">
        <v>47</v>
      </c>
      <c r="D118" s="43">
        <f>TRUNC(1325,-1)</f>
        <v>1320</v>
      </c>
      <c r="E118" s="64">
        <f t="shared" si="3"/>
        <v>4360</v>
      </c>
    </row>
    <row r="119" spans="1:7" x14ac:dyDescent="0.3">
      <c r="A119" s="2">
        <v>22</v>
      </c>
      <c r="C119" s="27" t="s">
        <v>112</v>
      </c>
      <c r="D119" s="39">
        <f>SUM(D98:D118)</f>
        <v>294750</v>
      </c>
      <c r="E119" s="39">
        <f>SUM(E98:E118)</f>
        <v>974330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TRUNC(4036,-1)</f>
        <v>4030</v>
      </c>
      <c r="E122" s="62">
        <f t="shared" ref="E122:E132" si="4">TRUNC(+D122*3.3058,-1)</f>
        <v>13320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TRUNC(862,-1)</f>
        <v>860</v>
      </c>
      <c r="E124" s="63">
        <f t="shared" si="4"/>
        <v>2840</v>
      </c>
    </row>
    <row r="125" spans="1:7" x14ac:dyDescent="0.3">
      <c r="A125" s="2">
        <v>4</v>
      </c>
      <c r="C125" s="38" t="s">
        <v>138</v>
      </c>
      <c r="D125" s="42">
        <f>TRUNC(5402,-1)</f>
        <v>5400</v>
      </c>
      <c r="E125" s="63">
        <f t="shared" si="4"/>
        <v>17850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TRUNC(991,-1)</f>
        <v>990</v>
      </c>
      <c r="E127" s="63">
        <f t="shared" si="4"/>
        <v>3270</v>
      </c>
    </row>
    <row r="128" spans="1:7" x14ac:dyDescent="0.3">
      <c r="A128" s="2">
        <v>7</v>
      </c>
      <c r="C128" s="38" t="s">
        <v>46</v>
      </c>
      <c r="D128" s="42">
        <f>TRUNC(4566,-1)</f>
        <v>4560</v>
      </c>
      <c r="E128" s="63">
        <f t="shared" si="4"/>
        <v>15070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TRUNC(13767,-1)</f>
        <v>13760</v>
      </c>
      <c r="E130" s="63">
        <f t="shared" si="4"/>
        <v>45480</v>
      </c>
    </row>
    <row r="131" spans="1:7" x14ac:dyDescent="0.3">
      <c r="A131" s="2">
        <v>10</v>
      </c>
      <c r="C131" s="38" t="s">
        <v>148</v>
      </c>
      <c r="D131" s="42">
        <v>46780</v>
      </c>
      <c r="E131" s="63">
        <f t="shared" si="4"/>
        <v>154640</v>
      </c>
    </row>
    <row r="132" spans="1:7" ht="18" thickBot="1" x14ac:dyDescent="0.35">
      <c r="A132" s="2">
        <v>11</v>
      </c>
      <c r="C132" s="38" t="s">
        <v>47</v>
      </c>
      <c r="D132" s="43">
        <f>TRUNC(686,-1)</f>
        <v>680</v>
      </c>
      <c r="E132" s="64">
        <f t="shared" si="4"/>
        <v>2240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77060</v>
      </c>
      <c r="E133" s="39">
        <f>SUM(E122:E132)</f>
        <v>254710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TRUNC(3467+16182,-1)</f>
        <v>19640</v>
      </c>
      <c r="E137" s="63">
        <f t="shared" si="5"/>
        <v>64920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TRUNC(1544,-1)</f>
        <v>1540</v>
      </c>
      <c r="E140" s="63">
        <f t="shared" si="5"/>
        <v>5090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TRUNC(4449,-1)</f>
        <v>4440</v>
      </c>
      <c r="E142" s="63">
        <f t="shared" si="5"/>
        <v>14670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25620</v>
      </c>
      <c r="E146" s="39">
        <f>SUM(E136:E145)</f>
        <v>84680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TRUNC(3138+4111,-1)</f>
        <v>7240</v>
      </c>
      <c r="E149" s="62">
        <f>TRUNC(+D149*3.3058,-1)</f>
        <v>23930</v>
      </c>
    </row>
    <row r="150" spans="1:7" x14ac:dyDescent="0.3">
      <c r="A150" s="2">
        <v>2</v>
      </c>
      <c r="C150" s="38" t="s">
        <v>49</v>
      </c>
      <c r="D150" s="42">
        <f>TRUNC(8695,-1)</f>
        <v>8690</v>
      </c>
      <c r="E150" s="63">
        <f>TRUNC(+D150*3.3058,-1)</f>
        <v>28720</v>
      </c>
    </row>
    <row r="151" spans="1:7" x14ac:dyDescent="0.3">
      <c r="A151" s="2">
        <v>3</v>
      </c>
      <c r="C151" s="38" t="s">
        <v>50</v>
      </c>
      <c r="D151" s="42">
        <f>TRUNC(3972,-1)</f>
        <v>3970</v>
      </c>
      <c r="E151" s="63">
        <f>TRUNC(+D151*3.3058,-1)</f>
        <v>13120</v>
      </c>
    </row>
    <row r="152" spans="1:7" x14ac:dyDescent="0.3">
      <c r="A152" s="2">
        <v>4</v>
      </c>
      <c r="C152" s="38" t="s">
        <v>47</v>
      </c>
      <c r="D152" s="42">
        <f>TRUNC(318+3712,-1)</f>
        <v>4030</v>
      </c>
      <c r="E152" s="63">
        <f>TRUNC(+D152*3.3058,-1)</f>
        <v>13320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23930</v>
      </c>
      <c r="E154" s="39">
        <f>SUM(E149:E153)</f>
        <v>79090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TRUNC(7713,-1)</f>
        <v>7710</v>
      </c>
      <c r="E157" s="62">
        <f>TRUNC(+D157*3.3058,-1)</f>
        <v>25480</v>
      </c>
    </row>
    <row r="158" spans="1:7" x14ac:dyDescent="0.3">
      <c r="A158" s="2">
        <v>2</v>
      </c>
      <c r="C158" s="38" t="s">
        <v>52</v>
      </c>
      <c r="D158" s="42">
        <f>TRUNC(7644,-1)</f>
        <v>7640</v>
      </c>
      <c r="E158" s="63">
        <f>TRUNC(+D158*3.3058,-1)</f>
        <v>25250</v>
      </c>
    </row>
    <row r="159" spans="1:7" x14ac:dyDescent="0.3">
      <c r="A159" s="2">
        <v>3</v>
      </c>
      <c r="C159" s="38" t="s">
        <v>47</v>
      </c>
      <c r="D159" s="42">
        <f>TRUNC(3,-1)</f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15350</v>
      </c>
      <c r="E161" s="39">
        <f>SUM(E157:E160)</f>
        <v>50730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2020-12-07T09:57:04Z</dcterms:modified>
</cp:coreProperties>
</file>