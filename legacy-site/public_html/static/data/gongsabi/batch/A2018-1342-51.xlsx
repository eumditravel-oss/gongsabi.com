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D65" i="4"/>
  <c r="D63" i="4"/>
  <c r="D94" i="4"/>
  <c r="D92" i="4"/>
  <c r="D91" i="4"/>
  <c r="D90" i="4"/>
  <c r="D89" i="4"/>
  <c r="D75" i="4"/>
  <c r="D73" i="4"/>
  <c r="D72" i="4"/>
  <c r="D71" i="4"/>
  <c r="D70" i="4"/>
  <c r="D69" i="4"/>
  <c r="D105" i="4"/>
  <c r="D104" i="4"/>
  <c r="D103" i="4"/>
  <c r="D102" i="4"/>
  <c r="D101" i="4"/>
  <c r="D100" i="4"/>
  <c r="D99" i="4"/>
  <c r="D98" i="4"/>
  <c r="D114" i="4"/>
  <c r="D116" i="4"/>
  <c r="D118" i="4"/>
  <c r="D132" i="4"/>
  <c r="D128" i="4"/>
  <c r="D127" i="4"/>
  <c r="D124" i="4"/>
  <c r="D125" i="4"/>
  <c r="D122" i="4"/>
  <c r="D130" i="4"/>
  <c r="D144" i="4"/>
  <c r="D143" i="4"/>
  <c r="D139" i="4"/>
  <c r="D138" i="4"/>
  <c r="D141" i="4"/>
  <c r="D142" i="4"/>
  <c r="D140" i="4"/>
  <c r="D137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66" i="4"/>
  <c r="E95" i="4"/>
  <c r="E119" i="4"/>
  <c r="E133" i="4"/>
  <c r="E146" i="4"/>
  <c r="E154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28" i="4"/>
  <c r="E28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<sst xmlns="http://schemas.openxmlformats.org/spreadsheetml/2006/main" count="395" uniqueCount="270">
  <si>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</si>
  <si>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</si>
  <si>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</si>
  <si>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</si>
  <si>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</si>
  <si>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</si>
  <si>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</si>
  <si>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</si>
  <si>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</si>
  <si>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</si>
  <si>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</si>
  <si>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</si>
  <si>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</si>
  <si>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</si>
  <si>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</si>
  <si>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</si>
  <si>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</si>
  <si>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</si>
  <si>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</si>
  <si>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</si>
  <si>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</si>
  <si>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</si>
  <si>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</si>
  <si>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</si>
  <si>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</si>
  <si>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</si>
  <si>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</si>
  <si>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</si>
  <si>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</si>
  <si>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</si>
  <si>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</si>
  <si>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</si>
  <si>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</si>
  <si>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</si>
  <si>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</si>
  <si>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</si>
  <si>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</si>
  <si>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</si>
  <si>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</si>
  <si>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</si>
  <si>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</si>
  <si>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</si>
  <si>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</si>
  <si>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</si>
  <si>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</si>
  <si>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</si>
  <si>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</si>
  <si>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</si>
  <si>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</si>
  <si>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</si>
  <si>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</si>
  <si>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</si>
  <si>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</si>
  <si>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</si>
  <si>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</si>
  <si>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</si>
  <si>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</si>
  <si>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</si>
  <si>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</si>
  <si>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</si>
  <si>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</si>
  <si>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</si>
  <si>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</si>
  <si>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</si>
  <si>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</si>
  <si>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</si>
  <si>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</si>
  <si>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</si>
  <si>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</si>
  <si>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</si>
  <si>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</si>
  <si>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</si>
  <si>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</si>
  <si>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</si>
  <si>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</si>
  <si>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</si>
  <si>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</si>
  <si>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</si>
  <si>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</si>
  <si>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</si>
  <si>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</si>
  <si>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</si>
  <si>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</si>
  <si>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</si>
  <si>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</si>
  <si>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</si>
  <si>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</si>
  <si>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</si>
  <si>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</si>
  <si>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</si>
  <si>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</si>
  <si>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</si>
  <si>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</si>
  <si>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</si>
  <si>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</si>
  <si>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</si>
  <si>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</si>
  <si>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</si>
  <si>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</si>
  <si>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</si>
  <si>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</si>
  <si>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</si>
  <si>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</si>
  <si>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</si>
  <si>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</si>
  <si>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</si>
  <si>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</si>
  <si>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</si>
  <si>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</si>
  <si>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</si>
  <si>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</si>
  <si>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</si>
  <si>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</si>
  <si>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</si>
  <si>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</si>
  <si>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</si>
  <si>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</si>
  <si>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</si>
  <si>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</si>
  <si>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</si>
  <si>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</si>
  <si>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</si>
  <si>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</si>
  <si>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</si>
  <si>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</si>
  <si>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</si>
  <si>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</si>
  <si>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</si>
  <si>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</si>
  <si>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</si>
  <si>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</si>
  <si>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</si>
  <si>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</si>
  <si>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</si>
  <si>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</si>
  <si>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</si>
  <si>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</si>
  <si>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</si>
  <si>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</si>
  <si>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</si>
  <si>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</si>
  <si>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</si>
  <si>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</si>
  <si>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</si>
  <si>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</si>
  <si>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</si>
  <si>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</si>
  <si>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</si>
  <si>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</si>
  <si>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</si>
  <si>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</si>
  <si>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</si>
  <si>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</si>
  <si>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</si>
  <si>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</si>
  <si>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</si>
  <si>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</si>
  <si>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</si>
  <si>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</si>
  <si>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</si>
  <si>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</si>
  <si>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</si>
  <si>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</si>
  <si>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</si>
  <si>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</si>
  <si>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</si>
  <si>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</si>
  <si>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</si>
  <si>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</si>
  <si>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</si>
  <si>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</si>
  <si>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</si>
  <si>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</si>
  <si>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</si>
  <si>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</si>
  <si>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</si>
  <si>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</si>
  <si>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</si>
  <si>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</si>
  <si>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</si>
  <si>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</si>
  <si>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</si>
  <si>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</si>
  <si>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</si>
  <si>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</si>
  <si>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</si>
  <si>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</si>
  <si>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</si>
  <si>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</si>
  <si>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</si>
  <si>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</si>
  <si>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</si>
  <si>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</si>
  <si>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</si>
  <si>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</si>
  <si>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</si>
  <si>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</si>
  <si>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</si>
  <si>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</si>
  <si>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</si>
  <si>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</si>
  <si>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</si>
  <si>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</si>
  <si>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</si>
  <si>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</si>
  <si>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</si>
  <si>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</si>
  <si>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</si>
  <si>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</si>
  <si>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</si>
  <si>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</si>
  <si>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</si>
  <si>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</si>
  <si>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</si>
  <si>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</si>
  <si>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</si>
  <si>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</si>
  <si>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</si>
  <si>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</si>
  <si>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</si>
  <si>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</si>
  <si>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</si>
  <si>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</si>
  <si>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</si>
  <si>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</si>
  <si>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</si>
  <si>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</si>
  <si>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</si>
  <si>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</si>
  <si>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</si>
  <si>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</si>
  <si>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</si>
  <si>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</si>
  <si>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</si>
  <si>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</si>
  <si>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</si>
  <si>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</si>
  <si>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</si>
  <si>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</si>
  <si>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</si>
  <si>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</si>
  <si>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</si>
  <si>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</si>
  <si>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</si>
  <si>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</si>
  <si>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</si>
  <si>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</si>
  <si>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</si>
  <si>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수원가정법원청사 신축공사</t>
    <phoneticPr fontId="2" type="noConversion"/>
  </si>
  <si>
    <t>업무</t>
  </si>
  <si>
    <t>경기도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</si>
  <si>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</si>
  <si>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</si>
  <si>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</si>
  <si>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골재비및운반비,품질시험비,기타공사</t>
    <phoneticPr fontId="2" type="noConversion"/>
  </si>
  <si>
    <t>공조배관공사,난방배관공사,우수처리시설공사,기타공사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</si>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</sst>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18079.07</v>
      </c>
      <c r="D7" s="36">
        <f>+C7/3.3058</f>
        <v>5468.8940649767073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1155560</v>
      </c>
      <c r="E25" s="59">
        <f t="shared" si="0"/>
        <v>3820050</v>
      </c>
    </row>
    <row r="26" spans="1:5" x14ac:dyDescent="0.3">
      <c r="B26" s="2">
        <v>3</v>
      </c>
      <c r="C26" s="35" t="s">
        <v>95</v>
      </c>
      <c r="D26" s="45">
        <f>+D66</f>
        <v>65050</v>
      </c>
      <c r="E26" s="59">
        <f t="shared" si="0"/>
        <v>215040</v>
      </c>
    </row>
    <row r="27" spans="1:5" x14ac:dyDescent="0.3">
      <c r="B27" s="2">
        <v>4</v>
      </c>
      <c r="C27" s="35" t="s">
        <v>96</v>
      </c>
      <c r="D27" s="45">
        <f>+D95</f>
        <v>264870</v>
      </c>
      <c r="E27" s="59">
        <f t="shared" si="0"/>
        <v>875600</v>
      </c>
    </row>
    <row r="28" spans="1:5" x14ac:dyDescent="0.3">
      <c r="B28" s="2">
        <v>5</v>
      </c>
      <c r="C28" s="35" t="s">
        <v>97</v>
      </c>
      <c r="D28" s="45">
        <f>+D119</f>
        <v>202890</v>
      </c>
      <c r="E28" s="59">
        <f t="shared" si="0"/>
        <v>670710</v>
      </c>
    </row>
    <row r="29" spans="1:5" x14ac:dyDescent="0.3">
      <c r="B29" s="2">
        <v>6</v>
      </c>
      <c r="C29" s="35" t="s">
        <v>98</v>
      </c>
      <c r="D29" s="45">
        <f>+D133</f>
        <v>94180</v>
      </c>
      <c r="E29" s="59">
        <f t="shared" si="0"/>
        <v>311340</v>
      </c>
    </row>
    <row r="30" spans="1:5" x14ac:dyDescent="0.3">
      <c r="B30" s="2">
        <v>7</v>
      </c>
      <c r="C30" s="35" t="s">
        <v>99</v>
      </c>
      <c r="D30" s="45">
        <f>+D146</f>
        <v>63500</v>
      </c>
      <c r="E30" s="59">
        <f t="shared" si="0"/>
        <v>209910</v>
      </c>
    </row>
    <row r="31" spans="1:5" x14ac:dyDescent="0.3">
      <c r="B31" s="2">
        <v>8</v>
      </c>
      <c r="C31" s="35" t="s">
        <v>100</v>
      </c>
      <c r="D31" s="45">
        <f>+D154</f>
        <v>16510</v>
      </c>
      <c r="E31" s="59">
        <f t="shared" si="0"/>
        <v>54570</v>
      </c>
    </row>
    <row r="32" spans="1:5" x14ac:dyDescent="0.3">
      <c r="B32" s="2">
        <v>9</v>
      </c>
      <c r="C32" s="35" t="s">
        <v>101</v>
      </c>
      <c r="D32" s="45">
        <f>+D161</f>
        <v>22250</v>
      </c>
      <c r="E32" s="59">
        <f t="shared" si="0"/>
        <v>73550</v>
      </c>
    </row>
    <row r="33" spans="1:7" x14ac:dyDescent="0.3">
      <c r="B33" s="2">
        <v>10</v>
      </c>
      <c r="C33" s="35" t="s">
        <v>154</v>
      </c>
      <c r="D33" s="53">
        <f>TRUNC(SUM(D24:D32)*0.275,-1)</f>
        <v>518320</v>
      </c>
      <c r="E33" s="60">
        <f t="shared" si="0"/>
        <v>1713460</v>
      </c>
    </row>
    <row r="34" spans="1:7" x14ac:dyDescent="0.3">
      <c r="C34" s="35" t="s">
        <v>112</v>
      </c>
      <c r="D34" s="44">
        <f>SUM(D24:D33)</f>
        <v>2403130</v>
      </c>
      <c r="E34" s="44">
        <f>SUM(E24:E33)</f>
        <v>7944230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TRUNC(62760,-1)</f>
        <v>62760</v>
      </c>
      <c r="E40" s="62">
        <f t="shared" ref="E40:E59" si="1">TRUNC(+D40*3.3058,-1)</f>
        <v>207470</v>
      </c>
    </row>
    <row r="41" spans="1:7" x14ac:dyDescent="0.3">
      <c r="A41" s="2">
        <v>2</v>
      </c>
      <c r="C41" s="38" t="s">
        <v>13</v>
      </c>
      <c r="D41" s="42">
        <f>TRUNC(145042,-1)</f>
        <v>145040</v>
      </c>
      <c r="E41" s="63">
        <f t="shared" si="1"/>
        <v>479470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TRUNC(16760,-1)</f>
        <v>16760</v>
      </c>
      <c r="E43" s="63">
        <f t="shared" si="1"/>
        <v>55400</v>
      </c>
    </row>
    <row r="44" spans="1:7" x14ac:dyDescent="0.3">
      <c r="A44" s="2">
        <v>5</v>
      </c>
      <c r="C44" s="38" t="s">
        <v>17</v>
      </c>
      <c r="D44" s="42">
        <f>TRUNC(20988,-1)</f>
        <v>20980</v>
      </c>
      <c r="E44" s="63">
        <f t="shared" si="1"/>
        <v>69350</v>
      </c>
    </row>
    <row r="45" spans="1:7" x14ac:dyDescent="0.3">
      <c r="A45" s="2">
        <v>6</v>
      </c>
      <c r="C45" s="38" t="s">
        <v>18</v>
      </c>
      <c r="D45" s="42">
        <f>TRUNC(3935,-1)</f>
        <v>3930</v>
      </c>
      <c r="E45" s="63">
        <f t="shared" si="1"/>
        <v>12990</v>
      </c>
    </row>
    <row r="46" spans="1:7" x14ac:dyDescent="0.3">
      <c r="A46" s="2">
        <v>7</v>
      </c>
      <c r="C46" s="38" t="s">
        <v>19</v>
      </c>
      <c r="D46" s="42">
        <f>TRUNC(31194,-1)</f>
        <v>31190</v>
      </c>
      <c r="E46" s="63">
        <f t="shared" si="1"/>
        <v>103100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TRUNC(40981,-1)</f>
        <v>40980</v>
      </c>
      <c r="E48" s="63">
        <f t="shared" si="1"/>
        <v>135470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TRUNC(13782,-1)</f>
        <v>13780</v>
      </c>
      <c r="E49" s="63">
        <f t="shared" si="1"/>
        <v>45550</v>
      </c>
    </row>
    <row r="50" spans="1:7" x14ac:dyDescent="0.3">
      <c r="A50" s="2">
        <v>11</v>
      </c>
      <c r="C50" s="38" t="s">
        <v>155</v>
      </c>
      <c r="D50" s="42">
        <f>TRUNC(56687,-1)</f>
        <v>56680</v>
      </c>
      <c r="E50" s="63">
        <f t="shared" si="1"/>
        <v>187370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TRUNC(10966,-1)</f>
        <v>10960</v>
      </c>
      <c r="E52" s="63">
        <f t="shared" si="1"/>
        <v>36230</v>
      </c>
    </row>
    <row r="53" spans="1:7" x14ac:dyDescent="0.3">
      <c r="A53" s="2">
        <v>14</v>
      </c>
      <c r="C53" s="38" t="s">
        <v>25</v>
      </c>
      <c r="D53" s="42">
        <f>TRUNC(143097,-1)</f>
        <v>143090</v>
      </c>
      <c r="E53" s="63">
        <f t="shared" si="1"/>
        <v>473020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TRUNC(3930+310+28894,-1)</f>
        <v>33130</v>
      </c>
      <c r="E58" s="63">
        <f t="shared" si="1"/>
        <v>109520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TRUNC(576285,-1)</f>
        <v>576280</v>
      </c>
      <c r="E59" s="64">
        <f t="shared" si="1"/>
        <v>1905060</v>
      </c>
    </row>
    <row r="60" spans="1:7" x14ac:dyDescent="0.3">
      <c r="A60" s="2">
        <v>21</v>
      </c>
      <c r="C60" s="27" t="s">
        <v>112</v>
      </c>
      <c r="D60" s="39">
        <f>SUM(D40:D59)</f>
        <v>1155560</v>
      </c>
      <c r="E60" s="39">
        <f>SUM(E40:E59)</f>
        <v>3820000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TRUNC(52867,-1)</f>
        <v>52860</v>
      </c>
      <c r="E63" s="62">
        <f>TRUNC(+D63*3.3058,-1)</f>
        <v>174740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TRUNC(12192,-1)</f>
        <v>12190</v>
      </c>
      <c r="E65" s="64">
        <f>TRUNC(+D65*3.3058,-1)</f>
        <v>40290</v>
      </c>
    </row>
    <row r="66" spans="1:7" x14ac:dyDescent="0.3">
      <c r="A66" s="2">
        <v>4</v>
      </c>
      <c r="C66" s="27" t="s">
        <v>112</v>
      </c>
      <c r="D66" s="39">
        <f>SUM(D63:D65)</f>
        <v>65050</v>
      </c>
      <c r="E66" s="65">
        <f>SUM(E63:E65)</f>
        <v>215030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TRUNC(57730,-1)</f>
        <v>57730</v>
      </c>
      <c r="E69" s="62">
        <f t="shared" ref="E69:E94" si="2">TRUNC(+D69*3.3058,-1)</f>
        <v>190840</v>
      </c>
    </row>
    <row r="70" spans="1:7" ht="16.5" customHeight="1" x14ac:dyDescent="0.3">
      <c r="A70" s="2">
        <v>2</v>
      </c>
      <c r="C70" s="38" t="s">
        <v>31</v>
      </c>
      <c r="D70" s="42">
        <f>TRUNC(352,-1)</f>
        <v>350</v>
      </c>
      <c r="E70" s="63">
        <f t="shared" si="2"/>
        <v>1150</v>
      </c>
    </row>
    <row r="71" spans="1:7" x14ac:dyDescent="0.3">
      <c r="A71" s="2">
        <v>3</v>
      </c>
      <c r="C71" s="38" t="s">
        <v>32</v>
      </c>
      <c r="D71" s="42">
        <f>TRUNC(21966,-1)</f>
        <v>21960</v>
      </c>
      <c r="E71" s="63">
        <f t="shared" si="2"/>
        <v>72590</v>
      </c>
    </row>
    <row r="72" spans="1:7" x14ac:dyDescent="0.3">
      <c r="A72" s="2">
        <v>4</v>
      </c>
      <c r="C72" s="38" t="s">
        <v>33</v>
      </c>
      <c r="D72" s="42">
        <f>TRUNC(3427,-1)</f>
        <v>3420</v>
      </c>
      <c r="E72" s="63">
        <f t="shared" si="2"/>
        <v>11300</v>
      </c>
    </row>
    <row r="73" spans="1:7" x14ac:dyDescent="0.3">
      <c r="A73" s="2">
        <v>5</v>
      </c>
      <c r="C73" s="38" t="s">
        <v>34</v>
      </c>
      <c r="D73" s="42">
        <f>TRUNC(10426,-1)</f>
        <v>10420</v>
      </c>
      <c r="E73" s="63">
        <f t="shared" si="2"/>
        <v>34440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TRUNC(2293,-1)</f>
        <v>2290</v>
      </c>
      <c r="E75" s="63">
        <f t="shared" si="2"/>
        <v>7570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TRUNC(14833,-1)</f>
        <v>14830</v>
      </c>
      <c r="E89" s="63">
        <f t="shared" si="2"/>
        <v>49020</v>
      </c>
    </row>
    <row r="90" spans="1:7" x14ac:dyDescent="0.3">
      <c r="A90" s="2">
        <v>22</v>
      </c>
      <c r="C90" s="38" t="s">
        <v>36</v>
      </c>
      <c r="D90" s="42">
        <f>TRUNC(3867,-1)</f>
        <v>3860</v>
      </c>
      <c r="E90" s="63">
        <f t="shared" si="2"/>
        <v>12760</v>
      </c>
    </row>
    <row r="91" spans="1:7" x14ac:dyDescent="0.3">
      <c r="A91" s="2">
        <v>23</v>
      </c>
      <c r="C91" s="38" t="s">
        <v>37</v>
      </c>
      <c r="D91" s="42">
        <f>TRUNC(69699,-1)</f>
        <v>69690</v>
      </c>
      <c r="E91" s="63">
        <f t="shared" si="2"/>
        <v>230380</v>
      </c>
    </row>
    <row r="92" spans="1:7" x14ac:dyDescent="0.3">
      <c r="A92" s="2">
        <v>24</v>
      </c>
      <c r="C92" s="38" t="s">
        <v>38</v>
      </c>
      <c r="D92" s="42">
        <f>TRUNC(4720,-1)</f>
        <v>4720</v>
      </c>
      <c r="E92" s="63">
        <f t="shared" si="2"/>
        <v>15600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TRUNC(37632+1794+2904+33275,-1)</f>
        <v>75600</v>
      </c>
      <c r="E94" s="64">
        <f t="shared" si="2"/>
        <v>249910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264870</v>
      </c>
      <c r="E95" s="39">
        <f>SUM(E69:E94)</f>
        <v>875560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TRUNC(13669,-1)</f>
        <v>13660</v>
      </c>
      <c r="E98" s="62">
        <f t="shared" ref="E98:E118" si="3">TRUNC(+D98*3.3058,-1)</f>
        <v>45150</v>
      </c>
    </row>
    <row r="99" spans="1:7" x14ac:dyDescent="0.3">
      <c r="A99" s="2">
        <v>2</v>
      </c>
      <c r="C99" s="38" t="s">
        <v>40</v>
      </c>
      <c r="D99" s="42">
        <f>TRUNC(9731,-1)</f>
        <v>9730</v>
      </c>
      <c r="E99" s="63">
        <f t="shared" si="3"/>
        <v>32160</v>
      </c>
    </row>
    <row r="100" spans="1:7" x14ac:dyDescent="0.3">
      <c r="A100" s="2">
        <v>3</v>
      </c>
      <c r="C100" s="38" t="s">
        <v>41</v>
      </c>
      <c r="D100" s="42">
        <f>TRUNC(38893,-1)</f>
        <v>38890</v>
      </c>
      <c r="E100" s="63">
        <f t="shared" si="3"/>
        <v>128560</v>
      </c>
    </row>
    <row r="101" spans="1:7" x14ac:dyDescent="0.3">
      <c r="A101" s="2">
        <v>4</v>
      </c>
      <c r="C101" s="38" t="s">
        <v>42</v>
      </c>
      <c r="D101" s="42">
        <f>TRUNC(2789,-1)</f>
        <v>2780</v>
      </c>
      <c r="E101" s="63">
        <f t="shared" si="3"/>
        <v>9190</v>
      </c>
    </row>
    <row r="102" spans="1:7" x14ac:dyDescent="0.3">
      <c r="A102" s="2">
        <v>5</v>
      </c>
      <c r="C102" s="38" t="s">
        <v>43</v>
      </c>
      <c r="D102" s="42">
        <f>TRUNC(16212,-1)</f>
        <v>16210</v>
      </c>
      <c r="E102" s="63">
        <f t="shared" si="3"/>
        <v>53580</v>
      </c>
    </row>
    <row r="103" spans="1:7" x14ac:dyDescent="0.3">
      <c r="A103" s="2">
        <v>6</v>
      </c>
      <c r="C103" s="38" t="s">
        <v>44</v>
      </c>
      <c r="D103" s="42">
        <f>TRUNC(7795,-1)</f>
        <v>7790</v>
      </c>
      <c r="E103" s="63">
        <f t="shared" si="3"/>
        <v>25750</v>
      </c>
    </row>
    <row r="104" spans="1:7" x14ac:dyDescent="0.3">
      <c r="A104" s="2">
        <v>7</v>
      </c>
      <c r="C104" s="38" t="s">
        <v>45</v>
      </c>
      <c r="D104" s="42">
        <f>TRUNC(2620,-1)</f>
        <v>2620</v>
      </c>
      <c r="E104" s="63">
        <f t="shared" si="3"/>
        <v>8660</v>
      </c>
    </row>
    <row r="105" spans="1:7" x14ac:dyDescent="0.3">
      <c r="A105" s="2">
        <v>8</v>
      </c>
      <c r="C105" s="38" t="s">
        <v>46</v>
      </c>
      <c r="D105" s="42">
        <f>TRUNC(3406,-1)</f>
        <v>3400</v>
      </c>
      <c r="E105" s="63">
        <f t="shared" si="3"/>
        <v>11230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TRUNC(2854,-1)</f>
        <v>2850</v>
      </c>
      <c r="E114" s="63">
        <f t="shared" si="3"/>
        <v>9420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TRUNC(2843,-1)</f>
        <v>2840</v>
      </c>
      <c r="E116" s="63">
        <f t="shared" si="3"/>
        <v>9380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TRUNC(101098,-1)</f>
        <v>101090</v>
      </c>
      <c r="E117" s="63">
        <f t="shared" si="3"/>
        <v>334180</v>
      </c>
    </row>
    <row r="118" spans="1:7" ht="17.25" thickBot="1" x14ac:dyDescent="0.35">
      <c r="A118" s="2">
        <v>21</v>
      </c>
      <c r="C118" s="38" t="s">
        <v>47</v>
      </c>
      <c r="D118" s="43">
        <f>TRUNC(1039,-1)</f>
        <v>1030</v>
      </c>
      <c r="E118" s="64">
        <f t="shared" si="3"/>
        <v>3400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202890</v>
      </c>
      <c r="E119" s="39">
        <f>SUM(E98:E118)</f>
        <v>670660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TRUNC(5581,-1)</f>
        <v>5580</v>
      </c>
      <c r="E122" s="62">
        <f t="shared" ref="E122:E132" si="4">TRUNC(+D122*3.3058,-1)</f>
        <v>18440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TRUNC(2806,-1)</f>
        <v>2800</v>
      </c>
      <c r="E124" s="63">
        <f t="shared" si="4"/>
        <v>9250</v>
      </c>
    </row>
    <row r="125" spans="1:7" x14ac:dyDescent="0.3">
      <c r="A125" s="2">
        <v>4</v>
      </c>
      <c r="C125" s="38" t="s">
        <v>138</v>
      </c>
      <c r="D125" s="42">
        <f>TRUNC(7941,-1)</f>
        <v>7940</v>
      </c>
      <c r="E125" s="63">
        <f t="shared" si="4"/>
        <v>26240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TRUNC(6255,-1)</f>
        <v>6250</v>
      </c>
      <c r="E127" s="63">
        <f t="shared" si="4"/>
        <v>20660</v>
      </c>
    </row>
    <row r="128" spans="1:7" x14ac:dyDescent="0.3">
      <c r="A128" s="2">
        <v>7</v>
      </c>
      <c r="C128" s="38" t="s">
        <v>46</v>
      </c>
      <c r="D128" s="42">
        <f>TRUNC(2271,-1)</f>
        <v>2270</v>
      </c>
      <c r="E128" s="63">
        <f t="shared" si="4"/>
        <v>7500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TRUNC(13316,-1)</f>
        <v>13310</v>
      </c>
      <c r="E130" s="63">
        <f t="shared" si="4"/>
        <v>44000</v>
      </c>
    </row>
    <row r="131" spans="1:7" x14ac:dyDescent="0.3">
      <c r="A131" s="2">
        <v>10</v>
      </c>
      <c r="C131" s="38" t="s">
        <v>148</v>
      </c>
      <c r="D131" s="42">
        <f>TRUNC(46795,-1)</f>
        <v>46790</v>
      </c>
      <c r="E131" s="63">
        <f t="shared" si="4"/>
        <v>154670</v>
      </c>
    </row>
    <row r="132" spans="1:7" ht="18" thickBot="1" x14ac:dyDescent="0.35">
      <c r="A132" s="2">
        <v>11</v>
      </c>
      <c r="C132" s="38" t="s">
        <v>47</v>
      </c>
      <c r="D132" s="43">
        <f>TRUNC(3608+355+5286,-1)</f>
        <v>9240</v>
      </c>
      <c r="E132" s="64">
        <f t="shared" si="4"/>
        <v>30540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94180</v>
      </c>
      <c r="E133" s="39">
        <f>SUM(E122:E132)</f>
        <v>311300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TRUNC(87+423+2146+2559+911,-1)</f>
        <v>6120</v>
      </c>
      <c r="E137" s="63">
        <f t="shared" si="5"/>
        <v>20230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TRUNC(2648,-1)</f>
        <v>2640</v>
      </c>
      <c r="E138" s="63">
        <f t="shared" si="5"/>
        <v>8720</v>
      </c>
    </row>
    <row r="139" spans="1:7" x14ac:dyDescent="0.3">
      <c r="A139" s="2">
        <v>4</v>
      </c>
      <c r="C139" s="38" t="s">
        <v>61</v>
      </c>
      <c r="D139" s="42">
        <f>TRUNC(3737,-1)</f>
        <v>3730</v>
      </c>
      <c r="E139" s="63">
        <f t="shared" si="5"/>
        <v>12330</v>
      </c>
    </row>
    <row r="140" spans="1:7" x14ac:dyDescent="0.3">
      <c r="A140" s="2">
        <v>5</v>
      </c>
      <c r="C140" s="38" t="s">
        <v>57</v>
      </c>
      <c r="D140" s="42">
        <f>TRUNC(505,-1)</f>
        <v>500</v>
      </c>
      <c r="E140" s="63">
        <f t="shared" si="5"/>
        <v>1650</v>
      </c>
    </row>
    <row r="141" spans="1:7" x14ac:dyDescent="0.3">
      <c r="A141" s="2">
        <v>6</v>
      </c>
      <c r="C141" s="38" t="s">
        <v>59</v>
      </c>
      <c r="D141" s="42">
        <f>TRUNC(21050,-1)</f>
        <v>21050</v>
      </c>
      <c r="E141" s="63">
        <f t="shared" si="5"/>
        <v>69580</v>
      </c>
    </row>
    <row r="142" spans="1:7" x14ac:dyDescent="0.3">
      <c r="A142" s="2">
        <v>7</v>
      </c>
      <c r="C142" s="38" t="s">
        <v>58</v>
      </c>
      <c r="D142" s="42">
        <f>TRUNC(3682,-1)</f>
        <v>3680</v>
      </c>
      <c r="E142" s="63">
        <f t="shared" si="5"/>
        <v>12160</v>
      </c>
    </row>
    <row r="143" spans="1:7" x14ac:dyDescent="0.3">
      <c r="A143" s="2">
        <v>8</v>
      </c>
      <c r="C143" s="38" t="s">
        <v>62</v>
      </c>
      <c r="D143" s="42">
        <f>TRUNC(7121,-1)</f>
        <v>7120</v>
      </c>
      <c r="E143" s="63">
        <f t="shared" si="5"/>
        <v>23530</v>
      </c>
    </row>
    <row r="144" spans="1:7" x14ac:dyDescent="0.3">
      <c r="A144" s="2">
        <v>9</v>
      </c>
      <c r="C144" s="38" t="s">
        <v>63</v>
      </c>
      <c r="D144" s="42">
        <f>TRUNC(18661,-1)</f>
        <v>18660</v>
      </c>
      <c r="E144" s="63">
        <f t="shared" si="5"/>
        <v>61680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63500</v>
      </c>
      <c r="E146" s="39">
        <f>SUM(E136:E145)</f>
        <v>209880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TRUNC(4745+1128,-1)</f>
        <v>5870</v>
      </c>
      <c r="E149" s="62">
        <f>TRUNC(+D149*3.3058,-1)</f>
        <v>19400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TRUNC(2807,-1)</f>
        <v>2800</v>
      </c>
      <c r="E150" s="63">
        <f>TRUNC(+D150*3.3058,-1)</f>
        <v>9250</v>
      </c>
    </row>
    <row r="151" spans="1:7" x14ac:dyDescent="0.3">
      <c r="A151" s="2">
        <v>3</v>
      </c>
      <c r="C151" s="38" t="s">
        <v>50</v>
      </c>
      <c r="D151" s="42">
        <f>TRUNC(4522,-1)</f>
        <v>4520</v>
      </c>
      <c r="E151" s="63">
        <f>TRUNC(+D151*3.3058,-1)</f>
        <v>14940</v>
      </c>
    </row>
    <row r="152" spans="1:7" x14ac:dyDescent="0.3">
      <c r="A152" s="2">
        <v>4</v>
      </c>
      <c r="C152" s="38" t="s">
        <v>47</v>
      </c>
      <c r="D152" s="42">
        <f>TRUNC(3328,-1)</f>
        <v>3320</v>
      </c>
      <c r="E152" s="63">
        <f>TRUNC(+D152*3.3058,-1)</f>
        <v>10970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16510</v>
      </c>
      <c r="E154" s="39">
        <f>SUM(E149:E153)</f>
        <v>54560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TRUNC(12120,-1)</f>
        <v>12120</v>
      </c>
      <c r="E157" s="62">
        <f>TRUNC(+D157*3.3058,-1)</f>
        <v>40060</v>
      </c>
    </row>
    <row r="158" spans="1:7" x14ac:dyDescent="0.3">
      <c r="A158" s="2">
        <v>2</v>
      </c>
      <c r="C158" s="38" t="s">
        <v>52</v>
      </c>
      <c r="D158" s="42">
        <f>TRUNC(5195,-1)</f>
        <v>5190</v>
      </c>
      <c r="E158" s="63">
        <f>TRUNC(+D158*3.3058,-1)</f>
        <v>17150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TRUNC(3880+1065,-1)</f>
        <v>4940</v>
      </c>
      <c r="E159" s="63">
        <f>TRUNC(+D159*3.3058,-1)</f>
        <v>16330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22250</v>
      </c>
      <c r="E161" s="39">
        <f>SUM(E157:E160)</f>
        <v>73540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2020-12-08T02:21:58Z</dcterms:modified>
</cp:coreProperties>
</file>