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40" i="4"/>
  <c r="E136" i="4"/>
  <c r="E129" i="4"/>
  <c r="E128" i="4"/>
  <c r="E123" i="4"/>
  <c r="E122" i="4"/>
  <c r="E115" i="4"/>
  <c r="E113" i="4"/>
  <c r="E112" i="4"/>
  <c r="E111" i="4"/>
  <c r="E110" i="4"/>
  <c r="E109" i="4"/>
  <c r="E108" i="4"/>
  <c r="E107" i="4"/>
  <c r="E106" i="4"/>
  <c r="E103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2" i="4"/>
  <c r="E70" i="4"/>
  <c r="E65" i="4"/>
  <c r="E64" i="4"/>
  <c r="E57" i="4"/>
  <c r="E56" i="4"/>
  <c r="E55" i="4"/>
  <c r="E54" i="4"/>
  <c r="E51" i="4"/>
  <c r="E47" i="4"/>
  <c r="E46" i="4"/>
  <c r="E37" i="4"/>
  <c r="D152" i="4" l="1"/>
  <c r="E152" i="4" s="1"/>
  <c r="D151" i="4"/>
  <c r="E151" i="4" s="1"/>
  <c r="D150" i="4"/>
  <c r="E150" i="4" s="1"/>
  <c r="D149" i="4"/>
  <c r="E149" i="4" s="1"/>
  <c r="E154" i="4" s="1"/>
  <c r="D145" i="4"/>
  <c r="E145" i="4" s="1"/>
  <c r="D144" i="4"/>
  <c r="E144" i="4" s="1"/>
  <c r="D143" i="4"/>
  <c r="E143" i="4" s="1"/>
  <c r="D142" i="4"/>
  <c r="E142" i="4" s="1"/>
  <c r="D141" i="4"/>
  <c r="E141" i="4" s="1"/>
  <c r="D139" i="4"/>
  <c r="E139" i="4" s="1"/>
  <c r="D138" i="4"/>
  <c r="E138" i="4" s="1"/>
  <c r="D137" i="4"/>
  <c r="E137" i="4" s="1"/>
  <c r="E146" i="4" s="1"/>
  <c r="D132" i="4"/>
  <c r="E132" i="4" s="1"/>
  <c r="D131" i="4"/>
  <c r="E131" i="4" s="1"/>
  <c r="D130" i="4"/>
  <c r="E130" i="4" s="1"/>
  <c r="D127" i="4"/>
  <c r="E127" i="4" s="1"/>
  <c r="D126" i="4"/>
  <c r="E126" i="4" s="1"/>
  <c r="D125" i="4"/>
  <c r="E125" i="4" s="1"/>
  <c r="D124" i="4"/>
  <c r="E124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94" i="4"/>
  <c r="E94" i="4" s="1"/>
  <c r="D92" i="4"/>
  <c r="E92" i="4" s="1"/>
  <c r="D91" i="4"/>
  <c r="E91" i="4" s="1"/>
  <c r="D90" i="4"/>
  <c r="E90" i="4" s="1"/>
  <c r="D89" i="4"/>
  <c r="E89" i="4" s="1"/>
  <c r="D73" i="4"/>
  <c r="E73" i="4" s="1"/>
  <c r="D71" i="4"/>
  <c r="E71" i="4" s="1"/>
  <c r="D69" i="4"/>
  <c r="E69" i="4" s="1"/>
  <c r="D63" i="4"/>
  <c r="E63" i="4" s="1"/>
  <c r="E66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58" i="4"/>
  <c r="E58" i="4" s="1"/>
  <c r="E60" i="4" l="1"/>
  <c r="E95" i="4"/>
  <c r="E133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<sst xmlns="http://schemas.openxmlformats.org/spreadsheetml/2006/main" count="391" uniqueCount="266">
  <si>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</si>
  <si>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</si>
  <si>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</si>
  <si>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</si>
  <si>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</si>
  <si>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</si>
  <si>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</si>
  <si>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</si>
  <si>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</si>
  <si>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</si>
  <si>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</si>
  <si>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</si>
  <si>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</si>
  <si>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</si>
  <si>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</si>
  <si>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</si>
  <si>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</si>
  <si>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</si>
  <si>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</si>
  <si>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</si>
  <si>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</si>
  <si>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</si>
  <si>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</si>
  <si>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</si>
  <si>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</si>
  <si>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</si>
  <si>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</si>
  <si>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</si>
  <si>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</si>
  <si>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</si>
  <si>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</si>
  <si>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</si>
  <si>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</si>
  <si>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</si>
  <si>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</si>
  <si>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</si>
  <si>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</si>
  <si>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</si>
  <si>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</si>
  <si>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</si>
  <si>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</si>
  <si>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</si>
  <si>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</si>
  <si>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</si>
  <si>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</si>
  <si>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</si>
  <si>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</si>
  <si>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</si>
  <si>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</si>
  <si>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</si>
  <si>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</si>
  <si>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</si>
  <si>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</si>
  <si>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</si>
  <si>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</si>
  <si>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</si>
  <si>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</si>
  <si>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</si>
  <si>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</si>
  <si>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</si>
  <si>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</si>
  <si>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</si>
  <si>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</si>
  <si>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</si>
  <si>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</si>
  <si>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</si>
  <si>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</si>
  <si>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</si>
  <si>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</si>
  <si>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</si>
  <si>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</si>
  <si>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</si>
  <si>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</si>
  <si>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</si>
  <si>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</si>
  <si>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</si>
  <si>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</si>
  <si>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</si>
  <si>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</si>
  <si>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</si>
  <si>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</si>
  <si>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</si>
  <si>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</si>
  <si>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</si>
  <si>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</si>
  <si>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</si>
  <si>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</si>
  <si>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</si>
  <si>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</si>
  <si>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</si>
  <si>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</si>
  <si>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</si>
  <si>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</si>
  <si>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</si>
  <si>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</si>
  <si>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</si>
  <si>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</si>
  <si>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</si>
  <si>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</si>
  <si>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</si>
  <si>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</si>
  <si>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</si>
  <si>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</si>
  <si>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</si>
  <si>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</si>
  <si>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</si>
  <si>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</si>
  <si>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</si>
  <si>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</si>
  <si>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</si>
  <si>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</si>
  <si>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</si>
  <si>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</si>
  <si>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</si>
  <si>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</si>
  <si>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</si>
  <si>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</si>
  <si>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</si>
  <si>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</si>
  <si>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</si>
  <si>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</si>
  <si>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</si>
  <si>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</si>
  <si>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</si>
  <si>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</si>
  <si>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</si>
  <si>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</si>
  <si>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</si>
  <si>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</si>
  <si>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</si>
  <si>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</si>
  <si>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</si>
  <si>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</si>
  <si>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</si>
  <si>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</si>
  <si>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</si>
  <si>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</si>
  <si>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</si>
  <si>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</si>
  <si>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</si>
  <si>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</si>
  <si>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</si>
  <si>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</si>
  <si>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</si>
  <si>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</si>
  <si>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</si>
  <si>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</si>
  <si>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</si>
  <si>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</si>
  <si>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</si>
  <si>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</si>
  <si>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</si>
  <si>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</si>
  <si>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</si>
  <si>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</si>
  <si>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</si>
  <si>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</si>
  <si>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</si>
  <si>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</si>
  <si>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</si>
  <si>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</si>
  <si>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</si>
  <si>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</si>
  <si>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</si>
  <si>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</si>
  <si>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</si>
  <si>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</si>
  <si>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</si>
  <si>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</si>
  <si>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</si>
  <si>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</si>
  <si>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</si>
  <si>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</si>
  <si>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</si>
  <si>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</si>
  <si>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</si>
  <si>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</si>
  <si>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</si>
  <si>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</si>
  <si>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</si>
  <si>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</si>
  <si>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</si>
  <si>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</si>
  <si>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</si>
  <si>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</si>
  <si>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</si>
  <si>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</si>
  <si>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</si>
  <si>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</si>
  <si>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</si>
  <si>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</si>
  <si>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</si>
  <si>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</si>
  <si>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</si>
  <si>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</si>
  <si>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</si>
  <si>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</si>
  <si>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</si>
  <si>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</si>
  <si>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</si>
  <si>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</si>
  <si>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</si>
  <si>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</si>
  <si>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</si>
  <si>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</si>
  <si>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</si>
  <si>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</si>
  <si>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</si>
  <si>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</si>
  <si>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</si>
  <si>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</si>
  <si>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</si>
  <si>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</si>
  <si>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</si>
  <si>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</si>
  <si>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</si>
  <si>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</si>
  <si>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</si>
  <si>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</si>
  <si>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</si>
  <si>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</si>
  <si>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</si>
  <si>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</si>
  <si>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</si>
  <si>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</si>
  <si>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</si>
  <si>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</si>
  <si>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</si>
  <si>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</si>
  <si>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</si>
  <si>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</si>
  <si>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</si>
  <si>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</si>
  <si>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</si>
  <si>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</si>
  <si>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</si>
  <si>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</si>
  <si>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</si>
  <si>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</si>
  <si>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</si>
  <si>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</si>
  <si>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</si>
  <si>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</si>
  <si>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</si>
  <si>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</si>
  <si>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</si>
  <si>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</si>
  <si>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</si>
  <si>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</si>
  <si>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</si>
  <si>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창호및유리공사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</si>
  <si>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</si>
  <si>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</si>
  <si>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국립미술품수장보존센터 건립사업</t>
    <phoneticPr fontId="2" type="noConversion"/>
  </si>
  <si>
    <t>문화및집회</t>
  </si>
  <si>
    <t>충청도</t>
  </si>
  <si>
    <t>기초공사, 해체및철거공사, 골재비및운반비, 작업부산물, 품질시험비, 기타공사</t>
    <phoneticPr fontId="2" type="noConversion"/>
  </si>
  <si>
    <t>공조배관공사, 바닥난방공사, 기타공사</t>
    <phoneticPr fontId="2" type="noConversion"/>
  </si>
  <si>
    <t>CCTV설비공사, 기타공사</t>
    <phoneticPr fontId="2" type="noConversion"/>
  </si>
  <si>
    <t>옥외소화배관공사, 펌프실배관공사, 기타공사</t>
    <phoneticPr fontId="2" type="noConversion"/>
  </si>
  <si>
    <t>상수도공사, 사급자재비,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</si>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</sst>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253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19854.96</v>
      </c>
      <c r="D7" s="36">
        <f>+C7/3.3058</f>
        <v>6006.0983725573233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1216930</v>
      </c>
      <c r="E25" s="59">
        <f t="shared" si="0"/>
        <v>4022920</v>
      </c>
    </row>
    <row r="26" spans="1:5" x14ac:dyDescent="0.3">
      <c r="B26" s="2">
        <v>3</v>
      </c>
      <c r="C26" s="35" t="s">
        <v>95</v>
      </c>
      <c r="D26" s="45">
        <f>+D66</f>
        <v>3750</v>
      </c>
      <c r="E26" s="59">
        <f t="shared" si="0"/>
        <v>12390</v>
      </c>
    </row>
    <row r="27" spans="1:5" x14ac:dyDescent="0.3">
      <c r="B27" s="2">
        <v>4</v>
      </c>
      <c r="C27" s="35" t="s">
        <v>96</v>
      </c>
      <c r="D27" s="45">
        <f>+D95</f>
        <v>146570</v>
      </c>
      <c r="E27" s="59">
        <f t="shared" si="0"/>
        <v>484530</v>
      </c>
    </row>
    <row r="28" spans="1:5" x14ac:dyDescent="0.3">
      <c r="B28" s="2">
        <v>5</v>
      </c>
      <c r="C28" s="35" t="s">
        <v>97</v>
      </c>
      <c r="D28" s="45">
        <f>+D119</f>
        <v>197660</v>
      </c>
      <c r="E28" s="59">
        <f t="shared" si="0"/>
        <v>653420</v>
      </c>
    </row>
    <row r="29" spans="1:5" x14ac:dyDescent="0.3">
      <c r="B29" s="2">
        <v>6</v>
      </c>
      <c r="C29" s="35" t="s">
        <v>98</v>
      </c>
      <c r="D29" s="45">
        <f>+D133</f>
        <v>116960</v>
      </c>
      <c r="E29" s="59">
        <f t="shared" si="0"/>
        <v>386640</v>
      </c>
    </row>
    <row r="30" spans="1:5" x14ac:dyDescent="0.3">
      <c r="B30" s="2">
        <v>7</v>
      </c>
      <c r="C30" s="35" t="s">
        <v>99</v>
      </c>
      <c r="D30" s="45">
        <f>+D146</f>
        <v>156820</v>
      </c>
      <c r="E30" s="59">
        <f t="shared" si="0"/>
        <v>518410</v>
      </c>
    </row>
    <row r="31" spans="1:5" x14ac:dyDescent="0.3">
      <c r="B31" s="2">
        <v>8</v>
      </c>
      <c r="C31" s="35" t="s">
        <v>100</v>
      </c>
      <c r="D31" s="45">
        <f>+D154</f>
        <v>15350</v>
      </c>
      <c r="E31" s="59">
        <f t="shared" si="0"/>
        <v>50740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509860</v>
      </c>
      <c r="E33" s="60">
        <f t="shared" si="0"/>
        <v>1685490</v>
      </c>
    </row>
    <row r="34" spans="1:7" x14ac:dyDescent="0.3">
      <c r="C34" s="35" t="s">
        <v>112</v>
      </c>
      <c r="D34" s="44">
        <f>SUM(D24:D33)</f>
        <v>2363900</v>
      </c>
      <c r="E34" s="44">
        <f>SUM(E24:E33)</f>
        <v>7814540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TRUNC(49486,-1)</f>
        <v>49480</v>
      </c>
      <c r="E40" s="62">
        <f t="shared" ref="E40:E59" si="1">TRUNC(+D40*3.3058,-1)</f>
        <v>163570</v>
      </c>
    </row>
    <row r="41" spans="1:7" x14ac:dyDescent="0.3">
      <c r="A41" s="2">
        <v>2</v>
      </c>
      <c r="C41" s="38" t="s">
        <v>13</v>
      </c>
      <c r="D41" s="42">
        <f>TRUNC(77413,-1)</f>
        <v>77410</v>
      </c>
      <c r="E41" s="63">
        <f t="shared" si="1"/>
        <v>255900</v>
      </c>
    </row>
    <row r="42" spans="1:7" x14ac:dyDescent="0.3">
      <c r="A42" s="2">
        <v>3</v>
      </c>
      <c r="C42" s="38" t="s">
        <v>14</v>
      </c>
      <c r="D42" s="42">
        <f>TRUNC(135075,-1)</f>
        <v>135070</v>
      </c>
      <c r="E42" s="63">
        <f t="shared" si="1"/>
        <v>446510</v>
      </c>
    </row>
    <row r="43" spans="1:7" x14ac:dyDescent="0.3">
      <c r="A43" s="2">
        <v>4</v>
      </c>
      <c r="C43" s="38" t="s">
        <v>16</v>
      </c>
      <c r="D43" s="42">
        <f>TRUNC(41241,-1)</f>
        <v>41240</v>
      </c>
      <c r="E43" s="63">
        <f t="shared" si="1"/>
        <v>136330</v>
      </c>
    </row>
    <row r="44" spans="1:7" x14ac:dyDescent="0.3">
      <c r="A44" s="2">
        <v>5</v>
      </c>
      <c r="C44" s="38" t="s">
        <v>17</v>
      </c>
      <c r="D44" s="42">
        <f>TRUNC(18736,-1)</f>
        <v>18730</v>
      </c>
      <c r="E44" s="63">
        <f t="shared" si="1"/>
        <v>61910</v>
      </c>
    </row>
    <row r="45" spans="1:7" x14ac:dyDescent="0.3">
      <c r="A45" s="2">
        <v>6</v>
      </c>
      <c r="C45" s="38" t="s">
        <v>18</v>
      </c>
      <c r="D45" s="42">
        <f>TRUNC(4048,-1)</f>
        <v>4040</v>
      </c>
      <c r="E45" s="63">
        <f t="shared" si="1"/>
        <v>13350</v>
      </c>
    </row>
    <row r="46" spans="1:7" x14ac:dyDescent="0.3">
      <c r="A46" s="2">
        <v>7</v>
      </c>
      <c r="C46" s="38" t="s">
        <v>19</v>
      </c>
      <c r="D46" s="42">
        <v>46420</v>
      </c>
      <c r="E46" s="63">
        <f t="shared" si="1"/>
        <v>153450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TRUNC(16791,-1)</f>
        <v>16790</v>
      </c>
      <c r="E48" s="63">
        <f t="shared" si="1"/>
        <v>55500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TRUNC(12646,-1)</f>
        <v>12640</v>
      </c>
      <c r="E49" s="63">
        <f t="shared" si="1"/>
        <v>41780</v>
      </c>
    </row>
    <row r="50" spans="1:7" x14ac:dyDescent="0.3">
      <c r="A50" s="2">
        <v>11</v>
      </c>
      <c r="C50" s="38" t="s">
        <v>155</v>
      </c>
      <c r="D50" s="42">
        <f>TRUNC(50194,-1)</f>
        <v>50190</v>
      </c>
      <c r="E50" s="63">
        <f t="shared" si="1"/>
        <v>165910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TRUNC(15864,-1)</f>
        <v>15860</v>
      </c>
      <c r="E52" s="63">
        <f t="shared" si="1"/>
        <v>52420</v>
      </c>
    </row>
    <row r="53" spans="1:7" x14ac:dyDescent="0.3">
      <c r="A53" s="2">
        <v>14</v>
      </c>
      <c r="C53" s="38" t="s">
        <v>25</v>
      </c>
      <c r="D53" s="42">
        <f>TRUNC(335087,-1)</f>
        <v>335080</v>
      </c>
      <c r="E53" s="63">
        <f t="shared" si="1"/>
        <v>1107700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60+26860+4261-167+535+6621</f>
        <v>38170</v>
      </c>
      <c r="E58" s="63">
        <f t="shared" si="1"/>
        <v>126180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f>TRUNC(375816,-1)</f>
        <v>375810</v>
      </c>
      <c r="E59" s="64">
        <f t="shared" si="1"/>
        <v>1242350</v>
      </c>
    </row>
    <row r="60" spans="1:7" x14ac:dyDescent="0.3">
      <c r="A60" s="2">
        <v>21</v>
      </c>
      <c r="C60" s="27" t="s">
        <v>112</v>
      </c>
      <c r="D60" s="39">
        <f>SUM(D40:D59)</f>
        <v>1216930</v>
      </c>
      <c r="E60" s="39">
        <f>SUM(E40:E59)</f>
        <v>4022860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TRUNC(3149,-1)</f>
        <v>3140</v>
      </c>
      <c r="E63" s="62">
        <f>TRUNC(+D63*3.3058,-1)</f>
        <v>10380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610</v>
      </c>
      <c r="E65" s="64">
        <f>TRUNC(+D65*3.3058,-1)</f>
        <v>2010</v>
      </c>
    </row>
    <row r="66" spans="1:7" x14ac:dyDescent="0.3">
      <c r="A66" s="2">
        <v>4</v>
      </c>
      <c r="C66" s="27" t="s">
        <v>112</v>
      </c>
      <c r="D66" s="39">
        <f>SUM(D63:D65)</f>
        <v>3750</v>
      </c>
      <c r="E66" s="65">
        <f>SUM(E63:E65)</f>
        <v>12390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TRUNC(3305,-1)</f>
        <v>3300</v>
      </c>
      <c r="E69" s="62">
        <f t="shared" ref="E69:E94" si="2">TRUNC(+D69*3.3058,-1)</f>
        <v>10900</v>
      </c>
    </row>
    <row r="70" spans="1:7" ht="16.5" customHeight="1" x14ac:dyDescent="0.3">
      <c r="A70" s="2">
        <v>2</v>
      </c>
      <c r="C70" s="38" t="s">
        <v>31</v>
      </c>
      <c r="D70" s="42">
        <v>220</v>
      </c>
      <c r="E70" s="63">
        <f t="shared" si="2"/>
        <v>720</v>
      </c>
    </row>
    <row r="71" spans="1:7" x14ac:dyDescent="0.3">
      <c r="A71" s="2">
        <v>3</v>
      </c>
      <c r="C71" s="38" t="s">
        <v>32</v>
      </c>
      <c r="D71" s="42">
        <f>TRUNC(20183,-1)</f>
        <v>20180</v>
      </c>
      <c r="E71" s="63">
        <f t="shared" si="2"/>
        <v>66710</v>
      </c>
    </row>
    <row r="72" spans="1:7" x14ac:dyDescent="0.3">
      <c r="A72" s="2">
        <v>4</v>
      </c>
      <c r="C72" s="38" t="s">
        <v>33</v>
      </c>
      <c r="D72" s="42">
        <v>940</v>
      </c>
      <c r="E72" s="63">
        <f t="shared" si="2"/>
        <v>3100</v>
      </c>
    </row>
    <row r="73" spans="1:7" x14ac:dyDescent="0.3">
      <c r="A73" s="2">
        <v>5</v>
      </c>
      <c r="C73" s="38" t="s">
        <v>34</v>
      </c>
      <c r="D73" s="42">
        <f>TRUNC(6582,-1)</f>
        <v>6580</v>
      </c>
      <c r="E73" s="63">
        <f t="shared" si="2"/>
        <v>21750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3230</v>
      </c>
      <c r="E75" s="63">
        <f t="shared" si="2"/>
        <v>10670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TRUNC(6536,-1)</f>
        <v>6530</v>
      </c>
      <c r="E89" s="63">
        <f t="shared" si="2"/>
        <v>21580</v>
      </c>
    </row>
    <row r="90" spans="1:7" x14ac:dyDescent="0.3">
      <c r="A90" s="2">
        <v>22</v>
      </c>
      <c r="C90" s="38" t="s">
        <v>36</v>
      </c>
      <c r="D90" s="42">
        <f>TRUNC(5326,-1)</f>
        <v>5320</v>
      </c>
      <c r="E90" s="63">
        <f t="shared" si="2"/>
        <v>17580</v>
      </c>
    </row>
    <row r="91" spans="1:7" x14ac:dyDescent="0.3">
      <c r="A91" s="2">
        <v>23</v>
      </c>
      <c r="C91" s="38" t="s">
        <v>37</v>
      </c>
      <c r="D91" s="42">
        <f>TRUNC(60676,-1)</f>
        <v>60670</v>
      </c>
      <c r="E91" s="63">
        <f t="shared" si="2"/>
        <v>200560</v>
      </c>
    </row>
    <row r="92" spans="1:7" x14ac:dyDescent="0.3">
      <c r="A92" s="2">
        <v>24</v>
      </c>
      <c r="C92" s="38" t="s">
        <v>38</v>
      </c>
      <c r="D92" s="42">
        <f>TRUNC(2293,-1)</f>
        <v>2290</v>
      </c>
      <c r="E92" s="63">
        <f t="shared" si="2"/>
        <v>7570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TRUNC(22511+385+14420,-1)</f>
        <v>37310</v>
      </c>
      <c r="E94" s="64">
        <f t="shared" si="2"/>
        <v>123330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146570</v>
      </c>
      <c r="E95" s="39">
        <f>SUM(E69:E94)</f>
        <v>484470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TRUNC(17881,-1)</f>
        <v>17880</v>
      </c>
      <c r="E98" s="62">
        <f t="shared" ref="E98:E118" si="3">TRUNC(+D98*3.3058,-1)</f>
        <v>59100</v>
      </c>
    </row>
    <row r="99" spans="1:7" x14ac:dyDescent="0.3">
      <c r="A99" s="2">
        <v>2</v>
      </c>
      <c r="C99" s="38" t="s">
        <v>40</v>
      </c>
      <c r="D99" s="42">
        <f>TRUNC(13391,-1)</f>
        <v>13390</v>
      </c>
      <c r="E99" s="63">
        <f t="shared" si="3"/>
        <v>44260</v>
      </c>
    </row>
    <row r="100" spans="1:7" x14ac:dyDescent="0.3">
      <c r="A100" s="2">
        <v>3</v>
      </c>
      <c r="C100" s="38" t="s">
        <v>41</v>
      </c>
      <c r="D100" s="42">
        <f>TRUNC(44991,-1)</f>
        <v>44990</v>
      </c>
      <c r="E100" s="63">
        <f t="shared" si="3"/>
        <v>148720</v>
      </c>
    </row>
    <row r="101" spans="1:7" x14ac:dyDescent="0.3">
      <c r="A101" s="2">
        <v>4</v>
      </c>
      <c r="C101" s="38" t="s">
        <v>42</v>
      </c>
      <c r="D101" s="42">
        <f>TRUNC(2713,-1)</f>
        <v>2710</v>
      </c>
      <c r="E101" s="63">
        <f t="shared" si="3"/>
        <v>8950</v>
      </c>
    </row>
    <row r="102" spans="1:7" x14ac:dyDescent="0.3">
      <c r="A102" s="2">
        <v>5</v>
      </c>
      <c r="C102" s="38" t="s">
        <v>43</v>
      </c>
      <c r="D102" s="42">
        <f>TRUNC(14481,-1)</f>
        <v>14480</v>
      </c>
      <c r="E102" s="63">
        <f t="shared" si="3"/>
        <v>47860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TRUNC(2497,-1)</f>
        <v>2490</v>
      </c>
      <c r="E104" s="63">
        <f t="shared" si="3"/>
        <v>8230</v>
      </c>
    </row>
    <row r="105" spans="1:7" x14ac:dyDescent="0.3">
      <c r="A105" s="2">
        <v>8</v>
      </c>
      <c r="C105" s="38" t="s">
        <v>46</v>
      </c>
      <c r="D105" s="42">
        <f>TRUNC(4216,-1)</f>
        <v>4210</v>
      </c>
      <c r="E105" s="63">
        <f t="shared" si="3"/>
        <v>13910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TRUNC(613,-1)</f>
        <v>610</v>
      </c>
      <c r="E114" s="63">
        <f t="shared" si="3"/>
        <v>2010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TRUNC(13125,-1)</f>
        <v>13120</v>
      </c>
      <c r="E116" s="63">
        <f t="shared" si="3"/>
        <v>43370</v>
      </c>
      <c r="F116" s="2" t="s">
        <v>251</v>
      </c>
    </row>
    <row r="117" spans="1:7" x14ac:dyDescent="0.3">
      <c r="A117" s="2">
        <v>20</v>
      </c>
      <c r="C117" s="38" t="s">
        <v>148</v>
      </c>
      <c r="D117" s="42">
        <f>TRUNC(83473,-1)</f>
        <v>83470</v>
      </c>
      <c r="E117" s="63">
        <f t="shared" si="3"/>
        <v>275930</v>
      </c>
    </row>
    <row r="118" spans="1:7" ht="17.25" thickBot="1" x14ac:dyDescent="0.35">
      <c r="A118" s="2">
        <v>21</v>
      </c>
      <c r="C118" s="38" t="s">
        <v>47</v>
      </c>
      <c r="D118" s="43">
        <f>TRUNC(311,-1)</f>
        <v>310</v>
      </c>
      <c r="E118" s="64">
        <f t="shared" si="3"/>
        <v>1020</v>
      </c>
    </row>
    <row r="119" spans="1:7" x14ac:dyDescent="0.3">
      <c r="A119" s="2">
        <v>22</v>
      </c>
      <c r="C119" s="27" t="s">
        <v>112</v>
      </c>
      <c r="D119" s="39">
        <f>SUM(D98:D118)</f>
        <v>197660</v>
      </c>
      <c r="E119" s="39">
        <f>SUM(E98:E118)</f>
        <v>653360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TRUNC(824,-1)</f>
        <v>820</v>
      </c>
      <c r="E124" s="63">
        <f t="shared" si="4"/>
        <v>2710</v>
      </c>
    </row>
    <row r="125" spans="1:7" x14ac:dyDescent="0.3">
      <c r="A125" s="2">
        <v>4</v>
      </c>
      <c r="C125" s="38" t="s">
        <v>138</v>
      </c>
      <c r="D125" s="42">
        <f>TRUNC(7025,-1)</f>
        <v>7020</v>
      </c>
      <c r="E125" s="63">
        <f t="shared" si="4"/>
        <v>23200</v>
      </c>
    </row>
    <row r="126" spans="1:7" x14ac:dyDescent="0.3">
      <c r="A126" s="2">
        <v>5</v>
      </c>
      <c r="C126" s="38" t="s">
        <v>53</v>
      </c>
      <c r="D126" s="42">
        <f>TRUNC(623,-1)</f>
        <v>620</v>
      </c>
      <c r="E126" s="63">
        <f t="shared" si="4"/>
        <v>2040</v>
      </c>
    </row>
    <row r="127" spans="1:7" x14ac:dyDescent="0.3">
      <c r="A127" s="2">
        <v>6</v>
      </c>
      <c r="C127" s="38" t="s">
        <v>56</v>
      </c>
      <c r="D127" s="42">
        <f>TRUNC(10593,-1)</f>
        <v>10590</v>
      </c>
      <c r="E127" s="63">
        <f t="shared" si="4"/>
        <v>35000</v>
      </c>
    </row>
    <row r="128" spans="1:7" x14ac:dyDescent="0.3">
      <c r="A128" s="2">
        <v>7</v>
      </c>
      <c r="C128" s="38" t="s">
        <v>46</v>
      </c>
      <c r="D128" s="42">
        <v>3230</v>
      </c>
      <c r="E128" s="63">
        <f t="shared" si="4"/>
        <v>10670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TRUNC(42864,-1)</f>
        <v>42860</v>
      </c>
      <c r="E130" s="63">
        <f t="shared" si="4"/>
        <v>141680</v>
      </c>
    </row>
    <row r="131" spans="1:7" x14ac:dyDescent="0.3">
      <c r="A131" s="2">
        <v>10</v>
      </c>
      <c r="C131" s="38" t="s">
        <v>148</v>
      </c>
      <c r="D131" s="42">
        <f>TRUNC(41923,-1)</f>
        <v>41920</v>
      </c>
      <c r="E131" s="63">
        <f t="shared" si="4"/>
        <v>138570</v>
      </c>
    </row>
    <row r="132" spans="1:7" ht="18" thickBot="1" x14ac:dyDescent="0.35">
      <c r="A132" s="2">
        <v>11</v>
      </c>
      <c r="C132" s="38" t="s">
        <v>47</v>
      </c>
      <c r="D132" s="43">
        <f>TRUNC(5184+4717,-1)</f>
        <v>9900</v>
      </c>
      <c r="E132" s="64">
        <f t="shared" si="4"/>
        <v>32720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116960</v>
      </c>
      <c r="E133" s="39">
        <f>SUM(E122:E132)</f>
        <v>386590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TRUNC(1444+1144+41,-1)</f>
        <v>2620</v>
      </c>
      <c r="E137" s="63">
        <f t="shared" si="5"/>
        <v>8660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TRUNC(80665,-1)</f>
        <v>80660</v>
      </c>
      <c r="E138" s="63">
        <f t="shared" si="5"/>
        <v>266640</v>
      </c>
    </row>
    <row r="139" spans="1:7" x14ac:dyDescent="0.3">
      <c r="A139" s="2">
        <v>4</v>
      </c>
      <c r="C139" s="38" t="s">
        <v>61</v>
      </c>
      <c r="D139" s="42">
        <f>TRUNC(1512,-1)</f>
        <v>1510</v>
      </c>
      <c r="E139" s="63">
        <f t="shared" si="5"/>
        <v>4990</v>
      </c>
    </row>
    <row r="140" spans="1:7" x14ac:dyDescent="0.3">
      <c r="A140" s="2">
        <v>5</v>
      </c>
      <c r="C140" s="38" t="s">
        <v>57</v>
      </c>
      <c r="D140" s="42">
        <v>1310</v>
      </c>
      <c r="E140" s="63">
        <f t="shared" si="5"/>
        <v>4330</v>
      </c>
    </row>
    <row r="141" spans="1:7" x14ac:dyDescent="0.3">
      <c r="A141" s="2">
        <v>6</v>
      </c>
      <c r="C141" s="38" t="s">
        <v>59</v>
      </c>
      <c r="D141" s="42">
        <f>TRUNC(15427,-1)</f>
        <v>15420</v>
      </c>
      <c r="E141" s="63">
        <f t="shared" si="5"/>
        <v>50970</v>
      </c>
    </row>
    <row r="142" spans="1:7" x14ac:dyDescent="0.3">
      <c r="A142" s="2">
        <v>7</v>
      </c>
      <c r="C142" s="38" t="s">
        <v>58</v>
      </c>
      <c r="D142" s="42">
        <f>TRUNC(8178,-1)</f>
        <v>8170</v>
      </c>
      <c r="E142" s="63">
        <f t="shared" si="5"/>
        <v>27000</v>
      </c>
    </row>
    <row r="143" spans="1:7" x14ac:dyDescent="0.3">
      <c r="A143" s="2">
        <v>8</v>
      </c>
      <c r="C143" s="38" t="s">
        <v>62</v>
      </c>
      <c r="D143" s="42">
        <f>TRUNC(9915,-1)</f>
        <v>9910</v>
      </c>
      <c r="E143" s="63">
        <f t="shared" si="5"/>
        <v>32760</v>
      </c>
    </row>
    <row r="144" spans="1:7" x14ac:dyDescent="0.3">
      <c r="A144" s="2">
        <v>9</v>
      </c>
      <c r="C144" s="38" t="s">
        <v>63</v>
      </c>
      <c r="D144" s="42">
        <f>TRUNC(35545,-1)</f>
        <v>35540</v>
      </c>
      <c r="E144" s="63">
        <f t="shared" si="5"/>
        <v>117480</v>
      </c>
    </row>
    <row r="145" spans="1:7" ht="17.25" thickBot="1" x14ac:dyDescent="0.35">
      <c r="A145" s="2">
        <v>10</v>
      </c>
      <c r="C145" s="38" t="s">
        <v>148</v>
      </c>
      <c r="D145" s="43">
        <f>TRUNC(1684,-1)</f>
        <v>1680</v>
      </c>
      <c r="E145" s="64">
        <f t="shared" si="5"/>
        <v>5550</v>
      </c>
    </row>
    <row r="146" spans="1:7" x14ac:dyDescent="0.3">
      <c r="A146" s="2">
        <v>11</v>
      </c>
      <c r="C146" s="27" t="s">
        <v>112</v>
      </c>
      <c r="D146" s="39">
        <f>SUM(D136:D145)</f>
        <v>156820</v>
      </c>
      <c r="E146" s="39">
        <f>SUM(E136:E145)</f>
        <v>518380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TRUNC(2453+784,-1)</f>
        <v>3230</v>
      </c>
      <c r="E149" s="62">
        <f>TRUNC(+D149*3.3058,-1)</f>
        <v>10670</v>
      </c>
    </row>
    <row r="150" spans="1:7" x14ac:dyDescent="0.3">
      <c r="A150" s="2">
        <v>2</v>
      </c>
      <c r="C150" s="38" t="s">
        <v>49</v>
      </c>
      <c r="D150" s="42">
        <f>TRUNC(686,-1)</f>
        <v>680</v>
      </c>
      <c r="E150" s="63">
        <f>TRUNC(+D150*3.3058,-1)</f>
        <v>2240</v>
      </c>
    </row>
    <row r="151" spans="1:7" x14ac:dyDescent="0.3">
      <c r="A151" s="2">
        <v>3</v>
      </c>
      <c r="C151" s="38" t="s">
        <v>50</v>
      </c>
      <c r="D151" s="42">
        <f>TRUNC(4806,-1)</f>
        <v>4800</v>
      </c>
      <c r="E151" s="63">
        <f>TRUNC(+D151*3.3058,-1)</f>
        <v>15860</v>
      </c>
    </row>
    <row r="152" spans="1:7" x14ac:dyDescent="0.3">
      <c r="A152" s="2">
        <v>4</v>
      </c>
      <c r="C152" s="38" t="s">
        <v>47</v>
      </c>
      <c r="D152" s="42">
        <f>TRUNC(111+2211+94+4227,-1)</f>
        <v>6640</v>
      </c>
      <c r="E152" s="63">
        <f>TRUNC(+D152*3.3058,-1)</f>
        <v>21950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15350</v>
      </c>
      <c r="E154" s="39">
        <f>SUM(E149:E153)</f>
        <v>50720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2020-12-08T01:25:28Z</dcterms:modified>
</cp:coreProperties>
</file>