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3" i="4" l="1"/>
  <c r="E151" i="4"/>
  <c r="E145" i="4"/>
  <c r="E144" i="4"/>
  <c r="E142" i="4"/>
  <c r="E141" i="4"/>
  <c r="E140" i="4"/>
  <c r="E139" i="4"/>
  <c r="E138" i="4"/>
  <c r="E130" i="4"/>
  <c r="E129" i="4"/>
  <c r="E127" i="4"/>
  <c r="E126" i="4"/>
  <c r="E116" i="4"/>
  <c r="E113" i="4"/>
  <c r="E112" i="4"/>
  <c r="E111" i="4"/>
  <c r="E110" i="4"/>
  <c r="E109" i="4"/>
  <c r="E107" i="4"/>
  <c r="E106" i="4"/>
  <c r="E103" i="4"/>
  <c r="E101" i="4"/>
  <c r="E92" i="4"/>
  <c r="E91" i="4"/>
  <c r="E89" i="4"/>
  <c r="E88" i="4"/>
  <c r="E87" i="4"/>
  <c r="E84" i="4"/>
  <c r="E83" i="4"/>
  <c r="E82" i="4"/>
  <c r="E80" i="4"/>
  <c r="E79" i="4"/>
  <c r="E77" i="4"/>
  <c r="E76" i="4"/>
  <c r="E74" i="4"/>
  <c r="E73" i="4"/>
  <c r="E65" i="4"/>
  <c r="E64" i="4"/>
  <c r="E59" i="4"/>
  <c r="E57" i="4"/>
  <c r="E56" i="4"/>
  <c r="D160" i="4" l="1"/>
  <c r="E160" i="4" s="1"/>
  <c r="D159" i="4"/>
  <c r="E159" i="4" s="1"/>
  <c r="D158" i="4"/>
  <c r="E158" i="4" s="1"/>
  <c r="D157" i="4"/>
  <c r="E157" i="4" s="1"/>
  <c r="E161" i="4" s="1"/>
  <c r="D152" i="4"/>
  <c r="E152" i="4" s="1"/>
  <c r="D150" i="4"/>
  <c r="E150" i="4" s="1"/>
  <c r="D149" i="4"/>
  <c r="E149" i="4" s="1"/>
  <c r="E154" i="4" s="1"/>
  <c r="D143" i="4"/>
  <c r="E143" i="4" s="1"/>
  <c r="D137" i="4"/>
  <c r="E137" i="4" s="1"/>
  <c r="D136" i="4"/>
  <c r="E136" i="4" s="1"/>
  <c r="D132" i="4"/>
  <c r="E132" i="4" s="1"/>
  <c r="D131" i="4"/>
  <c r="E131" i="4" s="1"/>
  <c r="D128" i="4"/>
  <c r="E128" i="4" s="1"/>
  <c r="D125" i="4"/>
  <c r="E125" i="4" s="1"/>
  <c r="D124" i="4"/>
  <c r="E124" i="4" s="1"/>
  <c r="D123" i="4"/>
  <c r="E123" i="4" s="1"/>
  <c r="D122" i="4"/>
  <c r="E122" i="4" s="1"/>
  <c r="D118" i="4"/>
  <c r="E118" i="4" s="1"/>
  <c r="D117" i="4"/>
  <c r="E117" i="4" s="1"/>
  <c r="D115" i="4"/>
  <c r="E115" i="4" s="1"/>
  <c r="D114" i="4"/>
  <c r="E114" i="4" s="1"/>
  <c r="D108" i="4"/>
  <c r="E108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90" i="4"/>
  <c r="E90" i="4" s="1"/>
  <c r="D86" i="4"/>
  <c r="E86" i="4" s="1"/>
  <c r="D85" i="4"/>
  <c r="E85" i="4" s="1"/>
  <c r="D81" i="4"/>
  <c r="E81" i="4" s="1"/>
  <c r="D78" i="4"/>
  <c r="E78" i="4" s="1"/>
  <c r="D75" i="4"/>
  <c r="E75" i="4" s="1"/>
  <c r="D72" i="4"/>
  <c r="E72" i="4" s="1"/>
  <c r="D71" i="4"/>
  <c r="E71" i="4" s="1"/>
  <c r="D70" i="4"/>
  <c r="E70" i="4" s="1"/>
  <c r="D69" i="4"/>
  <c r="E69" i="4" s="1"/>
  <c r="E95" i="4" s="1"/>
  <c r="D63" i="4"/>
  <c r="E63" i="4" s="1"/>
  <c r="E66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E119" i="4" l="1"/>
  <c r="E60" i="4"/>
  <c r="E133" i="4"/>
  <c r="E146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<sst xmlns="http://schemas.openxmlformats.org/spreadsheetml/2006/main" count="395" uniqueCount="269">
  <si>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</si>
  <si>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</si>
  <si>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</si>
  <si>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</si>
  <si>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</si>
  <si>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</si>
  <si>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</si>
  <si>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</si>
  <si>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</si>
  <si>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</si>
  <si>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</si>
  <si>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</si>
  <si>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</si>
  <si>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</si>
  <si>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</si>
  <si>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</si>
  <si>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</si>
  <si>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</si>
  <si>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</si>
  <si>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</si>
  <si>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</si>
  <si>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</si>
  <si>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</si>
  <si>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</si>
  <si>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</si>
  <si>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</si>
  <si>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</si>
  <si>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</si>
  <si>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</si>
  <si>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</si>
  <si>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</si>
  <si>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</si>
  <si>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</si>
  <si>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</si>
  <si>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</si>
  <si>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</si>
  <si>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</si>
  <si>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</si>
  <si>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</si>
  <si>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</si>
  <si>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</si>
  <si>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</si>
  <si>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</si>
  <si>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</si>
  <si>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</si>
  <si>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</si>
  <si>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</si>
  <si>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</si>
  <si>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</si>
  <si>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</si>
  <si>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</si>
  <si>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</si>
  <si>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</si>
  <si>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</si>
  <si>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</si>
  <si>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</si>
  <si>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</si>
  <si>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</si>
  <si>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</si>
  <si>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</si>
  <si>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</si>
  <si>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</si>
  <si>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</si>
  <si>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</si>
  <si>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</si>
  <si>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</si>
  <si>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</si>
  <si>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</si>
  <si>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</si>
  <si>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</si>
  <si>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</si>
  <si>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</si>
  <si>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</si>
  <si>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</si>
  <si>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</si>
  <si>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</si>
  <si>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</si>
  <si>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</si>
  <si>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</si>
  <si>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</si>
  <si>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</si>
  <si>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</si>
  <si>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</si>
  <si>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</si>
  <si>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</si>
  <si>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</si>
  <si>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</si>
  <si>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</si>
  <si>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</si>
  <si>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</si>
  <si>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</si>
  <si>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</si>
  <si>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</si>
  <si>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</si>
  <si>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</si>
  <si>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</si>
  <si>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</si>
  <si>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</si>
  <si>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</si>
  <si>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</si>
  <si>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</si>
  <si>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</si>
  <si>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</si>
  <si>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</si>
  <si>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</si>
  <si>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</si>
  <si>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</si>
  <si>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</si>
  <si>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</si>
  <si>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</si>
  <si>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</si>
  <si>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</si>
  <si>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</si>
  <si>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</si>
  <si>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</si>
  <si>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</si>
  <si>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</si>
  <si>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</si>
  <si>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</si>
  <si>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</si>
  <si>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</si>
  <si>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</si>
  <si>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</si>
  <si>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</si>
  <si>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</si>
  <si>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</si>
  <si>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</si>
  <si>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</si>
  <si>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</si>
  <si>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</si>
  <si>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</si>
  <si>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</si>
  <si>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</si>
  <si>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</si>
  <si>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</si>
  <si>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</si>
  <si>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</si>
  <si>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</si>
  <si>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</si>
  <si>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</si>
  <si>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</si>
  <si>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</si>
  <si>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</si>
  <si>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</si>
  <si>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</si>
  <si>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</si>
  <si>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</si>
  <si>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</si>
  <si>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</si>
  <si>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</si>
  <si>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</si>
  <si>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</si>
  <si>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</si>
  <si>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</si>
  <si>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</si>
  <si>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</si>
  <si>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</si>
  <si>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</si>
  <si>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</si>
  <si>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</si>
  <si>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</si>
  <si>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</si>
  <si>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</si>
  <si>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</si>
  <si>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</si>
  <si>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</si>
  <si>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</si>
  <si>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</si>
  <si>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</si>
  <si>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</si>
  <si>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</si>
  <si>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</si>
  <si>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</si>
  <si>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</si>
  <si>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</si>
  <si>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</si>
  <si>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</si>
  <si>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</si>
  <si>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</si>
  <si>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</si>
  <si>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</si>
  <si>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</si>
  <si>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</si>
  <si>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</si>
  <si>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</si>
  <si>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</si>
  <si>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</si>
  <si>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</si>
  <si>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</si>
  <si>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</si>
  <si>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</si>
  <si>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</si>
  <si>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</si>
  <si>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</si>
  <si>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</si>
  <si>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</si>
  <si>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</si>
  <si>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</si>
  <si>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</si>
  <si>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</si>
  <si>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</si>
  <si>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</si>
  <si>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</si>
  <si>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</si>
  <si>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</si>
  <si>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</si>
  <si>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</si>
  <si>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</si>
  <si>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</si>
  <si>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</si>
  <si>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</si>
  <si>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</si>
  <si>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</si>
  <si>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</si>
  <si>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</si>
  <si>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</si>
  <si>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</si>
  <si>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</si>
  <si>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</si>
  <si>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</si>
  <si>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</si>
  <si>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</si>
  <si>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</si>
  <si>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</si>
  <si>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</si>
  <si>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</si>
  <si>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</si>
  <si>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</si>
  <si>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</si>
  <si>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</si>
  <si>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</si>
  <si>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</si>
  <si>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</si>
  <si>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</si>
  <si>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업무</t>
  </si>
  <si>
    <t>경기도</t>
  </si>
  <si>
    <t>도급자설치관급</t>
  </si>
  <si>
    <t>전기소방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</si>
  <si>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</si>
  <si>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</si>
  <si>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</si>
  <si>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</si>
  <si>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</si>
  <si>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</si>
  <si>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</si>
  <si>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</si>
  <si>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</si>
  <si>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</si>
  <si>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</si>
  <si>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</si>
  <si>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</si>
  <si>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00우체국청사 건립공사</t>
    <phoneticPr fontId="2" type="noConversion"/>
  </si>
  <si>
    <t>토공사,잡공사,기타공사,골재비및운반비,작업부산물,폐기물처리수수료,정문및담장공사,국기게양대공사,화단공사,게시판공사</t>
    <phoneticPr fontId="2" type="noConversion"/>
  </si>
  <si>
    <t>가시설공사,상수공사,철거공사,부대및운반공,계측관리공사,일반자재</t>
    <phoneticPr fontId="2" type="noConversion"/>
  </si>
  <si>
    <t>객토공사</t>
    <phoneticPr fontId="2" type="noConversion"/>
  </si>
  <si>
    <t>공조배관공사,위생배관공사,복합조립식판넬공사</t>
    <phoneticPr fontId="2" type="noConversion"/>
  </si>
  <si>
    <t>옥외전력인입공사</t>
    <phoneticPr fontId="2" type="noConversion"/>
  </si>
  <si>
    <t>주차관제설비공사,옥외외등설비공사,가설창고설치공사</t>
    <phoneticPr fontId="2" type="noConversion"/>
  </si>
  <si>
    <t>도급자 설치관급, 관급자 설치관급</t>
    <phoneticPr fontId="2" type="noConversion"/>
  </si>
  <si>
    <t>TV공청설비</t>
    <phoneticPr fontId="2" type="noConversion"/>
  </si>
  <si>
    <t>전화설비</t>
    <phoneticPr fontId="2" type="noConversion"/>
  </si>
  <si>
    <t>CCTV설비공사,가설창고설치공사</t>
    <phoneticPr fontId="2" type="noConversion"/>
  </si>
  <si>
    <t>관급자설치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</si>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</sst>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4" fillId="0" borderId="0" xfId="0" applyFont="1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/>
    <row r="2" spans="1:3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>
      <c r="M31" s="3">
        <f>SUM(M5:M30)</f>
        <v>0</v>
      </c>
      <c r="O31" s="3">
        <f>SUM(O5:O30)</f>
        <v>0</v>
      </c>
    </row>
    <row r="32" spans="1:33">
      <c r="M32" s="2"/>
      <c r="O32" s="2"/>
      <c r="P32" s="2"/>
      <c r="R32" s="2"/>
      <c r="T32" s="2"/>
      <c r="V32" s="2"/>
      <c r="X32" s="2"/>
    </row>
    <row r="33" spans="13:24">
      <c r="M33" s="2"/>
      <c r="O33" s="2"/>
      <c r="P33" s="2"/>
      <c r="R33" s="2"/>
      <c r="T33" s="2"/>
      <c r="V33" s="2"/>
      <c r="X33" s="2"/>
    </row>
    <row r="34" spans="13:24">
      <c r="M34" s="2"/>
      <c r="O34" s="2"/>
      <c r="P34" s="2"/>
      <c r="R34" s="2"/>
      <c r="T34" s="2"/>
      <c r="V34" s="2"/>
      <c r="X34" s="2"/>
    </row>
    <row r="35" spans="13:24">
      <c r="M35" s="2"/>
      <c r="O35" s="2"/>
      <c r="P35" s="2"/>
      <c r="R35" s="2"/>
      <c r="T35" s="2"/>
      <c r="V35" s="2"/>
      <c r="X35" s="2"/>
    </row>
    <row r="36" spans="13:24">
      <c r="M36" s="2"/>
      <c r="O36" s="2"/>
      <c r="P36" s="2"/>
      <c r="R36" s="2"/>
      <c r="T36" s="2"/>
      <c r="V36" s="2"/>
      <c r="X36" s="2"/>
    </row>
    <row r="37" spans="13:24">
      <c r="M37" s="2"/>
      <c r="O37" s="2"/>
      <c r="P37" s="2"/>
      <c r="R37" s="2"/>
      <c r="T37" s="2"/>
      <c r="V37" s="2"/>
      <c r="X37" s="2"/>
    </row>
    <row r="38" spans="13:24">
      <c r="M38" s="2"/>
      <c r="O38" s="2"/>
      <c r="P38" s="2"/>
      <c r="R38" s="2"/>
      <c r="T38" s="2"/>
      <c r="V38" s="2"/>
      <c r="X38" s="2"/>
    </row>
    <row r="39" spans="13:24">
      <c r="M39" s="2"/>
      <c r="O39" s="2"/>
      <c r="P39" s="2"/>
      <c r="R39" s="2"/>
      <c r="T39" s="2"/>
      <c r="V39" s="2"/>
      <c r="X39" s="2"/>
    </row>
    <row r="40" spans="13:24">
      <c r="M40" s="2"/>
      <c r="O40" s="2"/>
      <c r="P40" s="2"/>
      <c r="R40" s="2"/>
      <c r="T40" s="2"/>
      <c r="V40" s="2"/>
      <c r="X40" s="2"/>
    </row>
    <row r="41" spans="13:24">
      <c r="M41" s="2"/>
      <c r="O41" s="2"/>
      <c r="P41" s="2"/>
      <c r="R41" s="2"/>
      <c r="T41" s="2"/>
      <c r="V41" s="2"/>
      <c r="X41" s="2"/>
    </row>
    <row r="42" spans="13:24">
      <c r="M42" s="2"/>
      <c r="O42" s="2"/>
      <c r="P42" s="2"/>
      <c r="R42" s="2"/>
      <c r="T42" s="2"/>
      <c r="V42" s="2"/>
      <c r="X42" s="2"/>
    </row>
    <row r="43" spans="13:24">
      <c r="M43" s="2"/>
      <c r="O43" s="2"/>
      <c r="P43" s="2"/>
      <c r="R43" s="2"/>
      <c r="T43" s="2"/>
      <c r="V43" s="2"/>
      <c r="X43" s="2"/>
    </row>
    <row r="44" spans="13:24">
      <c r="M44" s="2"/>
      <c r="O44" s="2"/>
      <c r="P44" s="2"/>
      <c r="R44" s="2"/>
      <c r="T44" s="2"/>
      <c r="V44" s="2"/>
      <c r="X44" s="2"/>
    </row>
    <row r="45" spans="13:24">
      <c r="M45" s="2"/>
      <c r="O45" s="2"/>
      <c r="P45" s="2"/>
      <c r="R45" s="2"/>
      <c r="T45" s="2"/>
      <c r="V45" s="2"/>
      <c r="X45" s="2"/>
    </row>
    <row r="46" spans="13:24">
      <c r="M46" s="2"/>
      <c r="O46" s="2"/>
      <c r="P46" s="2"/>
      <c r="R46" s="2"/>
      <c r="T46" s="2"/>
      <c r="V46" s="2"/>
      <c r="X46" s="2"/>
    </row>
    <row r="47" spans="13:24">
      <c r="M47" s="2"/>
      <c r="O47" s="2"/>
      <c r="P47" s="2"/>
      <c r="R47" s="2"/>
      <c r="T47" s="2"/>
      <c r="V47" s="2"/>
      <c r="X47" s="2"/>
    </row>
    <row r="48" spans="13:24">
      <c r="M48" s="2"/>
      <c r="O48" s="2"/>
      <c r="P48" s="2"/>
      <c r="R48" s="2"/>
      <c r="T48" s="2"/>
      <c r="V48" s="2"/>
      <c r="X48" s="2"/>
    </row>
    <row r="49" spans="13:24">
      <c r="M49" s="2"/>
      <c r="O49" s="2"/>
      <c r="P49" s="2"/>
      <c r="R49" s="2"/>
      <c r="T49" s="2"/>
      <c r="V49" s="2"/>
      <c r="X49" s="2"/>
    </row>
    <row r="50" spans="13:24">
      <c r="M50" s="2"/>
      <c r="O50" s="2"/>
      <c r="P50" s="2"/>
      <c r="R50" s="2"/>
      <c r="T50" s="2"/>
      <c r="V50" s="2"/>
      <c r="X50" s="2"/>
    </row>
    <row r="51" spans="13:24">
      <c r="M51" s="2"/>
      <c r="O51" s="2"/>
      <c r="P51" s="2"/>
      <c r="R51" s="2"/>
      <c r="T51" s="2"/>
      <c r="V51" s="2"/>
      <c r="X51" s="2"/>
    </row>
    <row r="52" spans="13:24">
      <c r="M52" s="2"/>
      <c r="O52" s="2"/>
      <c r="P52" s="2"/>
      <c r="R52" s="2"/>
      <c r="T52" s="2"/>
      <c r="V52" s="2"/>
      <c r="X52" s="2"/>
    </row>
    <row r="53" spans="13:24">
      <c r="M53" s="2"/>
      <c r="O53" s="2"/>
      <c r="P53" s="2"/>
      <c r="R53" s="2"/>
      <c r="T53" s="2"/>
      <c r="V53" s="2"/>
      <c r="X53" s="2"/>
    </row>
    <row r="54" spans="13:24">
      <c r="M54" s="2"/>
      <c r="O54" s="2"/>
      <c r="P54" s="2"/>
      <c r="R54" s="2"/>
      <c r="T54" s="2"/>
      <c r="V54" s="2"/>
      <c r="X54" s="2"/>
    </row>
    <row r="55" spans="13:24">
      <c r="M55" s="2"/>
      <c r="O55" s="2"/>
      <c r="P55" s="2"/>
      <c r="R55" s="2"/>
      <c r="T55" s="2"/>
      <c r="V55" s="2"/>
      <c r="X55" s="2"/>
    </row>
    <row r="56" spans="13:24">
      <c r="M56" s="2"/>
      <c r="O56" s="2"/>
      <c r="P56" s="2"/>
      <c r="R56" s="2"/>
      <c r="T56" s="2"/>
      <c r="V56" s="2"/>
      <c r="X56" s="2"/>
    </row>
    <row r="57" spans="13:24">
      <c r="M57" s="2"/>
      <c r="O57" s="2"/>
      <c r="P57" s="2"/>
      <c r="R57" s="2"/>
      <c r="T57" s="2"/>
      <c r="V57" s="2"/>
      <c r="X57" s="2"/>
    </row>
    <row r="58" spans="13:24">
      <c r="M58" s="2"/>
      <c r="O58" s="2"/>
      <c r="P58" s="2"/>
      <c r="R58" s="2"/>
      <c r="T58" s="2"/>
      <c r="V58" s="2"/>
      <c r="X58" s="2"/>
    </row>
    <row r="59" spans="13:24">
      <c r="M59" s="2"/>
      <c r="O59" s="2"/>
      <c r="P59" s="2"/>
      <c r="R59" s="2"/>
      <c r="T59" s="2"/>
      <c r="V59" s="2"/>
      <c r="X59" s="2"/>
    </row>
    <row r="60" spans="13:24">
      <c r="M60" s="2"/>
      <c r="O60" s="2"/>
      <c r="P60" s="2"/>
      <c r="R60" s="2"/>
      <c r="T60" s="2"/>
      <c r="V60" s="2"/>
      <c r="X60" s="2"/>
    </row>
    <row r="61" spans="13:24">
      <c r="M61" s="2"/>
      <c r="O61" s="2"/>
      <c r="P61" s="2"/>
      <c r="R61" s="2"/>
      <c r="T61" s="2"/>
      <c r="V61" s="2"/>
      <c r="X61" s="2"/>
    </row>
    <row r="62" spans="13:24">
      <c r="M62" s="2"/>
      <c r="O62" s="2"/>
      <c r="P62" s="2"/>
      <c r="R62" s="2"/>
      <c r="T62" s="2"/>
      <c r="V62" s="2"/>
      <c r="X62" s="2"/>
    </row>
    <row r="63" spans="13:24">
      <c r="M63" s="2"/>
      <c r="O63" s="2"/>
      <c r="P63" s="2"/>
      <c r="R63" s="2"/>
      <c r="T63" s="2"/>
      <c r="V63" s="2"/>
      <c r="X63" s="2"/>
    </row>
    <row r="64" spans="13:24">
      <c r="M64" s="2"/>
      <c r="O64" s="2"/>
      <c r="P64" s="2"/>
      <c r="R64" s="2"/>
      <c r="T64" s="2"/>
      <c r="V64" s="2"/>
      <c r="X64" s="2"/>
    </row>
    <row r="65" spans="13:24">
      <c r="M65" s="2"/>
      <c r="O65" s="2"/>
      <c r="P65" s="2"/>
      <c r="R65" s="2"/>
      <c r="T65" s="2"/>
      <c r="V65" s="2"/>
      <c r="X65" s="2"/>
    </row>
    <row r="66" spans="13:24">
      <c r="M66" s="2"/>
      <c r="O66" s="2"/>
      <c r="P66" s="2"/>
      <c r="R66" s="2"/>
      <c r="T66" s="2"/>
      <c r="V66" s="2"/>
      <c r="X66" s="2"/>
    </row>
    <row r="67" spans="13:24">
      <c r="M67" s="2"/>
      <c r="O67" s="2"/>
      <c r="P67" s="2"/>
      <c r="R67" s="2"/>
      <c r="T67" s="2"/>
      <c r="V67" s="2"/>
      <c r="X67" s="2"/>
    </row>
    <row r="68" spans="13:24">
      <c r="M68" s="2"/>
      <c r="O68" s="2"/>
      <c r="P68" s="2"/>
      <c r="R68" s="2"/>
      <c r="T68" s="2"/>
      <c r="V68" s="2"/>
      <c r="X68" s="2"/>
    </row>
    <row r="69" spans="13:24">
      <c r="M69" s="2"/>
      <c r="O69" s="2"/>
      <c r="P69" s="2"/>
      <c r="R69" s="2"/>
      <c r="T69" s="2"/>
      <c r="V69" s="2"/>
      <c r="X69" s="2"/>
    </row>
    <row r="70" spans="13:24">
      <c r="M70" s="2"/>
      <c r="O70" s="2"/>
      <c r="P70" s="2"/>
      <c r="R70" s="2"/>
      <c r="T70" s="2"/>
      <c r="V70" s="2"/>
      <c r="X70" s="2"/>
    </row>
    <row r="71" spans="13:24">
      <c r="M71" s="2"/>
      <c r="O71" s="2"/>
      <c r="P71" s="2"/>
      <c r="R71" s="2"/>
      <c r="T71" s="2"/>
      <c r="V71" s="2"/>
      <c r="X71" s="2"/>
    </row>
    <row r="72" spans="13:24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/>
    <row r="2" spans="1:4" ht="17.25" thickBot="1">
      <c r="A2" s="2">
        <v>1</v>
      </c>
      <c r="B2" s="2" t="s">
        <v>102</v>
      </c>
      <c r="C2" s="36" t="s">
        <v>251</v>
      </c>
    </row>
    <row r="3" spans="1:4" ht="17.25" thickBot="1"/>
    <row r="4" spans="1:4" ht="17.25" thickBot="1">
      <c r="A4" s="2">
        <v>2</v>
      </c>
      <c r="B4" s="2" t="s">
        <v>103</v>
      </c>
      <c r="C4" s="36" t="s">
        <v>234</v>
      </c>
    </row>
    <row r="6" spans="1:4" ht="17.25" thickBot="1">
      <c r="A6" s="2">
        <v>3</v>
      </c>
      <c r="B6" s="2" t="s">
        <v>150</v>
      </c>
      <c r="C6" s="2" t="s">
        <v>104</v>
      </c>
      <c r="D6" s="35" t="s">
        <v>239</v>
      </c>
    </row>
    <row r="7" spans="1:4" ht="17.25" thickBot="1">
      <c r="C7" s="37">
        <v>5998</v>
      </c>
      <c r="D7" s="36">
        <f>+C7/3.3058</f>
        <v>1814.3868352592413</v>
      </c>
    </row>
    <row r="8" spans="1:4" ht="17.25" thickBot="1"/>
    <row r="9" spans="1:4" ht="17.25" thickBot="1">
      <c r="A9" s="2">
        <v>4</v>
      </c>
      <c r="B9" s="2" t="s">
        <v>105</v>
      </c>
      <c r="C9" s="36" t="s">
        <v>235</v>
      </c>
    </row>
    <row r="10" spans="1:4" ht="17.25" thickBot="1"/>
    <row r="11" spans="1:4" ht="17.25" thickBot="1">
      <c r="A11" s="2">
        <v>5</v>
      </c>
      <c r="B11" s="2" t="s">
        <v>106</v>
      </c>
      <c r="C11" s="36" t="s">
        <v>179</v>
      </c>
    </row>
    <row r="12" spans="1:4" ht="17.25" thickBot="1"/>
    <row r="13" spans="1:4" ht="17.25" thickBot="1">
      <c r="A13" s="2">
        <v>6</v>
      </c>
      <c r="B13" s="2" t="s">
        <v>107</v>
      </c>
      <c r="C13" s="36" t="s">
        <v>114</v>
      </c>
    </row>
    <row r="14" spans="1:4" ht="17.25" thickBot="1"/>
    <row r="15" spans="1:4" ht="17.25" thickBot="1">
      <c r="A15" s="2">
        <v>7</v>
      </c>
      <c r="B15" s="2" t="s">
        <v>108</v>
      </c>
      <c r="C15" s="36" t="s">
        <v>149</v>
      </c>
    </row>
    <row r="17" spans="1:5">
      <c r="A17" s="2">
        <v>8</v>
      </c>
      <c r="B17" s="2" t="s">
        <v>267</v>
      </c>
    </row>
    <row r="19" spans="1:5">
      <c r="A19" s="2">
        <v>9</v>
      </c>
      <c r="B19" s="2" t="s">
        <v>268</v>
      </c>
    </row>
    <row r="23" spans="1:5">
      <c r="A23" s="2">
        <v>10</v>
      </c>
      <c r="B23" s="2" t="s">
        <v>109</v>
      </c>
      <c r="C23" s="2" t="s">
        <v>113</v>
      </c>
      <c r="D23" s="2" t="s">
        <v>240</v>
      </c>
      <c r="E23" s="35" t="s">
        <v>263</v>
      </c>
    </row>
    <row r="24" spans="1:5">
      <c r="B24" s="2">
        <v>1</v>
      </c>
      <c r="C24" s="35" t="s">
        <v>110</v>
      </c>
      <c r="D24" s="41">
        <f>+D37</f>
        <v>7000</v>
      </c>
      <c r="E24" s="58">
        <f t="shared" ref="E24:E33" si="0">TRUNC(+D24*3.3058,-1)</f>
        <v>23140</v>
      </c>
    </row>
    <row r="25" spans="1:5">
      <c r="B25" s="2">
        <v>2</v>
      </c>
      <c r="C25" s="35" t="s">
        <v>111</v>
      </c>
      <c r="D25" s="45">
        <f>+D60</f>
        <v>444650</v>
      </c>
      <c r="E25" s="59">
        <f t="shared" si="0"/>
        <v>1469920</v>
      </c>
    </row>
    <row r="26" spans="1:5">
      <c r="B26" s="2">
        <v>3</v>
      </c>
      <c r="C26" s="35" t="s">
        <v>95</v>
      </c>
      <c r="D26" s="45">
        <f>+D66</f>
        <v>17660</v>
      </c>
      <c r="E26" s="59">
        <f t="shared" si="0"/>
        <v>58380</v>
      </c>
    </row>
    <row r="27" spans="1:5">
      <c r="B27" s="2">
        <v>4</v>
      </c>
      <c r="C27" s="35" t="s">
        <v>96</v>
      </c>
      <c r="D27" s="45">
        <f>+D95</f>
        <v>162300</v>
      </c>
      <c r="E27" s="59">
        <f t="shared" si="0"/>
        <v>536530</v>
      </c>
    </row>
    <row r="28" spans="1:5">
      <c r="B28" s="2">
        <v>5</v>
      </c>
      <c r="C28" s="35" t="s">
        <v>97</v>
      </c>
      <c r="D28" s="45">
        <f>+D119</f>
        <v>112890</v>
      </c>
      <c r="E28" s="59">
        <f t="shared" si="0"/>
        <v>373190</v>
      </c>
    </row>
    <row r="29" spans="1:5">
      <c r="B29" s="2">
        <v>6</v>
      </c>
      <c r="C29" s="35" t="s">
        <v>98</v>
      </c>
      <c r="D29" s="45">
        <f>+D133</f>
        <v>55200</v>
      </c>
      <c r="E29" s="59">
        <f t="shared" si="0"/>
        <v>182480</v>
      </c>
    </row>
    <row r="30" spans="1:5">
      <c r="B30" s="2">
        <v>7</v>
      </c>
      <c r="C30" s="35" t="s">
        <v>99</v>
      </c>
      <c r="D30" s="45">
        <f>+D146</f>
        <v>38910</v>
      </c>
      <c r="E30" s="59">
        <f t="shared" si="0"/>
        <v>128620</v>
      </c>
    </row>
    <row r="31" spans="1:5">
      <c r="B31" s="2">
        <v>8</v>
      </c>
      <c r="C31" s="35" t="s">
        <v>100</v>
      </c>
      <c r="D31" s="45">
        <f>+D154</f>
        <v>24680</v>
      </c>
      <c r="E31" s="59">
        <f t="shared" si="0"/>
        <v>81580</v>
      </c>
    </row>
    <row r="32" spans="1:5">
      <c r="B32" s="2">
        <v>9</v>
      </c>
      <c r="C32" s="35" t="s">
        <v>101</v>
      </c>
      <c r="D32" s="45">
        <f>+D161</f>
        <v>119720</v>
      </c>
      <c r="E32" s="59">
        <f t="shared" si="0"/>
        <v>395770</v>
      </c>
    </row>
    <row r="33" spans="1:7">
      <c r="B33" s="2">
        <v>10</v>
      </c>
      <c r="C33" s="35" t="s">
        <v>153</v>
      </c>
      <c r="D33" s="53">
        <f>TRUNC(SUM(D24:D32)*0.275,-1)</f>
        <v>270320</v>
      </c>
      <c r="E33" s="60">
        <f t="shared" si="0"/>
        <v>893620</v>
      </c>
    </row>
    <row r="34" spans="1:7">
      <c r="C34" s="35" t="s">
        <v>112</v>
      </c>
      <c r="D34" s="44">
        <f>SUM(D24:D33)</f>
        <v>1253330</v>
      </c>
      <c r="E34" s="44">
        <f>SUM(E24:E33)</f>
        <v>4143230</v>
      </c>
    </row>
    <row r="35" spans="1:7" s="55" customFormat="1">
      <c r="C35" s="56"/>
      <c r="D35" s="56"/>
      <c r="E35" s="56"/>
      <c r="G35" s="54"/>
    </row>
    <row r="36" spans="1:7" s="55" customFormat="1" ht="17.25" thickBot="1">
      <c r="B36" s="55" t="s">
        <v>12</v>
      </c>
      <c r="C36" s="55" t="s">
        <v>241</v>
      </c>
      <c r="D36" s="56" t="s">
        <v>238</v>
      </c>
      <c r="E36" s="56" t="s">
        <v>263</v>
      </c>
      <c r="G36" s="54"/>
    </row>
    <row r="37" spans="1:7" ht="17.25" thickBot="1">
      <c r="C37" s="38" t="s">
        <v>143</v>
      </c>
      <c r="D37" s="52">
        <f>TRUNC(7002.07630339971,-1)</f>
        <v>7000</v>
      </c>
      <c r="E37" s="61">
        <f>TRUNC(+D37*3.3058,-1)</f>
        <v>23140</v>
      </c>
    </row>
    <row r="38" spans="1:7" s="66" customFormat="1">
      <c r="C38" s="67"/>
      <c r="D38" s="67"/>
      <c r="E38" s="67"/>
      <c r="G38" s="68"/>
    </row>
    <row r="39" spans="1:7" s="66" customFormat="1" ht="17.25" thickBot="1">
      <c r="B39" s="66" t="s">
        <v>111</v>
      </c>
      <c r="C39" s="66" t="s">
        <v>245</v>
      </c>
      <c r="D39" s="67" t="s">
        <v>264</v>
      </c>
      <c r="E39" s="67" t="s">
        <v>265</v>
      </c>
      <c r="G39" s="68"/>
    </row>
    <row r="40" spans="1:7">
      <c r="A40" s="2">
        <v>1</v>
      </c>
      <c r="C40" s="38" t="s">
        <v>15</v>
      </c>
      <c r="D40" s="40">
        <f>TRUNC(31410.8584966056,-1)</f>
        <v>31410</v>
      </c>
      <c r="E40" s="62">
        <f t="shared" ref="E40:E59" si="1">TRUNC(+D40*3.3058,-1)</f>
        <v>103830</v>
      </c>
    </row>
    <row r="41" spans="1:7">
      <c r="A41" s="2">
        <v>2</v>
      </c>
      <c r="C41" s="38" t="s">
        <v>13</v>
      </c>
      <c r="D41" s="42">
        <f>TRUNC(100063.925603852,-1)</f>
        <v>100060</v>
      </c>
      <c r="E41" s="63">
        <f t="shared" si="1"/>
        <v>330770</v>
      </c>
    </row>
    <row r="42" spans="1:7">
      <c r="A42" s="2">
        <v>3</v>
      </c>
      <c r="C42" s="38" t="s">
        <v>14</v>
      </c>
      <c r="D42" s="42">
        <f>TRUNC(21539.8994024834,-1)</f>
        <v>21530</v>
      </c>
      <c r="E42" s="63">
        <f t="shared" si="1"/>
        <v>71170</v>
      </c>
    </row>
    <row r="43" spans="1:7">
      <c r="A43" s="2">
        <v>4</v>
      </c>
      <c r="C43" s="38" t="s">
        <v>16</v>
      </c>
      <c r="D43" s="42">
        <f>TRUNC(10939.0521426571,-1)</f>
        <v>10930</v>
      </c>
      <c r="E43" s="63">
        <f t="shared" si="1"/>
        <v>36130</v>
      </c>
    </row>
    <row r="44" spans="1:7">
      <c r="A44" s="2">
        <v>5</v>
      </c>
      <c r="C44" s="38" t="s">
        <v>17</v>
      </c>
      <c r="D44" s="42">
        <f>TRUNC(21569.7465556104,-1)</f>
        <v>21560</v>
      </c>
      <c r="E44" s="63">
        <f t="shared" si="1"/>
        <v>71270</v>
      </c>
    </row>
    <row r="45" spans="1:7">
      <c r="A45" s="2">
        <v>6</v>
      </c>
      <c r="C45" s="38" t="s">
        <v>18</v>
      </c>
      <c r="D45" s="42">
        <f>TRUNC(3374.47367192606,-1)</f>
        <v>3370</v>
      </c>
      <c r="E45" s="63">
        <f t="shared" si="1"/>
        <v>11140</v>
      </c>
    </row>
    <row r="46" spans="1:7">
      <c r="A46" s="2">
        <v>7</v>
      </c>
      <c r="C46" s="38" t="s">
        <v>19</v>
      </c>
      <c r="D46" s="42">
        <f>TRUNC(46553.2645011136,-1)</f>
        <v>46550</v>
      </c>
      <c r="E46" s="63">
        <f t="shared" si="1"/>
        <v>153880</v>
      </c>
    </row>
    <row r="47" spans="1:7">
      <c r="A47" s="2">
        <v>8</v>
      </c>
      <c r="C47" s="38" t="s">
        <v>20</v>
      </c>
      <c r="D47" s="42">
        <f>TRUNC(2485.29782466623,-1)</f>
        <v>2480</v>
      </c>
      <c r="E47" s="63">
        <f t="shared" si="1"/>
        <v>8190</v>
      </c>
    </row>
    <row r="48" spans="1:7">
      <c r="A48" s="2">
        <v>9</v>
      </c>
      <c r="C48" s="38" t="s">
        <v>21</v>
      </c>
      <c r="D48" s="42">
        <f>TRUNC(52831.7837470157,-1)</f>
        <v>52830</v>
      </c>
      <c r="E48" s="63">
        <f t="shared" si="1"/>
        <v>174640</v>
      </c>
    </row>
    <row r="49" spans="1:7">
      <c r="A49" s="2">
        <v>10</v>
      </c>
      <c r="C49" s="38" t="s">
        <v>22</v>
      </c>
      <c r="D49" s="42">
        <f>TRUNC(15283.6748269469,-1)</f>
        <v>15280</v>
      </c>
      <c r="E49" s="63">
        <f t="shared" si="1"/>
        <v>50510</v>
      </c>
    </row>
    <row r="50" spans="1:7">
      <c r="A50" s="2">
        <v>11</v>
      </c>
      <c r="C50" s="38" t="s">
        <v>154</v>
      </c>
      <c r="D50" s="42">
        <f>TRUNC(31332.7373727943,-1)</f>
        <v>31330</v>
      </c>
      <c r="E50" s="63">
        <f t="shared" si="1"/>
        <v>103570</v>
      </c>
    </row>
    <row r="51" spans="1:7">
      <c r="A51" s="2">
        <v>12</v>
      </c>
      <c r="C51" s="38" t="s">
        <v>23</v>
      </c>
      <c r="D51" s="42">
        <f>TRUNC(6547.93603371701,-1)</f>
        <v>6540</v>
      </c>
      <c r="E51" s="63">
        <f t="shared" si="1"/>
        <v>21610</v>
      </c>
    </row>
    <row r="52" spans="1:7">
      <c r="A52" s="2">
        <v>13</v>
      </c>
      <c r="C52" s="38" t="s">
        <v>24</v>
      </c>
      <c r="D52" s="42">
        <f>TRUNC(5425.392286968,-1)</f>
        <v>5420</v>
      </c>
      <c r="E52" s="63">
        <f t="shared" si="1"/>
        <v>17910</v>
      </c>
    </row>
    <row r="53" spans="1:7">
      <c r="A53" s="2">
        <v>14</v>
      </c>
      <c r="C53" s="38" t="s">
        <v>25</v>
      </c>
      <c r="D53" s="42">
        <f>TRUNC(28079.444362938,-1)</f>
        <v>28070</v>
      </c>
      <c r="E53" s="63">
        <f t="shared" si="1"/>
        <v>92790</v>
      </c>
    </row>
    <row r="54" spans="1:7">
      <c r="A54" s="2">
        <v>15</v>
      </c>
      <c r="C54" s="38" t="s">
        <v>147</v>
      </c>
      <c r="D54" s="42">
        <f>TRUNC(13757.5813249396,-1)</f>
        <v>13750</v>
      </c>
      <c r="E54" s="63">
        <f t="shared" si="1"/>
        <v>45450</v>
      </c>
    </row>
    <row r="55" spans="1:7">
      <c r="A55" s="2">
        <v>16</v>
      </c>
      <c r="C55" s="38" t="s">
        <v>144</v>
      </c>
      <c r="D55" s="42">
        <f>TRUNC(2135.0005668405,-1)</f>
        <v>2130</v>
      </c>
      <c r="E55" s="63">
        <f t="shared" si="1"/>
        <v>7040</v>
      </c>
    </row>
    <row r="56" spans="1:7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>
      <c r="A58" s="2">
        <v>19</v>
      </c>
      <c r="C58" s="38" t="s">
        <v>26</v>
      </c>
      <c r="D58" s="42">
        <f>TRUNC(316.890012937301+4862.87678221321+23121.6341344679+5230.6080531363-389.169345265882+1378.33602304707+7875.74306120544+295.589980927484+8516.80998839644+202.751677181002,-1)</f>
        <v>51410</v>
      </c>
      <c r="E58" s="63">
        <f t="shared" si="1"/>
        <v>169950</v>
      </c>
      <c r="F58" s="2" t="s">
        <v>252</v>
      </c>
    </row>
    <row r="59" spans="1:7" ht="17.25" thickBot="1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>
      <c r="A60" s="2">
        <v>21</v>
      </c>
      <c r="C60" s="27" t="s">
        <v>112</v>
      </c>
      <c r="D60" s="39">
        <f>SUM(D40:D59)</f>
        <v>444650</v>
      </c>
      <c r="E60" s="39">
        <f>SUM(E40:E59)</f>
        <v>1469850</v>
      </c>
    </row>
    <row r="61" spans="1:7" s="55" customFormat="1">
      <c r="C61" s="56"/>
      <c r="D61" s="56"/>
      <c r="E61" s="56"/>
      <c r="G61" s="54"/>
    </row>
    <row r="62" spans="1:7" s="55" customFormat="1" ht="17.25" thickBot="1">
      <c r="B62" s="55" t="s">
        <v>242</v>
      </c>
      <c r="C62" s="55" t="s">
        <v>243</v>
      </c>
      <c r="D62" s="56" t="s">
        <v>240</v>
      </c>
      <c r="E62" s="56" t="s">
        <v>263</v>
      </c>
      <c r="G62" s="54"/>
    </row>
    <row r="63" spans="1:7">
      <c r="A63" s="2">
        <v>1</v>
      </c>
      <c r="C63" s="38" t="s">
        <v>27</v>
      </c>
      <c r="D63" s="40">
        <f>TRUNC(17669.5810048414,-1)</f>
        <v>17660</v>
      </c>
      <c r="E63" s="62">
        <f>TRUNC(+D63*3.3058,-1)</f>
        <v>58380</v>
      </c>
    </row>
    <row r="64" spans="1:7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>
      <c r="A66" s="2">
        <v>4</v>
      </c>
      <c r="C66" s="27" t="s">
        <v>112</v>
      </c>
      <c r="D66" s="39">
        <f>SUM(D63:D65)</f>
        <v>17660</v>
      </c>
      <c r="E66" s="65">
        <f>SUM(E63:E65)</f>
        <v>58380</v>
      </c>
    </row>
    <row r="67" spans="1:7" s="55" customFormat="1">
      <c r="C67" s="56"/>
      <c r="D67" s="56"/>
      <c r="E67" s="56"/>
      <c r="G67" s="54"/>
    </row>
    <row r="68" spans="1:7" s="55" customFormat="1" ht="17.25" thickBot="1">
      <c r="B68" s="55" t="s">
        <v>244</v>
      </c>
      <c r="C68" s="55" t="s">
        <v>245</v>
      </c>
      <c r="D68" s="56" t="s">
        <v>238</v>
      </c>
      <c r="E68" s="56" t="s">
        <v>263</v>
      </c>
      <c r="G68" s="54"/>
    </row>
    <row r="69" spans="1:7">
      <c r="A69" s="2">
        <v>1</v>
      </c>
      <c r="C69" s="38" t="s">
        <v>30</v>
      </c>
      <c r="D69" s="40">
        <f>TRUNC(23057.6693519346,-1)</f>
        <v>23050</v>
      </c>
      <c r="E69" s="62">
        <f>TRUNC(+D69*3.3058,-1)</f>
        <v>76190</v>
      </c>
    </row>
    <row r="70" spans="1:7" ht="16.5" customHeight="1">
      <c r="A70" s="2">
        <v>2</v>
      </c>
      <c r="C70" s="38" t="s">
        <v>31</v>
      </c>
      <c r="D70" s="42">
        <f>TRUNC(264.49577870547,-1)</f>
        <v>260</v>
      </c>
      <c r="E70" s="63">
        <f>TRUNC(+D70*3.3058,-1)</f>
        <v>850</v>
      </c>
    </row>
    <row r="71" spans="1:7">
      <c r="A71" s="2">
        <v>3</v>
      </c>
      <c r="C71" s="38" t="s">
        <v>32</v>
      </c>
      <c r="D71" s="42">
        <f>TRUNC(18952.9177281033,-1)</f>
        <v>18950</v>
      </c>
      <c r="E71" s="63">
        <f t="shared" ref="E71:E73" si="2">TRUNC(+D71*3.3058,-1)</f>
        <v>62640</v>
      </c>
    </row>
    <row r="72" spans="1:7">
      <c r="A72" s="2">
        <v>4</v>
      </c>
      <c r="C72" s="38" t="s">
        <v>33</v>
      </c>
      <c r="D72" s="42">
        <f>TRUNC(4280.10906678048,-1)</f>
        <v>4280</v>
      </c>
      <c r="E72" s="63">
        <f t="shared" si="2"/>
        <v>14140</v>
      </c>
    </row>
    <row r="73" spans="1:7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>
      <c r="A75" s="2">
        <v>7</v>
      </c>
      <c r="C75" s="38" t="s">
        <v>140</v>
      </c>
      <c r="D75" s="42">
        <f>TRUNC(743.321285194126,-1)</f>
        <v>740</v>
      </c>
      <c r="E75" s="63">
        <f>TRUNC(+D75*3.3058,-1)</f>
        <v>2440</v>
      </c>
    </row>
    <row r="76" spans="1:7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>
      <c r="A78" s="2">
        <v>10</v>
      </c>
      <c r="C78" s="38" t="s">
        <v>137</v>
      </c>
      <c r="D78" s="42">
        <f>TRUNC(21558.7803593102,-1)</f>
        <v>21550</v>
      </c>
      <c r="E78" s="63">
        <f t="shared" si="3"/>
        <v>71230</v>
      </c>
    </row>
    <row r="79" spans="1:7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>
      <c r="A81" s="2">
        <v>13</v>
      </c>
      <c r="C81" s="38" t="s">
        <v>121</v>
      </c>
      <c r="D81" s="42">
        <f>TRUNC(11185.461874975,-1)</f>
        <v>11180</v>
      </c>
      <c r="E81" s="63">
        <f t="shared" si="3"/>
        <v>36950</v>
      </c>
    </row>
    <row r="82" spans="1:7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>
      <c r="A85" s="2">
        <v>17</v>
      </c>
      <c r="C85" s="38" t="s">
        <v>123</v>
      </c>
      <c r="D85" s="42">
        <f>TRUNC(2280.55537031356,-1)</f>
        <v>2280</v>
      </c>
      <c r="E85" s="63">
        <f t="shared" si="3"/>
        <v>7530</v>
      </c>
    </row>
    <row r="86" spans="1:7">
      <c r="A86" s="2">
        <v>18</v>
      </c>
      <c r="C86" s="38" t="s">
        <v>141</v>
      </c>
      <c r="D86" s="42">
        <f>TRUNC(16493.7965976233,-1)</f>
        <v>16490</v>
      </c>
      <c r="E86" s="63">
        <f t="shared" si="3"/>
        <v>54510</v>
      </c>
    </row>
    <row r="87" spans="1:7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>
      <c r="A90" s="2">
        <v>22</v>
      </c>
      <c r="C90" s="38" t="s">
        <v>36</v>
      </c>
      <c r="D90" s="42">
        <f>TRUNC(979.689771529936,-1)</f>
        <v>970</v>
      </c>
      <c r="E90" s="63">
        <f>TRUNC(+D90*3.3058,-1)</f>
        <v>3200</v>
      </c>
    </row>
    <row r="91" spans="1:7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>
      <c r="A93" s="2">
        <v>25</v>
      </c>
      <c r="C93" s="38" t="s">
        <v>148</v>
      </c>
      <c r="D93" s="42">
        <f>TRUNC(25945.1231711058,-1)</f>
        <v>25940</v>
      </c>
      <c r="E93" s="63">
        <f>TRUNC(+D93*3.3058,-1)</f>
        <v>85750</v>
      </c>
      <c r="F93" s="2" t="s">
        <v>262</v>
      </c>
    </row>
    <row r="94" spans="1:7" ht="17.25" thickBot="1">
      <c r="A94" s="2">
        <v>26</v>
      </c>
      <c r="C94" s="38" t="s">
        <v>47</v>
      </c>
      <c r="D94" s="43">
        <f>TRUNC(15400.1520466276+20425.1833895728+790.837190071622,-1)</f>
        <v>36610</v>
      </c>
      <c r="E94" s="64">
        <f>TRUNC(+D94*3.3058,-1)</f>
        <v>121020</v>
      </c>
      <c r="F94" s="2" t="s">
        <v>255</v>
      </c>
    </row>
    <row r="95" spans="1:7">
      <c r="A95" s="2">
        <v>27</v>
      </c>
      <c r="C95" s="27" t="s">
        <v>112</v>
      </c>
      <c r="D95" s="39">
        <f>SUM(D69:D94)</f>
        <v>162300</v>
      </c>
      <c r="E95" s="39">
        <f>SUM(E69:E94)</f>
        <v>536450</v>
      </c>
    </row>
    <row r="96" spans="1:7" s="55" customFormat="1">
      <c r="C96" s="56"/>
      <c r="D96" s="56"/>
      <c r="E96" s="56"/>
      <c r="G96" s="54"/>
    </row>
    <row r="97" spans="1:7" s="55" customFormat="1" ht="17.25" thickBot="1">
      <c r="B97" s="55" t="s">
        <v>246</v>
      </c>
      <c r="C97" s="55" t="s">
        <v>245</v>
      </c>
      <c r="D97" s="56" t="s">
        <v>238</v>
      </c>
      <c r="E97" s="56" t="s">
        <v>263</v>
      </c>
      <c r="G97" s="54"/>
    </row>
    <row r="98" spans="1:7">
      <c r="A98" s="2">
        <v>1</v>
      </c>
      <c r="C98" s="38" t="s">
        <v>39</v>
      </c>
      <c r="D98" s="40">
        <f>TRUNC(8666.34384544594,-1)</f>
        <v>8660</v>
      </c>
      <c r="E98" s="62">
        <f t="shared" ref="E98:E118" si="4">TRUNC(+D98*3.3058,-1)</f>
        <v>28620</v>
      </c>
    </row>
    <row r="99" spans="1:7">
      <c r="A99" s="2">
        <v>2</v>
      </c>
      <c r="C99" s="38" t="s">
        <v>40</v>
      </c>
      <c r="D99" s="42">
        <f>TRUNC(5983.48210117769,-1)</f>
        <v>5980</v>
      </c>
      <c r="E99" s="63">
        <f t="shared" si="4"/>
        <v>19760</v>
      </c>
    </row>
    <row r="100" spans="1:7">
      <c r="A100" s="2">
        <v>3</v>
      </c>
      <c r="C100" s="38" t="s">
        <v>41</v>
      </c>
      <c r="D100" s="42">
        <f>TRUNC(18659.621617296,-1)</f>
        <v>18650</v>
      </c>
      <c r="E100" s="63">
        <f t="shared" si="4"/>
        <v>61650</v>
      </c>
    </row>
    <row r="101" spans="1:7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>
      <c r="A102" s="2">
        <v>5</v>
      </c>
      <c r="C102" s="38" t="s">
        <v>43</v>
      </c>
      <c r="D102" s="42">
        <f>TRUNC(7755.42849807274,-1)</f>
        <v>7750</v>
      </c>
      <c r="E102" s="63">
        <f t="shared" si="4"/>
        <v>25610</v>
      </c>
    </row>
    <row r="103" spans="1:7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>
      <c r="A104" s="2">
        <v>7</v>
      </c>
      <c r="C104" s="38" t="s">
        <v>45</v>
      </c>
      <c r="D104" s="42">
        <f>TRUNC(2071.71149152407,-1)</f>
        <v>2070</v>
      </c>
      <c r="E104" s="63">
        <f t="shared" si="4"/>
        <v>6840</v>
      </c>
    </row>
    <row r="105" spans="1:7">
      <c r="A105" s="2">
        <v>8</v>
      </c>
      <c r="C105" s="38" t="s">
        <v>46</v>
      </c>
      <c r="D105" s="42">
        <f>TRUNC(1369.69320591648,-1)</f>
        <v>1360</v>
      </c>
      <c r="E105" s="63">
        <f t="shared" si="4"/>
        <v>4490</v>
      </c>
    </row>
    <row r="106" spans="1:7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>
      <c r="A108" s="2">
        <v>11</v>
      </c>
      <c r="C108" s="38" t="s">
        <v>120</v>
      </c>
      <c r="D108" s="42">
        <f>TRUNC(843.528015258012,-1)</f>
        <v>840</v>
      </c>
      <c r="E108" s="63">
        <f t="shared" si="4"/>
        <v>2770</v>
      </c>
    </row>
    <row r="109" spans="1:7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>
      <c r="A114" s="2">
        <v>17</v>
      </c>
      <c r="C114" s="38" t="s">
        <v>130</v>
      </c>
      <c r="D114" s="42">
        <f>TRUNC(1147.32134521253,-1)</f>
        <v>1140</v>
      </c>
      <c r="E114" s="63">
        <f t="shared" si="4"/>
        <v>3760</v>
      </c>
      <c r="F114" s="2" t="s">
        <v>256</v>
      </c>
    </row>
    <row r="115" spans="1:7">
      <c r="A115" s="2">
        <v>18</v>
      </c>
      <c r="C115" s="38" t="s">
        <v>116</v>
      </c>
      <c r="D115" s="42">
        <f>TRUNC(2945.14334395881,-1)</f>
        <v>2940</v>
      </c>
      <c r="E115" s="63">
        <f t="shared" si="4"/>
        <v>9710</v>
      </c>
    </row>
    <row r="116" spans="1:7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>
      <c r="A117" s="2">
        <v>20</v>
      </c>
      <c r="C117" s="38" t="s">
        <v>148</v>
      </c>
      <c r="D117" s="42">
        <f>TRUNC(14781.6997212478+46861.5375381784,-1)</f>
        <v>61640</v>
      </c>
      <c r="E117" s="63">
        <f t="shared" si="4"/>
        <v>203760</v>
      </c>
      <c r="F117" s="2" t="s">
        <v>258</v>
      </c>
    </row>
    <row r="118" spans="1:7" ht="17.25" thickBot="1">
      <c r="A118" s="2">
        <v>21</v>
      </c>
      <c r="C118" s="38" t="s">
        <v>47</v>
      </c>
      <c r="D118" s="43">
        <f>TRUNC(308.714672499567+1453.29617749443+100.030676073996,-1)</f>
        <v>1860</v>
      </c>
      <c r="E118" s="64">
        <f t="shared" si="4"/>
        <v>6140</v>
      </c>
      <c r="F118" s="2" t="s">
        <v>257</v>
      </c>
    </row>
    <row r="119" spans="1:7">
      <c r="A119" s="2">
        <v>22</v>
      </c>
      <c r="C119" s="27" t="s">
        <v>112</v>
      </c>
      <c r="D119" s="39">
        <f>SUM(D98:D118)</f>
        <v>112890</v>
      </c>
      <c r="E119" s="39">
        <f>SUM(E98:E118)</f>
        <v>373110</v>
      </c>
    </row>
    <row r="120" spans="1:7" s="55" customFormat="1">
      <c r="C120" s="56"/>
      <c r="D120" s="56"/>
      <c r="E120" s="56"/>
      <c r="G120" s="54"/>
    </row>
    <row r="121" spans="1:7" s="55" customFormat="1" ht="17.25" thickBot="1">
      <c r="B121" s="55" t="s">
        <v>247</v>
      </c>
      <c r="C121" s="55" t="s">
        <v>245</v>
      </c>
      <c r="D121" s="56" t="s">
        <v>238</v>
      </c>
      <c r="E121" s="56" t="s">
        <v>263</v>
      </c>
      <c r="G121" s="54"/>
    </row>
    <row r="122" spans="1:7">
      <c r="A122" s="2">
        <v>1</v>
      </c>
      <c r="C122" s="38" t="s">
        <v>55</v>
      </c>
      <c r="D122" s="40">
        <f>TRUNC(1377.10064419755,-1)</f>
        <v>1370</v>
      </c>
      <c r="E122" s="62">
        <f t="shared" ref="E122:E132" si="5">TRUNC(+D122*3.3058,-1)</f>
        <v>4520</v>
      </c>
      <c r="F122" s="2" t="s">
        <v>259</v>
      </c>
    </row>
    <row r="123" spans="1:7">
      <c r="A123" s="2">
        <v>2</v>
      </c>
      <c r="C123" s="38" t="s">
        <v>124</v>
      </c>
      <c r="D123" s="42">
        <f>TRUNC(20137.8612774584,-1)</f>
        <v>20130</v>
      </c>
      <c r="E123" s="63">
        <f t="shared" si="5"/>
        <v>66540</v>
      </c>
      <c r="F123" s="2" t="s">
        <v>260</v>
      </c>
    </row>
    <row r="124" spans="1:7">
      <c r="A124" s="2">
        <v>3</v>
      </c>
      <c r="C124" s="38" t="s">
        <v>151</v>
      </c>
      <c r="D124" s="42">
        <f>TRUNC(317.178101284394,-1)</f>
        <v>310</v>
      </c>
      <c r="E124" s="63">
        <f t="shared" si="5"/>
        <v>1020</v>
      </c>
    </row>
    <row r="125" spans="1:7">
      <c r="A125" s="2">
        <v>4</v>
      </c>
      <c r="C125" s="38" t="s">
        <v>138</v>
      </c>
      <c r="D125" s="42">
        <f>TRUNC(3732.22804993531,-1)</f>
        <v>3730</v>
      </c>
      <c r="E125" s="63">
        <f t="shared" si="5"/>
        <v>12330</v>
      </c>
    </row>
    <row r="126" spans="1:7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>
      <c r="A128" s="2">
        <v>7</v>
      </c>
      <c r="C128" s="38" t="s">
        <v>46</v>
      </c>
      <c r="D128" s="42">
        <f>TRUNC(1245.76620163517,-1)</f>
        <v>1240</v>
      </c>
      <c r="E128" s="63">
        <f t="shared" si="5"/>
        <v>4090</v>
      </c>
    </row>
    <row r="129" spans="1:7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>
      <c r="A131" s="2">
        <v>10</v>
      </c>
      <c r="C131" s="38" t="s">
        <v>148</v>
      </c>
      <c r="D131" s="42">
        <f>TRUNC(24621.5506088534,-1)</f>
        <v>24620</v>
      </c>
      <c r="E131" s="63">
        <f t="shared" si="5"/>
        <v>81380</v>
      </c>
      <c r="F131" s="2" t="s">
        <v>262</v>
      </c>
    </row>
    <row r="132" spans="1:7" ht="17.25" thickBot="1">
      <c r="A132" s="2">
        <v>11</v>
      </c>
      <c r="C132" s="38" t="s">
        <v>47</v>
      </c>
      <c r="D132" s="43">
        <f>TRUNC(3701.41476719527+100.030676073996,-1)</f>
        <v>3800</v>
      </c>
      <c r="E132" s="64">
        <f t="shared" si="5"/>
        <v>12560</v>
      </c>
      <c r="F132" s="57" t="s">
        <v>261</v>
      </c>
    </row>
    <row r="133" spans="1:7">
      <c r="A133" s="2">
        <v>12</v>
      </c>
      <c r="C133" s="27" t="s">
        <v>112</v>
      </c>
      <c r="D133" s="39">
        <f>SUM(D122:D132)</f>
        <v>55200</v>
      </c>
      <c r="E133" s="39">
        <f>SUM(E122:E132)</f>
        <v>182440</v>
      </c>
    </row>
    <row r="134" spans="1:7" s="55" customFormat="1">
      <c r="C134" s="56"/>
      <c r="D134" s="56"/>
      <c r="E134" s="56"/>
      <c r="G134" s="54"/>
    </row>
    <row r="135" spans="1:7" s="55" customFormat="1" ht="17.25" thickBot="1">
      <c r="B135" s="55" t="s">
        <v>248</v>
      </c>
      <c r="C135" s="55" t="s">
        <v>245</v>
      </c>
      <c r="D135" s="56" t="s">
        <v>238</v>
      </c>
      <c r="E135" s="56" t="s">
        <v>263</v>
      </c>
      <c r="G135" s="54"/>
    </row>
    <row r="136" spans="1:7">
      <c r="A136" s="2">
        <v>1</v>
      </c>
      <c r="C136" s="38" t="s">
        <v>131</v>
      </c>
      <c r="D136" s="40">
        <f>TRUNC(30978.4168811769,-1)</f>
        <v>30970</v>
      </c>
      <c r="E136" s="62">
        <f t="shared" ref="E136:E145" si="6">TRUNC(+D136*3.3058,-1)</f>
        <v>102380</v>
      </c>
    </row>
    <row r="137" spans="1:7">
      <c r="A137" s="2">
        <v>2</v>
      </c>
      <c r="C137" s="38" t="s">
        <v>47</v>
      </c>
      <c r="D137" s="42">
        <f>TRUNC(6304.65409392214,-1)</f>
        <v>6300</v>
      </c>
      <c r="E137" s="63">
        <f t="shared" si="6"/>
        <v>20820</v>
      </c>
      <c r="F137" s="2" t="s">
        <v>237</v>
      </c>
    </row>
    <row r="138" spans="1:7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>
      <c r="A143" s="2">
        <v>8</v>
      </c>
      <c r="C143" s="38" t="s">
        <v>62</v>
      </c>
      <c r="D143" s="42">
        <f>TRUNC(1642.59939714846,-1)</f>
        <v>1640</v>
      </c>
      <c r="E143" s="63">
        <f t="shared" si="6"/>
        <v>5420</v>
      </c>
    </row>
    <row r="144" spans="1:7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>
      <c r="A146" s="2">
        <v>11</v>
      </c>
      <c r="C146" s="27" t="s">
        <v>112</v>
      </c>
      <c r="D146" s="39">
        <f>SUM(D136:D145)</f>
        <v>38910</v>
      </c>
      <c r="E146" s="39">
        <f>SUM(E136:E145)</f>
        <v>128620</v>
      </c>
    </row>
    <row r="147" spans="1:7" s="55" customFormat="1">
      <c r="C147" s="56"/>
      <c r="D147" s="56"/>
      <c r="E147" s="56"/>
      <c r="G147" s="54"/>
    </row>
    <row r="148" spans="1:7" s="55" customFormat="1" ht="17.25" thickBot="1">
      <c r="B148" s="55" t="s">
        <v>249</v>
      </c>
      <c r="C148" s="55" t="s">
        <v>245</v>
      </c>
      <c r="D148" s="56" t="s">
        <v>238</v>
      </c>
      <c r="E148" s="56" t="s">
        <v>263</v>
      </c>
      <c r="G148" s="54"/>
    </row>
    <row r="149" spans="1:7">
      <c r="A149" s="2">
        <v>1</v>
      </c>
      <c r="C149" s="38" t="s">
        <v>48</v>
      </c>
      <c r="D149" s="40">
        <f>TRUNC(3955.72458887392,-1)</f>
        <v>3950</v>
      </c>
      <c r="E149" s="62">
        <f>TRUNC(+D149*3.3058,-1)</f>
        <v>13050</v>
      </c>
    </row>
    <row r="150" spans="1:7">
      <c r="A150" s="2">
        <v>2</v>
      </c>
      <c r="C150" s="38" t="s">
        <v>49</v>
      </c>
      <c r="D150" s="42">
        <f>TRUNC(3460.0845926084,-1)</f>
        <v>3460</v>
      </c>
      <c r="E150" s="63">
        <f>TRUNC(+D150*3.3058,-1)</f>
        <v>11430</v>
      </c>
    </row>
    <row r="151" spans="1:7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>
      <c r="A152" s="2">
        <v>4</v>
      </c>
      <c r="C152" s="38" t="s">
        <v>47</v>
      </c>
      <c r="D152" s="42">
        <f>TRUNC(3062.49533190178+639.416587753578+81.7794123531216+110.022907024821+583.51227709831+12801.0099763928,-1)</f>
        <v>17270</v>
      </c>
      <c r="E152" s="63">
        <f>TRUNC(+D152*3.3058,-1)</f>
        <v>57090</v>
      </c>
      <c r="F152" s="2" t="s">
        <v>253</v>
      </c>
    </row>
    <row r="153" spans="1:7" ht="17.25" thickBot="1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>
      <c r="A154" s="2">
        <v>6</v>
      </c>
      <c r="C154" s="27" t="s">
        <v>112</v>
      </c>
      <c r="D154" s="39">
        <f>SUM(D149:D153)</f>
        <v>24680</v>
      </c>
      <c r="E154" s="39">
        <f>SUM(E149:E153)</f>
        <v>81570</v>
      </c>
    </row>
    <row r="155" spans="1:7" s="55" customFormat="1">
      <c r="C155" s="56"/>
      <c r="D155" s="56"/>
      <c r="E155" s="56"/>
      <c r="G155" s="54"/>
    </row>
    <row r="156" spans="1:7" s="55" customFormat="1" ht="17.25" thickBot="1">
      <c r="B156" s="55" t="s">
        <v>250</v>
      </c>
      <c r="C156" s="55" t="s">
        <v>245</v>
      </c>
      <c r="D156" s="56" t="s">
        <v>238</v>
      </c>
      <c r="E156" s="56" t="s">
        <v>263</v>
      </c>
      <c r="G156" s="54"/>
    </row>
    <row r="157" spans="1:7">
      <c r="A157" s="2">
        <v>1</v>
      </c>
      <c r="C157" s="38" t="s">
        <v>51</v>
      </c>
      <c r="D157" s="40">
        <f>TRUNC(11978.9588807234,-1)</f>
        <v>11970</v>
      </c>
      <c r="E157" s="62">
        <f>TRUNC(+D157*3.3058,-1)</f>
        <v>39570</v>
      </c>
    </row>
    <row r="158" spans="1:7">
      <c r="A158" s="2">
        <v>2</v>
      </c>
      <c r="C158" s="38" t="s">
        <v>52</v>
      </c>
      <c r="D158" s="42">
        <f>TRUNC(10697.6876242048,-1)</f>
        <v>10690</v>
      </c>
      <c r="E158" s="63">
        <f>TRUNC(+D158*3.3058,-1)</f>
        <v>35330</v>
      </c>
    </row>
    <row r="159" spans="1:7">
      <c r="A159" s="2">
        <v>3</v>
      </c>
      <c r="C159" s="38" t="s">
        <v>47</v>
      </c>
      <c r="D159" s="42">
        <f>TRUNC(826.536471184497,-1)</f>
        <v>820</v>
      </c>
      <c r="E159" s="63">
        <f>TRUNC(+D159*3.3058,-1)</f>
        <v>2710</v>
      </c>
      <c r="F159" s="2" t="s">
        <v>254</v>
      </c>
    </row>
    <row r="160" spans="1:7" ht="17.25" thickBot="1">
      <c r="A160" s="2">
        <v>4</v>
      </c>
      <c r="C160" s="38" t="s">
        <v>148</v>
      </c>
      <c r="D160" s="43">
        <f>TRUNC(96242.3476532803,-1)</f>
        <v>96240</v>
      </c>
      <c r="E160" s="64">
        <f>TRUNC(+D160*3.3058,-1)</f>
        <v>318150</v>
      </c>
      <c r="F160" s="2" t="s">
        <v>236</v>
      </c>
    </row>
    <row r="161" spans="1:5">
      <c r="A161" s="2">
        <v>5</v>
      </c>
      <c r="C161" s="27" t="s">
        <v>112</v>
      </c>
      <c r="D161" s="39">
        <f>SUM(D157:D160)</f>
        <v>119720</v>
      </c>
      <c r="E161" s="39">
        <f>SUM(E157:E160)</f>
        <v>395760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2020-12-07T09:08:43Z</dcterms:modified>
</cp:coreProperties>
</file>