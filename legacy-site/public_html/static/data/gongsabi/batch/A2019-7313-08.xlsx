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3" i="4"/>
  <c r="D151" i="4"/>
  <c r="D149" i="4"/>
  <c r="D144" i="4"/>
  <c r="D143" i="4"/>
  <c r="D142" i="4"/>
  <c r="D141" i="4"/>
  <c r="D140" i="4"/>
  <c r="D139" i="4"/>
  <c r="D137" i="4"/>
  <c r="D132" i="4"/>
  <c r="D131" i="4"/>
  <c r="D126" i="4"/>
  <c r="D125" i="4"/>
  <c r="D122" i="4"/>
  <c r="D117" i="4"/>
  <c r="D114" i="4"/>
  <c r="D103" i="4"/>
  <c r="D100" i="4"/>
  <c r="D99" i="4"/>
  <c r="D93" i="4"/>
  <c r="D92" i="4"/>
  <c r="D91" i="4"/>
  <c r="D90" i="4"/>
  <c r="D89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<sst xmlns="http://schemas.openxmlformats.org/spreadsheetml/2006/main" count="390" uniqueCount="264">
  <si>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</si>
  <si>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</si>
  <si>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</si>
  <si>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</si>
  <si>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</si>
  <si>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</si>
  <si>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</si>
  <si>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</si>
  <si>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</si>
  <si>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</si>
  <si>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</si>
  <si>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</si>
  <si>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</si>
  <si>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</si>
  <si>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</si>
  <si>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</si>
  <si>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</si>
  <si>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</si>
  <si>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</si>
  <si>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</si>
  <si>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</si>
  <si>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</si>
  <si>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</si>
  <si>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</si>
  <si>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</si>
  <si>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</si>
  <si>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</si>
  <si>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</si>
  <si>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</si>
  <si>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</si>
  <si>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</si>
  <si>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</si>
  <si>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</si>
  <si>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</si>
  <si>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</si>
  <si>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</si>
  <si>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</si>
  <si>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</si>
  <si>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</si>
  <si>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</si>
  <si>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</si>
  <si>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</si>
  <si>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</si>
  <si>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</si>
  <si>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</si>
  <si>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</si>
  <si>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</si>
  <si>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</si>
  <si>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</si>
  <si>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</si>
  <si>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</si>
  <si>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</si>
  <si>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</si>
  <si>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</si>
  <si>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</si>
  <si>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</si>
  <si>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</si>
  <si>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</si>
  <si>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</si>
  <si>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</si>
  <si>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</si>
  <si>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</si>
  <si>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</si>
  <si>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</si>
  <si>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</si>
  <si>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</si>
  <si>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</si>
  <si>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</si>
  <si>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</si>
  <si>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</si>
  <si>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</si>
  <si>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</si>
  <si>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</si>
  <si>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</si>
  <si>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</si>
  <si>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</si>
  <si>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</si>
  <si>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</si>
  <si>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</si>
  <si>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</si>
  <si>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</si>
  <si>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</si>
  <si>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</si>
  <si>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</si>
  <si>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</si>
  <si>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</si>
  <si>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</si>
  <si>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</si>
  <si>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</si>
  <si>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</si>
  <si>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</si>
  <si>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</si>
  <si>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</si>
  <si>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</si>
  <si>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</si>
  <si>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</si>
  <si>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</si>
  <si>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</si>
  <si>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</si>
  <si>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</si>
  <si>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</si>
  <si>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</si>
  <si>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</si>
  <si>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</si>
  <si>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</si>
  <si>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</si>
  <si>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</si>
  <si>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</si>
  <si>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</si>
  <si>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</si>
  <si>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</si>
  <si>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</si>
  <si>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</si>
  <si>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</si>
  <si>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</si>
  <si>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</si>
  <si>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</si>
  <si>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</si>
  <si>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</si>
  <si>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</si>
  <si>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</si>
  <si>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</si>
  <si>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</si>
  <si>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</si>
  <si>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</si>
  <si>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</si>
  <si>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</si>
  <si>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</si>
  <si>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</si>
  <si>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</si>
  <si>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</si>
  <si>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</si>
  <si>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</si>
  <si>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</si>
  <si>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</si>
  <si>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</si>
  <si>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</si>
  <si>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</si>
  <si>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</si>
  <si>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</si>
  <si>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</si>
  <si>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</si>
  <si>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</si>
  <si>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</si>
  <si>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</si>
  <si>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</si>
  <si>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</si>
  <si>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</si>
  <si>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</si>
  <si>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</si>
  <si>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</si>
  <si>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</si>
  <si>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</si>
  <si>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</si>
  <si>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</si>
  <si>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</si>
  <si>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</si>
  <si>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</si>
  <si>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</si>
  <si>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</si>
  <si>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</si>
  <si>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</si>
  <si>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</si>
  <si>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</si>
  <si>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</si>
  <si>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</si>
  <si>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</si>
  <si>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</si>
  <si>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</si>
  <si>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</si>
  <si>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</si>
  <si>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</si>
  <si>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</si>
  <si>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</si>
  <si>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</si>
  <si>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</si>
  <si>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</si>
  <si>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</si>
  <si>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</si>
  <si>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</si>
  <si>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</si>
  <si>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</si>
  <si>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</si>
  <si>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</si>
  <si>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</si>
  <si>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</si>
  <si>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</si>
  <si>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</si>
  <si>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</si>
  <si>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</si>
  <si>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</si>
  <si>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</si>
  <si>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</si>
  <si>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</si>
  <si>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</si>
  <si>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</si>
  <si>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</si>
  <si>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</si>
  <si>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</si>
  <si>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</si>
  <si>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</si>
  <si>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</si>
  <si>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</si>
  <si>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</si>
  <si>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</si>
  <si>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</si>
  <si>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</si>
  <si>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</si>
  <si>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</si>
  <si>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</si>
  <si>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</si>
  <si>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</si>
  <si>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</si>
  <si>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</si>
  <si>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</si>
  <si>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</si>
  <si>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</si>
  <si>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</si>
  <si>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</si>
  <si>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</si>
  <si>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</si>
  <si>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</si>
  <si>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</si>
  <si>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</si>
  <si>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</si>
  <si>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</si>
  <si>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</si>
  <si>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</si>
  <si>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</si>
  <si>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</si>
  <si>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</si>
  <si>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</si>
  <si>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</si>
  <si>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</si>
  <si>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</si>
  <si>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</si>
  <si>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</si>
  <si>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</si>
  <si>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</si>
  <si>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</si>
  <si>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</si>
  <si>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</si>
  <si>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</si>
  <si>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</si>
  <si>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</si>
  <si>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</si>
  <si>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</si>
  <si>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</si>
  <si>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</si>
  <si>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화순어린이직업체험관 건립공사(가칭)</t>
    <phoneticPr fontId="2" type="noConversion"/>
  </si>
  <si>
    <t>문화및집회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</si>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</sst>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7220.11</v>
      </c>
      <c r="D7" s="36">
        <f>+C7/3.3058</f>
        <v>2184.0734466694898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1007160</v>
      </c>
      <c r="E25" s="59">
        <f t="shared" si="0"/>
        <v>3329460</v>
      </c>
    </row>
    <row r="26" spans="1:5" x14ac:dyDescent="0.3">
      <c r="B26" s="2">
        <v>3</v>
      </c>
      <c r="C26" s="35" t="s">
        <v>95</v>
      </c>
      <c r="D26" s="45">
        <f>+D66</f>
        <v>25510</v>
      </c>
      <c r="E26" s="59">
        <f t="shared" si="0"/>
        <v>84330</v>
      </c>
    </row>
    <row r="27" spans="1:5" x14ac:dyDescent="0.3">
      <c r="B27" s="2">
        <v>4</v>
      </c>
      <c r="C27" s="35" t="s">
        <v>96</v>
      </c>
      <c r="D27" s="45">
        <f>+D95</f>
        <v>117050</v>
      </c>
      <c r="E27" s="59">
        <f t="shared" si="0"/>
        <v>386940</v>
      </c>
    </row>
    <row r="28" spans="1:5" x14ac:dyDescent="0.3">
      <c r="B28" s="2">
        <v>5</v>
      </c>
      <c r="C28" s="35" t="s">
        <v>97</v>
      </c>
      <c r="D28" s="45">
        <f>+D119</f>
        <v>158670</v>
      </c>
      <c r="E28" s="59">
        <f t="shared" si="0"/>
        <v>524530</v>
      </c>
    </row>
    <row r="29" spans="1:5" x14ac:dyDescent="0.3">
      <c r="B29" s="2">
        <v>6</v>
      </c>
      <c r="C29" s="35" t="s">
        <v>98</v>
      </c>
      <c r="D29" s="45">
        <f>+D133</f>
        <v>46170</v>
      </c>
      <c r="E29" s="59">
        <f t="shared" si="0"/>
        <v>152620</v>
      </c>
    </row>
    <row r="30" spans="1:5" x14ac:dyDescent="0.3">
      <c r="B30" s="2">
        <v>7</v>
      </c>
      <c r="C30" s="35" t="s">
        <v>99</v>
      </c>
      <c r="D30" s="45">
        <f>+D146</f>
        <v>77940</v>
      </c>
      <c r="E30" s="59">
        <f t="shared" si="0"/>
        <v>257650</v>
      </c>
    </row>
    <row r="31" spans="1:5" x14ac:dyDescent="0.3">
      <c r="B31" s="2">
        <v>8</v>
      </c>
      <c r="C31" s="35" t="s">
        <v>100</v>
      </c>
      <c r="D31" s="45">
        <f>+D154</f>
        <v>321250</v>
      </c>
      <c r="E31" s="59">
        <f t="shared" si="0"/>
        <v>1061980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482280</v>
      </c>
      <c r="E33" s="60">
        <f t="shared" si="0"/>
        <v>1594320</v>
      </c>
    </row>
    <row r="34" spans="1:7" x14ac:dyDescent="0.3">
      <c r="C34" s="35" t="s">
        <v>112</v>
      </c>
      <c r="D34" s="44">
        <f>SUM(D24:D33)</f>
        <v>2236030</v>
      </c>
      <c r="E34" s="44">
        <f>SUM(E24:E33)</f>
        <v>7391830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TRUNC(60157,-1)</f>
        <v>60150</v>
      </c>
      <c r="E40" s="62">
        <f t="shared" ref="E40:E59" si="1">TRUNC(+D40*3.3058,-1)</f>
        <v>198840</v>
      </c>
    </row>
    <row r="41" spans="1:7" x14ac:dyDescent="0.3">
      <c r="A41" s="2">
        <v>2</v>
      </c>
      <c r="C41" s="38" t="s">
        <v>13</v>
      </c>
      <c r="D41" s="42">
        <f>TRUNC(172545,-1)</f>
        <v>172540</v>
      </c>
      <c r="E41" s="63">
        <f t="shared" si="1"/>
        <v>570380</v>
      </c>
    </row>
    <row r="42" spans="1:7" x14ac:dyDescent="0.3">
      <c r="A42" s="2">
        <v>3</v>
      </c>
      <c r="C42" s="38" t="s">
        <v>14</v>
      </c>
      <c r="D42" s="42">
        <f>TRUNC(63167,-1)</f>
        <v>63160</v>
      </c>
      <c r="E42" s="63">
        <f t="shared" si="1"/>
        <v>208790</v>
      </c>
    </row>
    <row r="43" spans="1:7" x14ac:dyDescent="0.3">
      <c r="A43" s="2">
        <v>4</v>
      </c>
      <c r="C43" s="38" t="s">
        <v>16</v>
      </c>
      <c r="D43" s="42">
        <f>TRUNC(4945,-1)</f>
        <v>4940</v>
      </c>
      <c r="E43" s="63">
        <f t="shared" si="1"/>
        <v>16330</v>
      </c>
    </row>
    <row r="44" spans="1:7" x14ac:dyDescent="0.3">
      <c r="A44" s="2">
        <v>5</v>
      </c>
      <c r="C44" s="38" t="s">
        <v>17</v>
      </c>
      <c r="D44" s="42">
        <f>TRUNC(35736,-1)</f>
        <v>35730</v>
      </c>
      <c r="E44" s="63">
        <f t="shared" si="1"/>
        <v>118110</v>
      </c>
    </row>
    <row r="45" spans="1:7" x14ac:dyDescent="0.3">
      <c r="A45" s="2">
        <v>6</v>
      </c>
      <c r="C45" s="38" t="s">
        <v>18</v>
      </c>
      <c r="D45" s="42">
        <f>TRUNC(16918,-1)</f>
        <v>16910</v>
      </c>
      <c r="E45" s="63">
        <f t="shared" si="1"/>
        <v>55900</v>
      </c>
    </row>
    <row r="46" spans="1:7" x14ac:dyDescent="0.3">
      <c r="A46" s="2">
        <v>7</v>
      </c>
      <c r="C46" s="38" t="s">
        <v>19</v>
      </c>
      <c r="D46" s="42">
        <f>TRUNC(8454,-1)</f>
        <v>8450</v>
      </c>
      <c r="E46" s="63">
        <f t="shared" si="1"/>
        <v>27930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TRUNC(42028,-1)</f>
        <v>42020</v>
      </c>
      <c r="E48" s="63">
        <f t="shared" si="1"/>
        <v>138900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TRUNC(20229,-1)</f>
        <v>20220</v>
      </c>
      <c r="E49" s="63">
        <f t="shared" si="1"/>
        <v>66840</v>
      </c>
    </row>
    <row r="50" spans="1:7" x14ac:dyDescent="0.3">
      <c r="A50" s="2">
        <v>11</v>
      </c>
      <c r="C50" s="38" t="s">
        <v>155</v>
      </c>
      <c r="D50" s="42">
        <f>TRUNC(20807,-1)</f>
        <v>20800</v>
      </c>
      <c r="E50" s="63">
        <f t="shared" si="1"/>
        <v>68760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TRUNC(10453,-1)</f>
        <v>10450</v>
      </c>
      <c r="E52" s="63">
        <f t="shared" si="1"/>
        <v>34540</v>
      </c>
    </row>
    <row r="53" spans="1:7" x14ac:dyDescent="0.3">
      <c r="A53" s="2">
        <v>14</v>
      </c>
      <c r="C53" s="38" t="s">
        <v>25</v>
      </c>
      <c r="D53" s="42">
        <f>TRUNC(97656,-1)</f>
        <v>97650</v>
      </c>
      <c r="E53" s="63">
        <f t="shared" si="1"/>
        <v>322810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TRUNC(16558+2613+12227+54915,-1)</f>
        <v>86310</v>
      </c>
      <c r="E58" s="63">
        <f t="shared" si="1"/>
        <v>285320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TRUNC(367833,-1)</f>
        <v>367830</v>
      </c>
      <c r="E59" s="64">
        <f t="shared" si="1"/>
        <v>1215970</v>
      </c>
    </row>
    <row r="60" spans="1:7" x14ac:dyDescent="0.3">
      <c r="A60" s="2">
        <v>21</v>
      </c>
      <c r="C60" s="27" t="s">
        <v>112</v>
      </c>
      <c r="D60" s="39">
        <f>SUM(D40:D59)</f>
        <v>1007160</v>
      </c>
      <c r="E60" s="39">
        <f>SUM(E40:E59)</f>
        <v>3329420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TRUNC(25518,-1)</f>
        <v>25510</v>
      </c>
      <c r="E63" s="62">
        <f>TRUNC(+D63*3.3058,-1)</f>
        <v>84330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25510</v>
      </c>
      <c r="E66" s="65">
        <f>SUM(E63:E65)</f>
        <v>84330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TRUNC(18895,-1)</f>
        <v>18890</v>
      </c>
      <c r="E69" s="62">
        <f t="shared" ref="E69:E94" si="2">TRUNC(+D69*3.3058,-1)</f>
        <v>62440</v>
      </c>
    </row>
    <row r="70" spans="1:7" ht="16.5" customHeight="1" x14ac:dyDescent="0.3">
      <c r="A70" s="2">
        <v>2</v>
      </c>
      <c r="C70" s="38" t="s">
        <v>31</v>
      </c>
      <c r="D70" s="42">
        <f>TRUNC(82,-1)</f>
        <v>80</v>
      </c>
      <c r="E70" s="63">
        <f t="shared" si="2"/>
        <v>260</v>
      </c>
    </row>
    <row r="71" spans="1:7" x14ac:dyDescent="0.3">
      <c r="A71" s="2">
        <v>3</v>
      </c>
      <c r="C71" s="38" t="s">
        <v>32</v>
      </c>
      <c r="D71" s="42">
        <f>TRUNC(3109,-1)</f>
        <v>3100</v>
      </c>
      <c r="E71" s="63">
        <f t="shared" si="2"/>
        <v>10240</v>
      </c>
    </row>
    <row r="72" spans="1:7" x14ac:dyDescent="0.3">
      <c r="A72" s="2">
        <v>4</v>
      </c>
      <c r="C72" s="38" t="s">
        <v>33</v>
      </c>
      <c r="D72" s="42">
        <f>TRUNC(2015,-1)</f>
        <v>2010</v>
      </c>
      <c r="E72" s="63">
        <f t="shared" si="2"/>
        <v>6640</v>
      </c>
    </row>
    <row r="73" spans="1:7" x14ac:dyDescent="0.3">
      <c r="A73" s="2">
        <v>5</v>
      </c>
      <c r="C73" s="38" t="s">
        <v>34</v>
      </c>
      <c r="D73" s="42">
        <f>TRUNC(13314,-1)</f>
        <v>13310</v>
      </c>
      <c r="E73" s="63">
        <f t="shared" si="2"/>
        <v>44000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TRUNC(2032,-1)</f>
        <v>2030</v>
      </c>
      <c r="E75" s="63">
        <f t="shared" si="2"/>
        <v>6710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TRUNC(3091,-1)</f>
        <v>3090</v>
      </c>
      <c r="E89" s="63">
        <f t="shared" si="2"/>
        <v>10210</v>
      </c>
    </row>
    <row r="90" spans="1:7" x14ac:dyDescent="0.3">
      <c r="A90" s="2">
        <v>22</v>
      </c>
      <c r="C90" s="38" t="s">
        <v>36</v>
      </c>
      <c r="D90" s="42">
        <f>TRUNC(707,-1)</f>
        <v>700</v>
      </c>
      <c r="E90" s="63">
        <f t="shared" si="2"/>
        <v>2310</v>
      </c>
    </row>
    <row r="91" spans="1:7" x14ac:dyDescent="0.3">
      <c r="A91" s="2">
        <v>23</v>
      </c>
      <c r="C91" s="38" t="s">
        <v>37</v>
      </c>
      <c r="D91" s="42">
        <f>TRUNC(28148,-1)</f>
        <v>28140</v>
      </c>
      <c r="E91" s="63">
        <f t="shared" si="2"/>
        <v>93020</v>
      </c>
    </row>
    <row r="92" spans="1:7" x14ac:dyDescent="0.3">
      <c r="A92" s="2">
        <v>24</v>
      </c>
      <c r="C92" s="38" t="s">
        <v>38</v>
      </c>
      <c r="D92" s="42">
        <f>TRUNC(5909,-1)</f>
        <v>5900</v>
      </c>
      <c r="E92" s="63">
        <f t="shared" si="2"/>
        <v>19500</v>
      </c>
    </row>
    <row r="93" spans="1:7" x14ac:dyDescent="0.3">
      <c r="A93" s="2">
        <v>25</v>
      </c>
      <c r="C93" s="38" t="s">
        <v>148</v>
      </c>
      <c r="D93" s="42">
        <f>TRUNC(39803,-1)</f>
        <v>39800</v>
      </c>
      <c r="E93" s="63">
        <f t="shared" si="2"/>
        <v>131570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117050</v>
      </c>
      <c r="E95" s="39">
        <f>SUM(E69:E94)</f>
        <v>386900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36280</v>
      </c>
      <c r="E98" s="62">
        <f t="shared" ref="E98:E118" si="3">TRUNC(+D98*3.3058,-1)</f>
        <v>119930</v>
      </c>
    </row>
    <row r="99" spans="1:7" x14ac:dyDescent="0.3">
      <c r="A99" s="2">
        <v>2</v>
      </c>
      <c r="C99" s="38" t="s">
        <v>40</v>
      </c>
      <c r="D99" s="42">
        <f>TRUNC(2903,-1)</f>
        <v>2900</v>
      </c>
      <c r="E99" s="63">
        <f t="shared" si="3"/>
        <v>9580</v>
      </c>
    </row>
    <row r="100" spans="1:7" x14ac:dyDescent="0.3">
      <c r="A100" s="2">
        <v>3</v>
      </c>
      <c r="C100" s="38" t="s">
        <v>41</v>
      </c>
      <c r="D100" s="42">
        <f>TRUNC(40845,-1)</f>
        <v>40840</v>
      </c>
      <c r="E100" s="63">
        <f t="shared" si="3"/>
        <v>135000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10440</v>
      </c>
      <c r="E102" s="63">
        <f t="shared" si="3"/>
        <v>34510</v>
      </c>
    </row>
    <row r="103" spans="1:7" x14ac:dyDescent="0.3">
      <c r="A103" s="2">
        <v>6</v>
      </c>
      <c r="C103" s="38" t="s">
        <v>44</v>
      </c>
      <c r="D103" s="42">
        <f>TRUNC(10936,-1)</f>
        <v>10930</v>
      </c>
      <c r="E103" s="63">
        <f t="shared" si="3"/>
        <v>36130</v>
      </c>
    </row>
    <row r="104" spans="1:7" x14ac:dyDescent="0.3">
      <c r="A104" s="2">
        <v>7</v>
      </c>
      <c r="C104" s="38" t="s">
        <v>45</v>
      </c>
      <c r="D104" s="42">
        <v>7900</v>
      </c>
      <c r="E104" s="63">
        <f t="shared" si="3"/>
        <v>26110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TRUNC(6905,-1)</f>
        <v>6900</v>
      </c>
      <c r="E114" s="63">
        <f t="shared" si="3"/>
        <v>22810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TRUNC(42487,-1)</f>
        <v>42480</v>
      </c>
      <c r="E117" s="63">
        <f t="shared" si="3"/>
        <v>140430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158670</v>
      </c>
      <c r="E119" s="39">
        <f>SUM(E98:E118)</f>
        <v>524500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TRUNC(3527,-1)</f>
        <v>3520</v>
      </c>
      <c r="E122" s="62">
        <f t="shared" ref="E122:E132" si="4">TRUNC(+D122*3.3058,-1)</f>
        <v>11630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TRUNC(4281,-1)</f>
        <v>4280</v>
      </c>
      <c r="E125" s="63">
        <f t="shared" si="4"/>
        <v>14140</v>
      </c>
    </row>
    <row r="126" spans="1:7" x14ac:dyDescent="0.3">
      <c r="A126" s="2">
        <v>5</v>
      </c>
      <c r="C126" s="38" t="s">
        <v>53</v>
      </c>
      <c r="D126" s="42">
        <f>TRUNC(11139,-1)</f>
        <v>11130</v>
      </c>
      <c r="E126" s="63">
        <f t="shared" si="4"/>
        <v>36790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TRUNC(16428,-1)</f>
        <v>16420</v>
      </c>
      <c r="E131" s="63">
        <f t="shared" si="4"/>
        <v>54280</v>
      </c>
    </row>
    <row r="132" spans="1:7" ht="18" thickBot="1" x14ac:dyDescent="0.35">
      <c r="A132" s="2">
        <v>11</v>
      </c>
      <c r="C132" s="38" t="s">
        <v>47</v>
      </c>
      <c r="D132" s="43">
        <f>TRUNC(5842+4985,-1)</f>
        <v>10820</v>
      </c>
      <c r="E132" s="64">
        <f t="shared" si="4"/>
        <v>35760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46170</v>
      </c>
      <c r="E133" s="39">
        <f>SUM(E122:E132)</f>
        <v>152600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TRUNC(427+4024,-1)</f>
        <v>4450</v>
      </c>
      <c r="E137" s="63">
        <f t="shared" si="5"/>
        <v>14710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TRUNC(4976,-1)</f>
        <v>4970</v>
      </c>
      <c r="E139" s="63">
        <f t="shared" si="5"/>
        <v>16420</v>
      </c>
    </row>
    <row r="140" spans="1:7" x14ac:dyDescent="0.3">
      <c r="A140" s="2">
        <v>5</v>
      </c>
      <c r="C140" s="38" t="s">
        <v>57</v>
      </c>
      <c r="D140" s="42">
        <f>TRUNC(3649,-1)</f>
        <v>3640</v>
      </c>
      <c r="E140" s="63">
        <f t="shared" si="5"/>
        <v>12030</v>
      </c>
    </row>
    <row r="141" spans="1:7" x14ac:dyDescent="0.3">
      <c r="A141" s="2">
        <v>6</v>
      </c>
      <c r="C141" s="38" t="s">
        <v>59</v>
      </c>
      <c r="D141" s="42">
        <f>TRUNC(40877,-1)</f>
        <v>40870</v>
      </c>
      <c r="E141" s="63">
        <f t="shared" si="5"/>
        <v>135100</v>
      </c>
    </row>
    <row r="142" spans="1:7" x14ac:dyDescent="0.3">
      <c r="A142" s="2">
        <v>7</v>
      </c>
      <c r="C142" s="38" t="s">
        <v>58</v>
      </c>
      <c r="D142" s="42">
        <f>TRUNC(5031-1)</f>
        <v>5030</v>
      </c>
      <c r="E142" s="63">
        <f t="shared" si="5"/>
        <v>16620</v>
      </c>
    </row>
    <row r="143" spans="1:7" x14ac:dyDescent="0.3">
      <c r="A143" s="2">
        <v>8</v>
      </c>
      <c r="C143" s="38" t="s">
        <v>62</v>
      </c>
      <c r="D143" s="42">
        <f>TRUNC(4091,-1)</f>
        <v>4090</v>
      </c>
      <c r="E143" s="63">
        <f t="shared" si="5"/>
        <v>13520</v>
      </c>
    </row>
    <row r="144" spans="1:7" x14ac:dyDescent="0.3">
      <c r="A144" s="2">
        <v>9</v>
      </c>
      <c r="C144" s="38" t="s">
        <v>63</v>
      </c>
      <c r="D144" s="42">
        <f>TRUNC(14898,-1)</f>
        <v>14890</v>
      </c>
      <c r="E144" s="63">
        <f t="shared" si="5"/>
        <v>49220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77940</v>
      </c>
      <c r="E146" s="39">
        <f>SUM(E136:E145)</f>
        <v>257620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TRUNC(2196+6487,-1)</f>
        <v>8680</v>
      </c>
      <c r="E149" s="62">
        <f>TRUNC(+D149*3.3058,-1)</f>
        <v>28690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v>26270</v>
      </c>
      <c r="E150" s="63">
        <f>TRUNC(+D150*3.3058,-1)</f>
        <v>86840</v>
      </c>
    </row>
    <row r="151" spans="1:7" x14ac:dyDescent="0.3">
      <c r="A151" s="2">
        <v>3</v>
      </c>
      <c r="C151" s="38" t="s">
        <v>50</v>
      </c>
      <c r="D151" s="42">
        <f>TRUNC(11897,-1)</f>
        <v>11890</v>
      </c>
      <c r="E151" s="63">
        <f>TRUNC(+D151*3.3058,-1)</f>
        <v>39300</v>
      </c>
    </row>
    <row r="152" spans="1:7" x14ac:dyDescent="0.3">
      <c r="A152" s="2">
        <v>4</v>
      </c>
      <c r="C152" s="38" t="s">
        <v>47</v>
      </c>
      <c r="D152" s="42">
        <f>TRUNC(227+12491+758+134229,-1)</f>
        <v>147700</v>
      </c>
      <c r="E152" s="63">
        <f>TRUNC(+D152*3.3058,-1)</f>
        <v>488260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TRUNC(126713,-1)</f>
        <v>126710</v>
      </c>
      <c r="E153" s="64">
        <f>TRUNC(+D153*3.3058,-1)</f>
        <v>418870</v>
      </c>
    </row>
    <row r="154" spans="1:7" x14ac:dyDescent="0.3">
      <c r="A154" s="2">
        <v>6</v>
      </c>
      <c r="C154" s="27" t="s">
        <v>112</v>
      </c>
      <c r="D154" s="39">
        <f>SUM(D149:D153)</f>
        <v>321250</v>
      </c>
      <c r="E154" s="39">
        <f>SUM(E149:E153)</f>
        <v>1061960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2020-12-08T04:42:18Z</dcterms:modified>
</cp:coreProperties>
</file>