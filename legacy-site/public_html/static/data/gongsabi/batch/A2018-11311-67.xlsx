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0" i="4"/>
  <c r="D149" i="4"/>
  <c r="D139" i="4"/>
  <c r="D137" i="4"/>
  <c r="D144" i="4"/>
  <c r="D143" i="4"/>
  <c r="D138" i="4"/>
  <c r="D141" i="4"/>
  <c r="D142" i="4"/>
  <c r="D140" i="4"/>
  <c r="D132" i="4"/>
  <c r="D128" i="4"/>
  <c r="D127" i="4"/>
  <c r="D125" i="4"/>
  <c r="D122" i="4"/>
  <c r="D130" i="4"/>
  <c r="D126" i="4"/>
  <c r="D118" i="4"/>
  <c r="D105" i="4"/>
  <c r="D104" i="4"/>
  <c r="D102" i="4"/>
  <c r="D101" i="4"/>
  <c r="D100" i="4"/>
  <c r="D114" i="4"/>
  <c r="D99" i="4"/>
  <c r="D98" i="4"/>
  <c r="D116" i="4"/>
  <c r="D75" i="4"/>
  <c r="D94" i="4"/>
  <c r="D92" i="4"/>
  <c r="D91" i="4"/>
  <c r="D89" i="4"/>
  <c r="D73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4" i="4"/>
  <c r="E24" i="4" s="1"/>
  <c r="D25" i="4"/>
  <c r="E25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<sst xmlns="http://schemas.openxmlformats.org/spreadsheetml/2006/main" count="395" uniqueCount="270">
  <si>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</si>
  <si>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</si>
  <si>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</si>
  <si>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</si>
  <si>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</si>
  <si>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</si>
  <si>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</si>
  <si>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</si>
  <si>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</si>
  <si>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</si>
  <si>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</si>
  <si>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</si>
  <si>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</si>
  <si>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</si>
  <si>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</si>
  <si>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</si>
  <si>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</si>
  <si>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</si>
  <si>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</si>
  <si>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</si>
  <si>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</si>
  <si>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</si>
  <si>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</si>
  <si>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</si>
  <si>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</si>
  <si>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</si>
  <si>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</si>
  <si>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</si>
  <si>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</si>
  <si>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</si>
  <si>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</si>
  <si>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</si>
  <si>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</si>
  <si>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</si>
  <si>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</si>
  <si>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</si>
  <si>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</si>
  <si>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</si>
  <si>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</si>
  <si>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</si>
  <si>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</si>
  <si>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</si>
  <si>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</si>
  <si>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</si>
  <si>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</si>
  <si>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</si>
  <si>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</si>
  <si>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</si>
  <si>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</si>
  <si>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</si>
  <si>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</si>
  <si>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</si>
  <si>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</si>
  <si>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</si>
  <si>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</si>
  <si>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</si>
  <si>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</si>
  <si>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</si>
  <si>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</si>
  <si>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</si>
  <si>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</si>
  <si>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</si>
  <si>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</si>
  <si>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</si>
  <si>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</si>
  <si>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</si>
  <si>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</si>
  <si>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</si>
  <si>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</si>
  <si>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</si>
  <si>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</si>
  <si>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</si>
  <si>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</si>
  <si>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</si>
  <si>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</si>
  <si>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</si>
  <si>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</si>
  <si>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</si>
  <si>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</si>
  <si>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</si>
  <si>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</si>
  <si>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</si>
  <si>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</si>
  <si>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</si>
  <si>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</si>
  <si>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</si>
  <si>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</si>
  <si>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</si>
  <si>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</si>
  <si>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</si>
  <si>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</si>
  <si>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</si>
  <si>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</si>
  <si>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</si>
  <si>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</si>
  <si>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</si>
  <si>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</si>
  <si>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</si>
  <si>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</si>
  <si>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</si>
  <si>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</si>
  <si>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</si>
  <si>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</si>
  <si>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</si>
  <si>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</si>
  <si>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</si>
  <si>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</si>
  <si>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</si>
  <si>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</si>
  <si>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</si>
  <si>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</si>
  <si>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</si>
  <si>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</si>
  <si>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</si>
  <si>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</si>
  <si>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</si>
  <si>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</si>
  <si>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</si>
  <si>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</si>
  <si>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</si>
  <si>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</si>
  <si>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</si>
  <si>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</si>
  <si>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</si>
  <si>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</si>
  <si>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</si>
  <si>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</si>
  <si>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</si>
  <si>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</si>
  <si>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</si>
  <si>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</si>
  <si>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</si>
  <si>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</si>
  <si>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</si>
  <si>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</si>
  <si>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</si>
  <si>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</si>
  <si>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</si>
  <si>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</si>
  <si>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</si>
  <si>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</si>
  <si>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</si>
  <si>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</si>
  <si>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</si>
  <si>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</si>
  <si>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</si>
  <si>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</si>
  <si>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</si>
  <si>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</si>
  <si>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</si>
  <si>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</si>
  <si>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</si>
  <si>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</si>
  <si>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</si>
  <si>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</si>
  <si>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</si>
  <si>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</si>
  <si>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</si>
  <si>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</si>
  <si>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</si>
  <si>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</si>
  <si>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</si>
  <si>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</si>
  <si>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</si>
  <si>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</si>
  <si>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</si>
  <si>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</si>
  <si>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</si>
  <si>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</si>
  <si>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</si>
  <si>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</si>
  <si>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</si>
  <si>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</si>
  <si>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</si>
  <si>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</si>
  <si>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</si>
  <si>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</si>
  <si>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</si>
  <si>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</si>
  <si>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</si>
  <si>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</si>
  <si>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</si>
  <si>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</si>
  <si>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</si>
  <si>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</si>
  <si>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</si>
  <si>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</si>
  <si>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</si>
  <si>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</si>
  <si>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</si>
  <si>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</si>
  <si>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</si>
  <si>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</si>
  <si>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</si>
  <si>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</si>
  <si>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</si>
  <si>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</si>
  <si>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</si>
  <si>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</si>
  <si>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</si>
  <si>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</si>
  <si>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</si>
  <si>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</si>
  <si>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</si>
  <si>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</si>
  <si>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</si>
  <si>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</si>
  <si>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</si>
  <si>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</si>
  <si>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</si>
  <si>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</si>
  <si>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</si>
  <si>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</si>
  <si>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</si>
  <si>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</si>
  <si>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</si>
  <si>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</si>
  <si>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</si>
  <si>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</si>
  <si>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</si>
  <si>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</si>
  <si>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</si>
  <si>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</si>
  <si>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</si>
  <si>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</si>
  <si>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</si>
  <si>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</si>
  <si>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</si>
  <si>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</si>
  <si>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</si>
  <si>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</si>
  <si>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</si>
  <si>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</si>
  <si>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</si>
  <si>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</si>
  <si>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</si>
  <si>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</si>
  <si>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</si>
  <si>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</si>
  <si>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</si>
  <si>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</si>
  <si>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</si>
  <si>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</si>
  <si>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</si>
  <si>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</si>
  <si>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</si>
  <si>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</si>
  <si>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</si>
  <si>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국립공주박물관 권역별 수장고 건립 사업 공사</t>
    <phoneticPr fontId="2" type="noConversion"/>
  </si>
  <si>
    <t>교육연구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</si>
  <si>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</si>
  <si>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</si>
  <si>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</si>
  <si>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</si>
  <si>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해체및철거공사,골재비및운반비,품질시험비,기타공사</t>
    <phoneticPr fontId="2" type="noConversion"/>
  </si>
  <si>
    <t>우수처리시설공사,기타공사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</si>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</sst>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5795.73</v>
      </c>
      <c r="D7" s="36">
        <f>+C7/3.3058</f>
        <v>1753.2004355980396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971480</v>
      </c>
      <c r="E25" s="59">
        <f t="shared" si="0"/>
        <v>3211510</v>
      </c>
    </row>
    <row r="26" spans="1:5" x14ac:dyDescent="0.3">
      <c r="B26" s="2">
        <v>3</v>
      </c>
      <c r="C26" s="35" t="s">
        <v>95</v>
      </c>
      <c r="D26" s="45">
        <f>+D66</f>
        <v>74710</v>
      </c>
      <c r="E26" s="59">
        <f t="shared" si="0"/>
        <v>246970</v>
      </c>
    </row>
    <row r="27" spans="1:5" x14ac:dyDescent="0.3">
      <c r="B27" s="2">
        <v>4</v>
      </c>
      <c r="C27" s="35" t="s">
        <v>96</v>
      </c>
      <c r="D27" s="45">
        <f>+D95</f>
        <v>400690</v>
      </c>
      <c r="E27" s="59">
        <f t="shared" si="0"/>
        <v>1324600</v>
      </c>
    </row>
    <row r="28" spans="1:5" x14ac:dyDescent="0.3">
      <c r="B28" s="2">
        <v>5</v>
      </c>
      <c r="C28" s="35" t="s">
        <v>97</v>
      </c>
      <c r="D28" s="45">
        <f>+D119</f>
        <v>318280</v>
      </c>
      <c r="E28" s="59">
        <f t="shared" si="0"/>
        <v>1052170</v>
      </c>
    </row>
    <row r="29" spans="1:5" x14ac:dyDescent="0.3">
      <c r="B29" s="2">
        <v>6</v>
      </c>
      <c r="C29" s="35" t="s">
        <v>98</v>
      </c>
      <c r="D29" s="45">
        <f>+D133</f>
        <v>120530</v>
      </c>
      <c r="E29" s="59">
        <f t="shared" si="0"/>
        <v>398440</v>
      </c>
    </row>
    <row r="30" spans="1:5" x14ac:dyDescent="0.3">
      <c r="B30" s="2">
        <v>7</v>
      </c>
      <c r="C30" s="35" t="s">
        <v>99</v>
      </c>
      <c r="D30" s="45">
        <f>+D146</f>
        <v>64590</v>
      </c>
      <c r="E30" s="59">
        <f t="shared" si="0"/>
        <v>213520</v>
      </c>
    </row>
    <row r="31" spans="1:5" x14ac:dyDescent="0.3">
      <c r="B31" s="2">
        <v>8</v>
      </c>
      <c r="C31" s="35" t="s">
        <v>100</v>
      </c>
      <c r="D31" s="45">
        <f>+D154</f>
        <v>37360</v>
      </c>
      <c r="E31" s="59">
        <f t="shared" si="0"/>
        <v>123500</v>
      </c>
    </row>
    <row r="32" spans="1:5" x14ac:dyDescent="0.3">
      <c r="B32" s="2">
        <v>9</v>
      </c>
      <c r="C32" s="35" t="s">
        <v>101</v>
      </c>
      <c r="D32" s="45">
        <f>+D161</f>
        <v>43480</v>
      </c>
      <c r="E32" s="59">
        <f t="shared" si="0"/>
        <v>143730</v>
      </c>
    </row>
    <row r="33" spans="1:7" x14ac:dyDescent="0.3">
      <c r="B33" s="2">
        <v>10</v>
      </c>
      <c r="C33" s="35" t="s">
        <v>154</v>
      </c>
      <c r="D33" s="53">
        <f>TRUNC(SUM(D24:D32)*0.275,-1)</f>
        <v>558550</v>
      </c>
      <c r="E33" s="60">
        <f t="shared" si="0"/>
        <v>1846450</v>
      </c>
    </row>
    <row r="34" spans="1:7" x14ac:dyDescent="0.3">
      <c r="C34" s="35" t="s">
        <v>112</v>
      </c>
      <c r="D34" s="44">
        <f>SUM(D24:D33)</f>
        <v>2589670</v>
      </c>
      <c r="E34" s="44">
        <f>SUM(E24:E33)</f>
        <v>8560890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TRUNC(79336,-1)</f>
        <v>79330</v>
      </c>
      <c r="E40" s="62">
        <f t="shared" ref="E40:E59" si="1">TRUNC(+D40*3.3058,-1)</f>
        <v>262240</v>
      </c>
    </row>
    <row r="41" spans="1:7" x14ac:dyDescent="0.3">
      <c r="A41" s="2">
        <v>2</v>
      </c>
      <c r="C41" s="38" t="s">
        <v>13</v>
      </c>
      <c r="D41" s="42">
        <f>TRUNC(197243,-1)</f>
        <v>197240</v>
      </c>
      <c r="E41" s="63">
        <f t="shared" si="1"/>
        <v>652030</v>
      </c>
    </row>
    <row r="42" spans="1:7" x14ac:dyDescent="0.3">
      <c r="A42" s="2">
        <v>3</v>
      </c>
      <c r="C42" s="38" t="s">
        <v>14</v>
      </c>
      <c r="D42" s="42">
        <f>TRUNC(31377,-1)</f>
        <v>31370</v>
      </c>
      <c r="E42" s="63">
        <f t="shared" si="1"/>
        <v>103700</v>
      </c>
    </row>
    <row r="43" spans="1:7" x14ac:dyDescent="0.3">
      <c r="A43" s="2">
        <v>4</v>
      </c>
      <c r="C43" s="38" t="s">
        <v>16</v>
      </c>
      <c r="D43" s="42">
        <f>TRUNC(55932,-1)</f>
        <v>55930</v>
      </c>
      <c r="E43" s="63">
        <f t="shared" si="1"/>
        <v>184890</v>
      </c>
    </row>
    <row r="44" spans="1:7" x14ac:dyDescent="0.3">
      <c r="A44" s="2">
        <v>5</v>
      </c>
      <c r="C44" s="38" t="s">
        <v>17</v>
      </c>
      <c r="D44" s="42">
        <f>TRUNC(39384,-1)</f>
        <v>39380</v>
      </c>
      <c r="E44" s="63">
        <f t="shared" si="1"/>
        <v>130180</v>
      </c>
    </row>
    <row r="45" spans="1:7" x14ac:dyDescent="0.3">
      <c r="A45" s="2">
        <v>6</v>
      </c>
      <c r="C45" s="38" t="s">
        <v>18</v>
      </c>
      <c r="D45" s="42">
        <f>TRUNC(5595,-1)</f>
        <v>5590</v>
      </c>
      <c r="E45" s="63">
        <f t="shared" si="1"/>
        <v>18470</v>
      </c>
    </row>
    <row r="46" spans="1:7" x14ac:dyDescent="0.3">
      <c r="A46" s="2">
        <v>7</v>
      </c>
      <c r="C46" s="38" t="s">
        <v>19</v>
      </c>
      <c r="D46" s="42">
        <f>TRUNC(4237,-1)</f>
        <v>4230</v>
      </c>
      <c r="E46" s="63">
        <f t="shared" si="1"/>
        <v>13980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TRUNC(25243,-1)</f>
        <v>25240</v>
      </c>
      <c r="E48" s="63">
        <f t="shared" si="1"/>
        <v>83430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TRUNC(16610,-1)</f>
        <v>16610</v>
      </c>
      <c r="E49" s="63">
        <f t="shared" si="1"/>
        <v>54900</v>
      </c>
    </row>
    <row r="50" spans="1:7" x14ac:dyDescent="0.3">
      <c r="A50" s="2">
        <v>11</v>
      </c>
      <c r="C50" s="38" t="s">
        <v>155</v>
      </c>
      <c r="D50" s="42">
        <f>TRUNC(38701,-1)</f>
        <v>38700</v>
      </c>
      <c r="E50" s="63">
        <f t="shared" si="1"/>
        <v>127930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TRUNC(23231,-1)</f>
        <v>23230</v>
      </c>
      <c r="E52" s="63">
        <f t="shared" si="1"/>
        <v>76790</v>
      </c>
    </row>
    <row r="53" spans="1:7" x14ac:dyDescent="0.3">
      <c r="A53" s="2">
        <v>14</v>
      </c>
      <c r="C53" s="38" t="s">
        <v>25</v>
      </c>
      <c r="D53" s="42">
        <f>TRUNC(95162,-1)</f>
        <v>95160</v>
      </c>
      <c r="E53" s="63">
        <f t="shared" si="1"/>
        <v>314570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TRUNC(2357+3087+1784+5937,-1)</f>
        <v>13160</v>
      </c>
      <c r="E58" s="63">
        <f t="shared" si="1"/>
        <v>43500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TRUNC(346314,-1)</f>
        <v>346310</v>
      </c>
      <c r="E59" s="64">
        <f t="shared" si="1"/>
        <v>1144830</v>
      </c>
    </row>
    <row r="60" spans="1:7" x14ac:dyDescent="0.3">
      <c r="A60" s="2">
        <v>21</v>
      </c>
      <c r="C60" s="27" t="s">
        <v>112</v>
      </c>
      <c r="D60" s="39">
        <f>SUM(D40:D59)</f>
        <v>971480</v>
      </c>
      <c r="E60" s="39">
        <f>SUM(E40:E59)</f>
        <v>3211440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TRUNC(46578,-1)</f>
        <v>46570</v>
      </c>
      <c r="E63" s="62">
        <f>TRUNC(+D63*3.3058,-1)</f>
        <v>153950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TRUNC(28144,-1)</f>
        <v>28140</v>
      </c>
      <c r="E65" s="64">
        <f>TRUNC(+D65*3.3058,-1)</f>
        <v>93020</v>
      </c>
    </row>
    <row r="66" spans="1:7" x14ac:dyDescent="0.3">
      <c r="A66" s="2">
        <v>4</v>
      </c>
      <c r="C66" s="27" t="s">
        <v>112</v>
      </c>
      <c r="D66" s="39">
        <f>SUM(D63:D65)</f>
        <v>74710</v>
      </c>
      <c r="E66" s="65">
        <f>SUM(E63:E65)</f>
        <v>246970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TRUNC(6731,-1)</f>
        <v>6730</v>
      </c>
      <c r="E69" s="62">
        <f t="shared" ref="E69:E94" si="2">TRUNC(+D69*3.3058,-1)</f>
        <v>22240</v>
      </c>
    </row>
    <row r="70" spans="1:7" ht="16.5" customHeight="1" x14ac:dyDescent="0.3">
      <c r="A70" s="2">
        <v>2</v>
      </c>
      <c r="C70" s="38" t="s">
        <v>31</v>
      </c>
      <c r="D70" s="42">
        <f>TRUNC(1806,-1)</f>
        <v>1800</v>
      </c>
      <c r="E70" s="63">
        <f t="shared" si="2"/>
        <v>5950</v>
      </c>
    </row>
    <row r="71" spans="1:7" x14ac:dyDescent="0.3">
      <c r="A71" s="2">
        <v>3</v>
      </c>
      <c r="C71" s="38" t="s">
        <v>32</v>
      </c>
      <c r="D71" s="42">
        <f>TRUNC(10250,-1)</f>
        <v>10250</v>
      </c>
      <c r="E71" s="63">
        <f t="shared" si="2"/>
        <v>33880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TRUNC(4967,-1)</f>
        <v>4960</v>
      </c>
      <c r="E73" s="63">
        <f t="shared" si="2"/>
        <v>16390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TRUNC(4674,-1)</f>
        <v>4670</v>
      </c>
      <c r="E75" s="63">
        <f t="shared" si="2"/>
        <v>15430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TRUNC(8665,-1)</f>
        <v>8660</v>
      </c>
      <c r="E89" s="63">
        <f t="shared" si="2"/>
        <v>28620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TRUNC(65409,-1)</f>
        <v>65400</v>
      </c>
      <c r="E91" s="63">
        <f t="shared" si="2"/>
        <v>216190</v>
      </c>
    </row>
    <row r="92" spans="1:7" x14ac:dyDescent="0.3">
      <c r="A92" s="2">
        <v>24</v>
      </c>
      <c r="C92" s="38" t="s">
        <v>38</v>
      </c>
      <c r="D92" s="42">
        <f>TRUNC(2389,-1)</f>
        <v>2380</v>
      </c>
      <c r="E92" s="63">
        <f t="shared" si="2"/>
        <v>7860</v>
      </c>
    </row>
    <row r="93" spans="1:7" x14ac:dyDescent="0.3">
      <c r="A93" s="2">
        <v>25</v>
      </c>
      <c r="C93" s="38" t="s">
        <v>148</v>
      </c>
      <c r="D93" s="42">
        <f>TRUNC(282193,-1)</f>
        <v>282190</v>
      </c>
      <c r="E93" s="63">
        <f t="shared" si="2"/>
        <v>932860</v>
      </c>
    </row>
    <row r="94" spans="1:7" ht="17.25" thickBot="1" x14ac:dyDescent="0.35">
      <c r="A94" s="2">
        <v>26</v>
      </c>
      <c r="C94" s="38" t="s">
        <v>47</v>
      </c>
      <c r="D94" s="43">
        <f>TRUNC(8972+4680,-1)</f>
        <v>13650</v>
      </c>
      <c r="E94" s="64">
        <f t="shared" si="2"/>
        <v>45120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400690</v>
      </c>
      <c r="E95" s="39">
        <f>SUM(E69:E94)</f>
        <v>1324540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TRUNC(17313,-1)</f>
        <v>17310</v>
      </c>
      <c r="E98" s="62">
        <f t="shared" ref="E98:E118" si="3">TRUNC(+D98*3.3058,-1)</f>
        <v>57220</v>
      </c>
    </row>
    <row r="99" spans="1:7" x14ac:dyDescent="0.3">
      <c r="A99" s="2">
        <v>2</v>
      </c>
      <c r="C99" s="38" t="s">
        <v>40</v>
      </c>
      <c r="D99" s="42">
        <f>TRUNC(15979,-1)</f>
        <v>15970</v>
      </c>
      <c r="E99" s="63">
        <f t="shared" si="3"/>
        <v>52790</v>
      </c>
    </row>
    <row r="100" spans="1:7" x14ac:dyDescent="0.3">
      <c r="A100" s="2">
        <v>3</v>
      </c>
      <c r="C100" s="38" t="s">
        <v>41</v>
      </c>
      <c r="D100" s="42">
        <f>TRUNC(36050,-1)</f>
        <v>36050</v>
      </c>
      <c r="E100" s="63">
        <f t="shared" si="3"/>
        <v>119170</v>
      </c>
    </row>
    <row r="101" spans="1:7" x14ac:dyDescent="0.3">
      <c r="A101" s="2">
        <v>4</v>
      </c>
      <c r="C101" s="38" t="s">
        <v>42</v>
      </c>
      <c r="D101" s="42">
        <f>TRUNC(657,-1)</f>
        <v>650</v>
      </c>
      <c r="E101" s="63">
        <f t="shared" si="3"/>
        <v>2140</v>
      </c>
    </row>
    <row r="102" spans="1:7" x14ac:dyDescent="0.3">
      <c r="A102" s="2">
        <v>5</v>
      </c>
      <c r="C102" s="38" t="s">
        <v>43</v>
      </c>
      <c r="D102" s="42">
        <f>TRUNC(6378,-1)</f>
        <v>6370</v>
      </c>
      <c r="E102" s="63">
        <f t="shared" si="3"/>
        <v>21050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TRUNC(8314,-1)</f>
        <v>8310</v>
      </c>
      <c r="E104" s="63">
        <f t="shared" si="3"/>
        <v>27470</v>
      </c>
    </row>
    <row r="105" spans="1:7" x14ac:dyDescent="0.3">
      <c r="A105" s="2">
        <v>8</v>
      </c>
      <c r="C105" s="38" t="s">
        <v>46</v>
      </c>
      <c r="D105" s="42">
        <f>TRUNC(5962,-1)</f>
        <v>5960</v>
      </c>
      <c r="E105" s="63">
        <f t="shared" si="3"/>
        <v>19700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TRUNC(3513,-1)</f>
        <v>3510</v>
      </c>
      <c r="E114" s="63">
        <f t="shared" si="3"/>
        <v>11600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TRUNC(6345,-1)</f>
        <v>6340</v>
      </c>
      <c r="E116" s="63">
        <f t="shared" si="3"/>
        <v>20950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TRUNC(214181,-1)</f>
        <v>214180</v>
      </c>
      <c r="E117" s="63">
        <f t="shared" si="3"/>
        <v>708030</v>
      </c>
    </row>
    <row r="118" spans="1:7" ht="17.25" thickBot="1" x14ac:dyDescent="0.35">
      <c r="A118" s="2">
        <v>21</v>
      </c>
      <c r="C118" s="38" t="s">
        <v>47</v>
      </c>
      <c r="D118" s="43">
        <f>TRUNC(3634,-1)</f>
        <v>3630</v>
      </c>
      <c r="E118" s="64">
        <f t="shared" si="3"/>
        <v>12000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318280</v>
      </c>
      <c r="E119" s="39">
        <f>SUM(E98:E118)</f>
        <v>1052120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TRUNC(1058,-1)</f>
        <v>1050</v>
      </c>
      <c r="E122" s="62">
        <f t="shared" ref="E122:E132" si="4">TRUNC(+D122*3.3058,-1)</f>
        <v>3470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TRUNC(5514,-1)</f>
        <v>5510</v>
      </c>
      <c r="E125" s="63">
        <f t="shared" si="4"/>
        <v>18210</v>
      </c>
    </row>
    <row r="126" spans="1:7" x14ac:dyDescent="0.3">
      <c r="A126" s="2">
        <v>5</v>
      </c>
      <c r="C126" s="38" t="s">
        <v>53</v>
      </c>
      <c r="D126" s="42">
        <f>TRUNC(9602,-1)</f>
        <v>9600</v>
      </c>
      <c r="E126" s="63">
        <f t="shared" si="4"/>
        <v>31730</v>
      </c>
    </row>
    <row r="127" spans="1:7" x14ac:dyDescent="0.3">
      <c r="A127" s="2">
        <v>6</v>
      </c>
      <c r="C127" s="38" t="s">
        <v>56</v>
      </c>
      <c r="D127" s="42">
        <f>TRUNC(17735,-1)</f>
        <v>17730</v>
      </c>
      <c r="E127" s="63">
        <f t="shared" si="4"/>
        <v>58610</v>
      </c>
    </row>
    <row r="128" spans="1:7" x14ac:dyDescent="0.3">
      <c r="A128" s="2">
        <v>7</v>
      </c>
      <c r="C128" s="38" t="s">
        <v>46</v>
      </c>
      <c r="D128" s="42">
        <f>TRUNC(3965,-1)</f>
        <v>3960</v>
      </c>
      <c r="E128" s="63">
        <f t="shared" si="4"/>
        <v>13090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TRUNC(17161,-1)</f>
        <v>17160</v>
      </c>
      <c r="E130" s="63">
        <f t="shared" si="4"/>
        <v>56720</v>
      </c>
    </row>
    <row r="131" spans="1:7" x14ac:dyDescent="0.3">
      <c r="A131" s="2">
        <v>10</v>
      </c>
      <c r="C131" s="38" t="s">
        <v>148</v>
      </c>
      <c r="D131" s="42">
        <f>TRUNC(60282,-1)</f>
        <v>60280</v>
      </c>
      <c r="E131" s="63">
        <f t="shared" si="4"/>
        <v>199270</v>
      </c>
    </row>
    <row r="132" spans="1:7" ht="18" thickBot="1" x14ac:dyDescent="0.35">
      <c r="A132" s="2">
        <v>11</v>
      </c>
      <c r="C132" s="38" t="s">
        <v>47</v>
      </c>
      <c r="D132" s="43">
        <f>TRUNC(4847+401,-1)</f>
        <v>5240</v>
      </c>
      <c r="E132" s="64">
        <f t="shared" si="4"/>
        <v>17320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120530</v>
      </c>
      <c r="E133" s="39">
        <f>SUM(E122:E132)</f>
        <v>398420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TRUNC(4756,-1)</f>
        <v>4750</v>
      </c>
      <c r="E137" s="63">
        <f t="shared" si="5"/>
        <v>15700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TRUNC(1090,-1)</f>
        <v>1090</v>
      </c>
      <c r="E138" s="63">
        <f t="shared" si="5"/>
        <v>3600</v>
      </c>
    </row>
    <row r="139" spans="1:7" x14ac:dyDescent="0.3">
      <c r="A139" s="2">
        <v>4</v>
      </c>
      <c r="C139" s="38" t="s">
        <v>61</v>
      </c>
      <c r="D139" s="42">
        <f>TRUNC(2421,-1)</f>
        <v>2420</v>
      </c>
      <c r="E139" s="63">
        <f t="shared" si="5"/>
        <v>8000</v>
      </c>
    </row>
    <row r="140" spans="1:7" x14ac:dyDescent="0.3">
      <c r="A140" s="2">
        <v>5</v>
      </c>
      <c r="C140" s="38" t="s">
        <v>57</v>
      </c>
      <c r="D140" s="42">
        <f>TRUNC(3742,-1)</f>
        <v>3740</v>
      </c>
      <c r="E140" s="63">
        <f t="shared" si="5"/>
        <v>12360</v>
      </c>
    </row>
    <row r="141" spans="1:7" x14ac:dyDescent="0.3">
      <c r="A141" s="2">
        <v>6</v>
      </c>
      <c r="C141" s="38" t="s">
        <v>59</v>
      </c>
      <c r="D141" s="42">
        <f>TRUNC(25605,-1)</f>
        <v>25600</v>
      </c>
      <c r="E141" s="63">
        <f t="shared" si="5"/>
        <v>84620</v>
      </c>
    </row>
    <row r="142" spans="1:7" x14ac:dyDescent="0.3">
      <c r="A142" s="2">
        <v>7</v>
      </c>
      <c r="C142" s="38" t="s">
        <v>58</v>
      </c>
      <c r="D142" s="42">
        <f>TRUNC(5513,-1)</f>
        <v>5510</v>
      </c>
      <c r="E142" s="63">
        <f t="shared" si="5"/>
        <v>18210</v>
      </c>
    </row>
    <row r="143" spans="1:7" x14ac:dyDescent="0.3">
      <c r="A143" s="2">
        <v>8</v>
      </c>
      <c r="C143" s="38" t="s">
        <v>62</v>
      </c>
      <c r="D143" s="42">
        <f>TRUNC(4660,-1)</f>
        <v>4660</v>
      </c>
      <c r="E143" s="63">
        <f t="shared" si="5"/>
        <v>15400</v>
      </c>
    </row>
    <row r="144" spans="1:7" x14ac:dyDescent="0.3">
      <c r="A144" s="2">
        <v>9</v>
      </c>
      <c r="C144" s="38" t="s">
        <v>63</v>
      </c>
      <c r="D144" s="42">
        <f>TRUNC(16825,-1)</f>
        <v>16820</v>
      </c>
      <c r="E144" s="63">
        <f t="shared" si="5"/>
        <v>55600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64590</v>
      </c>
      <c r="E146" s="39">
        <f>SUM(E136:E145)</f>
        <v>213490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TRUNC(12212+2937,-1)</f>
        <v>15140</v>
      </c>
      <c r="E149" s="62">
        <f>TRUNC(+D149*3.3058,-1)</f>
        <v>50040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TRUNC(5523,-1)</f>
        <v>5520</v>
      </c>
      <c r="E150" s="63">
        <f>TRUNC(+D150*3.3058,-1)</f>
        <v>18240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TRUNC(8771+218+1424,-1)</f>
        <v>10410</v>
      </c>
      <c r="E152" s="63">
        <f>TRUNC(+D152*3.3058,-1)</f>
        <v>34410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TRUNC(6298,-1)</f>
        <v>6290</v>
      </c>
      <c r="E153" s="64">
        <f>TRUNC(+D153*3.3058,-1)</f>
        <v>20790</v>
      </c>
    </row>
    <row r="154" spans="1:7" x14ac:dyDescent="0.3">
      <c r="A154" s="2">
        <v>6</v>
      </c>
      <c r="C154" s="27" t="s">
        <v>112</v>
      </c>
      <c r="D154" s="39">
        <f>SUM(D149:D153)</f>
        <v>37360</v>
      </c>
      <c r="E154" s="39">
        <f>SUM(E149:E153)</f>
        <v>123480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TRUNC(21401,-1)</f>
        <v>21400</v>
      </c>
      <c r="E157" s="62">
        <f>TRUNC(+D157*3.3058,-1)</f>
        <v>70740</v>
      </c>
    </row>
    <row r="158" spans="1:7" x14ac:dyDescent="0.3">
      <c r="A158" s="2">
        <v>2</v>
      </c>
      <c r="C158" s="38" t="s">
        <v>52</v>
      </c>
      <c r="D158" s="42">
        <f>TRUNC(3841,-1)</f>
        <v>3840</v>
      </c>
      <c r="E158" s="63">
        <f>TRUNC(+D158*3.3058,-1)</f>
        <v>12690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TRUNC(4696,-1)</f>
        <v>4690</v>
      </c>
      <c r="E159" s="63">
        <f>TRUNC(+D159*3.3058,-1)</f>
        <v>15500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TRUNC(13552,-1)</f>
        <v>13550</v>
      </c>
      <c r="E160" s="64">
        <f>TRUNC(+D160*3.3058,-1)</f>
        <v>44790</v>
      </c>
    </row>
    <row r="161" spans="1:5" x14ac:dyDescent="0.3">
      <c r="A161" s="2">
        <v>5</v>
      </c>
      <c r="C161" s="27" t="s">
        <v>112</v>
      </c>
      <c r="D161" s="39">
        <f>SUM(D157:D160)</f>
        <v>43480</v>
      </c>
      <c r="E161" s="39">
        <f>SUM(E157:E160)</f>
        <v>143720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2020-12-08T02:50:47Z</dcterms:modified>
</cp:coreProperties>
</file>