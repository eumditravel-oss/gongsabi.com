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1" i="4" l="1"/>
  <c r="D118" i="4"/>
  <c r="E158" i="4" l="1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0" i="4"/>
  <c r="E129" i="4"/>
  <c r="E128" i="4"/>
  <c r="E127" i="4"/>
  <c r="E126" i="4"/>
  <c r="E125" i="4"/>
  <c r="E124" i="4"/>
  <c r="E123" i="4"/>
  <c r="E122" i="4"/>
  <c r="E118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6" i="4" s="1"/>
  <c r="E63" i="4"/>
  <c r="E59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D131" i="4" l="1"/>
  <c r="E131" i="4" s="1"/>
  <c r="D93" i="4"/>
  <c r="E93" i="4" s="1"/>
  <c r="D117" i="4"/>
  <c r="E117" i="4" s="1"/>
  <c r="E119" i="4" s="1"/>
  <c r="D160" i="4"/>
  <c r="E160" i="4" s="1"/>
  <c r="D152" i="4" l="1"/>
  <c r="D159" i="4"/>
  <c r="D137" i="4"/>
  <c r="D132" i="4"/>
  <c r="E132" i="4" s="1"/>
  <c r="E133" i="4" s="1"/>
  <c r="D119" i="4"/>
  <c r="D28" i="4" s="1"/>
  <c r="E28" i="4" s="1"/>
  <c r="D94" i="4"/>
  <c r="D66" i="4"/>
  <c r="D58" i="4"/>
  <c r="E58" i="4" s="1"/>
  <c r="E60" i="4" s="1"/>
  <c r="D26" i="4"/>
  <c r="E26" i="4" s="1"/>
  <c r="D24" i="4"/>
  <c r="E24" i="4" s="1"/>
  <c r="D7" i="4"/>
  <c r="D95" i="4" l="1"/>
  <c r="D27" i="4" s="1"/>
  <c r="E27" i="4" s="1"/>
  <c r="E94" i="4"/>
  <c r="E95" i="4" s="1"/>
  <c r="D146" i="4"/>
  <c r="D30" i="4" s="1"/>
  <c r="E30" i="4" s="1"/>
  <c r="E137" i="4"/>
  <c r="E146" i="4" s="1"/>
  <c r="D161" i="4"/>
  <c r="D32" i="4" s="1"/>
  <c r="E32" i="4" s="1"/>
  <c r="E159" i="4"/>
  <c r="E161" i="4" s="1"/>
  <c r="D60" i="4"/>
  <c r="D25" i="4" s="1"/>
  <c r="E25" i="4" s="1"/>
  <c r="D154" i="4"/>
  <c r="D31" i="4" s="1"/>
  <c r="E31" i="4" s="1"/>
  <c r="E152" i="4"/>
  <c r="E154" i="4" s="1"/>
  <c r="D133" i="4"/>
  <c r="D29" i="4" s="1"/>
  <c r="E2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D34" i="4"/>
  <c r="E33" i="4"/>
  <c r="E34" i="4" l="1"/>
</calcChain>
</file>

<file path=xl/sharedStrings.xml><?xml version="1.0" encoding="utf-8"?>
<sst xmlns="http://schemas.openxmlformats.org/spreadsheetml/2006/main" count="400" uniqueCount="274">
  <si>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</si>
  <si>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</si>
  <si>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</si>
  <si>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</si>
  <si>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</si>
  <si>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</si>
  <si>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</si>
  <si>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</si>
  <si>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</si>
  <si>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</si>
  <si>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</si>
  <si>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</si>
  <si>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</si>
  <si>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</si>
  <si>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</si>
  <si>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</si>
  <si>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</si>
  <si>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</si>
  <si>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</si>
  <si>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</si>
  <si>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</si>
  <si>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</si>
  <si>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</si>
  <si>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</si>
  <si>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</si>
  <si>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</si>
  <si>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</si>
  <si>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</si>
  <si>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</si>
  <si>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</si>
  <si>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</si>
  <si>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</si>
  <si>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</si>
  <si>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</si>
  <si>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</si>
  <si>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</si>
  <si>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</si>
  <si>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</si>
  <si>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</si>
  <si>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</si>
  <si>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</si>
  <si>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</si>
  <si>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</si>
  <si>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</si>
  <si>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</si>
  <si>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</si>
  <si>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</si>
  <si>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</si>
  <si>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</si>
  <si>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</si>
  <si>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</si>
  <si>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</si>
  <si>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</si>
  <si>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</si>
  <si>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</si>
  <si>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</si>
  <si>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</si>
  <si>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</si>
  <si>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</si>
  <si>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</si>
  <si>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</si>
  <si>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</si>
  <si>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</si>
  <si>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</si>
  <si>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</si>
  <si>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</si>
  <si>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</si>
  <si>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</si>
  <si>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</si>
  <si>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</si>
  <si>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</si>
  <si>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</si>
  <si>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</si>
  <si>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</si>
  <si>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</si>
  <si>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</si>
  <si>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</si>
  <si>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</si>
  <si>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</si>
  <si>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</si>
  <si>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</si>
  <si>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</si>
  <si>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</si>
  <si>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</si>
  <si>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</si>
  <si>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</si>
  <si>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</si>
  <si>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</si>
  <si>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</si>
  <si>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</si>
  <si>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</si>
  <si>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</si>
  <si>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</si>
  <si>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</si>
  <si>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</si>
  <si>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</si>
  <si>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</si>
  <si>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</si>
  <si>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</si>
  <si>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</si>
  <si>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</si>
  <si>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</si>
  <si>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</si>
  <si>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</si>
  <si>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</si>
  <si>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</si>
  <si>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</si>
  <si>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</si>
  <si>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</si>
  <si>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</si>
  <si>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</si>
  <si>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</si>
  <si>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</si>
  <si>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</si>
  <si>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</si>
  <si>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</si>
  <si>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</si>
  <si>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</si>
  <si>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</si>
  <si>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</si>
  <si>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</si>
  <si>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</si>
  <si>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</si>
  <si>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</si>
  <si>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</si>
  <si>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</si>
  <si>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</si>
  <si>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</si>
  <si>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</si>
  <si>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</si>
  <si>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</si>
  <si>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</si>
  <si>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</si>
  <si>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</si>
  <si>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</si>
  <si>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</si>
  <si>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</si>
  <si>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</si>
  <si>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</si>
  <si>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</si>
  <si>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</si>
  <si>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</si>
  <si>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</si>
  <si>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</si>
  <si>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</si>
  <si>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</si>
  <si>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</si>
  <si>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</si>
  <si>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</si>
  <si>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</si>
  <si>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</si>
  <si>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</si>
  <si>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</si>
  <si>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</si>
  <si>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</si>
  <si>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</si>
  <si>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</si>
  <si>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</si>
  <si>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</si>
  <si>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</si>
  <si>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</si>
  <si>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</si>
  <si>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</si>
  <si>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</si>
  <si>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</si>
  <si>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</si>
  <si>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</si>
  <si>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</si>
  <si>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</si>
  <si>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</si>
  <si>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</si>
  <si>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</si>
  <si>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</si>
  <si>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</si>
  <si>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</si>
  <si>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</si>
  <si>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</si>
  <si>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</si>
  <si>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</si>
  <si>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</si>
  <si>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</si>
  <si>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</si>
  <si>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</si>
  <si>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</si>
  <si>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</si>
  <si>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</si>
  <si>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</si>
  <si>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</si>
  <si>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</si>
  <si>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</si>
  <si>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</si>
  <si>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</si>
  <si>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</si>
  <si>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</si>
  <si>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</si>
  <si>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</si>
  <si>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</si>
  <si>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</si>
  <si>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</si>
  <si>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</si>
  <si>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</si>
  <si>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</si>
  <si>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</si>
  <si>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</si>
  <si>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</si>
  <si>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</si>
  <si>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</si>
  <si>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</si>
  <si>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</si>
  <si>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</si>
  <si>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</si>
  <si>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</si>
  <si>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</si>
  <si>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</si>
  <si>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</si>
  <si>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</si>
  <si>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</si>
  <si>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</si>
  <si>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</si>
  <si>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</si>
  <si>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</si>
  <si>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</si>
  <si>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</si>
  <si>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</si>
  <si>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</si>
  <si>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</si>
  <si>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</si>
  <si>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</si>
  <si>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</si>
  <si>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</si>
  <si>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</si>
  <si>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</si>
  <si>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</si>
  <si>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</si>
  <si>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</si>
  <si>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</si>
  <si>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</si>
  <si>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</si>
  <si>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</si>
  <si>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</si>
  <si>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</si>
  <si>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</si>
  <si>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</si>
  <si>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</si>
  <si>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</si>
  <si>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</si>
  <si>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</si>
  <si>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00구통합신청사 신축건축공사</t>
  </si>
  <si>
    <t>서울</t>
  </si>
  <si>
    <t>원/ m2</t>
    <phoneticPr fontId="2" type="noConversion"/>
  </si>
  <si>
    <t>기타공사,골재비및운반비,품질시험비,폐기물처리비,작업부산물</t>
    <phoneticPr fontId="2" type="noConversion"/>
  </si>
  <si>
    <t>C.I.P 공사</t>
    <phoneticPr fontId="2" type="noConversion"/>
  </si>
  <si>
    <t>기계장비설치공사</t>
  </si>
  <si>
    <t>지열냉난방</t>
  </si>
  <si>
    <t>공조배관,위생배관,단독정화조,심정개발</t>
    <phoneticPr fontId="2" type="noConversion"/>
  </si>
  <si>
    <t>CATV 및 CCTV설비공사</t>
  </si>
  <si>
    <t>방송 및 AV설비공사</t>
  </si>
  <si>
    <t>옥외통신인입설비공사</t>
  </si>
  <si>
    <t>재부제실설비공사,본회의장전자투표설비공사</t>
    <phoneticPr fontId="2" type="noConversion"/>
  </si>
  <si>
    <t>기계 소화설비</t>
    <phoneticPr fontId="2" type="noConversion"/>
  </si>
  <si>
    <t>전기 자탐설비공사, 전기 무선통신설비공사</t>
    <phoneticPr fontId="2" type="noConversion"/>
  </si>
  <si>
    <t>가시설공사,제거식 ANCHOR 공사,소공 GROUT 공사,J.S.P 공사,지하수배수공사,부대공사,자재대,상수공사,운반비,품질관리비,철거비</t>
    <phoneticPr fontId="2" type="noConversion"/>
  </si>
  <si>
    <t>포장공사,수경시설물공사</t>
    <phoneticPr fontId="2" type="noConversion"/>
  </si>
  <si>
    <t>도급자설치</t>
    <phoneticPr fontId="2" type="noConversion"/>
  </si>
  <si>
    <t>관급자설치</t>
    <phoneticPr fontId="2" type="noConversion"/>
  </si>
  <si>
    <t>도급자설치, 관급자설치</t>
    <phoneticPr fontId="2" type="noConversion"/>
  </si>
  <si>
    <t>원 /평</t>
    <phoneticPr fontId="2" type="noConversion"/>
  </si>
  <si>
    <t>경관조명설비공사,주차관제설비공사,엘리베이터설비공사</t>
    <phoneticPr fontId="2" type="noConversion"/>
  </si>
  <si>
    <t>무대장치 및 조명제어설비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</si>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</sst>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271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32380</v>
      </c>
      <c r="D7" s="36">
        <f>+C7/3.3058</f>
        <v>9794.9059229233462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272</v>
      </c>
    </row>
    <row r="19" spans="1:5" x14ac:dyDescent="0.3">
      <c r="A19" s="2">
        <v>9</v>
      </c>
      <c r="B19" s="2" t="s">
        <v>273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266</v>
      </c>
    </row>
    <row r="24" spans="1:5" x14ac:dyDescent="0.3">
      <c r="B24" s="2">
        <v>1</v>
      </c>
      <c r="C24" s="35" t="s">
        <v>110</v>
      </c>
      <c r="D24" s="41">
        <f>D37</f>
        <v>12500</v>
      </c>
      <c r="E24" s="59">
        <f t="shared" ref="E24:E33" si="0">TRUNC(+D24*3.3058,-1)</f>
        <v>41320</v>
      </c>
    </row>
    <row r="25" spans="1:5" x14ac:dyDescent="0.3">
      <c r="B25" s="2">
        <v>2</v>
      </c>
      <c r="C25" s="35" t="s">
        <v>111</v>
      </c>
      <c r="D25" s="45">
        <f>+D60</f>
        <v>644870</v>
      </c>
      <c r="E25" s="60">
        <f t="shared" si="0"/>
        <v>2131810</v>
      </c>
    </row>
    <row r="26" spans="1:5" x14ac:dyDescent="0.3">
      <c r="B26" s="2">
        <v>3</v>
      </c>
      <c r="C26" s="35" t="s">
        <v>95</v>
      </c>
      <c r="D26" s="45">
        <f>+D66</f>
        <v>30220</v>
      </c>
      <c r="E26" s="60">
        <f t="shared" si="0"/>
        <v>99900</v>
      </c>
    </row>
    <row r="27" spans="1:5" x14ac:dyDescent="0.3">
      <c r="B27" s="2">
        <v>4</v>
      </c>
      <c r="C27" s="35" t="s">
        <v>96</v>
      </c>
      <c r="D27" s="45">
        <f>+D95</f>
        <v>251020</v>
      </c>
      <c r="E27" s="60">
        <f t="shared" si="0"/>
        <v>829820</v>
      </c>
    </row>
    <row r="28" spans="1:5" x14ac:dyDescent="0.3">
      <c r="B28" s="2">
        <v>5</v>
      </c>
      <c r="C28" s="35" t="s">
        <v>97</v>
      </c>
      <c r="D28" s="45">
        <f>+D119</f>
        <v>135740</v>
      </c>
      <c r="E28" s="60">
        <f t="shared" si="0"/>
        <v>448720</v>
      </c>
    </row>
    <row r="29" spans="1:5" x14ac:dyDescent="0.3">
      <c r="B29" s="2">
        <v>6</v>
      </c>
      <c r="C29" s="35" t="s">
        <v>98</v>
      </c>
      <c r="D29" s="45">
        <f>+D133</f>
        <v>124500</v>
      </c>
      <c r="E29" s="60">
        <f t="shared" si="0"/>
        <v>411570</v>
      </c>
    </row>
    <row r="30" spans="1:5" x14ac:dyDescent="0.3">
      <c r="B30" s="2">
        <v>7</v>
      </c>
      <c r="C30" s="35" t="s">
        <v>99</v>
      </c>
      <c r="D30" s="45">
        <f>+D146</f>
        <v>45450</v>
      </c>
      <c r="E30" s="60">
        <f t="shared" si="0"/>
        <v>150240</v>
      </c>
    </row>
    <row r="31" spans="1:5" x14ac:dyDescent="0.3">
      <c r="B31" s="2">
        <v>8</v>
      </c>
      <c r="C31" s="35" t="s">
        <v>100</v>
      </c>
      <c r="D31" s="45">
        <f>+D154</f>
        <v>93030</v>
      </c>
      <c r="E31" s="60">
        <f t="shared" si="0"/>
        <v>307530</v>
      </c>
    </row>
    <row r="32" spans="1:5" x14ac:dyDescent="0.3">
      <c r="B32" s="2">
        <v>9</v>
      </c>
      <c r="C32" s="35" t="s">
        <v>101</v>
      </c>
      <c r="D32" s="45">
        <f>+D161</f>
        <v>143310</v>
      </c>
      <c r="E32" s="60">
        <f t="shared" si="0"/>
        <v>473750</v>
      </c>
    </row>
    <row r="33" spans="1:7" x14ac:dyDescent="0.3">
      <c r="B33" s="2">
        <v>10</v>
      </c>
      <c r="C33" s="35" t="s">
        <v>153</v>
      </c>
      <c r="D33" s="53">
        <f>TRUNC(SUM(D24:D32)*0.275,-1)</f>
        <v>407170</v>
      </c>
      <c r="E33" s="61">
        <f t="shared" si="0"/>
        <v>1346020</v>
      </c>
    </row>
    <row r="34" spans="1:7" x14ac:dyDescent="0.3">
      <c r="C34" s="35" t="s">
        <v>112</v>
      </c>
      <c r="D34" s="44">
        <f>SUM(D24:D33)</f>
        <v>1887810</v>
      </c>
      <c r="E34" s="44">
        <f>SUM(E24:E33)</f>
        <v>6240680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234</v>
      </c>
      <c r="E36" s="56" t="s">
        <v>266</v>
      </c>
      <c r="F36" s="54"/>
      <c r="G36" s="54"/>
    </row>
    <row r="37" spans="1:7" ht="17.25" thickBot="1" x14ac:dyDescent="0.35">
      <c r="C37" s="38" t="s">
        <v>143</v>
      </c>
      <c r="D37" s="52">
        <v>12500</v>
      </c>
      <c r="E37" s="62">
        <f>TRUNC(+D37*3.3058,-1)</f>
        <v>41320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269</v>
      </c>
      <c r="E39" s="67" t="s">
        <v>270</v>
      </c>
      <c r="G39" s="68"/>
    </row>
    <row r="40" spans="1:7" x14ac:dyDescent="0.3">
      <c r="A40" s="2">
        <v>1</v>
      </c>
      <c r="C40" s="38" t="s">
        <v>15</v>
      </c>
      <c r="D40" s="40">
        <v>32320</v>
      </c>
      <c r="E40" s="63">
        <f t="shared" ref="E40:E59" si="1">TRUNC(+D40*3.3058,-1)</f>
        <v>106840</v>
      </c>
    </row>
    <row r="41" spans="1:7" x14ac:dyDescent="0.3">
      <c r="A41" s="2">
        <v>2</v>
      </c>
      <c r="C41" s="38" t="s">
        <v>13</v>
      </c>
      <c r="D41" s="42">
        <v>75550</v>
      </c>
      <c r="E41" s="64">
        <f t="shared" si="1"/>
        <v>249750</v>
      </c>
    </row>
    <row r="42" spans="1:7" x14ac:dyDescent="0.3">
      <c r="A42" s="2">
        <v>3</v>
      </c>
      <c r="C42" s="38" t="s">
        <v>14</v>
      </c>
      <c r="D42" s="42">
        <v>127590</v>
      </c>
      <c r="E42" s="64">
        <f t="shared" si="1"/>
        <v>421780</v>
      </c>
    </row>
    <row r="43" spans="1:7" x14ac:dyDescent="0.3">
      <c r="A43" s="2">
        <v>4</v>
      </c>
      <c r="C43" s="38" t="s">
        <v>16</v>
      </c>
      <c r="D43" s="42">
        <v>10500</v>
      </c>
      <c r="E43" s="64">
        <f t="shared" si="1"/>
        <v>34710</v>
      </c>
    </row>
    <row r="44" spans="1:7" x14ac:dyDescent="0.3">
      <c r="A44" s="2">
        <v>5</v>
      </c>
      <c r="C44" s="38" t="s">
        <v>17</v>
      </c>
      <c r="D44" s="42">
        <v>20130</v>
      </c>
      <c r="E44" s="64">
        <f t="shared" si="1"/>
        <v>66540</v>
      </c>
    </row>
    <row r="45" spans="1:7" x14ac:dyDescent="0.3">
      <c r="A45" s="2">
        <v>6</v>
      </c>
      <c r="C45" s="38" t="s">
        <v>18</v>
      </c>
      <c r="D45" s="42">
        <v>5800</v>
      </c>
      <c r="E45" s="64">
        <f t="shared" si="1"/>
        <v>19170</v>
      </c>
    </row>
    <row r="46" spans="1:7" x14ac:dyDescent="0.3">
      <c r="A46" s="2">
        <v>7</v>
      </c>
      <c r="C46" s="38" t="s">
        <v>19</v>
      </c>
      <c r="D46" s="42">
        <v>9020</v>
      </c>
      <c r="E46" s="64">
        <f t="shared" si="1"/>
        <v>29810</v>
      </c>
    </row>
    <row r="47" spans="1:7" x14ac:dyDescent="0.3">
      <c r="A47" s="2">
        <v>8</v>
      </c>
      <c r="C47" s="38" t="s">
        <v>20</v>
      </c>
      <c r="D47" s="42">
        <v>8600</v>
      </c>
      <c r="E47" s="64">
        <f t="shared" si="1"/>
        <v>28420</v>
      </c>
    </row>
    <row r="48" spans="1:7" x14ac:dyDescent="0.3">
      <c r="A48" s="2">
        <v>9</v>
      </c>
      <c r="C48" s="38" t="s">
        <v>21</v>
      </c>
      <c r="D48" s="42">
        <v>48960</v>
      </c>
      <c r="E48" s="64">
        <f t="shared" si="1"/>
        <v>161850</v>
      </c>
    </row>
    <row r="49" spans="1:7" x14ac:dyDescent="0.3">
      <c r="A49" s="2">
        <v>10</v>
      </c>
      <c r="C49" s="38" t="s">
        <v>22</v>
      </c>
      <c r="D49" s="42">
        <v>16500</v>
      </c>
      <c r="E49" s="64">
        <f t="shared" si="1"/>
        <v>54540</v>
      </c>
    </row>
    <row r="50" spans="1:7" x14ac:dyDescent="0.3">
      <c r="A50" s="2">
        <v>11</v>
      </c>
      <c r="C50" s="38" t="s">
        <v>154</v>
      </c>
      <c r="D50" s="42">
        <v>154820</v>
      </c>
      <c r="E50" s="64">
        <f t="shared" si="1"/>
        <v>511800</v>
      </c>
    </row>
    <row r="51" spans="1:7" x14ac:dyDescent="0.3">
      <c r="A51" s="2">
        <v>12</v>
      </c>
      <c r="C51" s="38" t="s">
        <v>23</v>
      </c>
      <c r="D51" s="42">
        <v>24200</v>
      </c>
      <c r="E51" s="64">
        <f t="shared" si="1"/>
        <v>80000</v>
      </c>
    </row>
    <row r="52" spans="1:7" x14ac:dyDescent="0.3">
      <c r="A52" s="2">
        <v>13</v>
      </c>
      <c r="C52" s="38" t="s">
        <v>24</v>
      </c>
      <c r="D52" s="42">
        <v>4680</v>
      </c>
      <c r="E52" s="64">
        <f t="shared" si="1"/>
        <v>15470</v>
      </c>
    </row>
    <row r="53" spans="1:7" x14ac:dyDescent="0.3">
      <c r="A53" s="2">
        <v>14</v>
      </c>
      <c r="C53" s="38" t="s">
        <v>25</v>
      </c>
      <c r="D53" s="42">
        <v>54530</v>
      </c>
      <c r="E53" s="64">
        <f t="shared" si="1"/>
        <v>180260</v>
      </c>
    </row>
    <row r="54" spans="1:7" x14ac:dyDescent="0.3">
      <c r="A54" s="2">
        <v>15</v>
      </c>
      <c r="C54" s="38" t="s">
        <v>147</v>
      </c>
      <c r="D54" s="42">
        <v>29900</v>
      </c>
      <c r="E54" s="64">
        <f t="shared" si="1"/>
        <v>98840</v>
      </c>
    </row>
    <row r="55" spans="1:7" x14ac:dyDescent="0.3">
      <c r="A55" s="2">
        <v>16</v>
      </c>
      <c r="C55" s="38" t="s">
        <v>144</v>
      </c>
      <c r="D55" s="42">
        <v>230</v>
      </c>
      <c r="E55" s="64">
        <f t="shared" si="1"/>
        <v>760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21900+1110+30-1500</f>
        <v>21540</v>
      </c>
      <c r="E58" s="64">
        <f t="shared" si="1"/>
        <v>71200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5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644870</v>
      </c>
      <c r="E60" s="39">
        <f>SUM(E40:E59)</f>
        <v>2131740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249</v>
      </c>
      <c r="E62" s="56" t="s">
        <v>266</v>
      </c>
      <c r="F62" s="54"/>
      <c r="G62" s="54"/>
    </row>
    <row r="63" spans="1:7" x14ac:dyDescent="0.3">
      <c r="A63" s="2">
        <v>1</v>
      </c>
      <c r="C63" s="38" t="s">
        <v>27</v>
      </c>
      <c r="D63" s="40">
        <v>24870</v>
      </c>
      <c r="E63" s="63">
        <f>TRUNC(+D63*3.3058,-1)</f>
        <v>82210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5350</v>
      </c>
      <c r="E65" s="65">
        <f>TRUNC(+D65*3.3058,-1)</f>
        <v>17680</v>
      </c>
      <c r="F65" s="2" t="s">
        <v>251</v>
      </c>
    </row>
    <row r="66" spans="1:7" x14ac:dyDescent="0.3">
      <c r="A66" s="2">
        <v>4</v>
      </c>
      <c r="C66" s="27" t="s">
        <v>112</v>
      </c>
      <c r="D66" s="57">
        <f>SUM(D63:D65)</f>
        <v>30220</v>
      </c>
      <c r="E66" s="57">
        <f>SUM(E63:E65)</f>
        <v>99890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249</v>
      </c>
      <c r="E68" s="56" t="s">
        <v>266</v>
      </c>
      <c r="F68" s="54"/>
      <c r="G68" s="54"/>
    </row>
    <row r="69" spans="1:7" x14ac:dyDescent="0.3">
      <c r="A69" s="2">
        <v>1</v>
      </c>
      <c r="C69" s="38" t="s">
        <v>30</v>
      </c>
      <c r="D69" s="40">
        <v>9840</v>
      </c>
      <c r="E69" s="63">
        <f>TRUNC(+D69*3.3058,-1)</f>
        <v>32520</v>
      </c>
      <c r="F69" s="2" t="s">
        <v>252</v>
      </c>
    </row>
    <row r="70" spans="1:7" ht="16.5" customHeight="1" x14ac:dyDescent="0.3">
      <c r="A70" s="2">
        <v>2</v>
      </c>
      <c r="C70" s="38" t="s">
        <v>31</v>
      </c>
      <c r="D70" s="42">
        <v>720</v>
      </c>
      <c r="E70" s="64">
        <f>TRUNC(+D70*3.3058,-1)</f>
        <v>2380</v>
      </c>
    </row>
    <row r="71" spans="1:7" x14ac:dyDescent="0.3">
      <c r="A71" s="2">
        <v>3</v>
      </c>
      <c r="C71" s="38" t="s">
        <v>32</v>
      </c>
      <c r="D71" s="42">
        <v>13930</v>
      </c>
      <c r="E71" s="64">
        <f t="shared" ref="E71:E73" si="2">TRUNC(+D71*3.3058,-1)</f>
        <v>46040</v>
      </c>
    </row>
    <row r="72" spans="1:7" x14ac:dyDescent="0.3">
      <c r="A72" s="2">
        <v>4</v>
      </c>
      <c r="C72" s="38" t="s">
        <v>33</v>
      </c>
      <c r="D72" s="42">
        <v>1690</v>
      </c>
      <c r="E72" s="64">
        <f t="shared" si="2"/>
        <v>5580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21480</v>
      </c>
      <c r="E76" s="64">
        <f t="shared" ref="E76:E89" si="3">TRUNC(+D76*3.3058,-1)</f>
        <v>71000</v>
      </c>
      <c r="F76" s="2" t="s">
        <v>253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55620</v>
      </c>
      <c r="E78" s="64">
        <f t="shared" si="3"/>
        <v>183860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2520</v>
      </c>
      <c r="E90" s="64">
        <f>TRUNC(+D90*3.3058,-1)</f>
        <v>8330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TRUNC(100221.587399629,-1)</f>
        <v>100220</v>
      </c>
      <c r="E93" s="64">
        <f>TRUNC(+D93*3.3058,-1)</f>
        <v>331300</v>
      </c>
      <c r="F93" s="2" t="s">
        <v>264</v>
      </c>
    </row>
    <row r="94" spans="1:7" ht="17.25" thickBot="1" x14ac:dyDescent="0.35">
      <c r="A94" s="2">
        <v>26</v>
      </c>
      <c r="C94" s="38" t="s">
        <v>47</v>
      </c>
      <c r="D94" s="43">
        <f>TRUNC(20990+20100+2040+1870,-1)</f>
        <v>45000</v>
      </c>
      <c r="E94" s="65">
        <f>TRUNC(+D94*3.3058,-1)</f>
        <v>148760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251020</v>
      </c>
      <c r="E95" s="39">
        <f>SUM(E69:E94)</f>
        <v>829770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249</v>
      </c>
      <c r="E97" s="56" t="s">
        <v>266</v>
      </c>
      <c r="F97" s="54"/>
      <c r="G97" s="54"/>
    </row>
    <row r="98" spans="1:7" x14ac:dyDescent="0.3">
      <c r="A98" s="2">
        <v>1</v>
      </c>
      <c r="C98" s="38" t="s">
        <v>39</v>
      </c>
      <c r="D98" s="40">
        <v>7230</v>
      </c>
      <c r="E98" s="63">
        <f t="shared" ref="E98:E118" si="4">TRUNC(+D98*3.3058,-1)</f>
        <v>23900</v>
      </c>
    </row>
    <row r="99" spans="1:7" x14ac:dyDescent="0.3">
      <c r="A99" s="2">
        <v>2</v>
      </c>
      <c r="C99" s="38" t="s">
        <v>40</v>
      </c>
      <c r="D99" s="42">
        <v>3490</v>
      </c>
      <c r="E99" s="64">
        <f t="shared" si="4"/>
        <v>11530</v>
      </c>
    </row>
    <row r="100" spans="1:7" x14ac:dyDescent="0.3">
      <c r="A100" s="2">
        <v>3</v>
      </c>
      <c r="C100" s="38" t="s">
        <v>41</v>
      </c>
      <c r="D100" s="42">
        <v>15420</v>
      </c>
      <c r="E100" s="64">
        <f t="shared" si="4"/>
        <v>50970</v>
      </c>
    </row>
    <row r="101" spans="1:7" x14ac:dyDescent="0.3">
      <c r="A101" s="2">
        <v>4</v>
      </c>
      <c r="C101" s="38" t="s">
        <v>42</v>
      </c>
      <c r="D101" s="42">
        <f>TRUNC(510,-1)</f>
        <v>510</v>
      </c>
      <c r="E101" s="64">
        <f t="shared" si="4"/>
        <v>1680</v>
      </c>
      <c r="F101" s="2" t="s">
        <v>268</v>
      </c>
    </row>
    <row r="102" spans="1:7" x14ac:dyDescent="0.3">
      <c r="A102" s="2">
        <v>5</v>
      </c>
      <c r="C102" s="38" t="s">
        <v>43</v>
      </c>
      <c r="D102" s="42">
        <v>5580</v>
      </c>
      <c r="E102" s="64">
        <f t="shared" si="4"/>
        <v>18440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</row>
    <row r="105" spans="1:7" x14ac:dyDescent="0.3">
      <c r="A105" s="2">
        <v>8</v>
      </c>
      <c r="C105" s="38" t="s">
        <v>46</v>
      </c>
      <c r="D105" s="42">
        <v>1540</v>
      </c>
      <c r="E105" s="64">
        <f t="shared" si="4"/>
        <v>5090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410</v>
      </c>
      <c r="E114" s="64">
        <f t="shared" si="4"/>
        <v>1350</v>
      </c>
    </row>
    <row r="115" spans="1:7" x14ac:dyDescent="0.3">
      <c r="A115" s="2">
        <v>18</v>
      </c>
      <c r="C115" s="38" t="s">
        <v>116</v>
      </c>
      <c r="D115" s="42">
        <v>1720</v>
      </c>
      <c r="E115" s="64">
        <f t="shared" si="4"/>
        <v>5680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TRUNC(17495.9542927733+68089.1290920321,-1)</f>
        <v>85580</v>
      </c>
      <c r="E117" s="64">
        <f t="shared" si="4"/>
        <v>282910</v>
      </c>
      <c r="F117" s="2" t="s">
        <v>265</v>
      </c>
    </row>
    <row r="118" spans="1:7" ht="17.25" thickBot="1" x14ac:dyDescent="0.35">
      <c r="A118" s="2">
        <v>21</v>
      </c>
      <c r="C118" s="38" t="s">
        <v>47</v>
      </c>
      <c r="D118" s="43">
        <f>1680+450+12130</f>
        <v>14260</v>
      </c>
      <c r="E118" s="65">
        <f t="shared" si="4"/>
        <v>47140</v>
      </c>
      <c r="F118" s="2" t="s">
        <v>267</v>
      </c>
    </row>
    <row r="119" spans="1:7" x14ac:dyDescent="0.3">
      <c r="A119" s="2">
        <v>22</v>
      </c>
      <c r="C119" s="27" t="s">
        <v>112</v>
      </c>
      <c r="D119" s="39">
        <f>SUM(D98:D118)</f>
        <v>135740</v>
      </c>
      <c r="E119" s="39">
        <f>SUM(E98:E118)</f>
        <v>448690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249</v>
      </c>
      <c r="E121" s="56" t="s">
        <v>266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1320</v>
      </c>
      <c r="E122" s="63">
        <f t="shared" ref="E122:E132" si="5">TRUNC(+D122*3.3058,-1)</f>
        <v>4360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v>3210</v>
      </c>
      <c r="E125" s="64">
        <f t="shared" si="5"/>
        <v>10610</v>
      </c>
      <c r="F125" s="2" t="s">
        <v>256</v>
      </c>
    </row>
    <row r="126" spans="1:7" x14ac:dyDescent="0.3">
      <c r="A126" s="2">
        <v>5</v>
      </c>
      <c r="C126" s="38" t="s">
        <v>53</v>
      </c>
      <c r="D126" s="42">
        <v>460</v>
      </c>
      <c r="E126" s="64">
        <f t="shared" si="5"/>
        <v>1520</v>
      </c>
      <c r="F126" s="2" t="s">
        <v>257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2310</v>
      </c>
      <c r="E128" s="64">
        <f t="shared" si="5"/>
        <v>7630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13140</v>
      </c>
      <c r="E130" s="64">
        <f t="shared" si="5"/>
        <v>43430</v>
      </c>
    </row>
    <row r="131" spans="1:7" x14ac:dyDescent="0.3">
      <c r="A131" s="2">
        <v>10</v>
      </c>
      <c r="C131" s="38" t="s">
        <v>148</v>
      </c>
      <c r="D131" s="42">
        <f>TRUNC(100216.522544781,-1)</f>
        <v>100210</v>
      </c>
      <c r="E131" s="64">
        <f t="shared" si="5"/>
        <v>331270</v>
      </c>
      <c r="F131" s="2" t="s">
        <v>264</v>
      </c>
    </row>
    <row r="132" spans="1:7" ht="17.25" thickBot="1" x14ac:dyDescent="0.35">
      <c r="A132" s="2">
        <v>11</v>
      </c>
      <c r="C132" s="38" t="s">
        <v>47</v>
      </c>
      <c r="D132" s="43">
        <f>3310+540</f>
        <v>3850</v>
      </c>
      <c r="E132" s="65">
        <f t="shared" si="5"/>
        <v>12720</v>
      </c>
      <c r="F132" s="2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124500</v>
      </c>
      <c r="E133" s="39">
        <f>SUM(E122:E132)</f>
        <v>411540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249</v>
      </c>
      <c r="E135" s="56" t="s">
        <v>266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36190</v>
      </c>
      <c r="E136" s="63">
        <f t="shared" ref="E136:E145" si="6">TRUNC(+D136*3.3058,-1)</f>
        <v>119630</v>
      </c>
      <c r="F136" s="2" t="s">
        <v>259</v>
      </c>
    </row>
    <row r="137" spans="1:7" x14ac:dyDescent="0.3">
      <c r="A137" s="2">
        <v>2</v>
      </c>
      <c r="C137" s="38" t="s">
        <v>47</v>
      </c>
      <c r="D137" s="42">
        <f>7920+1340</f>
        <v>9260</v>
      </c>
      <c r="E137" s="64">
        <f t="shared" si="6"/>
        <v>30610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45450</v>
      </c>
      <c r="E146" s="39">
        <f>SUM(E136:E145)</f>
        <v>150240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249</v>
      </c>
      <c r="E148" s="56" t="s">
        <v>266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4990</v>
      </c>
      <c r="E149" s="63">
        <f>TRUNC(+D149*3.3058,-1)</f>
        <v>16490</v>
      </c>
    </row>
    <row r="150" spans="1:7" x14ac:dyDescent="0.3">
      <c r="A150" s="2">
        <v>2</v>
      </c>
      <c r="C150" s="38" t="s">
        <v>49</v>
      </c>
      <c r="D150" s="42">
        <v>660</v>
      </c>
      <c r="E150" s="64">
        <f>TRUNC(+D150*3.3058,-1)</f>
        <v>2180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TRUNC(40850+13160+9130+4710+1060+1560+15390+100+4+60+1360,-1)</f>
        <v>87380</v>
      </c>
      <c r="E152" s="64">
        <f>TRUNC(+D152*3.3058,-1)</f>
        <v>288860</v>
      </c>
      <c r="F152" s="58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93030</v>
      </c>
      <c r="E154" s="39">
        <f>SUM(E149:E153)</f>
        <v>307530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249</v>
      </c>
      <c r="E156" s="56" t="s">
        <v>266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13010</v>
      </c>
      <c r="E157" s="63">
        <f>TRUNC(+D157*3.3058,-1)</f>
        <v>43000</v>
      </c>
    </row>
    <row r="158" spans="1:7" x14ac:dyDescent="0.3">
      <c r="A158" s="2">
        <v>2</v>
      </c>
      <c r="C158" s="38" t="s">
        <v>52</v>
      </c>
      <c r="D158" s="42">
        <v>4800</v>
      </c>
      <c r="E158" s="64">
        <f>TRUNC(+D158*3.3058,-1)</f>
        <v>15860</v>
      </c>
    </row>
    <row r="159" spans="1:7" x14ac:dyDescent="0.3">
      <c r="A159" s="2">
        <v>3</v>
      </c>
      <c r="C159" s="38" t="s">
        <v>47</v>
      </c>
      <c r="D159" s="42">
        <f>11420+6690</f>
        <v>18110</v>
      </c>
      <c r="E159" s="64">
        <f>TRUNC(+D159*3.3058,-1)</f>
        <v>59860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f>TRUNC(107393.514515133,-1)</f>
        <v>107390</v>
      </c>
      <c r="E160" s="65">
        <f>TRUNC(+D160*3.3058,-1)</f>
        <v>355000</v>
      </c>
      <c r="F160" s="2" t="s">
        <v>263</v>
      </c>
    </row>
    <row r="161" spans="1:5" x14ac:dyDescent="0.3">
      <c r="A161" s="2">
        <v>5</v>
      </c>
      <c r="C161" s="27" t="s">
        <v>112</v>
      </c>
      <c r="D161" s="39">
        <f>SUM(D157:D160)</f>
        <v>143310</v>
      </c>
      <c r="E161" s="39">
        <f>SUM(E157:E160)</f>
        <v>473720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2020-12-07T09:02:32Z</dcterms:modified>
</cp:coreProperties>
</file>