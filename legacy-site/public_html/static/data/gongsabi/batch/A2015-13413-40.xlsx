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39" i="4"/>
  <c r="E136" i="4"/>
  <c r="E129" i="4"/>
  <c r="E123" i="4"/>
  <c r="E115" i="4"/>
  <c r="E113" i="4"/>
  <c r="E112" i="4"/>
  <c r="E111" i="4"/>
  <c r="E110" i="4"/>
  <c r="E109" i="4"/>
  <c r="E108" i="4"/>
  <c r="E107" i="4"/>
  <c r="E106" i="4"/>
  <c r="E101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0" i="4"/>
  <c r="E150" i="4" s="1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E24" i="4" s="1"/>
  <c r="D7" i="4"/>
  <c r="D60" i="4" l="1"/>
  <c r="D25" i="4" s="1"/>
  <c r="E25" i="4" s="1"/>
  <c r="E41" i="4"/>
  <c r="D66" i="4"/>
  <c r="D26" i="4" s="1"/>
  <c r="E26" i="4" s="1"/>
  <c r="D119" i="4"/>
  <c r="D28" i="4" s="1"/>
  <c r="E28" i="4" s="1"/>
  <c r="E102" i="4"/>
  <c r="E119" i="4" s="1"/>
  <c r="D133" i="4"/>
  <c r="D29" i="4" s="1"/>
  <c r="E29" i="4" s="1"/>
  <c r="E122" i="4"/>
  <c r="E133" i="4"/>
  <c r="E60" i="4"/>
  <c r="D95" i="4"/>
  <c r="D27" i="4" s="1"/>
  <c r="E27" i="4" s="1"/>
  <c r="E69" i="4"/>
  <c r="E95" i="4" s="1"/>
  <c r="D146" i="4"/>
  <c r="D30" i="4" s="1"/>
  <c r="E30" i="4" s="1"/>
  <c r="E137" i="4"/>
  <c r="E146" i="4" s="1"/>
  <c r="E154" i="4"/>
  <c r="D154" i="4"/>
  <c r="D31" i="4" s="1"/>
  <c r="E31" i="4" s="1"/>
  <c r="D161" i="4"/>
  <c r="D32" i="4" s="1"/>
  <c r="E32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<sst xmlns="http://schemas.openxmlformats.org/spreadsheetml/2006/main" count="395" uniqueCount="267">
  <si>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</si>
  <si>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</si>
  <si>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</si>
  <si>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</si>
  <si>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</si>
  <si>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</si>
  <si>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</si>
  <si>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</si>
  <si>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</si>
  <si>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</si>
  <si>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</si>
  <si>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</si>
  <si>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</si>
  <si>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</si>
  <si>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</si>
  <si>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</si>
  <si>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</si>
  <si>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</si>
  <si>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</si>
  <si>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</si>
  <si>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</si>
  <si>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</si>
  <si>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</si>
  <si>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</si>
  <si>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</si>
  <si>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</si>
  <si>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</si>
  <si>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</si>
  <si>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</si>
  <si>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</si>
  <si>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</si>
  <si>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</si>
  <si>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</si>
  <si>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</si>
  <si>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</si>
  <si>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</si>
  <si>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</si>
  <si>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</si>
  <si>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</si>
  <si>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</si>
  <si>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</si>
  <si>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</si>
  <si>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</si>
  <si>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</si>
  <si>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</si>
  <si>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</si>
  <si>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</si>
  <si>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</si>
  <si>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</si>
  <si>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</si>
  <si>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</si>
  <si>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</si>
  <si>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</si>
  <si>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</si>
  <si>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</si>
  <si>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</si>
  <si>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</si>
  <si>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</si>
  <si>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</si>
  <si>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</si>
  <si>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</si>
  <si>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</si>
  <si>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</si>
  <si>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</si>
  <si>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</si>
  <si>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</si>
  <si>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</si>
  <si>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</si>
  <si>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</si>
  <si>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</si>
  <si>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</si>
  <si>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</si>
  <si>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</si>
  <si>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</si>
  <si>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</si>
  <si>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</si>
  <si>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</si>
  <si>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</si>
  <si>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</si>
  <si>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</si>
  <si>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</si>
  <si>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</si>
  <si>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</si>
  <si>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</si>
  <si>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</si>
  <si>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</si>
  <si>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</si>
  <si>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</si>
  <si>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</si>
  <si>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</si>
  <si>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</si>
  <si>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</si>
  <si>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</si>
  <si>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</si>
  <si>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</si>
  <si>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</si>
  <si>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</si>
  <si>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</si>
  <si>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</si>
  <si>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</si>
  <si>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</si>
  <si>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</si>
  <si>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</si>
  <si>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</si>
  <si>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</si>
  <si>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</si>
  <si>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</si>
  <si>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</si>
  <si>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</si>
  <si>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</si>
  <si>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</si>
  <si>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</si>
  <si>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</si>
  <si>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</si>
  <si>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</si>
  <si>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</si>
  <si>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</si>
  <si>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</si>
  <si>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</si>
  <si>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</si>
  <si>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</si>
  <si>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</si>
  <si>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</si>
  <si>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</si>
  <si>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</si>
  <si>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</si>
  <si>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</si>
  <si>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</si>
  <si>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</si>
  <si>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</si>
  <si>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</si>
  <si>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</si>
  <si>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</si>
  <si>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</si>
  <si>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</si>
  <si>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</si>
  <si>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</si>
  <si>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</si>
  <si>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</si>
  <si>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</si>
  <si>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</si>
  <si>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</si>
  <si>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</si>
  <si>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</si>
  <si>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</si>
  <si>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</si>
  <si>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</si>
  <si>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</si>
  <si>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</si>
  <si>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</si>
  <si>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</si>
  <si>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</si>
  <si>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</si>
  <si>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</si>
  <si>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</si>
  <si>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</si>
  <si>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</si>
  <si>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</si>
  <si>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</si>
  <si>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</si>
  <si>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</si>
  <si>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</si>
  <si>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</si>
  <si>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</si>
  <si>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</si>
  <si>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</si>
  <si>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</si>
  <si>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</si>
  <si>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</si>
  <si>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</si>
  <si>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</si>
  <si>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</si>
  <si>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</si>
  <si>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</si>
  <si>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</si>
  <si>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</si>
  <si>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</si>
  <si>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</si>
  <si>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</si>
  <si>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</si>
  <si>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</si>
  <si>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</si>
  <si>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</si>
  <si>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</si>
  <si>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</si>
  <si>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</si>
  <si>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</si>
  <si>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</si>
  <si>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</si>
  <si>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</si>
  <si>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</si>
  <si>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</si>
  <si>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</si>
  <si>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</si>
  <si>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</si>
  <si>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</si>
  <si>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</si>
  <si>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</si>
  <si>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</si>
  <si>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</si>
  <si>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</si>
  <si>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</si>
  <si>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</si>
  <si>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</si>
  <si>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</si>
  <si>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</si>
  <si>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</si>
  <si>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</si>
  <si>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</si>
  <si>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</si>
  <si>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</si>
  <si>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</si>
  <si>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</si>
  <si>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</si>
  <si>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</si>
  <si>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</si>
  <si>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</si>
  <si>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</si>
  <si>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</si>
  <si>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</si>
  <si>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</si>
  <si>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</si>
  <si>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</si>
  <si>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</si>
  <si>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</si>
  <si>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</si>
  <si>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</si>
  <si>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</si>
  <si>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</si>
  <si>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</si>
  <si>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</si>
  <si>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</si>
  <si>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</si>
  <si>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</si>
  <si>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</si>
  <si>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</si>
  <si>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</si>
  <si>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</si>
  <si>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</si>
  <si>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</si>
  <si>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</si>
  <si>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</si>
  <si>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</si>
  <si>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</si>
  <si>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</si>
  <si>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</si>
  <si>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목포경찰서 청사 신축 공사</t>
  </si>
  <si>
    <t>업무</t>
  </si>
  <si>
    <t>전라도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</si>
  <si>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</si>
  <si>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</si>
  <si>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</si>
  <si>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</si>
  <si>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해체및철거공사,골재비및운반비,작업부산물,품질시험비,기타공사</t>
    <phoneticPr fontId="2" type="noConversion"/>
  </si>
  <si>
    <t>우수처리시설공사,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</si>
  <si>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</si>
  <si>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</si>
  <si>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</si>
  <si>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옥외소화배관공사, 펌프실배관공사, 무선통신보조설비공사,기타공사</t>
    <phoneticPr fontId="2" type="noConversion"/>
  </si>
  <si>
    <t>토목 상수도공사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</si>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</sst>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15583.96</v>
      </c>
      <c r="D7" s="36">
        <f>+C7/3.3058</f>
        <v>4714.1266864299105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687820</v>
      </c>
      <c r="E25" s="60">
        <f t="shared" si="0"/>
        <v>2273790</v>
      </c>
    </row>
    <row r="26" spans="1:5" x14ac:dyDescent="0.3">
      <c r="B26" s="2">
        <v>3</v>
      </c>
      <c r="C26" s="35" t="s">
        <v>95</v>
      </c>
      <c r="D26" s="45">
        <f>+D66</f>
        <v>48820</v>
      </c>
      <c r="E26" s="60">
        <f t="shared" si="0"/>
        <v>161380</v>
      </c>
    </row>
    <row r="27" spans="1:5" x14ac:dyDescent="0.3">
      <c r="B27" s="2">
        <v>4</v>
      </c>
      <c r="C27" s="35" t="s">
        <v>96</v>
      </c>
      <c r="D27" s="45">
        <f>+D95</f>
        <v>247850</v>
      </c>
      <c r="E27" s="60">
        <f t="shared" si="0"/>
        <v>819340</v>
      </c>
    </row>
    <row r="28" spans="1:5" x14ac:dyDescent="0.3">
      <c r="B28" s="2">
        <v>5</v>
      </c>
      <c r="C28" s="35" t="s">
        <v>97</v>
      </c>
      <c r="D28" s="45">
        <f>+D119</f>
        <v>196770</v>
      </c>
      <c r="E28" s="60">
        <f t="shared" si="0"/>
        <v>650480</v>
      </c>
    </row>
    <row r="29" spans="1:5" x14ac:dyDescent="0.3">
      <c r="B29" s="2">
        <v>6</v>
      </c>
      <c r="C29" s="35" t="s">
        <v>98</v>
      </c>
      <c r="D29" s="45">
        <f>+D133</f>
        <v>184880</v>
      </c>
      <c r="E29" s="60">
        <f t="shared" si="0"/>
        <v>611170</v>
      </c>
    </row>
    <row r="30" spans="1:5" x14ac:dyDescent="0.3">
      <c r="B30" s="2">
        <v>7</v>
      </c>
      <c r="C30" s="35" t="s">
        <v>99</v>
      </c>
      <c r="D30" s="45">
        <f>+D146</f>
        <v>50000</v>
      </c>
      <c r="E30" s="60">
        <f t="shared" si="0"/>
        <v>165290</v>
      </c>
    </row>
    <row r="31" spans="1:5" x14ac:dyDescent="0.3">
      <c r="B31" s="2">
        <v>8</v>
      </c>
      <c r="C31" s="35" t="s">
        <v>100</v>
      </c>
      <c r="D31" s="45">
        <f>+D154</f>
        <v>37330</v>
      </c>
      <c r="E31" s="60">
        <f t="shared" si="0"/>
        <v>123400</v>
      </c>
    </row>
    <row r="32" spans="1:5" x14ac:dyDescent="0.3">
      <c r="B32" s="2">
        <v>9</v>
      </c>
      <c r="C32" s="35" t="s">
        <v>101</v>
      </c>
      <c r="D32" s="45">
        <f>+D161</f>
        <v>24240</v>
      </c>
      <c r="E32" s="60">
        <f t="shared" si="0"/>
        <v>80130</v>
      </c>
    </row>
    <row r="33" spans="1:7" x14ac:dyDescent="0.3">
      <c r="B33" s="2">
        <v>10</v>
      </c>
      <c r="C33" s="35" t="s">
        <v>154</v>
      </c>
      <c r="D33" s="53">
        <f>TRUNC(SUM(D24:D32)*0.275,-1)</f>
        <v>406370</v>
      </c>
      <c r="E33" s="61">
        <f t="shared" si="0"/>
        <v>1343370</v>
      </c>
    </row>
    <row r="34" spans="1:7" x14ac:dyDescent="0.3">
      <c r="C34" s="35" t="s">
        <v>112</v>
      </c>
      <c r="D34" s="44">
        <f>SUM(D24:D33)</f>
        <v>1884080</v>
      </c>
      <c r="E34" s="44">
        <f>SUM(E24:E33)</f>
        <v>6228350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261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TRUNC(55145,-1)</f>
        <v>55140</v>
      </c>
      <c r="E40" s="63">
        <f t="shared" ref="E40:E59" si="1">TRUNC(+D40*3.3058,-1)</f>
        <v>182280</v>
      </c>
    </row>
    <row r="41" spans="1:7" x14ac:dyDescent="0.3">
      <c r="A41" s="2">
        <v>2</v>
      </c>
      <c r="C41" s="38" t="s">
        <v>13</v>
      </c>
      <c r="D41" s="42">
        <f>TRUNC(111799,-1)</f>
        <v>111790</v>
      </c>
      <c r="E41" s="64">
        <f t="shared" si="1"/>
        <v>369550</v>
      </c>
    </row>
    <row r="42" spans="1:7" x14ac:dyDescent="0.3">
      <c r="A42" s="2">
        <v>3</v>
      </c>
      <c r="C42" s="38" t="s">
        <v>14</v>
      </c>
      <c r="D42" s="42">
        <f>TRUNC(11491,-1)</f>
        <v>11490</v>
      </c>
      <c r="E42" s="64">
        <f t="shared" si="1"/>
        <v>37980</v>
      </c>
    </row>
    <row r="43" spans="1:7" x14ac:dyDescent="0.3">
      <c r="A43" s="2">
        <v>4</v>
      </c>
      <c r="C43" s="38" t="s">
        <v>16</v>
      </c>
      <c r="D43" s="42">
        <f>TRUNC(25010,-1)</f>
        <v>25010</v>
      </c>
      <c r="E43" s="64">
        <f t="shared" si="1"/>
        <v>82670</v>
      </c>
    </row>
    <row r="44" spans="1:7" x14ac:dyDescent="0.3">
      <c r="A44" s="2">
        <v>5</v>
      </c>
      <c r="C44" s="38" t="s">
        <v>17</v>
      </c>
      <c r="D44" s="42">
        <f>TRUNC(25154,-1)</f>
        <v>25150</v>
      </c>
      <c r="E44" s="64">
        <f t="shared" si="1"/>
        <v>83140</v>
      </c>
    </row>
    <row r="45" spans="1:7" x14ac:dyDescent="0.3">
      <c r="A45" s="2">
        <v>6</v>
      </c>
      <c r="C45" s="38" t="s">
        <v>18</v>
      </c>
      <c r="D45" s="42">
        <f>TRUNC(8225,-1)</f>
        <v>8220</v>
      </c>
      <c r="E45" s="64">
        <f t="shared" si="1"/>
        <v>27170</v>
      </c>
    </row>
    <row r="46" spans="1:7" x14ac:dyDescent="0.3">
      <c r="A46" s="2">
        <v>7</v>
      </c>
      <c r="C46" s="38" t="s">
        <v>19</v>
      </c>
      <c r="D46" s="42">
        <f>TRUNC(10161,-1)</f>
        <v>10160</v>
      </c>
      <c r="E46" s="64">
        <f t="shared" si="1"/>
        <v>33580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TRUNC(11981,-1)</f>
        <v>11980</v>
      </c>
      <c r="E48" s="64">
        <f t="shared" si="1"/>
        <v>39600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TRUNC(20240,-1)</f>
        <v>20240</v>
      </c>
      <c r="E49" s="64">
        <f t="shared" si="1"/>
        <v>66900</v>
      </c>
    </row>
    <row r="50" spans="1:7" x14ac:dyDescent="0.3">
      <c r="A50" s="2">
        <v>11</v>
      </c>
      <c r="C50" s="38" t="s">
        <v>155</v>
      </c>
      <c r="D50" s="42">
        <f>TRUNC(60024,-1)</f>
        <v>60020</v>
      </c>
      <c r="E50" s="64">
        <f t="shared" si="1"/>
        <v>198410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TRUNC(13940,-1)</f>
        <v>13940</v>
      </c>
      <c r="E52" s="64">
        <f t="shared" si="1"/>
        <v>46080</v>
      </c>
    </row>
    <row r="53" spans="1:7" x14ac:dyDescent="0.3">
      <c r="A53" s="2">
        <v>14</v>
      </c>
      <c r="C53" s="38" t="s">
        <v>25</v>
      </c>
      <c r="D53" s="42">
        <f>TRUNC(89254,-1)</f>
        <v>89250</v>
      </c>
      <c r="E53" s="64">
        <f t="shared" si="1"/>
        <v>295040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TRUNC(4353+4055-463+13664,-1)</f>
        <v>21600</v>
      </c>
      <c r="E58" s="64">
        <f t="shared" si="1"/>
        <v>71400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TRUNC(223838,-1)</f>
        <v>223830</v>
      </c>
      <c r="E59" s="65">
        <f t="shared" si="1"/>
        <v>739930</v>
      </c>
    </row>
    <row r="60" spans="1:7" x14ac:dyDescent="0.3">
      <c r="A60" s="2">
        <v>21</v>
      </c>
      <c r="C60" s="27" t="s">
        <v>112</v>
      </c>
      <c r="D60" s="39">
        <f>SUM(D40:D59)</f>
        <v>687820</v>
      </c>
      <c r="E60" s="39">
        <f>SUM(E40:E59)</f>
        <v>2273730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261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TRUNC(48827,-1)</f>
        <v>48820</v>
      </c>
      <c r="E63" s="63">
        <f>TRUNC(+D63*3.3058,-1)</f>
        <v>161380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48820</v>
      </c>
      <c r="E66" s="57">
        <f>SUM(E63:E65)</f>
        <v>161380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261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TRUNC(1872,-1)</f>
        <v>1870</v>
      </c>
      <c r="E69" s="63">
        <f t="shared" ref="E69:E94" si="2">TRUNC(+D69*3.3058,-1)</f>
        <v>6180</v>
      </c>
    </row>
    <row r="70" spans="1:7" ht="16.5" customHeight="1" x14ac:dyDescent="0.3">
      <c r="A70" s="2">
        <v>2</v>
      </c>
      <c r="C70" s="38" t="s">
        <v>31</v>
      </c>
      <c r="D70" s="42">
        <f>TRUNC(945,-1)</f>
        <v>940</v>
      </c>
      <c r="E70" s="64">
        <f t="shared" si="2"/>
        <v>3100</v>
      </c>
    </row>
    <row r="71" spans="1:7" x14ac:dyDescent="0.3">
      <c r="A71" s="2">
        <v>3</v>
      </c>
      <c r="C71" s="38" t="s">
        <v>32</v>
      </c>
      <c r="D71" s="42">
        <f>TRUNC(4029,-1)</f>
        <v>4020</v>
      </c>
      <c r="E71" s="64">
        <f t="shared" si="2"/>
        <v>13280</v>
      </c>
    </row>
    <row r="72" spans="1:7" x14ac:dyDescent="0.3">
      <c r="A72" s="2">
        <v>4</v>
      </c>
      <c r="C72" s="38" t="s">
        <v>33</v>
      </c>
      <c r="D72" s="42">
        <f>TRUNC(4734,-1)</f>
        <v>4730</v>
      </c>
      <c r="E72" s="64">
        <f t="shared" si="2"/>
        <v>15630</v>
      </c>
    </row>
    <row r="73" spans="1:7" x14ac:dyDescent="0.3">
      <c r="A73" s="2">
        <v>5</v>
      </c>
      <c r="C73" s="38" t="s">
        <v>34</v>
      </c>
      <c r="D73" s="42">
        <f>TRUNC(8110,-1)</f>
        <v>8110</v>
      </c>
      <c r="E73" s="64">
        <f t="shared" si="2"/>
        <v>26810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TRUNC(252,-1)</f>
        <v>250</v>
      </c>
      <c r="E75" s="64">
        <f t="shared" si="2"/>
        <v>820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TRUNC(6986,-1)</f>
        <v>6980</v>
      </c>
      <c r="E89" s="64">
        <f t="shared" si="2"/>
        <v>23070</v>
      </c>
    </row>
    <row r="90" spans="1:7" x14ac:dyDescent="0.3">
      <c r="A90" s="2">
        <v>22</v>
      </c>
      <c r="C90" s="38" t="s">
        <v>36</v>
      </c>
      <c r="D90" s="42">
        <f>TRUNC(2204,-1)</f>
        <v>2200</v>
      </c>
      <c r="E90" s="64">
        <f t="shared" si="2"/>
        <v>7270</v>
      </c>
    </row>
    <row r="91" spans="1:7" x14ac:dyDescent="0.3">
      <c r="A91" s="2">
        <v>23</v>
      </c>
      <c r="C91" s="38" t="s">
        <v>37</v>
      </c>
      <c r="D91" s="42">
        <f>TRUNC(10651,-1)</f>
        <v>10650</v>
      </c>
      <c r="E91" s="64">
        <f t="shared" si="2"/>
        <v>35200</v>
      </c>
    </row>
    <row r="92" spans="1:7" x14ac:dyDescent="0.3">
      <c r="A92" s="2">
        <v>24</v>
      </c>
      <c r="C92" s="38" t="s">
        <v>38</v>
      </c>
      <c r="D92" s="42">
        <f>TRUNC(6269,-1)</f>
        <v>6260</v>
      </c>
      <c r="E92" s="64">
        <f t="shared" si="2"/>
        <v>20690</v>
      </c>
    </row>
    <row r="93" spans="1:7" x14ac:dyDescent="0.3">
      <c r="A93" s="2">
        <v>25</v>
      </c>
      <c r="C93" s="38" t="s">
        <v>148</v>
      </c>
      <c r="D93" s="42">
        <f>TRUNC(193176,-1)</f>
        <v>193170</v>
      </c>
      <c r="E93" s="64">
        <f t="shared" si="2"/>
        <v>638580</v>
      </c>
    </row>
    <row r="94" spans="1:7" ht="17.25" thickBot="1" x14ac:dyDescent="0.35">
      <c r="A94" s="2">
        <v>26</v>
      </c>
      <c r="C94" s="38" t="s">
        <v>47</v>
      </c>
      <c r="D94" s="43">
        <f>TRUNC(4410+1512+2754,-1)</f>
        <v>8670</v>
      </c>
      <c r="E94" s="65">
        <f t="shared" si="2"/>
        <v>28660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247850</v>
      </c>
      <c r="E95" s="39">
        <f>SUM(E69:E94)</f>
        <v>819290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261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TRUNC(8583,-1)</f>
        <v>8580</v>
      </c>
      <c r="E98" s="63">
        <f t="shared" ref="E98:E118" si="3">TRUNC(+D98*3.3058,-1)</f>
        <v>28360</v>
      </c>
    </row>
    <row r="99" spans="1:7" x14ac:dyDescent="0.3">
      <c r="A99" s="2">
        <v>2</v>
      </c>
      <c r="C99" s="38" t="s">
        <v>40</v>
      </c>
      <c r="D99" s="42">
        <f>TRUNC(4202,-1)</f>
        <v>4200</v>
      </c>
      <c r="E99" s="64">
        <f t="shared" si="3"/>
        <v>13880</v>
      </c>
    </row>
    <row r="100" spans="1:7" x14ac:dyDescent="0.3">
      <c r="A100" s="2">
        <v>3</v>
      </c>
      <c r="C100" s="38" t="s">
        <v>41</v>
      </c>
      <c r="D100" s="42">
        <f>TRUNC(29082,-1)</f>
        <v>29080</v>
      </c>
      <c r="E100" s="64">
        <f t="shared" si="3"/>
        <v>96130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TRUNC(15061,-1)</f>
        <v>15060</v>
      </c>
      <c r="E102" s="64">
        <f t="shared" si="3"/>
        <v>49780</v>
      </c>
    </row>
    <row r="103" spans="1:7" x14ac:dyDescent="0.3">
      <c r="A103" s="2">
        <v>6</v>
      </c>
      <c r="C103" s="38" t="s">
        <v>44</v>
      </c>
      <c r="D103" s="42">
        <f>TRUNC(4645,-1)</f>
        <v>4640</v>
      </c>
      <c r="E103" s="64">
        <f t="shared" si="3"/>
        <v>15330</v>
      </c>
    </row>
    <row r="104" spans="1:7" x14ac:dyDescent="0.3">
      <c r="A104" s="2">
        <v>7</v>
      </c>
      <c r="C104" s="38" t="s">
        <v>45</v>
      </c>
      <c r="D104" s="42">
        <f>TRUNC(4907,-1)</f>
        <v>4900</v>
      </c>
      <c r="E104" s="64">
        <f t="shared" si="3"/>
        <v>16190</v>
      </c>
    </row>
    <row r="105" spans="1:7" x14ac:dyDescent="0.3">
      <c r="A105" s="2">
        <v>8</v>
      </c>
      <c r="C105" s="38" t="s">
        <v>46</v>
      </c>
      <c r="D105" s="42">
        <f>TRUNC(1714,-1)</f>
        <v>1710</v>
      </c>
      <c r="E105" s="64">
        <f t="shared" si="3"/>
        <v>5650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TRUNC(1828,-1)</f>
        <v>1820</v>
      </c>
      <c r="E114" s="64">
        <f t="shared" si="3"/>
        <v>6010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TRUNC(2797,-1)</f>
        <v>2790</v>
      </c>
      <c r="E116" s="64">
        <f t="shared" si="3"/>
        <v>9220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TRUNC(121746,-1)</f>
        <v>121740</v>
      </c>
      <c r="E117" s="64">
        <f t="shared" si="3"/>
        <v>402440</v>
      </c>
    </row>
    <row r="118" spans="1:7" ht="17.25" thickBot="1" x14ac:dyDescent="0.35">
      <c r="A118" s="2">
        <v>21</v>
      </c>
      <c r="C118" s="38" t="s">
        <v>47</v>
      </c>
      <c r="D118" s="43">
        <f>TRUNC(2253,-1)</f>
        <v>2250</v>
      </c>
      <c r="E118" s="65">
        <f t="shared" si="3"/>
        <v>7430</v>
      </c>
    </row>
    <row r="119" spans="1:7" x14ac:dyDescent="0.3">
      <c r="A119" s="2">
        <v>22</v>
      </c>
      <c r="C119" s="27" t="s">
        <v>112</v>
      </c>
      <c r="D119" s="39">
        <f>SUM(D98:D118)</f>
        <v>196770</v>
      </c>
      <c r="E119" s="39">
        <f>SUM(E98:E118)</f>
        <v>650420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261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TRUNC(5859,-1)</f>
        <v>5850</v>
      </c>
      <c r="E122" s="63">
        <f t="shared" ref="E122:E132" si="4">TRUNC(+D122*3.3058,-1)</f>
        <v>19330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TRUNC(1115,-1)</f>
        <v>1110</v>
      </c>
      <c r="E124" s="64">
        <f t="shared" si="4"/>
        <v>3660</v>
      </c>
    </row>
    <row r="125" spans="1:7" x14ac:dyDescent="0.3">
      <c r="A125" s="2">
        <v>4</v>
      </c>
      <c r="C125" s="38" t="s">
        <v>138</v>
      </c>
      <c r="D125" s="42">
        <f>TRUNC(5658,-1)</f>
        <v>5650</v>
      </c>
      <c r="E125" s="64">
        <f t="shared" si="4"/>
        <v>18670</v>
      </c>
    </row>
    <row r="126" spans="1:7" x14ac:dyDescent="0.3">
      <c r="A126" s="2">
        <v>5</v>
      </c>
      <c r="C126" s="38" t="s">
        <v>53</v>
      </c>
      <c r="D126" s="42">
        <f>TRUNC(257,-1)</f>
        <v>250</v>
      </c>
      <c r="E126" s="64">
        <f t="shared" si="4"/>
        <v>820</v>
      </c>
    </row>
    <row r="127" spans="1:7" x14ac:dyDescent="0.3">
      <c r="A127" s="2">
        <v>6</v>
      </c>
      <c r="C127" s="38" t="s">
        <v>56</v>
      </c>
      <c r="D127" s="42">
        <f>TRUNC(2381,-1)</f>
        <v>2380</v>
      </c>
      <c r="E127" s="64">
        <f t="shared" si="4"/>
        <v>7860</v>
      </c>
    </row>
    <row r="128" spans="1:7" x14ac:dyDescent="0.3">
      <c r="A128" s="2">
        <v>7</v>
      </c>
      <c r="C128" s="38" t="s">
        <v>46</v>
      </c>
      <c r="D128" s="42">
        <f>TRUNC(4002,-1)</f>
        <v>4000</v>
      </c>
      <c r="E128" s="64">
        <f t="shared" si="4"/>
        <v>13220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TRUNC(83789,-1)</f>
        <v>83780</v>
      </c>
      <c r="E130" s="64">
        <f t="shared" si="4"/>
        <v>276950</v>
      </c>
    </row>
    <row r="131" spans="1:7" x14ac:dyDescent="0.3">
      <c r="A131" s="2">
        <v>10</v>
      </c>
      <c r="C131" s="38" t="s">
        <v>148</v>
      </c>
      <c r="D131" s="42">
        <f>TRUNC(76443,-1)</f>
        <v>76440</v>
      </c>
      <c r="E131" s="64">
        <f t="shared" si="4"/>
        <v>252690</v>
      </c>
    </row>
    <row r="132" spans="1:7" ht="17.25" thickBot="1" x14ac:dyDescent="0.35">
      <c r="A132" s="2">
        <v>11</v>
      </c>
      <c r="C132" s="38" t="s">
        <v>47</v>
      </c>
      <c r="D132" s="43">
        <f>TRUNC(4820+607,-1)</f>
        <v>5420</v>
      </c>
      <c r="E132" s="65">
        <f t="shared" si="4"/>
        <v>17910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184880</v>
      </c>
      <c r="E133" s="39">
        <f>SUM(E122:E132)</f>
        <v>611110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261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TRUNC(85+1387+1345+134,-1)</f>
        <v>2950</v>
      </c>
      <c r="E137" s="64">
        <f t="shared" si="5"/>
        <v>9750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TRUNC(1878,-1)</f>
        <v>1870</v>
      </c>
      <c r="E138" s="64">
        <f t="shared" si="5"/>
        <v>6180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TRUNC(273,-1)</f>
        <v>270</v>
      </c>
      <c r="E140" s="64">
        <f t="shared" si="5"/>
        <v>890</v>
      </c>
    </row>
    <row r="141" spans="1:7" x14ac:dyDescent="0.3">
      <c r="A141" s="2">
        <v>6</v>
      </c>
      <c r="C141" s="38" t="s">
        <v>59</v>
      </c>
      <c r="D141" s="42">
        <f>TRUNC(19202,-1)</f>
        <v>19200</v>
      </c>
      <c r="E141" s="64">
        <f t="shared" si="5"/>
        <v>63470</v>
      </c>
    </row>
    <row r="142" spans="1:7" x14ac:dyDescent="0.3">
      <c r="A142" s="2">
        <v>7</v>
      </c>
      <c r="C142" s="38" t="s">
        <v>58</v>
      </c>
      <c r="D142" s="42">
        <f>TRUNC(4004,-1)</f>
        <v>4000</v>
      </c>
      <c r="E142" s="64">
        <f t="shared" si="5"/>
        <v>13220</v>
      </c>
    </row>
    <row r="143" spans="1:7" x14ac:dyDescent="0.3">
      <c r="A143" s="2">
        <v>8</v>
      </c>
      <c r="C143" s="38" t="s">
        <v>62</v>
      </c>
      <c r="D143" s="42">
        <f>TRUNC(2921,-1)</f>
        <v>2920</v>
      </c>
      <c r="E143" s="64">
        <f t="shared" si="5"/>
        <v>9650</v>
      </c>
    </row>
    <row r="144" spans="1:7" x14ac:dyDescent="0.3">
      <c r="A144" s="2">
        <v>9</v>
      </c>
      <c r="C144" s="38" t="s">
        <v>63</v>
      </c>
      <c r="D144" s="42">
        <f>TRUNC(10259,-1)</f>
        <v>10250</v>
      </c>
      <c r="E144" s="64">
        <f t="shared" si="5"/>
        <v>33880</v>
      </c>
    </row>
    <row r="145" spans="1:7" ht="17.25" thickBot="1" x14ac:dyDescent="0.35">
      <c r="A145" s="2">
        <v>10</v>
      </c>
      <c r="C145" s="38" t="s">
        <v>148</v>
      </c>
      <c r="D145" s="43">
        <f>TRUNC(8545,-1)</f>
        <v>8540</v>
      </c>
      <c r="E145" s="65">
        <f t="shared" si="5"/>
        <v>28230</v>
      </c>
    </row>
    <row r="146" spans="1:7" x14ac:dyDescent="0.3">
      <c r="A146" s="2">
        <v>11</v>
      </c>
      <c r="C146" s="27" t="s">
        <v>112</v>
      </c>
      <c r="D146" s="39">
        <f>SUM(D136:D145)</f>
        <v>50000</v>
      </c>
      <c r="E146" s="39">
        <f>SUM(E136:E145)</f>
        <v>165270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261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TRUNC(5932+1390,-1)</f>
        <v>7320</v>
      </c>
      <c r="E149" s="63">
        <f>TRUNC(+D149*3.3058,-1)</f>
        <v>24190</v>
      </c>
      <c r="F149" s="2" t="s">
        <v>95</v>
      </c>
    </row>
    <row r="150" spans="1:7" x14ac:dyDescent="0.3">
      <c r="A150" s="2">
        <v>2</v>
      </c>
      <c r="C150" s="38" t="s">
        <v>49</v>
      </c>
      <c r="D150" s="42">
        <f>TRUNC(8526,-1)</f>
        <v>8520</v>
      </c>
      <c r="E150" s="64">
        <f>TRUNC(+D150*3.3058,-1)</f>
        <v>28160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TRUNC(180,-1)</f>
        <v>180</v>
      </c>
      <c r="E152" s="64">
        <f>TRUNC(+D152*3.3058,-1)</f>
        <v>590</v>
      </c>
      <c r="F152" s="58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TRUNC(21318,-1)</f>
        <v>21310</v>
      </c>
      <c r="E153" s="65">
        <f>TRUNC(+D153*3.3058,-1)</f>
        <v>70440</v>
      </c>
      <c r="F153" s="2" t="s">
        <v>95</v>
      </c>
    </row>
    <row r="154" spans="1:7" x14ac:dyDescent="0.3">
      <c r="A154" s="2">
        <v>6</v>
      </c>
      <c r="C154" s="27" t="s">
        <v>112</v>
      </c>
      <c r="D154" s="39">
        <f>SUM(D149:D153)</f>
        <v>37330</v>
      </c>
      <c r="E154" s="39">
        <f>SUM(E149:E153)</f>
        <v>123380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261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TRUNC(11861,-1)</f>
        <v>11860</v>
      </c>
      <c r="E157" s="63">
        <f>TRUNC(+D157*3.3058,-1)</f>
        <v>39200</v>
      </c>
    </row>
    <row r="158" spans="1:7" x14ac:dyDescent="0.3">
      <c r="A158" s="2">
        <v>2</v>
      </c>
      <c r="C158" s="38" t="s">
        <v>52</v>
      </c>
      <c r="D158" s="42">
        <f>TRUNC(4693,-1)</f>
        <v>4690</v>
      </c>
      <c r="E158" s="64">
        <f>TRUNC(+D158*3.3058,-1)</f>
        <v>15500</v>
      </c>
    </row>
    <row r="159" spans="1:7" x14ac:dyDescent="0.3">
      <c r="A159" s="2">
        <v>3</v>
      </c>
      <c r="C159" s="38" t="s">
        <v>47</v>
      </c>
      <c r="D159" s="42">
        <f>TRUNC(6877+821,-1)</f>
        <v>7690</v>
      </c>
      <c r="E159" s="64">
        <f>TRUNC(+D159*3.3058,-1)</f>
        <v>25420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24240</v>
      </c>
      <c r="E161" s="39">
        <f>SUM(E157:E160)</f>
        <v>80120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2020-12-07T10:16:43Z</dcterms:modified>
</cp:coreProperties>
</file>