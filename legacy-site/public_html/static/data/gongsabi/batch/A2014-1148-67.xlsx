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8" i="4" l="1"/>
  <c r="D108" i="4"/>
  <c r="D128" i="4" l="1"/>
  <c r="D125" i="4"/>
  <c r="D122" i="4"/>
  <c r="D123" i="4"/>
  <c r="D132" i="4"/>
  <c r="D101" i="4"/>
  <c r="D104" i="4"/>
  <c r="D105" i="4"/>
  <c r="D103" i="4"/>
  <c r="D102" i="4"/>
  <c r="D100" i="4"/>
  <c r="D99" i="4"/>
  <c r="D115" i="4"/>
  <c r="D94" i="4"/>
  <c r="D76" i="4"/>
  <c r="D82" i="4"/>
  <c r="D69" i="4"/>
  <c r="D81" i="4"/>
  <c r="D89" i="4"/>
  <c r="D73" i="4"/>
  <c r="D92" i="4"/>
  <c r="D90" i="4"/>
  <c r="D84" i="4"/>
  <c r="D83" i="4"/>
  <c r="D72" i="4"/>
  <c r="D58" i="4"/>
  <c r="D55" i="4"/>
  <c r="D53" i="4"/>
  <c r="D52" i="4"/>
  <c r="D50" i="4"/>
  <c r="D49" i="4"/>
  <c r="D48" i="4"/>
  <c r="D47" i="4"/>
  <c r="D46" i="4"/>
  <c r="D45" i="4"/>
  <c r="D44" i="4"/>
  <c r="D43" i="4"/>
  <c r="D42" i="4"/>
  <c r="D41" i="4"/>
  <c r="D40" i="4"/>
  <c r="D37" i="4"/>
  <c r="D159" i="4"/>
  <c r="D152" i="4"/>
  <c r="D137" i="4"/>
  <c r="D136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19" i="4"/>
  <c r="E95" i="4"/>
  <c r="E60" i="4"/>
  <c r="E154" i="4"/>
  <c r="D161" i="4"/>
  <c r="D154" i="4"/>
  <c r="D31" i="4" s="1"/>
  <c r="E31" i="4" s="1"/>
  <c r="D146" i="4"/>
  <c r="D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0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<sst xmlns="http://schemas.openxmlformats.org/spreadsheetml/2006/main" count="401" uniqueCount="276">
  <si>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</si>
  <si>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</si>
  <si>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</si>
  <si>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</si>
  <si>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</si>
  <si>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</si>
  <si>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</si>
  <si>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</si>
  <si>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</si>
  <si>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</si>
  <si>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</si>
  <si>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</si>
  <si>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</si>
  <si>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</si>
  <si>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</si>
  <si>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</si>
  <si>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</si>
  <si>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</si>
  <si>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</si>
  <si>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</si>
  <si>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</si>
  <si>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</si>
  <si>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</si>
  <si>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</si>
  <si>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</si>
  <si>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</si>
  <si>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</si>
  <si>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</si>
  <si>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</si>
  <si>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</si>
  <si>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</si>
  <si>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</si>
  <si>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</si>
  <si>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</si>
  <si>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</si>
  <si>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</si>
  <si>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</si>
  <si>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</si>
  <si>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</si>
  <si>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</si>
  <si>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</si>
  <si>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</si>
  <si>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</si>
  <si>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</si>
  <si>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</si>
  <si>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</si>
  <si>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</si>
  <si>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</si>
  <si>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</si>
  <si>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</si>
  <si>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</si>
  <si>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</si>
  <si>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</si>
  <si>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</si>
  <si>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</si>
  <si>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</si>
  <si>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</si>
  <si>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</si>
  <si>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</si>
  <si>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</si>
  <si>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</si>
  <si>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</si>
  <si>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</si>
  <si>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</si>
  <si>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</si>
  <si>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</si>
  <si>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</si>
  <si>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</si>
  <si>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</si>
  <si>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</si>
  <si>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</si>
  <si>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</si>
  <si>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</si>
  <si>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</si>
  <si>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</si>
  <si>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</si>
  <si>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</si>
  <si>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</si>
  <si>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</si>
  <si>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</si>
  <si>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</si>
  <si>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</si>
  <si>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</si>
  <si>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</si>
  <si>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</si>
  <si>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</si>
  <si>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</si>
  <si>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</si>
  <si>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</si>
  <si>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</si>
  <si>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</si>
  <si>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</si>
  <si>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</si>
  <si>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</si>
  <si>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</si>
  <si>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</si>
  <si>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</si>
  <si>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</si>
  <si>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</si>
  <si>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</si>
  <si>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</si>
  <si>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</si>
  <si>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</si>
  <si>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</si>
  <si>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</si>
  <si>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</si>
  <si>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</si>
  <si>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</si>
  <si>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</si>
  <si>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</si>
  <si>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</si>
  <si>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</si>
  <si>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</si>
  <si>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</si>
  <si>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</si>
  <si>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</si>
  <si>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</si>
  <si>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</si>
  <si>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</si>
  <si>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</si>
  <si>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</si>
  <si>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</si>
  <si>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</si>
  <si>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</si>
  <si>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</si>
  <si>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</si>
  <si>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</si>
  <si>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</si>
  <si>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</si>
  <si>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</si>
  <si>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</si>
  <si>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</si>
  <si>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</si>
  <si>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</si>
  <si>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</si>
  <si>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</si>
  <si>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</si>
  <si>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</si>
  <si>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</si>
  <si>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</si>
  <si>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</si>
  <si>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</si>
  <si>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</si>
  <si>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</si>
  <si>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</si>
  <si>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</si>
  <si>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</si>
  <si>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</si>
  <si>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</si>
  <si>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</si>
  <si>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</si>
  <si>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</si>
  <si>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</si>
  <si>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</si>
  <si>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</si>
  <si>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</si>
  <si>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</si>
  <si>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</si>
  <si>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</si>
  <si>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</si>
  <si>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</si>
  <si>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</si>
  <si>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</si>
  <si>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</si>
  <si>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</si>
  <si>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</si>
  <si>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</si>
  <si>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</si>
  <si>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</si>
  <si>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</si>
  <si>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</si>
  <si>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</si>
  <si>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</si>
  <si>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</si>
  <si>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</si>
  <si>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</si>
  <si>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</si>
  <si>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</si>
  <si>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</si>
  <si>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</si>
  <si>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</si>
  <si>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</si>
  <si>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</si>
  <si>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</si>
  <si>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</si>
  <si>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</si>
  <si>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</si>
  <si>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</si>
  <si>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</si>
  <si>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</si>
  <si>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</si>
  <si>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</si>
  <si>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</si>
  <si>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</si>
  <si>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</si>
  <si>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</si>
  <si>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</si>
  <si>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</si>
  <si>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</si>
  <si>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</si>
  <si>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</si>
  <si>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</si>
  <si>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</si>
  <si>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</si>
  <si>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</si>
  <si>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</si>
  <si>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</si>
  <si>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</si>
  <si>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</si>
  <si>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</si>
  <si>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</si>
  <si>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</si>
  <si>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</si>
  <si>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</si>
  <si>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</si>
  <si>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</si>
  <si>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</si>
  <si>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</si>
  <si>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</si>
  <si>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</si>
  <si>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</si>
  <si>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</si>
  <si>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</si>
  <si>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</si>
  <si>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</si>
  <si>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</si>
  <si>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</si>
  <si>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</si>
  <si>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</si>
  <si>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</si>
  <si>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</si>
  <si>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</si>
  <si>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</si>
  <si>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</si>
  <si>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</si>
  <si>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</si>
  <si>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</si>
  <si>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</si>
  <si>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</si>
  <si>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</si>
  <si>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</si>
  <si>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</si>
  <si>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</si>
  <si>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</si>
  <si>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</si>
  <si>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</si>
  <si>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</si>
  <si>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</si>
  <si>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00특수학교 신축공사</t>
    <phoneticPr fontId="2" type="noConversion"/>
  </si>
  <si>
    <t>교육연구</t>
  </si>
  <si>
    <t>세종시</t>
  </si>
  <si>
    <t>기계 소화설비공사</t>
    <phoneticPr fontId="2" type="noConversion"/>
  </si>
  <si>
    <t>전기 소방공사</t>
    <phoneticPr fontId="2" type="noConversion"/>
  </si>
  <si>
    <t>부대토목공사</t>
    <phoneticPr fontId="2" type="noConversion"/>
  </si>
  <si>
    <t>부대조경공사</t>
    <phoneticPr fontId="2" type="noConversion"/>
  </si>
  <si>
    <t>창호및유리공사</t>
    <phoneticPr fontId="2" type="noConversion"/>
  </si>
  <si>
    <t>파일공사,토및지정공사,기타공사,골재비,부대공사,운반비,작업부산물</t>
    <phoneticPr fontId="2" type="noConversion"/>
  </si>
  <si>
    <t>냉난방기및공기순환기부대공사</t>
    <phoneticPr fontId="2" type="noConversion"/>
  </si>
  <si>
    <t>연도설치공사(발전기용)</t>
    <phoneticPr fontId="2" type="noConversion"/>
  </si>
  <si>
    <t>급수급탕배관공사,급수배관공사,입상급수급탕배관공사</t>
    <phoneticPr fontId="2" type="noConversion"/>
  </si>
  <si>
    <t>오배수배관공사,입상오배수배관공사</t>
    <phoneticPr fontId="2" type="noConversion"/>
  </si>
  <si>
    <t>지하층배기덕트공사</t>
    <phoneticPr fontId="2" type="noConversion"/>
  </si>
  <si>
    <t>각층환기배관공사,관정시설설치공사,급수배관공사,무대막설치공사,배수배관공사,식당환기배관공사,쓰레기자동집하시설설치공사,옥외위생배관공사</t>
    <phoneticPr fontId="2" type="noConversion"/>
  </si>
  <si>
    <t>주방동력설비공사,동력설비강당및급식실설비공사,</t>
    <phoneticPr fontId="2" type="noConversion"/>
  </si>
  <si>
    <t>환기설비공사</t>
    <phoneticPr fontId="2" type="noConversion"/>
  </si>
  <si>
    <t>트레이설비공사</t>
    <phoneticPr fontId="2" type="noConversion"/>
  </si>
  <si>
    <t>강당조명설비공사</t>
    <phoneticPr fontId="2" type="noConversion"/>
  </si>
  <si>
    <t>전화및LAN설비공사</t>
    <phoneticPr fontId="2" type="noConversion"/>
  </si>
  <si>
    <t>CCTV설비공사,방송실다목적강당설비공사,비상벨설비공사</t>
    <phoneticPr fontId="2" type="noConversion"/>
  </si>
  <si>
    <t>냉난방설비공사</t>
    <phoneticPr fontId="2" type="noConversion"/>
  </si>
  <si>
    <t>간서및분전반설비공사,기계실설비공사,외등설비공사,24시전원설비공사,오토레벨설비공사,바닥난방설비공사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</si>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</sst>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273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13043</v>
      </c>
      <c r="D7" s="36">
        <f>+C7/3.3058</f>
        <v>3945.4897452961459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274</v>
      </c>
    </row>
    <row r="19" spans="1:5" x14ac:dyDescent="0.3">
      <c r="A19" s="2">
        <v>9</v>
      </c>
      <c r="B19" s="2" t="s">
        <v>275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2560</v>
      </c>
      <c r="E24" s="58">
        <f t="shared" ref="E24:E33" si="0">TRUNC(+D24*3.3058,-1)</f>
        <v>8460</v>
      </c>
    </row>
    <row r="25" spans="1:5" x14ac:dyDescent="0.3">
      <c r="B25" s="2">
        <v>2</v>
      </c>
      <c r="C25" s="35" t="s">
        <v>111</v>
      </c>
      <c r="D25" s="45">
        <f>+D60</f>
        <v>500500</v>
      </c>
      <c r="E25" s="59">
        <f t="shared" si="0"/>
        <v>1654550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60330</v>
      </c>
      <c r="E27" s="59">
        <f t="shared" si="0"/>
        <v>199430</v>
      </c>
    </row>
    <row r="28" spans="1:5" x14ac:dyDescent="0.3">
      <c r="B28" s="2">
        <v>5</v>
      </c>
      <c r="C28" s="35" t="s">
        <v>97</v>
      </c>
      <c r="D28" s="45">
        <f>+D119</f>
        <v>68250</v>
      </c>
      <c r="E28" s="59">
        <f t="shared" si="0"/>
        <v>225620</v>
      </c>
    </row>
    <row r="29" spans="1:5" x14ac:dyDescent="0.3">
      <c r="B29" s="2">
        <v>6</v>
      </c>
      <c r="C29" s="35" t="s">
        <v>98</v>
      </c>
      <c r="D29" s="45">
        <f>+D133</f>
        <v>18770</v>
      </c>
      <c r="E29" s="59">
        <f t="shared" si="0"/>
        <v>62040</v>
      </c>
    </row>
    <row r="30" spans="1:5" x14ac:dyDescent="0.3">
      <c r="B30" s="2">
        <v>7</v>
      </c>
      <c r="C30" s="35" t="s">
        <v>99</v>
      </c>
      <c r="D30" s="45">
        <f>+D146</f>
        <v>45960</v>
      </c>
      <c r="E30" s="59">
        <f t="shared" si="0"/>
        <v>151930</v>
      </c>
    </row>
    <row r="31" spans="1:5" x14ac:dyDescent="0.3">
      <c r="B31" s="2">
        <v>8</v>
      </c>
      <c r="C31" s="35" t="s">
        <v>100</v>
      </c>
      <c r="D31" s="45">
        <f>+D154</f>
        <v>44700</v>
      </c>
      <c r="E31" s="59">
        <f t="shared" si="0"/>
        <v>147760</v>
      </c>
    </row>
    <row r="32" spans="1:5" x14ac:dyDescent="0.3">
      <c r="B32" s="2">
        <v>9</v>
      </c>
      <c r="C32" s="35" t="s">
        <v>101</v>
      </c>
      <c r="D32" s="45">
        <f>+D161</f>
        <v>18500</v>
      </c>
      <c r="E32" s="59">
        <f t="shared" si="0"/>
        <v>61150</v>
      </c>
    </row>
    <row r="33" spans="1:7" x14ac:dyDescent="0.3">
      <c r="B33" s="2">
        <v>10</v>
      </c>
      <c r="C33" s="35" t="s">
        <v>154</v>
      </c>
      <c r="D33" s="53">
        <f>TRUNC(SUM(D24:D32)*0.275,-1)</f>
        <v>208880</v>
      </c>
      <c r="E33" s="60">
        <f t="shared" si="0"/>
        <v>690510</v>
      </c>
    </row>
    <row r="34" spans="1:7" x14ac:dyDescent="0.3">
      <c r="C34" s="35" t="s">
        <v>112</v>
      </c>
      <c r="D34" s="44">
        <f>SUM(D24:D33)</f>
        <v>968450</v>
      </c>
      <c r="E34" s="44">
        <f>SUM(E24:E33)</f>
        <v>3201450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TRUNC(2568,-1)</f>
        <v>2560</v>
      </c>
      <c r="E37" s="61">
        <f>TRUNC(+D37*3.3058,-1)</f>
        <v>8460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271</v>
      </c>
      <c r="E39" s="67" t="s">
        <v>272</v>
      </c>
      <c r="G39" s="68"/>
    </row>
    <row r="40" spans="1:7" x14ac:dyDescent="0.3">
      <c r="A40" s="2">
        <v>1</v>
      </c>
      <c r="C40" s="38" t="s">
        <v>15</v>
      </c>
      <c r="D40" s="40">
        <f>TRUNC(36597,-1)</f>
        <v>36590</v>
      </c>
      <c r="E40" s="62">
        <f t="shared" ref="E40:E59" si="1">TRUNC(+D40*3.3058,-1)</f>
        <v>120950</v>
      </c>
    </row>
    <row r="41" spans="1:7" x14ac:dyDescent="0.3">
      <c r="A41" s="2">
        <v>2</v>
      </c>
      <c r="C41" s="38" t="s">
        <v>13</v>
      </c>
      <c r="D41" s="42">
        <f>TRUNC(96637,-1)</f>
        <v>96630</v>
      </c>
      <c r="E41" s="63">
        <f t="shared" si="1"/>
        <v>319430</v>
      </c>
    </row>
    <row r="42" spans="1:7" x14ac:dyDescent="0.3">
      <c r="A42" s="2">
        <v>3</v>
      </c>
      <c r="C42" s="38" t="s">
        <v>14</v>
      </c>
      <c r="D42" s="42">
        <f>TRUNC(6292,-1)</f>
        <v>6290</v>
      </c>
      <c r="E42" s="63">
        <f t="shared" si="1"/>
        <v>20790</v>
      </c>
    </row>
    <row r="43" spans="1:7" x14ac:dyDescent="0.3">
      <c r="A43" s="2">
        <v>4</v>
      </c>
      <c r="C43" s="38" t="s">
        <v>16</v>
      </c>
      <c r="D43" s="42">
        <f>TRUNC(27888,-1)</f>
        <v>27880</v>
      </c>
      <c r="E43" s="63">
        <f t="shared" si="1"/>
        <v>92160</v>
      </c>
    </row>
    <row r="44" spans="1:7" x14ac:dyDescent="0.3">
      <c r="A44" s="2">
        <v>5</v>
      </c>
      <c r="C44" s="38" t="s">
        <v>17</v>
      </c>
      <c r="D44" s="42">
        <f>TRUNC(17055,-1)</f>
        <v>17050</v>
      </c>
      <c r="E44" s="63">
        <f t="shared" si="1"/>
        <v>56360</v>
      </c>
    </row>
    <row r="45" spans="1:7" x14ac:dyDescent="0.3">
      <c r="A45" s="2">
        <v>6</v>
      </c>
      <c r="C45" s="38" t="s">
        <v>18</v>
      </c>
      <c r="D45" s="42">
        <f>TRUNC(7154,-1)</f>
        <v>7150</v>
      </c>
      <c r="E45" s="63">
        <f t="shared" si="1"/>
        <v>23630</v>
      </c>
    </row>
    <row r="46" spans="1:7" x14ac:dyDescent="0.3">
      <c r="A46" s="2">
        <v>7</v>
      </c>
      <c r="C46" s="38" t="s">
        <v>19</v>
      </c>
      <c r="D46" s="42">
        <f>TRUNC(16990,-1)</f>
        <v>16990</v>
      </c>
      <c r="E46" s="63">
        <f t="shared" si="1"/>
        <v>56160</v>
      </c>
    </row>
    <row r="47" spans="1:7" x14ac:dyDescent="0.3">
      <c r="A47" s="2">
        <v>8</v>
      </c>
      <c r="C47" s="38" t="s">
        <v>20</v>
      </c>
      <c r="D47" s="42">
        <f>TRUNC(7665,-1)</f>
        <v>7660</v>
      </c>
      <c r="E47" s="63">
        <f t="shared" si="1"/>
        <v>25320</v>
      </c>
    </row>
    <row r="48" spans="1:7" x14ac:dyDescent="0.3">
      <c r="A48" s="2">
        <v>9</v>
      </c>
      <c r="C48" s="38" t="s">
        <v>21</v>
      </c>
      <c r="D48" s="42">
        <f>TRUNC(69811,-1)</f>
        <v>69810</v>
      </c>
      <c r="E48" s="63">
        <f t="shared" si="1"/>
        <v>230770</v>
      </c>
    </row>
    <row r="49" spans="1:7" x14ac:dyDescent="0.3">
      <c r="A49" s="2">
        <v>10</v>
      </c>
      <c r="C49" s="38" t="s">
        <v>22</v>
      </c>
      <c r="D49" s="42">
        <f>TRUNC(18858,-1)</f>
        <v>18850</v>
      </c>
      <c r="E49" s="63">
        <f t="shared" si="1"/>
        <v>62310</v>
      </c>
    </row>
    <row r="50" spans="1:7" x14ac:dyDescent="0.3">
      <c r="A50" s="2">
        <v>11</v>
      </c>
      <c r="C50" s="38" t="s">
        <v>155</v>
      </c>
      <c r="D50" s="42">
        <f>TRUNC(64679,-1)</f>
        <v>64670</v>
      </c>
      <c r="E50" s="63">
        <f t="shared" si="1"/>
        <v>213780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TRUNC(8563,-1)</f>
        <v>8560</v>
      </c>
      <c r="E52" s="63">
        <f t="shared" si="1"/>
        <v>28290</v>
      </c>
    </row>
    <row r="53" spans="1:7" x14ac:dyDescent="0.3">
      <c r="A53" s="2">
        <v>14</v>
      </c>
      <c r="C53" s="38" t="s">
        <v>25</v>
      </c>
      <c r="D53" s="42">
        <f>TRUNC(80814,-1)</f>
        <v>80810</v>
      </c>
      <c r="E53" s="63">
        <f t="shared" si="1"/>
        <v>267140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TRUNC(7419,-1)</f>
        <v>7410</v>
      </c>
      <c r="E55" s="63">
        <f t="shared" si="1"/>
        <v>24490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TRUNC(17009+3695+3128+4078+5487+1478-719,-1)</f>
        <v>34150</v>
      </c>
      <c r="E58" s="63">
        <f t="shared" si="1"/>
        <v>112890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500500</v>
      </c>
      <c r="E60" s="39">
        <f>SUM(E40:E59)</f>
        <v>1654470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TRUNC(6634,-1)</f>
        <v>6630</v>
      </c>
      <c r="E69" s="62">
        <f t="shared" ref="E69:E94" si="2">TRUNC(+D69*3.3058,-1)</f>
        <v>21910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TRUNC(965,-1)</f>
        <v>960</v>
      </c>
      <c r="E72" s="63">
        <f t="shared" si="2"/>
        <v>3170</v>
      </c>
    </row>
    <row r="73" spans="1:7" x14ac:dyDescent="0.3">
      <c r="A73" s="2">
        <v>5</v>
      </c>
      <c r="C73" s="38" t="s">
        <v>34</v>
      </c>
      <c r="D73" s="42">
        <f>TRUNC(14365+1892+807,-1)</f>
        <v>17060</v>
      </c>
      <c r="E73" s="63">
        <f t="shared" si="2"/>
        <v>56390</v>
      </c>
      <c r="F73" s="2" t="s">
        <v>259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TRUNC(1419,-1)</f>
        <v>1410</v>
      </c>
      <c r="E76" s="63">
        <f t="shared" si="2"/>
        <v>4660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TRUNC(4620,-1)</f>
        <v>4620</v>
      </c>
      <c r="E81" s="63">
        <f t="shared" si="2"/>
        <v>15270</v>
      </c>
    </row>
    <row r="82" spans="1:7" x14ac:dyDescent="0.3">
      <c r="A82" s="2">
        <v>14</v>
      </c>
      <c r="C82" s="38" t="s">
        <v>134</v>
      </c>
      <c r="D82" s="42">
        <f>TRUNC(1508,-1)</f>
        <v>1500</v>
      </c>
      <c r="E82" s="63">
        <f t="shared" si="2"/>
        <v>4950</v>
      </c>
      <c r="F82" s="2" t="s">
        <v>261</v>
      </c>
    </row>
    <row r="83" spans="1:7" x14ac:dyDescent="0.3">
      <c r="A83" s="2">
        <v>15</v>
      </c>
      <c r="C83" s="38" t="s">
        <v>136</v>
      </c>
      <c r="D83" s="42">
        <f>TRUNC(1684,-1)</f>
        <v>1680</v>
      </c>
      <c r="E83" s="63">
        <f t="shared" si="2"/>
        <v>5550</v>
      </c>
    </row>
    <row r="84" spans="1:7" x14ac:dyDescent="0.3">
      <c r="A84" s="2">
        <v>16</v>
      </c>
      <c r="C84" s="38" t="s">
        <v>122</v>
      </c>
      <c r="D84" s="42">
        <f>TRUNC(613,-1)</f>
        <v>610</v>
      </c>
      <c r="E84" s="63">
        <f t="shared" si="2"/>
        <v>2010</v>
      </c>
      <c r="F84" s="2" t="s">
        <v>257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TRUNC(4734+456,-1)</f>
        <v>5190</v>
      </c>
      <c r="E89" s="63">
        <f t="shared" si="2"/>
        <v>17150</v>
      </c>
      <c r="F89" s="2" t="s">
        <v>260</v>
      </c>
    </row>
    <row r="90" spans="1:7" x14ac:dyDescent="0.3">
      <c r="A90" s="2">
        <v>22</v>
      </c>
      <c r="C90" s="38" t="s">
        <v>36</v>
      </c>
      <c r="D90" s="42">
        <f>TRUNC(340,-1)</f>
        <v>340</v>
      </c>
      <c r="E90" s="63">
        <f t="shared" si="2"/>
        <v>1120</v>
      </c>
      <c r="F90" s="2" t="s">
        <v>258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TRUNC(11246,-1)</f>
        <v>11240</v>
      </c>
      <c r="E92" s="63">
        <f t="shared" si="2"/>
        <v>37150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TRUNC(674+1442+478+175+219+4837+1266,-1)</f>
        <v>9090</v>
      </c>
      <c r="E94" s="64">
        <f t="shared" si="2"/>
        <v>30040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60330</v>
      </c>
      <c r="E95" s="39">
        <f>SUM(E69:E94)</f>
        <v>199370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f>TRUNC(952+447,-1)</f>
        <v>1390</v>
      </c>
      <c r="E99" s="63">
        <f t="shared" si="3"/>
        <v>4590</v>
      </c>
      <c r="F99" s="2" t="s">
        <v>263</v>
      </c>
    </row>
    <row r="100" spans="1:7" x14ac:dyDescent="0.3">
      <c r="A100" s="2">
        <v>3</v>
      </c>
      <c r="C100" s="38" t="s">
        <v>41</v>
      </c>
      <c r="D100" s="42">
        <f>TRUNC(15226,-1)</f>
        <v>15220</v>
      </c>
      <c r="E100" s="63">
        <f t="shared" si="3"/>
        <v>50310</v>
      </c>
    </row>
    <row r="101" spans="1:7" x14ac:dyDescent="0.3">
      <c r="A101" s="2">
        <v>4</v>
      </c>
      <c r="C101" s="38" t="s">
        <v>42</v>
      </c>
      <c r="D101" s="42">
        <f>TRUNC(965,-1)</f>
        <v>960</v>
      </c>
      <c r="E101" s="63">
        <f t="shared" si="3"/>
        <v>3170</v>
      </c>
      <c r="F101" s="2" t="s">
        <v>266</v>
      </c>
    </row>
    <row r="102" spans="1:7" x14ac:dyDescent="0.3">
      <c r="A102" s="2">
        <v>5</v>
      </c>
      <c r="C102" s="38" t="s">
        <v>43</v>
      </c>
      <c r="D102" s="42">
        <f>TRUNC(9010,-1)</f>
        <v>9010</v>
      </c>
      <c r="E102" s="63">
        <f t="shared" si="3"/>
        <v>29780</v>
      </c>
    </row>
    <row r="103" spans="1:7" x14ac:dyDescent="0.3">
      <c r="A103" s="2">
        <v>6</v>
      </c>
      <c r="C103" s="38" t="s">
        <v>44</v>
      </c>
      <c r="D103" s="42">
        <f>TRUNC(922,-1)</f>
        <v>920</v>
      </c>
      <c r="E103" s="63">
        <f t="shared" si="3"/>
        <v>3040</v>
      </c>
      <c r="F103" s="2" t="s">
        <v>264</v>
      </c>
    </row>
    <row r="104" spans="1:7" x14ac:dyDescent="0.3">
      <c r="A104" s="2">
        <v>7</v>
      </c>
      <c r="C104" s="38" t="s">
        <v>45</v>
      </c>
      <c r="D104" s="42">
        <f>TRUNC(3495,-1)</f>
        <v>3490</v>
      </c>
      <c r="E104" s="63">
        <f t="shared" si="3"/>
        <v>11530</v>
      </c>
    </row>
    <row r="105" spans="1:7" x14ac:dyDescent="0.3">
      <c r="A105" s="2">
        <v>8</v>
      </c>
      <c r="C105" s="38" t="s">
        <v>46</v>
      </c>
      <c r="D105" s="42">
        <f>TRUNC(3976,-1)</f>
        <v>3970</v>
      </c>
      <c r="E105" s="63">
        <f t="shared" si="3"/>
        <v>13120</v>
      </c>
      <c r="F105" s="2" t="s">
        <v>265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TRUNC(2000,-1)</f>
        <v>2000</v>
      </c>
      <c r="E108" s="63">
        <f t="shared" si="3"/>
        <v>6610</v>
      </c>
      <c r="F108" s="2" t="s">
        <v>269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TRUNC(1938,-1)</f>
        <v>1930</v>
      </c>
      <c r="E115" s="63">
        <f t="shared" si="3"/>
        <v>6380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TRUNC(14440+1044+949+2012+989+9933,-1)</f>
        <v>29360</v>
      </c>
      <c r="E118" s="64">
        <f t="shared" si="3"/>
        <v>97050</v>
      </c>
      <c r="F118" s="2" t="s">
        <v>270</v>
      </c>
    </row>
    <row r="119" spans="1:7" x14ac:dyDescent="0.3">
      <c r="A119" s="2">
        <v>22</v>
      </c>
      <c r="C119" s="27" t="s">
        <v>112</v>
      </c>
      <c r="D119" s="39">
        <f>SUM(D98:D118)</f>
        <v>68250</v>
      </c>
      <c r="E119" s="39">
        <f>SUM(E98:E118)</f>
        <v>225580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TRUNC(2181,-1)</f>
        <v>2180</v>
      </c>
      <c r="E122" s="62">
        <f t="shared" ref="E122:E132" si="4">TRUNC(+D122*3.3058,-1)</f>
        <v>7200</v>
      </c>
    </row>
    <row r="123" spans="1:7" x14ac:dyDescent="0.3">
      <c r="A123" s="2">
        <v>2</v>
      </c>
      <c r="C123" s="38" t="s">
        <v>124</v>
      </c>
      <c r="D123" s="42">
        <f>TRUNC(7920,-1)</f>
        <v>7920</v>
      </c>
      <c r="E123" s="63">
        <f t="shared" si="4"/>
        <v>26180</v>
      </c>
      <c r="F123" s="2" t="s">
        <v>267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TRUNC(2627,-1)</f>
        <v>2620</v>
      </c>
      <c r="E125" s="63">
        <f t="shared" si="4"/>
        <v>8660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TRUNC(3815,-1)</f>
        <v>3810</v>
      </c>
      <c r="E128" s="63">
        <f t="shared" si="4"/>
        <v>12590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TRUNC(1447+569+226,-1)</f>
        <v>2240</v>
      </c>
      <c r="E132" s="64">
        <f t="shared" si="4"/>
        <v>7400</v>
      </c>
      <c r="F132" s="54" t="s">
        <v>268</v>
      </c>
    </row>
    <row r="133" spans="1:7" x14ac:dyDescent="0.3">
      <c r="A133" s="2">
        <v>12</v>
      </c>
      <c r="C133" s="27" t="s">
        <v>112</v>
      </c>
      <c r="D133" s="39">
        <f>SUM(D122:D132)</f>
        <v>18770</v>
      </c>
      <c r="E133" s="39">
        <f>SUM(E122:E132)</f>
        <v>62030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TRUNC(29618,-1)</f>
        <v>29610</v>
      </c>
      <c r="E136" s="62">
        <f t="shared" ref="E136:E145" si="5">TRUNC(+D136*3.3058,-1)</f>
        <v>97880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TRUNC(16359,-1)</f>
        <v>16350</v>
      </c>
      <c r="E137" s="63">
        <f t="shared" si="5"/>
        <v>54040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45960</v>
      </c>
      <c r="E146" s="39">
        <f>SUM(E136:E145)</f>
        <v>151920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TRUNC(44702,-1)</f>
        <v>44700</v>
      </c>
      <c r="E152" s="63">
        <f>TRUNC(+D152*3.3058,-1)</f>
        <v>147760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44700</v>
      </c>
      <c r="E154" s="39">
        <f>SUM(E149:E153)</f>
        <v>147760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TRUNC(18503,-1)</f>
        <v>18500</v>
      </c>
      <c r="E159" s="63">
        <f>TRUNC(+D159*3.3058,-1)</f>
        <v>61150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18500</v>
      </c>
      <c r="E161" s="39">
        <f>SUM(E157:E160)</f>
        <v>61150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2020-12-07T09:42:04Z</dcterms:modified>
</cp:coreProperties>
</file>