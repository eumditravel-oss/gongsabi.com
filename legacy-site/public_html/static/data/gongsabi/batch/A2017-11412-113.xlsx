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1" i="4"/>
  <c r="D150" i="4"/>
  <c r="D149" i="4"/>
  <c r="D144" i="4"/>
  <c r="D143" i="4"/>
  <c r="D141" i="4"/>
  <c r="D140" i="4"/>
  <c r="D139" i="4"/>
  <c r="D137" i="4"/>
  <c r="D132" i="4"/>
  <c r="D130" i="4"/>
  <c r="D128" i="4"/>
  <c r="D126" i="4"/>
  <c r="D125" i="4"/>
  <c r="D118" i="4"/>
  <c r="D116" i="4"/>
  <c r="D114" i="4"/>
  <c r="D105" i="4"/>
  <c r="D104" i="4"/>
  <c r="D103" i="4"/>
  <c r="D102" i="4"/>
  <c r="D101" i="4"/>
  <c r="D100" i="4"/>
  <c r="D99" i="4"/>
  <c r="D98" i="4"/>
  <c r="D63" i="4"/>
  <c r="D58" i="4"/>
  <c r="D53" i="4"/>
  <c r="D52" i="4"/>
  <c r="D50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54" i="4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<sst xmlns="http://schemas.openxmlformats.org/spreadsheetml/2006/main" count="391" uniqueCount="267">
  <si>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</si>
  <si>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</si>
  <si>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</si>
  <si>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</si>
  <si>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</si>
  <si>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</si>
  <si>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</si>
  <si>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</si>
  <si>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</si>
  <si>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</si>
  <si>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</si>
  <si>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</si>
  <si>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</si>
  <si>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</si>
  <si>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</si>
  <si>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</si>
  <si>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</si>
  <si>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</si>
  <si>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</si>
  <si>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</si>
  <si>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</si>
  <si>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</si>
  <si>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</si>
  <si>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</si>
  <si>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</si>
  <si>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</si>
  <si>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</si>
  <si>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</si>
  <si>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</si>
  <si>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</si>
  <si>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</si>
  <si>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</si>
  <si>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</si>
  <si>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</si>
  <si>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</si>
  <si>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</si>
  <si>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</si>
  <si>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</si>
  <si>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</si>
  <si>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</si>
  <si>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</si>
  <si>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</si>
  <si>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</si>
  <si>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</si>
  <si>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</si>
  <si>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</si>
  <si>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</si>
  <si>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</si>
  <si>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</si>
  <si>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</si>
  <si>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</si>
  <si>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</si>
  <si>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</si>
  <si>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</si>
  <si>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</si>
  <si>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</si>
  <si>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</si>
  <si>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</si>
  <si>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</si>
  <si>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</si>
  <si>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</si>
  <si>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</si>
  <si>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</si>
  <si>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</si>
  <si>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</si>
  <si>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</si>
  <si>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</si>
  <si>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</si>
  <si>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</si>
  <si>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</si>
  <si>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</si>
  <si>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</si>
  <si>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</si>
  <si>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</si>
  <si>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</si>
  <si>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</si>
  <si>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</si>
  <si>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</si>
  <si>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</si>
  <si>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</si>
  <si>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</si>
  <si>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</si>
  <si>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</si>
  <si>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</si>
  <si>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</si>
  <si>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</si>
  <si>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</si>
  <si>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</si>
  <si>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</si>
  <si>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</si>
  <si>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</si>
  <si>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</si>
  <si>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</si>
  <si>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</si>
  <si>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</si>
  <si>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</si>
  <si>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</si>
  <si>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</si>
  <si>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</si>
  <si>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</si>
  <si>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</si>
  <si>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</si>
  <si>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</si>
  <si>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</si>
  <si>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</si>
  <si>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</si>
  <si>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</si>
  <si>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</si>
  <si>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</si>
  <si>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</si>
  <si>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</si>
  <si>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</si>
  <si>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</si>
  <si>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</si>
  <si>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</si>
  <si>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</si>
  <si>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</si>
  <si>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</si>
  <si>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</si>
  <si>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</si>
  <si>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</si>
  <si>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</si>
  <si>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</si>
  <si>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</si>
  <si>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</si>
  <si>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</si>
  <si>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</si>
  <si>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</si>
  <si>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</si>
  <si>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</si>
  <si>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</si>
  <si>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</si>
  <si>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</si>
  <si>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</si>
  <si>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</si>
  <si>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</si>
  <si>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</si>
  <si>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</si>
  <si>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</si>
  <si>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</si>
  <si>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</si>
  <si>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</si>
  <si>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</si>
  <si>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</si>
  <si>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</si>
  <si>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</si>
  <si>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</si>
  <si>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</si>
  <si>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</si>
  <si>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</si>
  <si>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</si>
  <si>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</si>
  <si>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</si>
  <si>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</si>
  <si>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</si>
  <si>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</si>
  <si>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</si>
  <si>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</si>
  <si>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</si>
  <si>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</si>
  <si>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</si>
  <si>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</si>
  <si>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</si>
  <si>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</si>
  <si>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</si>
  <si>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</si>
  <si>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</si>
  <si>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</si>
  <si>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</si>
  <si>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</si>
  <si>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</si>
  <si>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</si>
  <si>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</si>
  <si>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</si>
  <si>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</si>
  <si>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</si>
  <si>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</si>
  <si>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</si>
  <si>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</si>
  <si>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</si>
  <si>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</si>
  <si>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</si>
  <si>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</si>
  <si>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</si>
  <si>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</si>
  <si>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</si>
  <si>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</si>
  <si>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</si>
  <si>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</si>
  <si>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</si>
  <si>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</si>
  <si>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</si>
  <si>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</si>
  <si>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</si>
  <si>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</si>
  <si>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</si>
  <si>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</si>
  <si>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</si>
  <si>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</si>
  <si>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</si>
  <si>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</si>
  <si>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</si>
  <si>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</si>
  <si>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</si>
  <si>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</si>
  <si>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</si>
  <si>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</si>
  <si>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</si>
  <si>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</si>
  <si>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</si>
  <si>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</si>
  <si>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</si>
  <si>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</si>
  <si>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</si>
  <si>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</si>
  <si>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</si>
  <si>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</si>
  <si>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</si>
  <si>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</si>
  <si>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</si>
  <si>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</si>
  <si>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</si>
  <si>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</si>
  <si>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</si>
  <si>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</si>
  <si>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</si>
  <si>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</si>
  <si>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</si>
  <si>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</si>
  <si>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</si>
  <si>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</si>
  <si>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</si>
  <si>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</si>
  <si>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</si>
  <si>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</si>
  <si>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</si>
  <si>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</si>
  <si>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</si>
  <si>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</si>
  <si>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</si>
  <si>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</si>
  <si>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</si>
  <si>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</si>
  <si>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</si>
  <si>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</si>
  <si>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</si>
  <si>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</si>
  <si>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</si>
  <si>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</si>
  <si>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</si>
  <si>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</si>
  <si>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</si>
  <si>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</si>
  <si>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</si>
  <si>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</si>
  <si>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경상도</t>
  </si>
  <si>
    <t>기초공사, 골재비및운반비,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</si>
  <si>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</si>
  <si>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</si>
  <si>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</si>
  <si>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황남초 신설 대체 이전공사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</si>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</sst>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12114.54</v>
      </c>
      <c r="D7" s="36">
        <f>+C7/3.3058</f>
        <v>3664.6318591566342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546710</v>
      </c>
      <c r="E25" s="59">
        <f t="shared" si="0"/>
        <v>1807310</v>
      </c>
    </row>
    <row r="26" spans="1:5" x14ac:dyDescent="0.3">
      <c r="B26" s="2">
        <v>3</v>
      </c>
      <c r="C26" s="35" t="s">
        <v>95</v>
      </c>
      <c r="D26" s="45">
        <f>+D66</f>
        <v>6450</v>
      </c>
      <c r="E26" s="59">
        <f t="shared" si="0"/>
        <v>21320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77770</v>
      </c>
      <c r="E28" s="59">
        <f t="shared" si="0"/>
        <v>257090</v>
      </c>
    </row>
    <row r="29" spans="1:5" x14ac:dyDescent="0.3">
      <c r="B29" s="2">
        <v>6</v>
      </c>
      <c r="C29" s="35" t="s">
        <v>98</v>
      </c>
      <c r="D29" s="45">
        <f>+D133</f>
        <v>33760</v>
      </c>
      <c r="E29" s="59">
        <f t="shared" si="0"/>
        <v>111600</v>
      </c>
    </row>
    <row r="30" spans="1:5" x14ac:dyDescent="0.3">
      <c r="B30" s="2">
        <v>7</v>
      </c>
      <c r="C30" s="35" t="s">
        <v>99</v>
      </c>
      <c r="D30" s="45">
        <f>+D146</f>
        <v>37960</v>
      </c>
      <c r="E30" s="59">
        <f t="shared" si="0"/>
        <v>125480</v>
      </c>
    </row>
    <row r="31" spans="1:5" x14ac:dyDescent="0.3">
      <c r="B31" s="2">
        <v>8</v>
      </c>
      <c r="C31" s="35" t="s">
        <v>100</v>
      </c>
      <c r="D31" s="45">
        <f>+D154</f>
        <v>39310</v>
      </c>
      <c r="E31" s="59">
        <f t="shared" si="0"/>
        <v>129950</v>
      </c>
    </row>
    <row r="32" spans="1:5" x14ac:dyDescent="0.3">
      <c r="B32" s="2">
        <v>9</v>
      </c>
      <c r="C32" s="35" t="s">
        <v>101</v>
      </c>
      <c r="D32" s="45">
        <f>+D161</f>
        <v>18810</v>
      </c>
      <c r="E32" s="59">
        <f t="shared" si="0"/>
        <v>62180</v>
      </c>
    </row>
    <row r="33" spans="1:7" x14ac:dyDescent="0.3">
      <c r="B33" s="2">
        <v>10</v>
      </c>
      <c r="C33" s="35" t="s">
        <v>154</v>
      </c>
      <c r="D33" s="53">
        <f>TRUNC(SUM(D24:D32)*0.275,-1)</f>
        <v>209210</v>
      </c>
      <c r="E33" s="60">
        <f t="shared" si="0"/>
        <v>691600</v>
      </c>
    </row>
    <row r="34" spans="1:7" x14ac:dyDescent="0.3">
      <c r="C34" s="35" t="s">
        <v>112</v>
      </c>
      <c r="D34" s="44">
        <f>SUM(D24:D33)</f>
        <v>969980</v>
      </c>
      <c r="E34" s="44">
        <f>SUM(E24:E33)</f>
        <v>3206530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TRUNC(37524,-1)</f>
        <v>37520</v>
      </c>
      <c r="E40" s="62">
        <f t="shared" ref="E40:E59" si="1">TRUNC(+D40*3.3058,-1)</f>
        <v>124030</v>
      </c>
    </row>
    <row r="41" spans="1:7" x14ac:dyDescent="0.3">
      <c r="A41" s="2">
        <v>2</v>
      </c>
      <c r="C41" s="38" t="s">
        <v>13</v>
      </c>
      <c r="D41" s="42">
        <f>TRUNC(164618,-1)</f>
        <v>164610</v>
      </c>
      <c r="E41" s="63">
        <f t="shared" si="1"/>
        <v>544160</v>
      </c>
    </row>
    <row r="42" spans="1:7" x14ac:dyDescent="0.3">
      <c r="A42" s="2">
        <v>3</v>
      </c>
      <c r="C42" s="38" t="s">
        <v>14</v>
      </c>
      <c r="D42" s="42">
        <f>TRUNC(7065,-1)</f>
        <v>7060</v>
      </c>
      <c r="E42" s="63">
        <f t="shared" si="1"/>
        <v>23330</v>
      </c>
    </row>
    <row r="43" spans="1:7" x14ac:dyDescent="0.3">
      <c r="A43" s="2">
        <v>4</v>
      </c>
      <c r="C43" s="38" t="s">
        <v>16</v>
      </c>
      <c r="D43" s="42">
        <f>TRUNC(36036,-1)</f>
        <v>36030</v>
      </c>
      <c r="E43" s="63">
        <f t="shared" si="1"/>
        <v>119100</v>
      </c>
    </row>
    <row r="44" spans="1:7" x14ac:dyDescent="0.3">
      <c r="A44" s="2">
        <v>5</v>
      </c>
      <c r="C44" s="38" t="s">
        <v>17</v>
      </c>
      <c r="D44" s="42">
        <f>TRUNC(18102,-1)</f>
        <v>18100</v>
      </c>
      <c r="E44" s="63">
        <f t="shared" si="1"/>
        <v>59830</v>
      </c>
    </row>
    <row r="45" spans="1:7" x14ac:dyDescent="0.3">
      <c r="A45" s="2">
        <v>6</v>
      </c>
      <c r="C45" s="38" t="s">
        <v>18</v>
      </c>
      <c r="D45" s="42">
        <f>TRUNC(34369,-1)</f>
        <v>34360</v>
      </c>
      <c r="E45" s="63">
        <f t="shared" si="1"/>
        <v>113580</v>
      </c>
    </row>
    <row r="46" spans="1:7" x14ac:dyDescent="0.3">
      <c r="A46" s="2">
        <v>7</v>
      </c>
      <c r="C46" s="38" t="s">
        <v>19</v>
      </c>
      <c r="D46" s="42">
        <f>TRUNC(24565,-1)</f>
        <v>24560</v>
      </c>
      <c r="E46" s="63">
        <f t="shared" si="1"/>
        <v>81190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TRUNC(53414,-1)</f>
        <v>53410</v>
      </c>
      <c r="E48" s="63">
        <f t="shared" si="1"/>
        <v>176560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v>22530</v>
      </c>
      <c r="E49" s="63">
        <f t="shared" si="1"/>
        <v>74470</v>
      </c>
    </row>
    <row r="50" spans="1:7" x14ac:dyDescent="0.3">
      <c r="A50" s="2">
        <v>11</v>
      </c>
      <c r="C50" s="38" t="s">
        <v>155</v>
      </c>
      <c r="D50" s="42">
        <f>TRUNC(43967,-1)</f>
        <v>43960</v>
      </c>
      <c r="E50" s="63">
        <f t="shared" si="1"/>
        <v>145320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TRUNC(10587,-1)</f>
        <v>10580</v>
      </c>
      <c r="E52" s="63">
        <f t="shared" si="1"/>
        <v>34970</v>
      </c>
    </row>
    <row r="53" spans="1:7" x14ac:dyDescent="0.3">
      <c r="A53" s="2">
        <v>14</v>
      </c>
      <c r="C53" s="38" t="s">
        <v>25</v>
      </c>
      <c r="D53" s="42">
        <f>TRUNC(57422,-1)</f>
        <v>57420</v>
      </c>
      <c r="E53" s="63">
        <f t="shared" si="1"/>
        <v>189810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TRUNC(11447+4589+20537,-1)</f>
        <v>36570</v>
      </c>
      <c r="E58" s="63">
        <f t="shared" si="1"/>
        <v>120890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546710</v>
      </c>
      <c r="E60" s="39">
        <f>SUM(E40:E59)</f>
        <v>1807240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TRUNC(6459,-1)</f>
        <v>6450</v>
      </c>
      <c r="E63" s="62">
        <f>TRUNC(+D63*3.3058,-1)</f>
        <v>21320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6450</v>
      </c>
      <c r="E66" s="65">
        <f>SUM(E63:E65)</f>
        <v>21320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TRUNC(13435,-1)</f>
        <v>13430</v>
      </c>
      <c r="E98" s="62">
        <f t="shared" ref="E98:E118" si="3">TRUNC(+D98*3.3058,-1)</f>
        <v>44390</v>
      </c>
    </row>
    <row r="99" spans="1:7" x14ac:dyDescent="0.3">
      <c r="A99" s="2">
        <v>2</v>
      </c>
      <c r="C99" s="38" t="s">
        <v>40</v>
      </c>
      <c r="D99" s="42">
        <f>TRUNC(2916,-1)</f>
        <v>2910</v>
      </c>
      <c r="E99" s="63">
        <f t="shared" si="3"/>
        <v>9610</v>
      </c>
    </row>
    <row r="100" spans="1:7" x14ac:dyDescent="0.3">
      <c r="A100" s="2">
        <v>3</v>
      </c>
      <c r="C100" s="38" t="s">
        <v>41</v>
      </c>
      <c r="D100" s="42">
        <f>TRUNC(26081,-1)</f>
        <v>26080</v>
      </c>
      <c r="E100" s="63">
        <f t="shared" si="3"/>
        <v>86210</v>
      </c>
    </row>
    <row r="101" spans="1:7" x14ac:dyDescent="0.3">
      <c r="A101" s="2">
        <v>4</v>
      </c>
      <c r="C101" s="38" t="s">
        <v>42</v>
      </c>
      <c r="D101" s="42">
        <f>TRUNC(1033,-1)</f>
        <v>1030</v>
      </c>
      <c r="E101" s="63">
        <f t="shared" si="3"/>
        <v>3400</v>
      </c>
    </row>
    <row r="102" spans="1:7" x14ac:dyDescent="0.3">
      <c r="A102" s="2">
        <v>5</v>
      </c>
      <c r="C102" s="38" t="s">
        <v>43</v>
      </c>
      <c r="D102" s="42">
        <f>TRUNC(11959,-1)</f>
        <v>11950</v>
      </c>
      <c r="E102" s="63">
        <f t="shared" si="3"/>
        <v>39500</v>
      </c>
    </row>
    <row r="103" spans="1:7" x14ac:dyDescent="0.3">
      <c r="A103" s="2">
        <v>6</v>
      </c>
      <c r="C103" s="38" t="s">
        <v>44</v>
      </c>
      <c r="D103" s="42">
        <f>TRUNC(4599,-1)</f>
        <v>4590</v>
      </c>
      <c r="E103" s="63">
        <f t="shared" si="3"/>
        <v>15170</v>
      </c>
    </row>
    <row r="104" spans="1:7" x14ac:dyDescent="0.3">
      <c r="A104" s="2">
        <v>7</v>
      </c>
      <c r="C104" s="38" t="s">
        <v>45</v>
      </c>
      <c r="D104" s="42">
        <f>TRUNC(1993,-1)</f>
        <v>1990</v>
      </c>
      <c r="E104" s="63">
        <f t="shared" si="3"/>
        <v>6570</v>
      </c>
    </row>
    <row r="105" spans="1:7" x14ac:dyDescent="0.3">
      <c r="A105" s="2">
        <v>8</v>
      </c>
      <c r="C105" s="38" t="s">
        <v>46</v>
      </c>
      <c r="D105" s="42">
        <f>TRUNC(2153,-1)</f>
        <v>2150</v>
      </c>
      <c r="E105" s="63">
        <f t="shared" si="3"/>
        <v>7100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TRUNC(5215,-1)</f>
        <v>5210</v>
      </c>
      <c r="E114" s="63">
        <f t="shared" si="3"/>
        <v>17220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TRUNC(3977,-1)</f>
        <v>3970</v>
      </c>
      <c r="E116" s="63">
        <f t="shared" si="3"/>
        <v>13120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TRUNC(4466,-1)</f>
        <v>4460</v>
      </c>
      <c r="E118" s="64">
        <f t="shared" si="3"/>
        <v>14740</v>
      </c>
    </row>
    <row r="119" spans="1:7" x14ac:dyDescent="0.3">
      <c r="A119" s="2">
        <v>22</v>
      </c>
      <c r="C119" s="27" t="s">
        <v>112</v>
      </c>
      <c r="D119" s="39">
        <f>SUM(D98:D118)</f>
        <v>77770</v>
      </c>
      <c r="E119" s="39">
        <f>SUM(E98:E118)</f>
        <v>257030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2430</v>
      </c>
      <c r="E122" s="62">
        <f t="shared" ref="E122:E132" si="4">TRUNC(+D122*3.3058,-1)</f>
        <v>8030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TRUNC(7268,-1)</f>
        <v>7260</v>
      </c>
      <c r="E125" s="63">
        <f t="shared" si="4"/>
        <v>24000</v>
      </c>
    </row>
    <row r="126" spans="1:7" x14ac:dyDescent="0.3">
      <c r="A126" s="2">
        <v>5</v>
      </c>
      <c r="C126" s="38" t="s">
        <v>53</v>
      </c>
      <c r="D126" s="42">
        <f>TRUNC(1678,-1)</f>
        <v>1670</v>
      </c>
      <c r="E126" s="63">
        <f t="shared" si="4"/>
        <v>5520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TRUNC(4764,-1)</f>
        <v>4760</v>
      </c>
      <c r="E128" s="63">
        <f t="shared" si="4"/>
        <v>15730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TRUNC(12774,-1)</f>
        <v>12770</v>
      </c>
      <c r="E130" s="63">
        <f t="shared" si="4"/>
        <v>42210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TRUNC(1243+3631,-1)</f>
        <v>4870</v>
      </c>
      <c r="E132" s="64">
        <f t="shared" si="4"/>
        <v>16090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33760</v>
      </c>
      <c r="E133" s="39">
        <f>SUM(E122:E132)</f>
        <v>111580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TRUNC(2669+8148,-1)</f>
        <v>10810</v>
      </c>
      <c r="E137" s="63">
        <f t="shared" si="5"/>
        <v>35730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TRUNC(1851,-1)</f>
        <v>1850</v>
      </c>
      <c r="E139" s="63">
        <f t="shared" si="5"/>
        <v>6110</v>
      </c>
    </row>
    <row r="140" spans="1:7" x14ac:dyDescent="0.3">
      <c r="A140" s="2">
        <v>5</v>
      </c>
      <c r="C140" s="38" t="s">
        <v>57</v>
      </c>
      <c r="D140" s="42">
        <f>TRUNC(1438,-1)</f>
        <v>1430</v>
      </c>
      <c r="E140" s="63">
        <f t="shared" si="5"/>
        <v>4720</v>
      </c>
    </row>
    <row r="141" spans="1:7" x14ac:dyDescent="0.3">
      <c r="A141" s="2">
        <v>6</v>
      </c>
      <c r="C141" s="38" t="s">
        <v>59</v>
      </c>
      <c r="D141" s="42">
        <f>TRUNC(7115,-1)</f>
        <v>7110</v>
      </c>
      <c r="E141" s="63">
        <f t="shared" si="5"/>
        <v>23500</v>
      </c>
    </row>
    <row r="142" spans="1:7" x14ac:dyDescent="0.3">
      <c r="A142" s="2">
        <v>7</v>
      </c>
      <c r="C142" s="38" t="s">
        <v>58</v>
      </c>
      <c r="D142" s="42">
        <v>8050</v>
      </c>
      <c r="E142" s="63">
        <f t="shared" si="5"/>
        <v>26610</v>
      </c>
    </row>
    <row r="143" spans="1:7" x14ac:dyDescent="0.3">
      <c r="A143" s="2">
        <v>8</v>
      </c>
      <c r="C143" s="38" t="s">
        <v>62</v>
      </c>
      <c r="D143" s="42">
        <f>TRUNC(2829,-1)</f>
        <v>2820</v>
      </c>
      <c r="E143" s="63">
        <f t="shared" si="5"/>
        <v>9320</v>
      </c>
    </row>
    <row r="144" spans="1:7" x14ac:dyDescent="0.3">
      <c r="A144" s="2">
        <v>9</v>
      </c>
      <c r="C144" s="38" t="s">
        <v>63</v>
      </c>
      <c r="D144" s="42">
        <f>TRUNC(5895,-1)</f>
        <v>5890</v>
      </c>
      <c r="E144" s="63">
        <f t="shared" si="5"/>
        <v>19470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37960</v>
      </c>
      <c r="E146" s="39">
        <f>SUM(E136:E145)</f>
        <v>125460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TRUNC(10762+765,-1)</f>
        <v>11520</v>
      </c>
      <c r="E149" s="62">
        <f>TRUNC(+D149*3.3058,-1)</f>
        <v>38080</v>
      </c>
    </row>
    <row r="150" spans="1:7" x14ac:dyDescent="0.3">
      <c r="A150" s="2">
        <v>2</v>
      </c>
      <c r="C150" s="38" t="s">
        <v>49</v>
      </c>
      <c r="D150" s="42">
        <f>TRUNC(12153,-1)</f>
        <v>12150</v>
      </c>
      <c r="E150" s="63">
        <f>TRUNC(+D150*3.3058,-1)</f>
        <v>40160</v>
      </c>
    </row>
    <row r="151" spans="1:7" x14ac:dyDescent="0.3">
      <c r="A151" s="2">
        <v>3</v>
      </c>
      <c r="C151" s="38" t="s">
        <v>50</v>
      </c>
      <c r="D151" s="42">
        <f>TRUNC(13788,-1)</f>
        <v>13780</v>
      </c>
      <c r="E151" s="63">
        <f>TRUNC(+D151*3.3058,-1)</f>
        <v>45550</v>
      </c>
    </row>
    <row r="152" spans="1:7" x14ac:dyDescent="0.3">
      <c r="A152" s="2">
        <v>4</v>
      </c>
      <c r="C152" s="38" t="s">
        <v>47</v>
      </c>
      <c r="D152" s="42">
        <f>TRUNC(57+1807,-1)</f>
        <v>1860</v>
      </c>
      <c r="E152" s="63">
        <f>TRUNC(+D152*3.3058,-1)</f>
        <v>6140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39310</v>
      </c>
      <c r="E154" s="39">
        <f>SUM(E149:E153)</f>
        <v>129930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TRUNC(11631,-1)</f>
        <v>11630</v>
      </c>
      <c r="E157" s="62">
        <f>TRUNC(+D157*3.3058,-1)</f>
        <v>38440</v>
      </c>
    </row>
    <row r="158" spans="1:7" x14ac:dyDescent="0.3">
      <c r="A158" s="2">
        <v>2</v>
      </c>
      <c r="C158" s="38" t="s">
        <v>52</v>
      </c>
      <c r="D158" s="42">
        <f>TRUNC(7183,-1)</f>
        <v>7180</v>
      </c>
      <c r="E158" s="63">
        <f>TRUNC(+D158*3.3058,-1)</f>
        <v>23730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18810</v>
      </c>
      <c r="E161" s="39">
        <f>SUM(E157:E160)</f>
        <v>62170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2020-12-08T01:58:08Z</dcterms:modified>
</cp:coreProperties>
</file>