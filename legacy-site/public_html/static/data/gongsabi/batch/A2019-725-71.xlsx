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9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59" i="4" l="1"/>
  <c r="D93" i="4"/>
  <c r="D117" i="4"/>
  <c r="D131" i="4"/>
  <c r="D153" i="4"/>
  <c r="D158" i="4"/>
  <c r="D157" i="4"/>
  <c r="D152" i="4"/>
  <c r="D150" i="4"/>
  <c r="D149" i="4"/>
  <c r="D137" i="4"/>
  <c r="D144" i="4"/>
  <c r="D143" i="4"/>
  <c r="D139" i="4"/>
  <c r="D141" i="4"/>
  <c r="D142" i="4"/>
  <c r="D140" i="4"/>
  <c r="D132" i="4"/>
  <c r="D128" i="4"/>
  <c r="D127" i="4"/>
  <c r="D125" i="4"/>
  <c r="D122" i="4"/>
  <c r="D130" i="4"/>
  <c r="D118" i="4"/>
  <c r="D105" i="4"/>
  <c r="D102" i="4"/>
  <c r="D100" i="4"/>
  <c r="D99" i="4"/>
  <c r="D98" i="4"/>
  <c r="D94" i="4"/>
  <c r="D75" i="4"/>
  <c r="D92" i="4"/>
  <c r="D91" i="4"/>
  <c r="D89" i="4"/>
  <c r="D73" i="4"/>
  <c r="D72" i="4"/>
  <c r="D71" i="4"/>
  <c r="D70" i="4"/>
  <c r="D69" i="4"/>
  <c r="D63" i="4"/>
  <c r="D58" i="4"/>
  <c r="D53" i="4"/>
  <c r="D52" i="4"/>
  <c r="D50" i="4"/>
  <c r="D49" i="4"/>
  <c r="D48" i="4"/>
  <c r="D46" i="4"/>
  <c r="D45" i="4"/>
  <c r="D44" i="4"/>
  <c r="D43" i="4"/>
  <c r="D42" i="4"/>
  <c r="D41" i="4"/>
  <c r="D40" i="4"/>
  <c r="E160" i="4" l="1"/>
  <c r="E159" i="4"/>
  <c r="E158" i="4"/>
  <c r="E157" i="4"/>
  <c r="E161" i="4" s="1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66" i="4" s="1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54" i="4" l="1"/>
  <c r="E146" i="4"/>
  <c r="E133" i="4"/>
  <c r="E119" i="4"/>
  <c r="E95" i="4"/>
  <c r="E60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D24" i="4"/>
  <c r="E24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D34" i="4" l="1"/>
  <c r="E34" i="4"/>
</calcChain>
</file>

<file path=xl/sharedStrings.xml><?xml version="1.0" encoding="utf-8"?>
<sst xmlns="http://schemas.openxmlformats.org/spreadsheetml/2006/main" count="393" uniqueCount="267">
  <si>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</si>
  <si>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</si>
  <si>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</si>
  <si>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</si>
  <si>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</si>
  <si>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</si>
  <si>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</si>
  <si>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</si>
  <si>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</si>
  <si>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</si>
  <si>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</si>
  <si>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</si>
  <si>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</si>
  <si>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</si>
  <si>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</si>
  <si>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</si>
  <si>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</si>
  <si>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</si>
  <si>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</si>
  <si>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</si>
  <si>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</si>
  <si>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</si>
  <si>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</si>
  <si>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</si>
  <si>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</si>
  <si>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</si>
  <si>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</si>
  <si>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</si>
  <si>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</si>
  <si>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</si>
  <si>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</si>
  <si>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</si>
  <si>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</si>
  <si>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</si>
  <si>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</si>
  <si>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</si>
  <si>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</si>
  <si>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</si>
  <si>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</si>
  <si>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</si>
  <si>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</si>
  <si>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</si>
  <si>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</si>
  <si>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</si>
  <si>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</si>
  <si>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</si>
  <si>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</si>
  <si>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</si>
  <si>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</si>
  <si>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</si>
  <si>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</si>
  <si>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</si>
  <si>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</si>
  <si>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</si>
  <si>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</si>
  <si>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</si>
  <si>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</si>
  <si>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</si>
  <si>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</si>
  <si>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</si>
  <si>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</si>
  <si>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</si>
  <si>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</si>
  <si>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</si>
  <si>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</si>
  <si>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</si>
  <si>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</si>
  <si>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</si>
  <si>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</si>
  <si>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</si>
  <si>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</si>
  <si>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</si>
  <si>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</si>
  <si>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</si>
  <si>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</si>
  <si>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</si>
  <si>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</si>
  <si>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</si>
  <si>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</si>
  <si>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</si>
  <si>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</si>
  <si>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</si>
  <si>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</si>
  <si>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</si>
  <si>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</si>
  <si>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</si>
  <si>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</si>
  <si>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</si>
  <si>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</si>
  <si>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</si>
  <si>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</si>
  <si>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</si>
  <si>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</si>
  <si>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</si>
  <si>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</si>
  <si>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</si>
  <si>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</si>
  <si>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</si>
  <si>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</si>
  <si>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</si>
  <si>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</si>
  <si>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</si>
  <si>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</si>
  <si>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</si>
  <si>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</si>
  <si>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</si>
  <si>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</si>
  <si>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</si>
  <si>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</si>
  <si>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</si>
  <si>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</si>
  <si>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</si>
  <si>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</si>
  <si>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</si>
  <si>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</si>
  <si>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</si>
  <si>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</si>
  <si>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</si>
  <si>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</si>
  <si>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</si>
  <si>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</si>
  <si>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</si>
  <si>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</si>
  <si>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</si>
  <si>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</si>
  <si>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</si>
  <si>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</si>
  <si>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</si>
  <si>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</si>
  <si>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</si>
  <si>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</si>
  <si>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</si>
  <si>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</si>
  <si>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</si>
  <si>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</si>
  <si>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</si>
  <si>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</si>
  <si>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</si>
  <si>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</si>
  <si>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</si>
  <si>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</si>
  <si>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</si>
  <si>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</si>
  <si>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</si>
  <si>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</si>
  <si>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</si>
  <si>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</si>
  <si>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</si>
  <si>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</si>
  <si>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</si>
  <si>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</si>
  <si>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</si>
  <si>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</si>
  <si>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</si>
  <si>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</si>
  <si>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</si>
  <si>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</si>
  <si>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</si>
  <si>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</si>
  <si>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</si>
  <si>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</si>
  <si>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</si>
  <si>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</si>
  <si>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</si>
  <si>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</si>
  <si>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</si>
  <si>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</si>
  <si>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</si>
  <si>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</si>
  <si>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</si>
  <si>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</si>
  <si>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</si>
  <si>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</si>
  <si>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</si>
  <si>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</si>
  <si>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</si>
  <si>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</si>
  <si>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</si>
  <si>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</si>
  <si>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</si>
  <si>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</si>
  <si>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</si>
  <si>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</si>
  <si>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</si>
  <si>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</si>
  <si>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</si>
  <si>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</si>
  <si>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</si>
  <si>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</si>
  <si>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</si>
  <si>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</si>
  <si>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</si>
  <si>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</si>
  <si>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</si>
  <si>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</si>
  <si>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</si>
  <si>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</si>
  <si>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</si>
  <si>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</si>
  <si>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</si>
  <si>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</si>
  <si>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</si>
  <si>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</si>
  <si>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</si>
  <si>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</si>
  <si>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</si>
  <si>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</si>
  <si>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</si>
  <si>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</si>
  <si>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</si>
  <si>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</si>
  <si>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</si>
  <si>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</si>
  <si>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</si>
  <si>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</si>
  <si>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</si>
  <si>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</si>
  <si>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</si>
  <si>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</si>
  <si>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</si>
  <si>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</si>
  <si>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</si>
  <si>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</si>
  <si>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</si>
  <si>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</si>
  <si>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</si>
  <si>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</si>
  <si>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</si>
  <si>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</si>
  <si>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</si>
  <si>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</si>
  <si>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</si>
  <si>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</si>
  <si>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</si>
  <si>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</si>
  <si>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</si>
  <si>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원 /평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</si>
  <si>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</si>
  <si>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</si>
  <si>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</si>
  <si>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</si>
  <si>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</si>
  <si>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</si>
  <si>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</si>
  <si>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</si>
  <si>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</si>
  <si>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</si>
  <si>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</si>
  <si>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</si>
  <si>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어린이과학관 건축공사(기계,토목,조경 포함)</t>
    <phoneticPr fontId="2" type="noConversion"/>
  </si>
  <si>
    <t>문화및집회</t>
  </si>
  <si>
    <t>대전시</t>
  </si>
  <si>
    <t>(지붕및홈통공사 포함)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</si>
  <si>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</si>
  <si>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</si>
  <si>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기초공사,골재비및운반비,작업부산물,품질시험비,기타공사</t>
    <phoneticPr fontId="2" type="noConversion"/>
  </si>
  <si>
    <t>기타공사</t>
    <phoneticPr fontId="2" type="noConversion"/>
  </si>
  <si>
    <t>CATV 및 TV 설비공사</t>
    <phoneticPr fontId="2" type="noConversion"/>
  </si>
  <si>
    <t>CCTV설비공사</t>
    <phoneticPr fontId="2" type="noConversion"/>
  </si>
  <si>
    <t>펌프실배관공사</t>
    <phoneticPr fontId="2" type="noConversion"/>
  </si>
  <si>
    <t>우수공사,오수공사</t>
    <phoneticPr fontId="2" type="noConversion"/>
  </si>
  <si>
    <t>조경시설물</t>
    <phoneticPr fontId="2" type="noConversion"/>
  </si>
  <si>
    <t>상수도공사,사급자재비</t>
    <phoneticPr fontId="2" type="noConversion"/>
  </si>
  <si>
    <t>원/ m2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</si>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</sst>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156</v>
      </c>
      <c r="B2" s="72" t="s">
        <v>0</v>
      </c>
      <c r="C2" s="73"/>
      <c r="D2" s="72" t="s">
        <v>1</v>
      </c>
      <c r="E2" s="73"/>
      <c r="F2" s="72" t="s">
        <v>157</v>
      </c>
      <c r="G2" s="73"/>
      <c r="H2" s="72" t="s">
        <v>2</v>
      </c>
      <c r="I2" s="73"/>
      <c r="J2" s="72" t="s">
        <v>3</v>
      </c>
      <c r="K2" s="73"/>
      <c r="L2" s="72" t="s">
        <v>158</v>
      </c>
      <c r="M2" s="73"/>
      <c r="N2" s="72" t="s">
        <v>159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264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17" sqref="A17:C19 A23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249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250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237</v>
      </c>
    </row>
    <row r="7" spans="1:4" ht="17.25" thickBot="1" x14ac:dyDescent="0.35">
      <c r="C7" s="37">
        <v>3386.44</v>
      </c>
      <c r="D7" s="36">
        <f>+C7/3.3058</f>
        <v>1024.393490229294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251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209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265</v>
      </c>
    </row>
    <row r="19" spans="1:5" x14ac:dyDescent="0.3">
      <c r="A19" s="2">
        <v>9</v>
      </c>
      <c r="B19" s="2" t="s">
        <v>266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238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1099500</v>
      </c>
      <c r="E25" s="59">
        <f t="shared" si="0"/>
        <v>3634720</v>
      </c>
    </row>
    <row r="26" spans="1:5" x14ac:dyDescent="0.3">
      <c r="B26" s="2">
        <v>3</v>
      </c>
      <c r="C26" s="35" t="s">
        <v>95</v>
      </c>
      <c r="D26" s="45">
        <f>+D66</f>
        <v>24270</v>
      </c>
      <c r="E26" s="59">
        <f t="shared" si="0"/>
        <v>80230</v>
      </c>
    </row>
    <row r="27" spans="1:5" x14ac:dyDescent="0.3">
      <c r="B27" s="2">
        <v>4</v>
      </c>
      <c r="C27" s="35" t="s">
        <v>96</v>
      </c>
      <c r="D27" s="45">
        <f>+D95</f>
        <v>302290</v>
      </c>
      <c r="E27" s="59">
        <f t="shared" si="0"/>
        <v>999310</v>
      </c>
    </row>
    <row r="28" spans="1:5" x14ac:dyDescent="0.3">
      <c r="B28" s="2">
        <v>5</v>
      </c>
      <c r="C28" s="35" t="s">
        <v>97</v>
      </c>
      <c r="D28" s="45">
        <f>+D119</f>
        <v>207100</v>
      </c>
      <c r="E28" s="59">
        <f t="shared" si="0"/>
        <v>684630</v>
      </c>
    </row>
    <row r="29" spans="1:5" x14ac:dyDescent="0.3">
      <c r="B29" s="2">
        <v>6</v>
      </c>
      <c r="C29" s="35" t="s">
        <v>98</v>
      </c>
      <c r="D29" s="45">
        <f>+D133</f>
        <v>68210</v>
      </c>
      <c r="E29" s="59">
        <f t="shared" si="0"/>
        <v>225480</v>
      </c>
    </row>
    <row r="30" spans="1:5" x14ac:dyDescent="0.3">
      <c r="B30" s="2">
        <v>7</v>
      </c>
      <c r="C30" s="35" t="s">
        <v>99</v>
      </c>
      <c r="D30" s="45">
        <f>+D146</f>
        <v>83170</v>
      </c>
      <c r="E30" s="59">
        <f t="shared" si="0"/>
        <v>274940</v>
      </c>
    </row>
    <row r="31" spans="1:5" x14ac:dyDescent="0.3">
      <c r="B31" s="2">
        <v>8</v>
      </c>
      <c r="C31" s="35" t="s">
        <v>100</v>
      </c>
      <c r="D31" s="45">
        <f>+D154</f>
        <v>27440</v>
      </c>
      <c r="E31" s="59">
        <f t="shared" si="0"/>
        <v>90710</v>
      </c>
    </row>
    <row r="32" spans="1:5" x14ac:dyDescent="0.3">
      <c r="B32" s="2">
        <v>9</v>
      </c>
      <c r="C32" s="35" t="s">
        <v>101</v>
      </c>
      <c r="D32" s="45">
        <f>+D161</f>
        <v>22770</v>
      </c>
      <c r="E32" s="59">
        <f t="shared" si="0"/>
        <v>75270</v>
      </c>
    </row>
    <row r="33" spans="1:7" x14ac:dyDescent="0.3">
      <c r="B33" s="2">
        <v>10</v>
      </c>
      <c r="C33" s="35" t="s">
        <v>154</v>
      </c>
      <c r="D33" s="53">
        <f>TRUNC(SUM(D24:D32)*0.275,-1)</f>
        <v>504550</v>
      </c>
      <c r="E33" s="60">
        <f t="shared" si="0"/>
        <v>1667940</v>
      </c>
    </row>
    <row r="34" spans="1:7" x14ac:dyDescent="0.3">
      <c r="C34" s="35" t="s">
        <v>112</v>
      </c>
      <c r="D34" s="44">
        <f>SUM(D24:D33)</f>
        <v>2339300</v>
      </c>
      <c r="E34" s="44">
        <f>SUM(E24:E33)</f>
        <v>7733230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239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6</v>
      </c>
      <c r="C39" s="56" t="s">
        <v>113</v>
      </c>
      <c r="D39" s="57" t="s">
        <v>263</v>
      </c>
      <c r="E39" s="57" t="s">
        <v>236</v>
      </c>
      <c r="G39" s="55"/>
    </row>
    <row r="40" spans="1:7" x14ac:dyDescent="0.3">
      <c r="A40" s="2">
        <v>1</v>
      </c>
      <c r="C40" s="38" t="s">
        <v>15</v>
      </c>
      <c r="D40" s="40">
        <f>TRUNC(105426,-1)</f>
        <v>105420</v>
      </c>
      <c r="E40" s="62">
        <f t="shared" ref="E40:E59" si="1">TRUNC(+D40*3.3058,-1)</f>
        <v>348490</v>
      </c>
    </row>
    <row r="41" spans="1:7" x14ac:dyDescent="0.3">
      <c r="A41" s="2">
        <v>2</v>
      </c>
      <c r="C41" s="38" t="s">
        <v>13</v>
      </c>
      <c r="D41" s="42">
        <f>TRUNC(276087,-1)</f>
        <v>276080</v>
      </c>
      <c r="E41" s="63">
        <f t="shared" si="1"/>
        <v>912660</v>
      </c>
    </row>
    <row r="42" spans="1:7" x14ac:dyDescent="0.3">
      <c r="A42" s="2">
        <v>3</v>
      </c>
      <c r="C42" s="38" t="s">
        <v>14</v>
      </c>
      <c r="D42" s="42">
        <f>TRUNC(54979,-1)</f>
        <v>54970</v>
      </c>
      <c r="E42" s="63">
        <f t="shared" si="1"/>
        <v>181710</v>
      </c>
    </row>
    <row r="43" spans="1:7" x14ac:dyDescent="0.3">
      <c r="A43" s="2">
        <v>4</v>
      </c>
      <c r="C43" s="38" t="s">
        <v>16</v>
      </c>
      <c r="D43" s="42">
        <f>TRUNC(3450,-1)</f>
        <v>3450</v>
      </c>
      <c r="E43" s="63">
        <f t="shared" si="1"/>
        <v>11400</v>
      </c>
    </row>
    <row r="44" spans="1:7" x14ac:dyDescent="0.3">
      <c r="A44" s="2">
        <v>5</v>
      </c>
      <c r="C44" s="38" t="s">
        <v>17</v>
      </c>
      <c r="D44" s="42">
        <f>TRUNC(38266,-1)</f>
        <v>38260</v>
      </c>
      <c r="E44" s="63">
        <f t="shared" si="1"/>
        <v>126470</v>
      </c>
    </row>
    <row r="45" spans="1:7" x14ac:dyDescent="0.3">
      <c r="A45" s="2">
        <v>6</v>
      </c>
      <c r="C45" s="38" t="s">
        <v>18</v>
      </c>
      <c r="D45" s="42">
        <f>TRUNC(34264,-1)</f>
        <v>34260</v>
      </c>
      <c r="E45" s="63">
        <f t="shared" si="1"/>
        <v>113250</v>
      </c>
    </row>
    <row r="46" spans="1:7" x14ac:dyDescent="0.3">
      <c r="A46" s="2">
        <v>7</v>
      </c>
      <c r="C46" s="38" t="s">
        <v>19</v>
      </c>
      <c r="D46" s="42">
        <f>TRUNC(17825,-1)</f>
        <v>17820</v>
      </c>
      <c r="E46" s="63">
        <f t="shared" si="1"/>
        <v>58900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TRUNC(55810,-1)</f>
        <v>55810</v>
      </c>
      <c r="E48" s="63">
        <f t="shared" si="1"/>
        <v>184490</v>
      </c>
      <c r="F48" s="2" t="s">
        <v>252</v>
      </c>
    </row>
    <row r="49" spans="1:7" x14ac:dyDescent="0.3">
      <c r="A49" s="2">
        <v>10</v>
      </c>
      <c r="C49" s="38" t="s">
        <v>22</v>
      </c>
      <c r="D49" s="42">
        <f>TRUNC(26734,-1)</f>
        <v>26730</v>
      </c>
      <c r="E49" s="63">
        <f t="shared" si="1"/>
        <v>88360</v>
      </c>
    </row>
    <row r="50" spans="1:7" x14ac:dyDescent="0.3">
      <c r="A50" s="2">
        <v>11</v>
      </c>
      <c r="C50" s="38" t="s">
        <v>155</v>
      </c>
      <c r="D50" s="42">
        <f>TRUNC(30988,-1)</f>
        <v>30980</v>
      </c>
      <c r="E50" s="63">
        <f t="shared" si="1"/>
        <v>102410</v>
      </c>
      <c r="F50" s="2" t="s">
        <v>253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TRUNC(26473,-1)</f>
        <v>26470</v>
      </c>
      <c r="E52" s="63">
        <f t="shared" si="1"/>
        <v>87500</v>
      </c>
    </row>
    <row r="53" spans="1:7" x14ac:dyDescent="0.3">
      <c r="A53" s="2">
        <v>14</v>
      </c>
      <c r="C53" s="38" t="s">
        <v>25</v>
      </c>
      <c r="D53" s="42">
        <f>TRUNC(16307,-1)</f>
        <v>16300</v>
      </c>
      <c r="E53" s="63">
        <f t="shared" si="1"/>
        <v>53880</v>
      </c>
      <c r="F53" s="2" t="s">
        <v>254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TRUNC(51538+9034-1072+3788+19383,-1)</f>
        <v>82670</v>
      </c>
      <c r="E58" s="63">
        <f t="shared" si="1"/>
        <v>273290</v>
      </c>
      <c r="F58" s="2" t="s">
        <v>255</v>
      </c>
    </row>
    <row r="59" spans="1:7" ht="17.25" thickBot="1" x14ac:dyDescent="0.35">
      <c r="A59" s="2">
        <v>20</v>
      </c>
      <c r="C59" s="38" t="s">
        <v>148</v>
      </c>
      <c r="D59" s="43">
        <f>TRUNC(330282,-1)</f>
        <v>330280</v>
      </c>
      <c r="E59" s="64">
        <f t="shared" si="1"/>
        <v>1091830</v>
      </c>
    </row>
    <row r="60" spans="1:7" x14ac:dyDescent="0.3">
      <c r="A60" s="2">
        <v>21</v>
      </c>
      <c r="C60" s="27" t="s">
        <v>112</v>
      </c>
      <c r="D60" s="39">
        <f>SUM(D40:D59)</f>
        <v>1099500</v>
      </c>
      <c r="E60" s="39">
        <f>SUM(E40:E59)</f>
        <v>3634640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240</v>
      </c>
      <c r="C62" s="56" t="s">
        <v>241</v>
      </c>
      <c r="D62" s="57" t="s">
        <v>238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TRUNC(24272,-1)</f>
        <v>24270</v>
      </c>
      <c r="E63" s="62">
        <f>TRUNC(+D63*3.3058,-1)</f>
        <v>80230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24270</v>
      </c>
      <c r="E66" s="65">
        <f>SUM(E63:E65)</f>
        <v>80230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242</v>
      </c>
      <c r="C68" s="56" t="s">
        <v>243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TRUNC(4970,-1)</f>
        <v>4970</v>
      </c>
      <c r="E69" s="62">
        <f t="shared" ref="E69:E94" si="2">TRUNC(+D69*3.3058,-1)</f>
        <v>16420</v>
      </c>
    </row>
    <row r="70" spans="1:7" ht="16.5" customHeight="1" x14ac:dyDescent="0.3">
      <c r="A70" s="2">
        <v>2</v>
      </c>
      <c r="C70" s="38" t="s">
        <v>31</v>
      </c>
      <c r="D70" s="42">
        <f>TRUNC(829,-1)</f>
        <v>820</v>
      </c>
      <c r="E70" s="63">
        <f t="shared" si="2"/>
        <v>2710</v>
      </c>
    </row>
    <row r="71" spans="1:7" x14ac:dyDescent="0.3">
      <c r="A71" s="2">
        <v>3</v>
      </c>
      <c r="C71" s="38" t="s">
        <v>32</v>
      </c>
      <c r="D71" s="42">
        <f>TRUNC(6192,-1)</f>
        <v>6190</v>
      </c>
      <c r="E71" s="63">
        <f t="shared" si="2"/>
        <v>20460</v>
      </c>
    </row>
    <row r="72" spans="1:7" x14ac:dyDescent="0.3">
      <c r="A72" s="2">
        <v>4</v>
      </c>
      <c r="C72" s="38" t="s">
        <v>33</v>
      </c>
      <c r="D72" s="42">
        <f>TRUNC(4921,-1)</f>
        <v>4920</v>
      </c>
      <c r="E72" s="63">
        <f t="shared" si="2"/>
        <v>16260</v>
      </c>
    </row>
    <row r="73" spans="1:7" x14ac:dyDescent="0.3">
      <c r="A73" s="2">
        <v>5</v>
      </c>
      <c r="C73" s="38" t="s">
        <v>34</v>
      </c>
      <c r="D73" s="42">
        <f>TRUNC(4934,-1)</f>
        <v>4930</v>
      </c>
      <c r="E73" s="63">
        <f t="shared" si="2"/>
        <v>16290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f>TRUNC(62,-1)</f>
        <v>60</v>
      </c>
      <c r="E75" s="63">
        <f t="shared" si="2"/>
        <v>190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TRUNC(7274,-1)</f>
        <v>7270</v>
      </c>
      <c r="E89" s="63">
        <f t="shared" si="2"/>
        <v>24030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f>TRUNC(5109,-1)</f>
        <v>5100</v>
      </c>
      <c r="E91" s="63">
        <f t="shared" si="2"/>
        <v>16850</v>
      </c>
    </row>
    <row r="92" spans="1:7" x14ac:dyDescent="0.3">
      <c r="A92" s="2">
        <v>24</v>
      </c>
      <c r="C92" s="38" t="s">
        <v>38</v>
      </c>
      <c r="D92" s="42">
        <f>TRUNC(5247,-1)</f>
        <v>5240</v>
      </c>
      <c r="E92" s="63">
        <f t="shared" si="2"/>
        <v>17320</v>
      </c>
    </row>
    <row r="93" spans="1:7" x14ac:dyDescent="0.3">
      <c r="A93" s="2">
        <v>25</v>
      </c>
      <c r="C93" s="38" t="s">
        <v>148</v>
      </c>
      <c r="D93" s="42">
        <f>TRUNC(215944,-1)</f>
        <v>215940</v>
      </c>
      <c r="E93" s="63">
        <f t="shared" si="2"/>
        <v>713850</v>
      </c>
    </row>
    <row r="94" spans="1:7" ht="17.25" thickBot="1" x14ac:dyDescent="0.35">
      <c r="A94" s="2">
        <v>26</v>
      </c>
      <c r="C94" s="38" t="s">
        <v>47</v>
      </c>
      <c r="D94" s="43">
        <f>TRUNC(46859,-1)</f>
        <v>46850</v>
      </c>
      <c r="E94" s="64">
        <f t="shared" si="2"/>
        <v>154870</v>
      </c>
      <c r="F94" s="2" t="s">
        <v>256</v>
      </c>
    </row>
    <row r="95" spans="1:7" x14ac:dyDescent="0.3">
      <c r="A95" s="2">
        <v>27</v>
      </c>
      <c r="C95" s="27" t="s">
        <v>112</v>
      </c>
      <c r="D95" s="39">
        <f>SUM(D69:D94)</f>
        <v>302290</v>
      </c>
      <c r="E95" s="39">
        <f>SUM(E69:E94)</f>
        <v>999250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244</v>
      </c>
      <c r="C97" s="56" t="s">
        <v>243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TRUNC(31596,-1)</f>
        <v>31590</v>
      </c>
      <c r="E98" s="62">
        <f t="shared" ref="E98:E118" si="3">TRUNC(+D98*3.3058,-1)</f>
        <v>104430</v>
      </c>
    </row>
    <row r="99" spans="1:7" x14ac:dyDescent="0.3">
      <c r="A99" s="2">
        <v>2</v>
      </c>
      <c r="C99" s="38" t="s">
        <v>40</v>
      </c>
      <c r="D99" s="42">
        <f>TRUNC(15407,-1)</f>
        <v>15400</v>
      </c>
      <c r="E99" s="63">
        <f t="shared" si="3"/>
        <v>50900</v>
      </c>
    </row>
    <row r="100" spans="1:7" x14ac:dyDescent="0.3">
      <c r="A100" s="2">
        <v>3</v>
      </c>
      <c r="C100" s="38" t="s">
        <v>41</v>
      </c>
      <c r="D100" s="42">
        <f>TRUNC(23499,-1)</f>
        <v>23490</v>
      </c>
      <c r="E100" s="63">
        <f t="shared" si="3"/>
        <v>77650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TRUNC(12070,-1)</f>
        <v>12070</v>
      </c>
      <c r="E102" s="63">
        <f t="shared" si="3"/>
        <v>39900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3"/>
        <v>0</v>
      </c>
    </row>
    <row r="104" spans="1:7" x14ac:dyDescent="0.3">
      <c r="A104" s="2">
        <v>7</v>
      </c>
      <c r="C104" s="38" t="s">
        <v>45</v>
      </c>
      <c r="D104" s="42">
        <v>0</v>
      </c>
      <c r="E104" s="63">
        <f t="shared" si="3"/>
        <v>0</v>
      </c>
    </row>
    <row r="105" spans="1:7" x14ac:dyDescent="0.3">
      <c r="A105" s="2">
        <v>8</v>
      </c>
      <c r="C105" s="38" t="s">
        <v>46</v>
      </c>
      <c r="D105" s="42">
        <f>TRUNC(6227,-1)</f>
        <v>6220</v>
      </c>
      <c r="E105" s="63">
        <f t="shared" si="3"/>
        <v>20560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3">
        <f t="shared" si="3"/>
        <v>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v>0</v>
      </c>
      <c r="E116" s="63">
        <f t="shared" si="3"/>
        <v>0</v>
      </c>
    </row>
    <row r="117" spans="1:7" x14ac:dyDescent="0.3">
      <c r="A117" s="2">
        <v>20</v>
      </c>
      <c r="C117" s="38" t="s">
        <v>148</v>
      </c>
      <c r="D117" s="42">
        <f>TRUNC(116303,-1)</f>
        <v>116300</v>
      </c>
      <c r="E117" s="63">
        <f t="shared" si="3"/>
        <v>384460</v>
      </c>
    </row>
    <row r="118" spans="1:7" ht="17.25" thickBot="1" x14ac:dyDescent="0.35">
      <c r="A118" s="2">
        <v>21</v>
      </c>
      <c r="C118" s="38" t="s">
        <v>47</v>
      </c>
      <c r="D118" s="43">
        <f>TRUNC(2031,-1)</f>
        <v>2030</v>
      </c>
      <c r="E118" s="64">
        <f t="shared" si="3"/>
        <v>6710</v>
      </c>
      <c r="F118" s="2" t="s">
        <v>256</v>
      </c>
    </row>
    <row r="119" spans="1:7" x14ac:dyDescent="0.3">
      <c r="A119" s="2">
        <v>22</v>
      </c>
      <c r="C119" s="27" t="s">
        <v>112</v>
      </c>
      <c r="D119" s="39">
        <f>SUM(D98:D118)</f>
        <v>207100</v>
      </c>
      <c r="E119" s="39">
        <f>SUM(E98:E118)</f>
        <v>684610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245</v>
      </c>
      <c r="C121" s="56" t="s">
        <v>243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TRUNC(2843,-1)</f>
        <v>2840</v>
      </c>
      <c r="E122" s="62">
        <f t="shared" ref="E122:E132" si="4">TRUNC(+D122*3.3058,-1)</f>
        <v>9380</v>
      </c>
      <c r="F122" s="2" t="s">
        <v>257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v>0</v>
      </c>
      <c r="E124" s="63">
        <f t="shared" si="4"/>
        <v>0</v>
      </c>
    </row>
    <row r="125" spans="1:7" x14ac:dyDescent="0.3">
      <c r="A125" s="2">
        <v>4</v>
      </c>
      <c r="C125" s="38" t="s">
        <v>138</v>
      </c>
      <c r="D125" s="42">
        <f>TRUNC(7195,-1)</f>
        <v>7190</v>
      </c>
      <c r="E125" s="63">
        <f t="shared" si="4"/>
        <v>23760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f>TRUNC(4705,-1)</f>
        <v>4700</v>
      </c>
      <c r="E127" s="63">
        <f t="shared" si="4"/>
        <v>15530</v>
      </c>
    </row>
    <row r="128" spans="1:7" x14ac:dyDescent="0.3">
      <c r="A128" s="2">
        <v>7</v>
      </c>
      <c r="C128" s="38" t="s">
        <v>46</v>
      </c>
      <c r="D128" s="42">
        <f>TRUNC(1381,-1)</f>
        <v>1380</v>
      </c>
      <c r="E128" s="63">
        <f t="shared" si="4"/>
        <v>4560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TRUNC(16327,-1)</f>
        <v>16320</v>
      </c>
      <c r="E130" s="63">
        <f t="shared" si="4"/>
        <v>53950</v>
      </c>
    </row>
    <row r="131" spans="1:7" x14ac:dyDescent="0.3">
      <c r="A131" s="2">
        <v>10</v>
      </c>
      <c r="C131" s="38" t="s">
        <v>148</v>
      </c>
      <c r="D131" s="42">
        <f>TRUNC(33563,-1)</f>
        <v>33560</v>
      </c>
      <c r="E131" s="63">
        <f t="shared" si="4"/>
        <v>110940</v>
      </c>
    </row>
    <row r="132" spans="1:7" ht="18" thickBot="1" x14ac:dyDescent="0.35">
      <c r="A132" s="2">
        <v>11</v>
      </c>
      <c r="C132" s="38" t="s">
        <v>47</v>
      </c>
      <c r="D132" s="43">
        <f>TRUNC(2226,-1)</f>
        <v>2220</v>
      </c>
      <c r="E132" s="64">
        <f t="shared" si="4"/>
        <v>7330</v>
      </c>
      <c r="F132" s="54" t="s">
        <v>258</v>
      </c>
    </row>
    <row r="133" spans="1:7" x14ac:dyDescent="0.3">
      <c r="A133" s="2">
        <v>12</v>
      </c>
      <c r="C133" s="27" t="s">
        <v>112</v>
      </c>
      <c r="D133" s="39">
        <f>SUM(D122:D132)</f>
        <v>68210</v>
      </c>
      <c r="E133" s="39">
        <f>SUM(E122:E132)</f>
        <v>225450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246</v>
      </c>
      <c r="C135" s="56" t="s">
        <v>243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TRUNC(7315,-1)</f>
        <v>7310</v>
      </c>
      <c r="E137" s="63">
        <f t="shared" si="5"/>
        <v>24160</v>
      </c>
      <c r="F137" s="2" t="s">
        <v>259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f>TRUNC(3515,-1)</f>
        <v>3510</v>
      </c>
      <c r="E139" s="63">
        <f t="shared" si="5"/>
        <v>11600</v>
      </c>
    </row>
    <row r="140" spans="1:7" x14ac:dyDescent="0.3">
      <c r="A140" s="2">
        <v>5</v>
      </c>
      <c r="C140" s="38" t="s">
        <v>57</v>
      </c>
      <c r="D140" s="42">
        <f>TRUNC(6771,-1)</f>
        <v>6770</v>
      </c>
      <c r="E140" s="63">
        <f t="shared" si="5"/>
        <v>22380</v>
      </c>
    </row>
    <row r="141" spans="1:7" x14ac:dyDescent="0.3">
      <c r="A141" s="2">
        <v>6</v>
      </c>
      <c r="C141" s="38" t="s">
        <v>59</v>
      </c>
      <c r="D141" s="42">
        <f>TRUNC(23817,-1)</f>
        <v>23810</v>
      </c>
      <c r="E141" s="63">
        <f t="shared" si="5"/>
        <v>78710</v>
      </c>
    </row>
    <row r="142" spans="1:7" x14ac:dyDescent="0.3">
      <c r="A142" s="2">
        <v>7</v>
      </c>
      <c r="C142" s="38" t="s">
        <v>58</v>
      </c>
      <c r="D142" s="42">
        <f>TRUNC(7994,-1)</f>
        <v>7990</v>
      </c>
      <c r="E142" s="63">
        <f t="shared" si="5"/>
        <v>26410</v>
      </c>
    </row>
    <row r="143" spans="1:7" x14ac:dyDescent="0.3">
      <c r="A143" s="2">
        <v>8</v>
      </c>
      <c r="C143" s="38" t="s">
        <v>62</v>
      </c>
      <c r="D143" s="42">
        <f>TRUNC(6537,-1)</f>
        <v>6530</v>
      </c>
      <c r="E143" s="63">
        <f t="shared" si="5"/>
        <v>21580</v>
      </c>
    </row>
    <row r="144" spans="1:7" x14ac:dyDescent="0.3">
      <c r="A144" s="2">
        <v>9</v>
      </c>
      <c r="C144" s="38" t="s">
        <v>63</v>
      </c>
      <c r="D144" s="42">
        <f>TRUNC(27252,-1)</f>
        <v>27250</v>
      </c>
      <c r="E144" s="63">
        <f t="shared" si="5"/>
        <v>90080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83170</v>
      </c>
      <c r="E146" s="39">
        <f>SUM(E136:E145)</f>
        <v>274920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247</v>
      </c>
      <c r="C148" s="56" t="s">
        <v>243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TRUNC(6862+2234,-1)</f>
        <v>9090</v>
      </c>
      <c r="E149" s="62">
        <f>TRUNC(+D149*3.3058,-1)</f>
        <v>30040</v>
      </c>
      <c r="F149" s="2" t="s">
        <v>260</v>
      </c>
    </row>
    <row r="150" spans="1:7" x14ac:dyDescent="0.3">
      <c r="A150" s="2">
        <v>2</v>
      </c>
      <c r="C150" s="38" t="s">
        <v>49</v>
      </c>
      <c r="D150" s="42">
        <f>TRUNC(4357,-1)</f>
        <v>4350</v>
      </c>
      <c r="E150" s="63">
        <f>TRUNC(+D150*3.3058,-1)</f>
        <v>14380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TRUNC(888+2514,-1)</f>
        <v>3400</v>
      </c>
      <c r="E152" s="63">
        <f>TRUNC(+D152*3.3058,-1)</f>
        <v>11230</v>
      </c>
      <c r="F152" s="2" t="s">
        <v>262</v>
      </c>
    </row>
    <row r="153" spans="1:7" ht="17.25" thickBot="1" x14ac:dyDescent="0.35">
      <c r="A153" s="2">
        <v>5</v>
      </c>
      <c r="C153" s="38" t="s">
        <v>148</v>
      </c>
      <c r="D153" s="43">
        <f>TRUNC(10602,-1)</f>
        <v>10600</v>
      </c>
      <c r="E153" s="64">
        <f>TRUNC(+D153*3.3058,-1)</f>
        <v>35040</v>
      </c>
    </row>
    <row r="154" spans="1:7" x14ac:dyDescent="0.3">
      <c r="A154" s="2">
        <v>6</v>
      </c>
      <c r="C154" s="27" t="s">
        <v>112</v>
      </c>
      <c r="D154" s="39">
        <f>SUM(D149:D153)</f>
        <v>27440</v>
      </c>
      <c r="E154" s="39">
        <f>SUM(E149:E153)</f>
        <v>90690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248</v>
      </c>
      <c r="C156" s="56" t="s">
        <v>243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f>TRUNC(20068,-1)</f>
        <v>20060</v>
      </c>
      <c r="E157" s="62">
        <f>TRUNC(+D157*3.3058,-1)</f>
        <v>66310</v>
      </c>
    </row>
    <row r="158" spans="1:7" x14ac:dyDescent="0.3">
      <c r="A158" s="2">
        <v>2</v>
      </c>
      <c r="C158" s="38" t="s">
        <v>52</v>
      </c>
      <c r="D158" s="42">
        <f>TRUNC(2712,-1)</f>
        <v>2710</v>
      </c>
      <c r="E158" s="63">
        <f>TRUNC(+D158*3.3058,-1)</f>
        <v>8950</v>
      </c>
      <c r="F158" s="2" t="s">
        <v>261</v>
      </c>
    </row>
    <row r="159" spans="1:7" x14ac:dyDescent="0.3">
      <c r="A159" s="2">
        <v>3</v>
      </c>
      <c r="C159" s="38" t="s">
        <v>47</v>
      </c>
      <c r="D159" s="42">
        <v>0</v>
      </c>
      <c r="E159" s="63">
        <f>TRUNC(+D159*3.3058,-1)</f>
        <v>0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22770</v>
      </c>
      <c r="E161" s="39">
        <f>SUM(E157:E160)</f>
        <v>75260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2020-12-08T04:24:20Z</dcterms:modified>
</cp:coreProperties>
</file>