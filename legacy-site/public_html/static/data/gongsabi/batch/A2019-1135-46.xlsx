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2" i="4"/>
  <c r="D151" i="4"/>
  <c r="D150" i="4"/>
  <c r="D149" i="4"/>
  <c r="D144" i="4"/>
  <c r="D143" i="4"/>
  <c r="D142" i="4"/>
  <c r="D141" i="4"/>
  <c r="D137" i="4"/>
  <c r="D131" i="4"/>
  <c r="D128" i="4"/>
  <c r="D127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90" i="4"/>
  <c r="D89" i="4"/>
  <c r="D73" i="4"/>
  <c r="D72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133" i="4" l="1"/>
  <c r="D13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8" i="4"/>
  <c r="E47" i="4"/>
  <c r="E45" i="4"/>
  <c r="E42" i="4"/>
  <c r="E41" i="4"/>
  <c r="E40" i="4"/>
  <c r="E37" i="4"/>
  <c r="E161" i="4" l="1"/>
  <c r="E66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29" i="4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<sst xmlns="http://schemas.openxmlformats.org/spreadsheetml/2006/main" count="394" uniqueCount="267">
  <si>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</si>
  <si>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</si>
  <si>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</si>
  <si>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</si>
  <si>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</si>
  <si>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</si>
  <si>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</si>
  <si>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</si>
  <si>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</si>
  <si>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</si>
  <si>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</si>
  <si>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</si>
  <si>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</si>
  <si>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</si>
  <si>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</si>
  <si>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</si>
  <si>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</si>
  <si>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</si>
  <si>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</si>
  <si>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</si>
  <si>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</si>
  <si>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</si>
  <si>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</si>
  <si>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</si>
  <si>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</si>
  <si>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</si>
  <si>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</si>
  <si>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</si>
  <si>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</si>
  <si>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</si>
  <si>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</si>
  <si>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</si>
  <si>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</si>
  <si>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</si>
  <si>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</si>
  <si>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</si>
  <si>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</si>
  <si>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</si>
  <si>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</si>
  <si>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</si>
  <si>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</si>
  <si>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</si>
  <si>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</si>
  <si>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</si>
  <si>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</si>
  <si>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</si>
  <si>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</si>
  <si>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</si>
  <si>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</si>
  <si>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</si>
  <si>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</si>
  <si>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</si>
  <si>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</si>
  <si>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</si>
  <si>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</si>
  <si>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</si>
  <si>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</si>
  <si>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</si>
  <si>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</si>
  <si>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</si>
  <si>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</si>
  <si>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</si>
  <si>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</si>
  <si>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</si>
  <si>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</si>
  <si>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</si>
  <si>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</si>
  <si>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</si>
  <si>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</si>
  <si>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</si>
  <si>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</si>
  <si>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</si>
  <si>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</si>
  <si>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</si>
  <si>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</si>
  <si>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</si>
  <si>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</si>
  <si>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</si>
  <si>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</si>
  <si>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</si>
  <si>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</si>
  <si>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</si>
  <si>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</si>
  <si>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</si>
  <si>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</si>
  <si>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</si>
  <si>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</si>
  <si>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</si>
  <si>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</si>
  <si>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</si>
  <si>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</si>
  <si>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</si>
  <si>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</si>
  <si>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</si>
  <si>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</si>
  <si>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</si>
  <si>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</si>
  <si>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</si>
  <si>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</si>
  <si>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</si>
  <si>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</si>
  <si>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</si>
  <si>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</si>
  <si>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</si>
  <si>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</si>
  <si>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</si>
  <si>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</si>
  <si>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</si>
  <si>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</si>
  <si>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</si>
  <si>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</si>
  <si>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</si>
  <si>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</si>
  <si>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</si>
  <si>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</si>
  <si>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</si>
  <si>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</si>
  <si>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</si>
  <si>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</si>
  <si>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</si>
  <si>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</si>
  <si>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</si>
  <si>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</si>
  <si>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</si>
  <si>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</si>
  <si>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</si>
  <si>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</si>
  <si>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</si>
  <si>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</si>
  <si>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</si>
  <si>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</si>
  <si>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</si>
  <si>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</si>
  <si>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</si>
  <si>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</si>
  <si>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</si>
  <si>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</si>
  <si>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</si>
  <si>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</si>
  <si>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</si>
  <si>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</si>
  <si>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</si>
  <si>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</si>
  <si>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</si>
  <si>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</si>
  <si>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</si>
  <si>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</si>
  <si>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</si>
  <si>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</si>
  <si>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</si>
  <si>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</si>
  <si>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</si>
  <si>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</si>
  <si>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</si>
  <si>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</si>
  <si>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</si>
  <si>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</si>
  <si>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</si>
  <si>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</si>
  <si>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</si>
  <si>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</si>
  <si>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</si>
  <si>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</si>
  <si>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</si>
  <si>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</si>
  <si>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</si>
  <si>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</si>
  <si>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</si>
  <si>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</si>
  <si>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</si>
  <si>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</si>
  <si>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</si>
  <si>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</si>
  <si>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</si>
  <si>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</si>
  <si>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</si>
  <si>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</si>
  <si>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</si>
  <si>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</si>
  <si>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</si>
  <si>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</si>
  <si>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</si>
  <si>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</si>
  <si>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</si>
  <si>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</si>
  <si>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</si>
  <si>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</si>
  <si>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</si>
  <si>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</si>
  <si>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</si>
  <si>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</si>
  <si>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</si>
  <si>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</si>
  <si>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</si>
  <si>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</si>
  <si>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</si>
  <si>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</si>
  <si>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</si>
  <si>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</si>
  <si>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</si>
  <si>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</si>
  <si>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</si>
  <si>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</si>
  <si>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</si>
  <si>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</si>
  <si>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</si>
  <si>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</si>
  <si>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</si>
  <si>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</si>
  <si>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</si>
  <si>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</si>
  <si>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</si>
  <si>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</si>
  <si>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</si>
  <si>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</si>
  <si>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</si>
  <si>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</si>
  <si>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</si>
  <si>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</si>
  <si>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</si>
  <si>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</si>
  <si>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</si>
  <si>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</si>
  <si>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</si>
  <si>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</si>
  <si>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</si>
  <si>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</si>
  <si>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</si>
  <si>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</si>
  <si>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</si>
  <si>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</si>
  <si>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</si>
  <si>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</si>
  <si>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</si>
  <si>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</si>
  <si>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</si>
  <si>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</si>
  <si>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</si>
  <si>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</si>
  <si>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</si>
  <si>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</si>
  <si>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</si>
  <si>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</si>
  <si>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</si>
  <si>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</si>
  <si>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</si>
  <si>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</si>
  <si>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</si>
  <si>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한국화학연구원(본원) 차세대소프트화학기반구축사업공사(건축.토목.조경)</t>
    <phoneticPr fontId="2" type="noConversion"/>
  </si>
  <si>
    <t>교육연구</t>
  </si>
  <si>
    <t>대전시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</si>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</sst>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6094.4</v>
      </c>
      <c r="D7" s="36">
        <f>+C7/3.3058</f>
        <v>1843.5477040353317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933390</v>
      </c>
      <c r="E25" s="59">
        <f t="shared" si="0"/>
        <v>3085600</v>
      </c>
    </row>
    <row r="26" spans="1:5" x14ac:dyDescent="0.3">
      <c r="B26" s="2">
        <v>3</v>
      </c>
      <c r="C26" s="35" t="s">
        <v>95</v>
      </c>
      <c r="D26" s="45">
        <f>+D66</f>
        <v>78360</v>
      </c>
      <c r="E26" s="59">
        <f t="shared" si="0"/>
        <v>259040</v>
      </c>
    </row>
    <row r="27" spans="1:5" x14ac:dyDescent="0.3">
      <c r="B27" s="2">
        <v>4</v>
      </c>
      <c r="C27" s="35" t="s">
        <v>96</v>
      </c>
      <c r="D27" s="45">
        <f>+D95</f>
        <v>314450</v>
      </c>
      <c r="E27" s="59">
        <f t="shared" si="0"/>
        <v>1039500</v>
      </c>
    </row>
    <row r="28" spans="1:5" x14ac:dyDescent="0.3">
      <c r="B28" s="2">
        <v>5</v>
      </c>
      <c r="C28" s="35" t="s">
        <v>97</v>
      </c>
      <c r="D28" s="45">
        <f>+D119</f>
        <v>294860</v>
      </c>
      <c r="E28" s="59">
        <f t="shared" si="0"/>
        <v>974740</v>
      </c>
    </row>
    <row r="29" spans="1:5" x14ac:dyDescent="0.3">
      <c r="B29" s="2">
        <v>6</v>
      </c>
      <c r="C29" s="35" t="s">
        <v>98</v>
      </c>
      <c r="D29" s="45">
        <f>+D133</f>
        <v>74720</v>
      </c>
      <c r="E29" s="59">
        <f t="shared" si="0"/>
        <v>247000</v>
      </c>
    </row>
    <row r="30" spans="1:5" x14ac:dyDescent="0.3">
      <c r="B30" s="2">
        <v>7</v>
      </c>
      <c r="C30" s="35" t="s">
        <v>99</v>
      </c>
      <c r="D30" s="45">
        <f>+D146</f>
        <v>68570</v>
      </c>
      <c r="E30" s="59">
        <f t="shared" si="0"/>
        <v>226670</v>
      </c>
    </row>
    <row r="31" spans="1:5" x14ac:dyDescent="0.3">
      <c r="B31" s="2">
        <v>8</v>
      </c>
      <c r="C31" s="35" t="s">
        <v>100</v>
      </c>
      <c r="D31" s="45">
        <f>+D154</f>
        <v>72950</v>
      </c>
      <c r="E31" s="59">
        <f t="shared" si="0"/>
        <v>241150</v>
      </c>
    </row>
    <row r="32" spans="1:5" x14ac:dyDescent="0.3">
      <c r="B32" s="2">
        <v>9</v>
      </c>
      <c r="C32" s="35" t="s">
        <v>101</v>
      </c>
      <c r="D32" s="45">
        <f>+D161</f>
        <v>29380</v>
      </c>
      <c r="E32" s="59">
        <f t="shared" si="0"/>
        <v>97120</v>
      </c>
    </row>
    <row r="33" spans="1:7" x14ac:dyDescent="0.3">
      <c r="B33" s="2">
        <v>10</v>
      </c>
      <c r="C33" s="35" t="s">
        <v>154</v>
      </c>
      <c r="D33" s="53">
        <f>TRUNC(SUM(D24:D32)*0.275,-1)</f>
        <v>513330</v>
      </c>
      <c r="E33" s="60">
        <f t="shared" si="0"/>
        <v>1696960</v>
      </c>
    </row>
    <row r="34" spans="1:7" x14ac:dyDescent="0.3">
      <c r="C34" s="35" t="s">
        <v>112</v>
      </c>
      <c r="D34" s="44">
        <f>SUM(D24:D33)</f>
        <v>2380010</v>
      </c>
      <c r="E34" s="44">
        <f>SUM(E24:E33)</f>
        <v>7867780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238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TRUNC(92104,-1)</f>
        <v>92100</v>
      </c>
      <c r="E40" s="62">
        <f t="shared" ref="E40:E59" si="1">TRUNC(+D40*3.3058,-1)</f>
        <v>304460</v>
      </c>
    </row>
    <row r="41" spans="1:7" x14ac:dyDescent="0.3">
      <c r="A41" s="2">
        <v>2</v>
      </c>
      <c r="C41" s="38" t="s">
        <v>13</v>
      </c>
      <c r="D41" s="42">
        <f>TRUNC(197931,-1)</f>
        <v>197930</v>
      </c>
      <c r="E41" s="63">
        <f t="shared" si="1"/>
        <v>654310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TRUNC(25121,-1)</f>
        <v>25120</v>
      </c>
      <c r="E43" s="63"/>
    </row>
    <row r="44" spans="1:7" x14ac:dyDescent="0.3">
      <c r="A44" s="2">
        <v>5</v>
      </c>
      <c r="C44" s="38" t="s">
        <v>17</v>
      </c>
      <c r="D44" s="42">
        <f>TRUNC(37394,-1)</f>
        <v>37390</v>
      </c>
      <c r="E44" s="63"/>
    </row>
    <row r="45" spans="1:7" x14ac:dyDescent="0.3">
      <c r="A45" s="2">
        <v>6</v>
      </c>
      <c r="C45" s="38" t="s">
        <v>18</v>
      </c>
      <c r="D45" s="42">
        <f>TRUNC(7902,-1)</f>
        <v>7900</v>
      </c>
      <c r="E45" s="63">
        <f t="shared" si="1"/>
        <v>26110</v>
      </c>
    </row>
    <row r="46" spans="1:7" x14ac:dyDescent="0.3">
      <c r="A46" s="2">
        <v>7</v>
      </c>
      <c r="C46" s="38" t="s">
        <v>19</v>
      </c>
      <c r="D46" s="42">
        <f>TRUNC(43013,-1)</f>
        <v>43010</v>
      </c>
      <c r="E46" s="63"/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TRUNC(40444,-1)</f>
        <v>40440</v>
      </c>
      <c r="E48" s="63">
        <f t="shared" si="1"/>
        <v>133680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TRUNC(18029,-1)</f>
        <v>18020</v>
      </c>
      <c r="E49" s="63"/>
    </row>
    <row r="50" spans="1:7" x14ac:dyDescent="0.3">
      <c r="A50" s="2">
        <v>11</v>
      </c>
      <c r="C50" s="38" t="s">
        <v>155</v>
      </c>
      <c r="D50" s="42">
        <f>TRUNC(56922,-1)</f>
        <v>56920</v>
      </c>
      <c r="E50" s="63">
        <f t="shared" si="1"/>
        <v>188160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TRUNC(18193,-1)</f>
        <v>18190</v>
      </c>
      <c r="E52" s="63">
        <f t="shared" si="1"/>
        <v>60130</v>
      </c>
    </row>
    <row r="53" spans="1:7" x14ac:dyDescent="0.3">
      <c r="A53" s="2">
        <v>14</v>
      </c>
      <c r="C53" s="38" t="s">
        <v>25</v>
      </c>
      <c r="D53" s="42">
        <f>TRUNC(174714,-1)</f>
        <v>174710</v>
      </c>
      <c r="E53" s="63">
        <f t="shared" si="1"/>
        <v>577550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TRUNC(2040+3928,-1)</f>
        <v>5960</v>
      </c>
      <c r="E58" s="63">
        <f t="shared" si="1"/>
        <v>19700</v>
      </c>
    </row>
    <row r="59" spans="1:7" ht="17.25" thickBot="1" x14ac:dyDescent="0.35">
      <c r="A59" s="2">
        <v>20</v>
      </c>
      <c r="C59" s="38" t="s">
        <v>148</v>
      </c>
      <c r="D59" s="43">
        <f>TRUNC(215706,-1)</f>
        <v>215700</v>
      </c>
      <c r="E59" s="64">
        <f t="shared" si="1"/>
        <v>713060</v>
      </c>
    </row>
    <row r="60" spans="1:7" x14ac:dyDescent="0.3">
      <c r="A60" s="2">
        <v>21</v>
      </c>
      <c r="C60" s="27" t="s">
        <v>112</v>
      </c>
      <c r="D60" s="39">
        <f>SUM(D40:D59)</f>
        <v>933390</v>
      </c>
      <c r="E60" s="39">
        <f>SUM(E40:E59)</f>
        <v>2677160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TRUNC(78369,-1)</f>
        <v>78360</v>
      </c>
      <c r="E63" s="62">
        <f>TRUNC(+D63*3.3058,-1)</f>
        <v>259040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78360</v>
      </c>
      <c r="E66" s="65">
        <f>SUM(E63:E65)</f>
        <v>259040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TRUNC(9078,-1)</f>
        <v>9070</v>
      </c>
      <c r="E69" s="62"/>
    </row>
    <row r="70" spans="1:7" ht="16.5" customHeight="1" x14ac:dyDescent="0.3">
      <c r="A70" s="2">
        <v>2</v>
      </c>
      <c r="C70" s="38" t="s">
        <v>31</v>
      </c>
      <c r="D70" s="42">
        <f>TRUNC(493,-1)</f>
        <v>490</v>
      </c>
      <c r="E70" s="63">
        <f t="shared" ref="E70:E94" si="2">TRUNC(+D70*3.3058,-1)</f>
        <v>1610</v>
      </c>
    </row>
    <row r="71" spans="1:7" x14ac:dyDescent="0.3">
      <c r="A71" s="2">
        <v>3</v>
      </c>
      <c r="C71" s="38" t="s">
        <v>32</v>
      </c>
      <c r="D71" s="42">
        <v>13010</v>
      </c>
      <c r="E71" s="63">
        <f t="shared" si="2"/>
        <v>43000</v>
      </c>
    </row>
    <row r="72" spans="1:7" x14ac:dyDescent="0.3">
      <c r="A72" s="2">
        <v>4</v>
      </c>
      <c r="C72" s="38" t="s">
        <v>33</v>
      </c>
      <c r="D72" s="42">
        <f>TRUNC(6016,-1)</f>
        <v>6010</v>
      </c>
      <c r="E72" s="63">
        <f t="shared" si="2"/>
        <v>19860</v>
      </c>
    </row>
    <row r="73" spans="1:7" x14ac:dyDescent="0.3">
      <c r="A73" s="2">
        <v>5</v>
      </c>
      <c r="C73" s="38" t="s">
        <v>34</v>
      </c>
      <c r="D73" s="42">
        <f>TRUNC(18276,-1)</f>
        <v>18270</v>
      </c>
      <c r="E73" s="63">
        <f t="shared" si="2"/>
        <v>60390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4980</v>
      </c>
      <c r="E75" s="63">
        <f t="shared" si="2"/>
        <v>16460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TRUNC(25351,-1)</f>
        <v>25350</v>
      </c>
      <c r="E89" s="63">
        <f t="shared" si="2"/>
        <v>83800</v>
      </c>
    </row>
    <row r="90" spans="1:7" x14ac:dyDescent="0.3">
      <c r="A90" s="2">
        <v>22</v>
      </c>
      <c r="C90" s="38" t="s">
        <v>36</v>
      </c>
      <c r="D90" s="42">
        <f>TRUNC(1183,-1)</f>
        <v>1180</v>
      </c>
      <c r="E90" s="63">
        <f t="shared" si="2"/>
        <v>3900</v>
      </c>
    </row>
    <row r="91" spans="1:7" x14ac:dyDescent="0.3">
      <c r="A91" s="2">
        <v>23</v>
      </c>
      <c r="C91" s="38" t="s">
        <v>37</v>
      </c>
      <c r="D91" s="42">
        <f>TRUNC(44972,-1)</f>
        <v>44970</v>
      </c>
      <c r="E91" s="63">
        <f t="shared" si="2"/>
        <v>148660</v>
      </c>
    </row>
    <row r="92" spans="1:7" x14ac:dyDescent="0.3">
      <c r="A92" s="2">
        <v>24</v>
      </c>
      <c r="C92" s="38" t="s">
        <v>38</v>
      </c>
      <c r="D92" s="42">
        <f>TRUNC(5397,-1)</f>
        <v>5390</v>
      </c>
      <c r="E92" s="63">
        <f t="shared" si="2"/>
        <v>17810</v>
      </c>
    </row>
    <row r="93" spans="1:7" x14ac:dyDescent="0.3">
      <c r="A93" s="2">
        <v>25</v>
      </c>
      <c r="C93" s="38" t="s">
        <v>148</v>
      </c>
      <c r="D93" s="42">
        <f>TRUNC(172753,-1)</f>
        <v>172750</v>
      </c>
      <c r="E93" s="63">
        <f t="shared" si="2"/>
        <v>571070</v>
      </c>
    </row>
    <row r="94" spans="1:7" ht="17.25" thickBot="1" x14ac:dyDescent="0.35">
      <c r="A94" s="2">
        <v>26</v>
      </c>
      <c r="C94" s="38" t="s">
        <v>47</v>
      </c>
      <c r="D94" s="43">
        <f>TRUNC(1623+11363,-1)</f>
        <v>12980</v>
      </c>
      <c r="E94" s="64">
        <f t="shared" si="2"/>
        <v>42900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314450</v>
      </c>
      <c r="E95" s="39">
        <f>SUM(E69:E94)</f>
        <v>1009460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TRUNC(33435,-1)</f>
        <v>33430</v>
      </c>
      <c r="E98" s="62">
        <f t="shared" ref="E98:E118" si="3">TRUNC(+D98*3.3058,-1)</f>
        <v>110510</v>
      </c>
    </row>
    <row r="99" spans="1:7" x14ac:dyDescent="0.3">
      <c r="A99" s="2">
        <v>2</v>
      </c>
      <c r="C99" s="38" t="s">
        <v>40</v>
      </c>
      <c r="D99" s="42">
        <f>TRUNC(11701,-1)</f>
        <v>11700</v>
      </c>
      <c r="E99" s="63">
        <f t="shared" si="3"/>
        <v>38670</v>
      </c>
    </row>
    <row r="100" spans="1:7" x14ac:dyDescent="0.3">
      <c r="A100" s="2">
        <v>3</v>
      </c>
      <c r="C100" s="38" t="s">
        <v>41</v>
      </c>
      <c r="D100" s="42">
        <f>TRUNC(37272,-1)</f>
        <v>37270</v>
      </c>
      <c r="E100" s="63">
        <f t="shared" si="3"/>
        <v>123200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TRUNC(13742,-1)</f>
        <v>13740</v>
      </c>
      <c r="E102" s="63">
        <f t="shared" si="3"/>
        <v>45420</v>
      </c>
    </row>
    <row r="103" spans="1:7" x14ac:dyDescent="0.3">
      <c r="A103" s="2">
        <v>6</v>
      </c>
      <c r="C103" s="38" t="s">
        <v>44</v>
      </c>
      <c r="D103" s="42">
        <f>TRUNC(3236,-1)</f>
        <v>3230</v>
      </c>
      <c r="E103" s="63">
        <f t="shared" si="3"/>
        <v>10670</v>
      </c>
    </row>
    <row r="104" spans="1:7" x14ac:dyDescent="0.3">
      <c r="A104" s="2">
        <v>7</v>
      </c>
      <c r="C104" s="38" t="s">
        <v>45</v>
      </c>
      <c r="D104" s="42">
        <f>TRUNC(10442,-1)</f>
        <v>10440</v>
      </c>
      <c r="E104" s="63">
        <f t="shared" si="3"/>
        <v>34510</v>
      </c>
    </row>
    <row r="105" spans="1:7" x14ac:dyDescent="0.3">
      <c r="A105" s="2">
        <v>8</v>
      </c>
      <c r="C105" s="38" t="s">
        <v>46</v>
      </c>
      <c r="D105" s="42">
        <f>TRUNC(13412,-1)</f>
        <v>13410</v>
      </c>
      <c r="E105" s="63">
        <f t="shared" si="3"/>
        <v>44330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TRUNC(2167,-1)</f>
        <v>2160</v>
      </c>
      <c r="E114" s="63">
        <f t="shared" si="3"/>
        <v>7140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TRUNC(3278,-1)</f>
        <v>3270</v>
      </c>
      <c r="E116" s="63">
        <f t="shared" si="3"/>
        <v>10800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TRUNC(160358,-1)</f>
        <v>160350</v>
      </c>
      <c r="E117" s="63">
        <f t="shared" si="3"/>
        <v>530080</v>
      </c>
    </row>
    <row r="118" spans="1:7" ht="17.25" thickBot="1" x14ac:dyDescent="0.35">
      <c r="A118" s="2">
        <v>21</v>
      </c>
      <c r="C118" s="38" t="s">
        <v>47</v>
      </c>
      <c r="D118" s="43">
        <f>TRUNC(5867,-1)</f>
        <v>5860</v>
      </c>
      <c r="E118" s="64">
        <f t="shared" si="3"/>
        <v>19370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294860</v>
      </c>
      <c r="E119" s="39">
        <f>SUM(E98:E118)</f>
        <v>974700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TRUNC(211,-1)</f>
        <v>210</v>
      </c>
      <c r="E122" s="62">
        <f t="shared" ref="E122:E132" si="4">TRUNC(+D122*3.3058,-1)</f>
        <v>690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TRUNC(1632,-1)</f>
        <v>1630</v>
      </c>
      <c r="E124" s="63">
        <f t="shared" si="4"/>
        <v>5380</v>
      </c>
    </row>
    <row r="125" spans="1:7" x14ac:dyDescent="0.3">
      <c r="A125" s="2">
        <v>4</v>
      </c>
      <c r="C125" s="38" t="s">
        <v>138</v>
      </c>
      <c r="D125" s="42">
        <f>TRUNC(5774,-1)</f>
        <v>5770</v>
      </c>
      <c r="E125" s="63">
        <f t="shared" si="4"/>
        <v>19070</v>
      </c>
    </row>
    <row r="126" spans="1:7" x14ac:dyDescent="0.3">
      <c r="A126" s="2">
        <v>5</v>
      </c>
      <c r="C126" s="38" t="s">
        <v>53</v>
      </c>
      <c r="D126" s="42">
        <f>TRUNC(12777,-1)</f>
        <v>12770</v>
      </c>
      <c r="E126" s="63">
        <f t="shared" si="4"/>
        <v>42210</v>
      </c>
    </row>
    <row r="127" spans="1:7" x14ac:dyDescent="0.3">
      <c r="A127" s="2">
        <v>6</v>
      </c>
      <c r="C127" s="38" t="s">
        <v>56</v>
      </c>
      <c r="D127" s="42">
        <f>TRUNC(1094,-1)</f>
        <v>1090</v>
      </c>
      <c r="E127" s="63">
        <f t="shared" si="4"/>
        <v>3600</v>
      </c>
    </row>
    <row r="128" spans="1:7" x14ac:dyDescent="0.3">
      <c r="A128" s="2">
        <v>7</v>
      </c>
      <c r="C128" s="38" t="s">
        <v>46</v>
      </c>
      <c r="D128" s="42">
        <f>TRUNC(6732,-1)</f>
        <v>6730</v>
      </c>
      <c r="E128" s="63">
        <f t="shared" si="4"/>
        <v>22240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22910</v>
      </c>
      <c r="E130" s="63">
        <f t="shared" si="4"/>
        <v>75730</v>
      </c>
    </row>
    <row r="131" spans="1:7" x14ac:dyDescent="0.3">
      <c r="A131" s="2">
        <v>10</v>
      </c>
      <c r="C131" s="38" t="s">
        <v>148</v>
      </c>
      <c r="D131" s="42">
        <f>TRUNC(20832,-1)</f>
        <v>20830</v>
      </c>
      <c r="E131" s="63">
        <f t="shared" si="4"/>
        <v>68850</v>
      </c>
    </row>
    <row r="132" spans="1:7" ht="18" thickBot="1" x14ac:dyDescent="0.35">
      <c r="A132" s="2">
        <v>11</v>
      </c>
      <c r="C132" s="38" t="s">
        <v>47</v>
      </c>
      <c r="D132" s="43">
        <f>1864+916</f>
        <v>2780</v>
      </c>
      <c r="E132" s="64">
        <f t="shared" si="4"/>
        <v>9190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74720</v>
      </c>
      <c r="E133" s="39">
        <f>SUM(E122:E132)</f>
        <v>246960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TRUNC(297+5418+21902,-1)</f>
        <v>27610</v>
      </c>
      <c r="E137" s="63">
        <f t="shared" si="5"/>
        <v>91270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1890</v>
      </c>
      <c r="E139" s="63">
        <f t="shared" si="5"/>
        <v>6240</v>
      </c>
    </row>
    <row r="140" spans="1:7" x14ac:dyDescent="0.3">
      <c r="A140" s="2">
        <v>5</v>
      </c>
      <c r="C140" s="38" t="s">
        <v>57</v>
      </c>
      <c r="D140" s="42">
        <v>2860</v>
      </c>
      <c r="E140" s="63">
        <f t="shared" si="5"/>
        <v>9450</v>
      </c>
    </row>
    <row r="141" spans="1:7" x14ac:dyDescent="0.3">
      <c r="A141" s="2">
        <v>6</v>
      </c>
      <c r="C141" s="38" t="s">
        <v>59</v>
      </c>
      <c r="D141" s="42">
        <f>TRUNC(7201,-1)</f>
        <v>7200</v>
      </c>
      <c r="E141" s="63">
        <f t="shared" si="5"/>
        <v>23800</v>
      </c>
    </row>
    <row r="142" spans="1:7" x14ac:dyDescent="0.3">
      <c r="A142" s="2">
        <v>7</v>
      </c>
      <c r="C142" s="38" t="s">
        <v>58</v>
      </c>
      <c r="D142" s="42">
        <f>TRUNC(3766,-1)</f>
        <v>3760</v>
      </c>
      <c r="E142" s="63">
        <f t="shared" si="5"/>
        <v>12420</v>
      </c>
    </row>
    <row r="143" spans="1:7" x14ac:dyDescent="0.3">
      <c r="A143" s="2">
        <v>8</v>
      </c>
      <c r="C143" s="38" t="s">
        <v>62</v>
      </c>
      <c r="D143" s="42">
        <f>TRUNC(5252,-1)</f>
        <v>5250</v>
      </c>
      <c r="E143" s="63">
        <f t="shared" si="5"/>
        <v>17350</v>
      </c>
    </row>
    <row r="144" spans="1:7" x14ac:dyDescent="0.3">
      <c r="A144" s="2">
        <v>9</v>
      </c>
      <c r="C144" s="38" t="s">
        <v>63</v>
      </c>
      <c r="D144" s="42">
        <f>TRUNC(20004,-1)</f>
        <v>20000</v>
      </c>
      <c r="E144" s="63">
        <f t="shared" si="5"/>
        <v>66110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68570</v>
      </c>
      <c r="E146" s="39">
        <f>SUM(E136:E145)</f>
        <v>226640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TRUNC(6488+4670,-1)</f>
        <v>11150</v>
      </c>
      <c r="E149" s="62">
        <f>TRUNC(+D149*3.3058,-1)</f>
        <v>36850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TRUNC(4065,-1)</f>
        <v>4060</v>
      </c>
      <c r="E150" s="63">
        <f>TRUNC(+D150*3.3058,-1)</f>
        <v>13420</v>
      </c>
    </row>
    <row r="151" spans="1:7" x14ac:dyDescent="0.3">
      <c r="A151" s="2">
        <v>3</v>
      </c>
      <c r="C151" s="38" t="s">
        <v>50</v>
      </c>
      <c r="D151" s="42">
        <f>TRUNC(29648,-1)</f>
        <v>29640</v>
      </c>
      <c r="E151" s="63">
        <f>TRUNC(+D151*3.3058,-1)</f>
        <v>97980</v>
      </c>
    </row>
    <row r="152" spans="1:7" x14ac:dyDescent="0.3">
      <c r="A152" s="2">
        <v>4</v>
      </c>
      <c r="C152" s="38" t="s">
        <v>47</v>
      </c>
      <c r="D152" s="42">
        <f>TRUNC(11666+885+1405,-1)</f>
        <v>13950</v>
      </c>
      <c r="E152" s="63">
        <f>TRUNC(+D152*3.3058,-1)</f>
        <v>46110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14150</v>
      </c>
      <c r="E153" s="64">
        <f>TRUNC(+D153*3.3058,-1)</f>
        <v>46770</v>
      </c>
    </row>
    <row r="154" spans="1:7" x14ac:dyDescent="0.3">
      <c r="A154" s="2">
        <v>6</v>
      </c>
      <c r="C154" s="27" t="s">
        <v>112</v>
      </c>
      <c r="D154" s="39">
        <f>SUM(D149:D153)</f>
        <v>72950</v>
      </c>
      <c r="E154" s="39">
        <f>SUM(E149:E153)</f>
        <v>241130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TRUNC(4698,-1)</f>
        <v>4690</v>
      </c>
      <c r="E157" s="62">
        <f>TRUNC(+D157*3.3058,-1)</f>
        <v>15500</v>
      </c>
    </row>
    <row r="158" spans="1:7" x14ac:dyDescent="0.3">
      <c r="A158" s="2">
        <v>2</v>
      </c>
      <c r="C158" s="38" t="s">
        <v>52</v>
      </c>
      <c r="D158" s="42">
        <f>TRUNC(14407,-1)</f>
        <v>14400</v>
      </c>
      <c r="E158" s="63">
        <f>TRUNC(+D158*3.3058,-1)</f>
        <v>47600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TRUNC(2369,-1)</f>
        <v>2360</v>
      </c>
      <c r="E159" s="63">
        <f>TRUNC(+D159*3.3058,-1)</f>
        <v>7800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TRUNC(7938,-1)</f>
        <v>7930</v>
      </c>
      <c r="E160" s="64">
        <f>TRUNC(+D160*3.3058,-1)</f>
        <v>26210</v>
      </c>
    </row>
    <row r="161" spans="1:5" x14ac:dyDescent="0.3">
      <c r="A161" s="2">
        <v>5</v>
      </c>
      <c r="C161" s="27" t="s">
        <v>112</v>
      </c>
      <c r="D161" s="39">
        <f>SUM(D157:D160)</f>
        <v>29380</v>
      </c>
      <c r="E161" s="39">
        <f>SUM(E157:E160)</f>
        <v>97110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5" sqref="G15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2020-12-08T04:22:09Z</dcterms:modified>
</cp:coreProperties>
</file>