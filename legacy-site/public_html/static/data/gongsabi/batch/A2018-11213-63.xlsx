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37" i="4"/>
  <c r="D144" i="4"/>
  <c r="D143" i="4"/>
  <c r="D142" i="4"/>
  <c r="D140" i="4"/>
  <c r="D128" i="4"/>
  <c r="D127" i="4"/>
  <c r="D132" i="4"/>
  <c r="D125" i="4"/>
  <c r="D122" i="4"/>
  <c r="D130" i="4"/>
  <c r="D126" i="4"/>
  <c r="D105" i="4"/>
  <c r="D104" i="4"/>
  <c r="D102" i="4"/>
  <c r="D103" i="4"/>
  <c r="D100" i="4"/>
  <c r="D118" i="4"/>
  <c r="D99" i="4"/>
  <c r="D114" i="4"/>
  <c r="D98" i="4"/>
  <c r="D94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5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33" i="4"/>
  <c r="E119" i="4"/>
  <c r="E95" i="4"/>
  <c r="E60" i="4"/>
  <c r="E146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<sst xmlns="http://schemas.openxmlformats.org/spreadsheetml/2006/main" count="394" uniqueCount="269">
  <si>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</si>
  <si>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</si>
  <si>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</si>
  <si>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</si>
  <si>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</si>
  <si>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</si>
  <si>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</si>
  <si>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</si>
  <si>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</si>
  <si>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</si>
  <si>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</si>
  <si>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</si>
  <si>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</si>
  <si>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</si>
  <si>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</si>
  <si>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</si>
  <si>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</si>
  <si>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</si>
  <si>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</si>
  <si>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</si>
  <si>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</si>
  <si>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</si>
  <si>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</si>
  <si>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</si>
  <si>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</si>
  <si>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</si>
  <si>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</si>
  <si>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</si>
  <si>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</si>
  <si>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</si>
  <si>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</si>
  <si>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</si>
  <si>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</si>
  <si>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</si>
  <si>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</si>
  <si>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</si>
  <si>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</si>
  <si>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</si>
  <si>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</si>
  <si>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</si>
  <si>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</si>
  <si>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</si>
  <si>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</si>
  <si>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</si>
  <si>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</si>
  <si>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</si>
  <si>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</si>
  <si>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</si>
  <si>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</si>
  <si>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</si>
  <si>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</si>
  <si>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</si>
  <si>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</si>
  <si>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</si>
  <si>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</si>
  <si>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</si>
  <si>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</si>
  <si>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</si>
  <si>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</si>
  <si>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</si>
  <si>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</si>
  <si>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</si>
  <si>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</si>
  <si>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</si>
  <si>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</si>
  <si>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</si>
  <si>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</si>
  <si>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</si>
  <si>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</si>
  <si>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</si>
  <si>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</si>
  <si>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</si>
  <si>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</si>
  <si>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</si>
  <si>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</si>
  <si>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</si>
  <si>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</si>
  <si>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</si>
  <si>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</si>
  <si>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</si>
  <si>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</si>
  <si>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</si>
  <si>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</si>
  <si>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</si>
  <si>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</si>
  <si>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</si>
  <si>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</si>
  <si>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</si>
  <si>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</si>
  <si>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</si>
  <si>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</si>
  <si>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</si>
  <si>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</si>
  <si>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</si>
  <si>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</si>
  <si>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</si>
  <si>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</si>
  <si>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</si>
  <si>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</si>
  <si>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</si>
  <si>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</si>
  <si>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</si>
  <si>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</si>
  <si>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</si>
  <si>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</si>
  <si>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</si>
  <si>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</si>
  <si>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</si>
  <si>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</si>
  <si>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</si>
  <si>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</si>
  <si>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</si>
  <si>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</si>
  <si>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</si>
  <si>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</si>
  <si>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</si>
  <si>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</si>
  <si>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</si>
  <si>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</si>
  <si>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</si>
  <si>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</si>
  <si>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</si>
  <si>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</si>
  <si>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</si>
  <si>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</si>
  <si>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</si>
  <si>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</si>
  <si>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</si>
  <si>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</si>
  <si>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</si>
  <si>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</si>
  <si>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</si>
  <si>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</si>
  <si>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</si>
  <si>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</si>
  <si>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</si>
  <si>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</si>
  <si>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</si>
  <si>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</si>
  <si>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</si>
  <si>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</si>
  <si>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</si>
  <si>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</si>
  <si>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</si>
  <si>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</si>
  <si>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</si>
  <si>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</si>
  <si>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</si>
  <si>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</si>
  <si>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</si>
  <si>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</si>
  <si>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</si>
  <si>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</si>
  <si>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</si>
  <si>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</si>
  <si>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</si>
  <si>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</si>
  <si>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</si>
  <si>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</si>
  <si>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</si>
  <si>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</si>
  <si>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</si>
  <si>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</si>
  <si>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</si>
  <si>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</si>
  <si>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</si>
  <si>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</si>
  <si>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</si>
  <si>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</si>
  <si>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</si>
  <si>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</si>
  <si>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</si>
  <si>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</si>
  <si>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</si>
  <si>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</si>
  <si>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</si>
  <si>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</si>
  <si>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</si>
  <si>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</si>
  <si>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</si>
  <si>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</si>
  <si>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</si>
  <si>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</si>
  <si>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</si>
  <si>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</si>
  <si>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</si>
  <si>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</si>
  <si>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</si>
  <si>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</si>
  <si>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</si>
  <si>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</si>
  <si>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</si>
  <si>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</si>
  <si>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</si>
  <si>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</si>
  <si>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</si>
  <si>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</si>
  <si>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</si>
  <si>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</si>
  <si>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</si>
  <si>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</si>
  <si>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</si>
  <si>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</si>
  <si>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</si>
  <si>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</si>
  <si>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</si>
  <si>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</si>
  <si>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</si>
  <si>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</si>
  <si>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</si>
  <si>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</si>
  <si>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</si>
  <si>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</si>
  <si>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</si>
  <si>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</si>
  <si>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</si>
  <si>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</si>
  <si>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</si>
  <si>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</si>
  <si>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</si>
  <si>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</si>
  <si>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</si>
  <si>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</si>
  <si>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</si>
  <si>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</si>
  <si>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</si>
  <si>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</si>
  <si>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</si>
  <si>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</si>
  <si>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</si>
  <si>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</si>
  <si>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</si>
  <si>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</si>
  <si>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</si>
  <si>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</si>
  <si>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</si>
  <si>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</si>
  <si>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</si>
  <si>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</si>
  <si>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</si>
  <si>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</si>
  <si>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</si>
  <si>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</si>
  <si>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</si>
  <si>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</si>
  <si>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</si>
  <si>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</si>
  <si>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</si>
  <si>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서해권 종합안전비상훈련장 시설공사</t>
    <phoneticPr fontId="2" type="noConversion"/>
  </si>
  <si>
    <t>교육연구</t>
  </si>
  <si>
    <t>전라도</t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</si>
  <si>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</si>
  <si>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</si>
  <si>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</si>
  <si>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</si>
  <si>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난방배관공사,기타공사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</si>
  <si>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</si>
  <si>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</si>
  <si>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</si>
  <si>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</si>
  <si>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</t>
    <phoneticPr fontId="2" type="noConversion"/>
  </si>
  <si>
    <t>상수도공사,사급자재비,운반비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</si>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</sst>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3575.17</v>
      </c>
      <c r="D7" s="36">
        <f>+C7/3.3058</f>
        <v>1081.4840583217376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1425690</v>
      </c>
      <c r="E25" s="59">
        <f t="shared" si="0"/>
        <v>4713040</v>
      </c>
    </row>
    <row r="26" spans="1:5" x14ac:dyDescent="0.3">
      <c r="B26" s="2">
        <v>3</v>
      </c>
      <c r="C26" s="35" t="s">
        <v>95</v>
      </c>
      <c r="D26" s="45">
        <f>+D66</f>
        <v>172910</v>
      </c>
      <c r="E26" s="59">
        <f t="shared" si="0"/>
        <v>571600</v>
      </c>
    </row>
    <row r="27" spans="1:5" x14ac:dyDescent="0.3">
      <c r="B27" s="2">
        <v>4</v>
      </c>
      <c r="C27" s="35" t="s">
        <v>96</v>
      </c>
      <c r="D27" s="45">
        <f>+D95</f>
        <v>258620</v>
      </c>
      <c r="E27" s="59">
        <f t="shared" si="0"/>
        <v>854940</v>
      </c>
    </row>
    <row r="28" spans="1:5" x14ac:dyDescent="0.3">
      <c r="B28" s="2">
        <v>5</v>
      </c>
      <c r="C28" s="35" t="s">
        <v>97</v>
      </c>
      <c r="D28" s="45">
        <f>+D119</f>
        <v>242060</v>
      </c>
      <c r="E28" s="59">
        <f t="shared" si="0"/>
        <v>800200</v>
      </c>
    </row>
    <row r="29" spans="1:5" x14ac:dyDescent="0.3">
      <c r="B29" s="2">
        <v>6</v>
      </c>
      <c r="C29" s="35" t="s">
        <v>98</v>
      </c>
      <c r="D29" s="45">
        <f>+D133</f>
        <v>86170</v>
      </c>
      <c r="E29" s="59">
        <f t="shared" si="0"/>
        <v>284860</v>
      </c>
    </row>
    <row r="30" spans="1:5" x14ac:dyDescent="0.3">
      <c r="B30" s="2">
        <v>7</v>
      </c>
      <c r="C30" s="35" t="s">
        <v>99</v>
      </c>
      <c r="D30" s="45">
        <f>+D146</f>
        <v>34030</v>
      </c>
      <c r="E30" s="59">
        <f t="shared" si="0"/>
        <v>112490</v>
      </c>
    </row>
    <row r="31" spans="1:5" x14ac:dyDescent="0.3">
      <c r="B31" s="2">
        <v>8</v>
      </c>
      <c r="C31" s="35" t="s">
        <v>100</v>
      </c>
      <c r="D31" s="45">
        <f>+D154</f>
        <v>50750</v>
      </c>
      <c r="E31" s="59">
        <f t="shared" si="0"/>
        <v>167760</v>
      </c>
    </row>
    <row r="32" spans="1:5" x14ac:dyDescent="0.3">
      <c r="B32" s="2">
        <v>9</v>
      </c>
      <c r="C32" s="35" t="s">
        <v>101</v>
      </c>
      <c r="D32" s="45">
        <f>+D161</f>
        <v>64910</v>
      </c>
      <c r="E32" s="59">
        <f t="shared" si="0"/>
        <v>214570</v>
      </c>
    </row>
    <row r="33" spans="1:7" x14ac:dyDescent="0.3">
      <c r="B33" s="2">
        <v>10</v>
      </c>
      <c r="C33" s="35" t="s">
        <v>154</v>
      </c>
      <c r="D33" s="53">
        <f>TRUNC(SUM(D24:D32)*0.275,-1)</f>
        <v>642160</v>
      </c>
      <c r="E33" s="60">
        <f t="shared" si="0"/>
        <v>2122850</v>
      </c>
    </row>
    <row r="34" spans="1:7" x14ac:dyDescent="0.3">
      <c r="C34" s="35" t="s">
        <v>112</v>
      </c>
      <c r="D34" s="44">
        <f>SUM(D24:D33)</f>
        <v>2977300</v>
      </c>
      <c r="E34" s="44">
        <f>SUM(E24:E33)</f>
        <v>9842310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TRUNC(61441,-1)</f>
        <v>61440</v>
      </c>
      <c r="E40" s="62">
        <f t="shared" ref="E40:E59" si="1">TRUNC(+D40*3.3058,-1)</f>
        <v>203100</v>
      </c>
    </row>
    <row r="41" spans="1:7" x14ac:dyDescent="0.3">
      <c r="A41" s="2">
        <v>2</v>
      </c>
      <c r="C41" s="38" t="s">
        <v>13</v>
      </c>
      <c r="D41" s="42">
        <f>TRUNC(132252,-1)</f>
        <v>132250</v>
      </c>
      <c r="E41" s="63">
        <f t="shared" si="1"/>
        <v>437190</v>
      </c>
    </row>
    <row r="42" spans="1:7" x14ac:dyDescent="0.3">
      <c r="A42" s="2">
        <v>3</v>
      </c>
      <c r="C42" s="38" t="s">
        <v>14</v>
      </c>
      <c r="D42" s="42">
        <f>TRUNC(152965,-1)</f>
        <v>152960</v>
      </c>
      <c r="E42" s="63">
        <f t="shared" si="1"/>
        <v>505650</v>
      </c>
    </row>
    <row r="43" spans="1:7" x14ac:dyDescent="0.3">
      <c r="A43" s="2">
        <v>4</v>
      </c>
      <c r="C43" s="38" t="s">
        <v>16</v>
      </c>
      <c r="D43" s="42">
        <f>TRUNC(41341,-1)</f>
        <v>41340</v>
      </c>
      <c r="E43" s="63">
        <f t="shared" si="1"/>
        <v>136660</v>
      </c>
    </row>
    <row r="44" spans="1:7" x14ac:dyDescent="0.3">
      <c r="A44" s="2">
        <v>5</v>
      </c>
      <c r="C44" s="38" t="s">
        <v>17</v>
      </c>
      <c r="D44" s="42">
        <f>TRUNC(41635,-1)</f>
        <v>41630</v>
      </c>
      <c r="E44" s="63">
        <f t="shared" si="1"/>
        <v>137620</v>
      </c>
    </row>
    <row r="45" spans="1:7" x14ac:dyDescent="0.3">
      <c r="A45" s="2">
        <v>6</v>
      </c>
      <c r="C45" s="38" t="s">
        <v>18</v>
      </c>
      <c r="D45" s="42">
        <f>TRUNC(20961,-1)</f>
        <v>20960</v>
      </c>
      <c r="E45" s="63">
        <f t="shared" si="1"/>
        <v>69280</v>
      </c>
    </row>
    <row r="46" spans="1:7" x14ac:dyDescent="0.3">
      <c r="A46" s="2">
        <v>7</v>
      </c>
      <c r="C46" s="38" t="s">
        <v>19</v>
      </c>
      <c r="D46" s="42">
        <f>TRUNC(15213,-1)</f>
        <v>15210</v>
      </c>
      <c r="E46" s="63">
        <f t="shared" si="1"/>
        <v>50280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TRUNC(256323,-1)</f>
        <v>256320</v>
      </c>
      <c r="E48" s="63">
        <f t="shared" si="1"/>
        <v>847340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TRUNC(23986,-1)</f>
        <v>23980</v>
      </c>
      <c r="E49" s="63">
        <f t="shared" si="1"/>
        <v>79270</v>
      </c>
    </row>
    <row r="50" spans="1:7" x14ac:dyDescent="0.3">
      <c r="A50" s="2">
        <v>11</v>
      </c>
      <c r="C50" s="38" t="s">
        <v>155</v>
      </c>
      <c r="D50" s="42">
        <f>TRUNC(48297,-1)</f>
        <v>48290</v>
      </c>
      <c r="E50" s="63">
        <f t="shared" si="1"/>
        <v>159630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TRUNC(6052,-1)</f>
        <v>6050</v>
      </c>
      <c r="E52" s="63">
        <f t="shared" si="1"/>
        <v>20000</v>
      </c>
    </row>
    <row r="53" spans="1:7" x14ac:dyDescent="0.3">
      <c r="A53" s="2">
        <v>14</v>
      </c>
      <c r="C53" s="38" t="s">
        <v>25</v>
      </c>
      <c r="D53" s="42">
        <f>TRUNC(81561,-1)</f>
        <v>81560</v>
      </c>
      <c r="E53" s="63">
        <f t="shared" si="1"/>
        <v>269620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TRUNC(89281+6531-1266+4531+25814,-1)</f>
        <v>124890</v>
      </c>
      <c r="E58" s="63">
        <f t="shared" si="1"/>
        <v>412860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TRUNC(418818,-1)</f>
        <v>418810</v>
      </c>
      <c r="E59" s="64">
        <f t="shared" si="1"/>
        <v>1384500</v>
      </c>
    </row>
    <row r="60" spans="1:7" x14ac:dyDescent="0.3">
      <c r="A60" s="2">
        <v>21</v>
      </c>
      <c r="C60" s="27" t="s">
        <v>112</v>
      </c>
      <c r="D60" s="39">
        <f>SUM(D40:D59)</f>
        <v>1425690</v>
      </c>
      <c r="E60" s="39">
        <f>SUM(E40:E59)</f>
        <v>4713000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TRUNC(172914,-1)</f>
        <v>172910</v>
      </c>
      <c r="E63" s="62">
        <f>TRUNC(+D63*3.3058,-1)</f>
        <v>571600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172910</v>
      </c>
      <c r="E66" s="65">
        <f>SUM(E63:E65)</f>
        <v>571600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TRUNC(83131,-1)</f>
        <v>83130</v>
      </c>
      <c r="E69" s="62">
        <f t="shared" ref="E69:E94" si="2">TRUNC(+D69*3.3058,-1)</f>
        <v>274810</v>
      </c>
    </row>
    <row r="70" spans="1:7" ht="16.5" customHeight="1" x14ac:dyDescent="0.3">
      <c r="A70" s="2">
        <v>2</v>
      </c>
      <c r="C70" s="38" t="s">
        <v>31</v>
      </c>
      <c r="D70" s="42">
        <f>TRUNC(11447,-1)</f>
        <v>11440</v>
      </c>
      <c r="E70" s="63">
        <f t="shared" si="2"/>
        <v>37810</v>
      </c>
    </row>
    <row r="71" spans="1:7" x14ac:dyDescent="0.3">
      <c r="A71" s="2">
        <v>3</v>
      </c>
      <c r="C71" s="38" t="s">
        <v>32</v>
      </c>
      <c r="D71" s="42">
        <f>TRUNC(27349,-1)</f>
        <v>27340</v>
      </c>
      <c r="E71" s="63">
        <f t="shared" si="2"/>
        <v>90380</v>
      </c>
    </row>
    <row r="72" spans="1:7" x14ac:dyDescent="0.3">
      <c r="A72" s="2">
        <v>4</v>
      </c>
      <c r="C72" s="38" t="s">
        <v>33</v>
      </c>
      <c r="D72" s="42">
        <f>TRUNC(12627,-1)</f>
        <v>12620</v>
      </c>
      <c r="E72" s="63">
        <f t="shared" si="2"/>
        <v>41710</v>
      </c>
    </row>
    <row r="73" spans="1:7" x14ac:dyDescent="0.3">
      <c r="A73" s="2">
        <v>5</v>
      </c>
      <c r="C73" s="38" t="s">
        <v>34</v>
      </c>
      <c r="D73" s="42">
        <f>TRUNC(52198,-1)</f>
        <v>52190</v>
      </c>
      <c r="E73" s="63">
        <f t="shared" si="2"/>
        <v>172520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TRUNC(9910,-1)</f>
        <v>9910</v>
      </c>
      <c r="E89" s="63">
        <f t="shared" si="2"/>
        <v>32760</v>
      </c>
    </row>
    <row r="90" spans="1:7" x14ac:dyDescent="0.3">
      <c r="A90" s="2">
        <v>22</v>
      </c>
      <c r="C90" s="38" t="s">
        <v>36</v>
      </c>
      <c r="D90" s="42">
        <f>TRUNC(5235,-1)</f>
        <v>5230</v>
      </c>
      <c r="E90" s="63">
        <f t="shared" si="2"/>
        <v>17280</v>
      </c>
    </row>
    <row r="91" spans="1:7" x14ac:dyDescent="0.3">
      <c r="A91" s="2">
        <v>23</v>
      </c>
      <c r="C91" s="38" t="s">
        <v>37</v>
      </c>
      <c r="D91" s="42">
        <f>TRUNC(37629,-1)</f>
        <v>37620</v>
      </c>
      <c r="E91" s="63">
        <f t="shared" si="2"/>
        <v>124360</v>
      </c>
    </row>
    <row r="92" spans="1:7" x14ac:dyDescent="0.3">
      <c r="A92" s="2">
        <v>24</v>
      </c>
      <c r="C92" s="38" t="s">
        <v>38</v>
      </c>
      <c r="D92" s="42">
        <f>TRUNC(5778,-1)</f>
        <v>5770</v>
      </c>
      <c r="E92" s="63">
        <f t="shared" si="2"/>
        <v>19070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TRUNC(1110+12268,-1)</f>
        <v>13370</v>
      </c>
      <c r="E94" s="64">
        <f t="shared" si="2"/>
        <v>44190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258620</v>
      </c>
      <c r="E95" s="39">
        <f>SUM(E69:E94)</f>
        <v>854890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TRUNC(34819,-1)</f>
        <v>34810</v>
      </c>
      <c r="E98" s="62">
        <f t="shared" ref="E98:E118" si="3">TRUNC(+D98*3.3058,-1)</f>
        <v>115070</v>
      </c>
    </row>
    <row r="99" spans="1:7" x14ac:dyDescent="0.3">
      <c r="A99" s="2">
        <v>2</v>
      </c>
      <c r="C99" s="38" t="s">
        <v>40</v>
      </c>
      <c r="D99" s="42">
        <f>TRUNC(11077,-1)</f>
        <v>11070</v>
      </c>
      <c r="E99" s="63">
        <f t="shared" si="3"/>
        <v>36590</v>
      </c>
    </row>
    <row r="100" spans="1:7" x14ac:dyDescent="0.3">
      <c r="A100" s="2">
        <v>3</v>
      </c>
      <c r="C100" s="38" t="s">
        <v>41</v>
      </c>
      <c r="D100" s="42">
        <f>TRUNC(30940,-1)</f>
        <v>30940</v>
      </c>
      <c r="E100" s="63">
        <f t="shared" si="3"/>
        <v>102280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TRUNC(8900,-1)</f>
        <v>8900</v>
      </c>
      <c r="E102" s="63">
        <f t="shared" si="3"/>
        <v>29420</v>
      </c>
    </row>
    <row r="103" spans="1:7" x14ac:dyDescent="0.3">
      <c r="A103" s="2">
        <v>6</v>
      </c>
      <c r="C103" s="38" t="s">
        <v>44</v>
      </c>
      <c r="D103" s="42">
        <f>TRUNC(4660,-1)</f>
        <v>4660</v>
      </c>
      <c r="E103" s="63">
        <f t="shared" si="3"/>
        <v>15400</v>
      </c>
    </row>
    <row r="104" spans="1:7" x14ac:dyDescent="0.3">
      <c r="A104" s="2">
        <v>7</v>
      </c>
      <c r="C104" s="38" t="s">
        <v>45</v>
      </c>
      <c r="D104" s="42">
        <f>TRUNC(7543,-1)</f>
        <v>7540</v>
      </c>
      <c r="E104" s="63">
        <f t="shared" si="3"/>
        <v>24920</v>
      </c>
    </row>
    <row r="105" spans="1:7" x14ac:dyDescent="0.3">
      <c r="A105" s="2">
        <v>8</v>
      </c>
      <c r="C105" s="38" t="s">
        <v>46</v>
      </c>
      <c r="D105" s="42">
        <f>TRUNC(3573,-1)</f>
        <v>3570</v>
      </c>
      <c r="E105" s="63">
        <f t="shared" si="3"/>
        <v>11800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TRUNC(8512,-1)</f>
        <v>8510</v>
      </c>
      <c r="E114" s="63">
        <f t="shared" si="3"/>
        <v>28130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TRUNC(123661,-1)</f>
        <v>123660</v>
      </c>
      <c r="E117" s="63">
        <f t="shared" si="3"/>
        <v>408790</v>
      </c>
    </row>
    <row r="118" spans="1:7" ht="17.25" thickBot="1" x14ac:dyDescent="0.35">
      <c r="A118" s="2">
        <v>21</v>
      </c>
      <c r="C118" s="38" t="s">
        <v>47</v>
      </c>
      <c r="D118" s="43">
        <f>TRUNC(3561+4841,-1)</f>
        <v>8400</v>
      </c>
      <c r="E118" s="64">
        <f t="shared" si="3"/>
        <v>27760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242060</v>
      </c>
      <c r="E119" s="39">
        <f>SUM(E98:E118)</f>
        <v>800160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TRUNC(5145,-1)</f>
        <v>5140</v>
      </c>
      <c r="E122" s="62">
        <f t="shared" ref="E122:E132" si="4">TRUNC(+D122*3.3058,-1)</f>
        <v>16990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TRUNC(5375,-1)</f>
        <v>5370</v>
      </c>
      <c r="E125" s="63">
        <f t="shared" si="4"/>
        <v>17750</v>
      </c>
    </row>
    <row r="126" spans="1:7" x14ac:dyDescent="0.3">
      <c r="A126" s="2">
        <v>5</v>
      </c>
      <c r="C126" s="38" t="s">
        <v>53</v>
      </c>
      <c r="D126" s="42">
        <f>TRUNC(12259,-1)</f>
        <v>12250</v>
      </c>
      <c r="E126" s="63">
        <f t="shared" si="4"/>
        <v>40490</v>
      </c>
    </row>
    <row r="127" spans="1:7" x14ac:dyDescent="0.3">
      <c r="A127" s="2">
        <v>6</v>
      </c>
      <c r="C127" s="38" t="s">
        <v>56</v>
      </c>
      <c r="D127" s="42">
        <f>TRUNC(1704,-1)</f>
        <v>1700</v>
      </c>
      <c r="E127" s="63">
        <f t="shared" si="4"/>
        <v>5610</v>
      </c>
    </row>
    <row r="128" spans="1:7" x14ac:dyDescent="0.3">
      <c r="A128" s="2">
        <v>7</v>
      </c>
      <c r="C128" s="38" t="s">
        <v>46</v>
      </c>
      <c r="D128" s="42">
        <f>TRUNC(1292,-1)</f>
        <v>1290</v>
      </c>
      <c r="E128" s="63">
        <f t="shared" si="4"/>
        <v>4260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TRUNC(42216,-1)</f>
        <v>42210</v>
      </c>
      <c r="E130" s="63">
        <f t="shared" si="4"/>
        <v>139530</v>
      </c>
    </row>
    <row r="131" spans="1:7" x14ac:dyDescent="0.3">
      <c r="A131" s="2">
        <v>10</v>
      </c>
      <c r="C131" s="38" t="s">
        <v>148</v>
      </c>
      <c r="D131" s="42">
        <f>TRUNC(15257,-1)</f>
        <v>15250</v>
      </c>
      <c r="E131" s="63">
        <f t="shared" si="4"/>
        <v>50410</v>
      </c>
    </row>
    <row r="132" spans="1:7" ht="18" thickBot="1" x14ac:dyDescent="0.35">
      <c r="A132" s="2">
        <v>11</v>
      </c>
      <c r="C132" s="38" t="s">
        <v>47</v>
      </c>
      <c r="D132" s="43">
        <f>TRUNC(1152+1816,-1)</f>
        <v>2960</v>
      </c>
      <c r="E132" s="64">
        <f t="shared" si="4"/>
        <v>9780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86170</v>
      </c>
      <c r="E133" s="39">
        <f>SUM(E122:E132)</f>
        <v>284820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TRUNC(339,-1)</f>
        <v>330</v>
      </c>
      <c r="E137" s="63">
        <f t="shared" si="5"/>
        <v>1090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TRUNC(1602,-1)</f>
        <v>1600</v>
      </c>
      <c r="E140" s="63">
        <f t="shared" si="5"/>
        <v>5280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TRUNC(4966,-1)</f>
        <v>4960</v>
      </c>
      <c r="E142" s="63">
        <f t="shared" si="5"/>
        <v>16390</v>
      </c>
    </row>
    <row r="143" spans="1:7" x14ac:dyDescent="0.3">
      <c r="A143" s="2">
        <v>8</v>
      </c>
      <c r="C143" s="38" t="s">
        <v>62</v>
      </c>
      <c r="D143" s="42">
        <f>TRUNC(5053,-1)</f>
        <v>5050</v>
      </c>
      <c r="E143" s="63">
        <f t="shared" si="5"/>
        <v>16690</v>
      </c>
    </row>
    <row r="144" spans="1:7" x14ac:dyDescent="0.3">
      <c r="A144" s="2">
        <v>9</v>
      </c>
      <c r="C144" s="38" t="s">
        <v>63</v>
      </c>
      <c r="D144" s="42">
        <f>TRUNC(17084,-1)</f>
        <v>17080</v>
      </c>
      <c r="E144" s="63">
        <f t="shared" si="5"/>
        <v>56460</v>
      </c>
    </row>
    <row r="145" spans="1:7" ht="17.25" thickBot="1" x14ac:dyDescent="0.35">
      <c r="A145" s="2">
        <v>10</v>
      </c>
      <c r="C145" s="38" t="s">
        <v>148</v>
      </c>
      <c r="D145" s="43">
        <f>TRUNC(5011,-1)</f>
        <v>5010</v>
      </c>
      <c r="E145" s="64">
        <f t="shared" si="5"/>
        <v>16560</v>
      </c>
    </row>
    <row r="146" spans="1:7" x14ac:dyDescent="0.3">
      <c r="A146" s="2">
        <v>11</v>
      </c>
      <c r="C146" s="27" t="s">
        <v>112</v>
      </c>
      <c r="D146" s="39">
        <f>SUM(D136:D145)</f>
        <v>34030</v>
      </c>
      <c r="E146" s="39">
        <f>SUM(E136:E145)</f>
        <v>112470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TRUNC(23353,-1)</f>
        <v>23350</v>
      </c>
      <c r="E149" s="62">
        <f>TRUNC(+D149*3.3058,-1)</f>
        <v>77190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TRUNC(14392,-1)</f>
        <v>14390</v>
      </c>
      <c r="E150" s="63">
        <f>TRUNC(+D150*3.3058,-1)</f>
        <v>47570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TRUNC(1542+11087+389,-1)</f>
        <v>13010</v>
      </c>
      <c r="E152" s="63">
        <f>TRUNC(+D152*3.3058,-1)</f>
        <v>43000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50750</v>
      </c>
      <c r="E154" s="39">
        <f>SUM(E149:E153)</f>
        <v>167760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TRUNC(39706,-1)</f>
        <v>39700</v>
      </c>
      <c r="E157" s="62">
        <f>TRUNC(+D157*3.3058,-1)</f>
        <v>131240</v>
      </c>
    </row>
    <row r="158" spans="1:7" x14ac:dyDescent="0.3">
      <c r="A158" s="2">
        <v>2</v>
      </c>
      <c r="C158" s="38" t="s">
        <v>52</v>
      </c>
      <c r="D158" s="42">
        <f>TRUNC(4601,-1)</f>
        <v>4600</v>
      </c>
      <c r="E158" s="63">
        <f>TRUNC(+D158*3.3058,-1)</f>
        <v>15200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TRUNC(20195+418,-1)</f>
        <v>20610</v>
      </c>
      <c r="E159" s="63">
        <f>TRUNC(+D159*3.3058,-1)</f>
        <v>68130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64910</v>
      </c>
      <c r="E161" s="39">
        <f>SUM(E157:E160)</f>
        <v>214570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2020-12-08T02:32:16Z</dcterms:modified>
</cp:coreProperties>
</file>