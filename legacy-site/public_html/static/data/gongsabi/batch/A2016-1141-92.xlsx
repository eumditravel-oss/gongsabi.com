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30" i="4"/>
  <c r="D117" i="4"/>
  <c r="D116" i="4"/>
  <c r="D158" i="4"/>
  <c r="D157" i="4"/>
  <c r="D152" i="4"/>
  <c r="D151" i="4"/>
  <c r="D150" i="4"/>
  <c r="D149" i="4"/>
  <c r="D144" i="4"/>
  <c r="D143" i="4"/>
  <c r="D142" i="4"/>
  <c r="D141" i="4"/>
  <c r="D140" i="4"/>
  <c r="D139" i="4"/>
  <c r="D137" i="4"/>
  <c r="D132" i="4"/>
  <c r="D125" i="4"/>
  <c r="D122" i="4"/>
  <c r="D118" i="4"/>
  <c r="D104" i="4"/>
  <c r="D102" i="4"/>
  <c r="D100" i="4"/>
  <c r="D99" i="4"/>
  <c r="D98" i="4"/>
  <c r="D94" i="4"/>
  <c r="D92" i="4"/>
  <c r="D91" i="4"/>
  <c r="D89" i="4"/>
  <c r="D73" i="4"/>
  <c r="D72" i="4"/>
  <c r="D71" i="4"/>
  <c r="D69" i="4"/>
  <c r="D63" i="4"/>
  <c r="D58" i="4"/>
  <c r="D53" i="4"/>
  <c r="D52" i="4"/>
  <c r="D50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<sst xmlns="http://schemas.openxmlformats.org/spreadsheetml/2006/main" count="391" uniqueCount="265">
  <si>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</si>
  <si>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</si>
  <si>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</si>
  <si>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</si>
  <si>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</si>
  <si>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</si>
  <si>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</si>
  <si>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</si>
  <si>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</si>
  <si>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</si>
  <si>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</si>
  <si>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</si>
  <si>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</si>
  <si>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</si>
  <si>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</si>
  <si>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</si>
  <si>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</si>
  <si>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</si>
  <si>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</si>
  <si>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</si>
  <si>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</si>
  <si>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</si>
  <si>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</si>
  <si>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</si>
  <si>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</si>
  <si>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</si>
  <si>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</si>
  <si>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</si>
  <si>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</si>
  <si>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</si>
  <si>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</si>
  <si>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</si>
  <si>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</si>
  <si>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</si>
  <si>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</si>
  <si>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</si>
  <si>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</si>
  <si>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</si>
  <si>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</si>
  <si>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</si>
  <si>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</si>
  <si>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</si>
  <si>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</si>
  <si>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</si>
  <si>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</si>
  <si>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</si>
  <si>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</si>
  <si>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</si>
  <si>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</si>
  <si>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</si>
  <si>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</si>
  <si>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</si>
  <si>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</si>
  <si>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</si>
  <si>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</si>
  <si>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</si>
  <si>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</si>
  <si>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</si>
  <si>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</si>
  <si>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</si>
  <si>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</si>
  <si>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</si>
  <si>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</si>
  <si>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</si>
  <si>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</si>
  <si>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</si>
  <si>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</si>
  <si>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</si>
  <si>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</si>
  <si>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</si>
  <si>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</si>
  <si>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</si>
  <si>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</si>
  <si>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</si>
  <si>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</si>
  <si>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</si>
  <si>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</si>
  <si>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</si>
  <si>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</si>
  <si>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</si>
  <si>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</si>
  <si>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</si>
  <si>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</si>
  <si>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</si>
  <si>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</si>
  <si>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</si>
  <si>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</si>
  <si>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</si>
  <si>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</si>
  <si>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</si>
  <si>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</si>
  <si>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</si>
  <si>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</si>
  <si>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</si>
  <si>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</si>
  <si>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</si>
  <si>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</si>
  <si>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</si>
  <si>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</si>
  <si>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</si>
  <si>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</si>
  <si>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</si>
  <si>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</si>
  <si>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</si>
  <si>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</si>
  <si>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</si>
  <si>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</si>
  <si>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</si>
  <si>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</si>
  <si>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</si>
  <si>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</si>
  <si>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</si>
  <si>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</si>
  <si>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</si>
  <si>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</si>
  <si>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</si>
  <si>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</si>
  <si>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</si>
  <si>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</si>
  <si>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</si>
  <si>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</si>
  <si>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</si>
  <si>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</si>
  <si>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</si>
  <si>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</si>
  <si>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</si>
  <si>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</si>
  <si>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</si>
  <si>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</si>
  <si>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</si>
  <si>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</si>
  <si>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</si>
  <si>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</si>
  <si>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</si>
  <si>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</si>
  <si>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</si>
  <si>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</si>
  <si>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</si>
  <si>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</si>
  <si>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</si>
  <si>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</si>
  <si>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</si>
  <si>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</si>
  <si>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</si>
  <si>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</si>
  <si>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</si>
  <si>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</si>
  <si>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</si>
  <si>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</si>
  <si>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</si>
  <si>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</si>
  <si>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</si>
  <si>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</si>
  <si>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</si>
  <si>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</si>
  <si>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</si>
  <si>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</si>
  <si>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</si>
  <si>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</si>
  <si>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</si>
  <si>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</si>
  <si>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</si>
  <si>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</si>
  <si>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</si>
  <si>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</si>
  <si>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</si>
  <si>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</si>
  <si>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</si>
  <si>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</si>
  <si>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</si>
  <si>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</si>
  <si>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</si>
  <si>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</si>
  <si>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</si>
  <si>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</si>
  <si>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</si>
  <si>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</si>
  <si>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</si>
  <si>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</si>
  <si>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</si>
  <si>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</si>
  <si>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</si>
  <si>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</si>
  <si>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</si>
  <si>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</si>
  <si>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</si>
  <si>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</si>
  <si>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</si>
  <si>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</si>
  <si>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</si>
  <si>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</si>
  <si>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</si>
  <si>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</si>
  <si>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</si>
  <si>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</si>
  <si>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</si>
  <si>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</si>
  <si>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</si>
  <si>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</si>
  <si>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</si>
  <si>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</si>
  <si>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</si>
  <si>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</si>
  <si>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</si>
  <si>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</si>
  <si>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</si>
  <si>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</si>
  <si>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</si>
  <si>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</si>
  <si>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</si>
  <si>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</si>
  <si>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</si>
  <si>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</si>
  <si>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</si>
  <si>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</si>
  <si>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</si>
  <si>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</si>
  <si>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</si>
  <si>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</si>
  <si>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</si>
  <si>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</si>
  <si>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</si>
  <si>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</si>
  <si>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</si>
  <si>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</si>
  <si>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</si>
  <si>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</si>
  <si>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</si>
  <si>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</si>
  <si>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</si>
  <si>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</si>
  <si>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</si>
  <si>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</si>
  <si>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</si>
  <si>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</si>
  <si>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</si>
  <si>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</si>
  <si>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</si>
  <si>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</si>
  <si>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</si>
  <si>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</si>
  <si>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</si>
  <si>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</si>
  <si>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</si>
  <si>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</si>
  <si>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</si>
  <si>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</si>
  <si>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</si>
  <si>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</si>
  <si>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</si>
  <si>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</si>
  <si>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</si>
  <si>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</si>
  <si>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</si>
  <si>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</si>
  <si>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서울녹원초등학교 교사 신축 공사</t>
    <phoneticPr fontId="2" type="noConversion"/>
  </si>
  <si>
    <t>서울</t>
  </si>
  <si>
    <t>골재비및운반비, 작업부산물, 기타공사</t>
    <phoneticPr fontId="2" type="noConversion"/>
  </si>
  <si>
    <t>난방배관공사,바닥난방공사</t>
    <phoneticPr fontId="2" type="noConversion"/>
  </si>
  <si>
    <t>CCTV설비공사</t>
    <phoneticPr fontId="2" type="noConversion"/>
  </si>
  <si>
    <t>옥외소화배관공사, 펌프실배관공사, 기타공사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</si>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</sst>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11778.23</v>
      </c>
      <c r="D7" s="36">
        <f>+C7/3.3058</f>
        <v>3562.8985419565611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935700</v>
      </c>
      <c r="E25" s="59">
        <f t="shared" si="0"/>
        <v>3093230</v>
      </c>
    </row>
    <row r="26" spans="1:5" x14ac:dyDescent="0.3">
      <c r="B26" s="2">
        <v>3</v>
      </c>
      <c r="C26" s="35" t="s">
        <v>95</v>
      </c>
      <c r="D26" s="45">
        <f>+D66</f>
        <v>70300</v>
      </c>
      <c r="E26" s="59">
        <f t="shared" si="0"/>
        <v>232390</v>
      </c>
    </row>
    <row r="27" spans="1:5" x14ac:dyDescent="0.3">
      <c r="B27" s="2">
        <v>4</v>
      </c>
      <c r="C27" s="35" t="s">
        <v>96</v>
      </c>
      <c r="D27" s="45">
        <f>+D95</f>
        <v>47190</v>
      </c>
      <c r="E27" s="59">
        <f t="shared" si="0"/>
        <v>156000</v>
      </c>
    </row>
    <row r="28" spans="1:5" x14ac:dyDescent="0.3">
      <c r="B28" s="2">
        <v>5</v>
      </c>
      <c r="C28" s="35" t="s">
        <v>97</v>
      </c>
      <c r="D28" s="45">
        <f>+D119</f>
        <v>109340</v>
      </c>
      <c r="E28" s="59">
        <f t="shared" si="0"/>
        <v>361450</v>
      </c>
    </row>
    <row r="29" spans="1:5" x14ac:dyDescent="0.3">
      <c r="B29" s="2">
        <v>6</v>
      </c>
      <c r="C29" s="35" t="s">
        <v>98</v>
      </c>
      <c r="D29" s="45">
        <f>+D133</f>
        <v>73910</v>
      </c>
      <c r="E29" s="59">
        <f t="shared" si="0"/>
        <v>244330</v>
      </c>
    </row>
    <row r="30" spans="1:5" x14ac:dyDescent="0.3">
      <c r="B30" s="2">
        <v>7</v>
      </c>
      <c r="C30" s="35" t="s">
        <v>99</v>
      </c>
      <c r="D30" s="45">
        <f>+D146</f>
        <v>41710</v>
      </c>
      <c r="E30" s="59">
        <f t="shared" si="0"/>
        <v>137880</v>
      </c>
    </row>
    <row r="31" spans="1:5" x14ac:dyDescent="0.3">
      <c r="B31" s="2">
        <v>8</v>
      </c>
      <c r="C31" s="35" t="s">
        <v>100</v>
      </c>
      <c r="D31" s="45">
        <f>+D154</f>
        <v>28610</v>
      </c>
      <c r="E31" s="59">
        <f t="shared" si="0"/>
        <v>94570</v>
      </c>
    </row>
    <row r="32" spans="1:5" x14ac:dyDescent="0.3">
      <c r="B32" s="2">
        <v>9</v>
      </c>
      <c r="C32" s="35" t="s">
        <v>101</v>
      </c>
      <c r="D32" s="45">
        <f>+D161</f>
        <v>10840</v>
      </c>
      <c r="E32" s="59">
        <f t="shared" si="0"/>
        <v>35830</v>
      </c>
    </row>
    <row r="33" spans="1:7" x14ac:dyDescent="0.3">
      <c r="B33" s="2">
        <v>10</v>
      </c>
      <c r="C33" s="35" t="s">
        <v>155</v>
      </c>
      <c r="D33" s="53">
        <f>TRUNC(SUM(D24:D32)*0.275,-1)</f>
        <v>362340</v>
      </c>
      <c r="E33" s="60">
        <f t="shared" si="0"/>
        <v>1197820</v>
      </c>
    </row>
    <row r="34" spans="1:7" x14ac:dyDescent="0.3">
      <c r="C34" s="35" t="s">
        <v>112</v>
      </c>
      <c r="D34" s="44">
        <f>SUM(D24:D33)</f>
        <v>1679940</v>
      </c>
      <c r="E34" s="44">
        <f>SUM(E24:E33)</f>
        <v>5553500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TRUNC(36695,-1)</f>
        <v>36690</v>
      </c>
      <c r="E40" s="62">
        <f t="shared" ref="E40:E59" si="1">TRUNC(+D40*3.3058,-1)</f>
        <v>121280</v>
      </c>
    </row>
    <row r="41" spans="1:7" x14ac:dyDescent="0.3">
      <c r="A41" s="2">
        <v>2</v>
      </c>
      <c r="C41" s="38" t="s">
        <v>13</v>
      </c>
      <c r="D41" s="42">
        <f>TRUNC(132631,-1)</f>
        <v>132630</v>
      </c>
      <c r="E41" s="63">
        <f t="shared" si="1"/>
        <v>438440</v>
      </c>
    </row>
    <row r="42" spans="1:7" x14ac:dyDescent="0.3">
      <c r="A42" s="2">
        <v>3</v>
      </c>
      <c r="C42" s="38" t="s">
        <v>14</v>
      </c>
      <c r="D42" s="42">
        <f>TRUNC(11786,-1)</f>
        <v>11780</v>
      </c>
      <c r="E42" s="63">
        <f t="shared" si="1"/>
        <v>38940</v>
      </c>
    </row>
    <row r="43" spans="1:7" x14ac:dyDescent="0.3">
      <c r="A43" s="2">
        <v>4</v>
      </c>
      <c r="C43" s="38" t="s">
        <v>16</v>
      </c>
      <c r="D43" s="42">
        <f>TRUNC(47345,-1)</f>
        <v>47340</v>
      </c>
      <c r="E43" s="63">
        <f t="shared" si="1"/>
        <v>156490</v>
      </c>
    </row>
    <row r="44" spans="1:7" x14ac:dyDescent="0.3">
      <c r="A44" s="2">
        <v>5</v>
      </c>
      <c r="C44" s="38" t="s">
        <v>17</v>
      </c>
      <c r="D44" s="42">
        <f>TRUNC(43415,-1)</f>
        <v>43410</v>
      </c>
      <c r="E44" s="63">
        <f t="shared" si="1"/>
        <v>143500</v>
      </c>
    </row>
    <row r="45" spans="1:7" x14ac:dyDescent="0.3">
      <c r="A45" s="2">
        <v>6</v>
      </c>
      <c r="C45" s="38" t="s">
        <v>18</v>
      </c>
      <c r="D45" s="42">
        <f>TRUNC(10643,-1)</f>
        <v>10640</v>
      </c>
      <c r="E45" s="63">
        <f t="shared" si="1"/>
        <v>35170</v>
      </c>
    </row>
    <row r="46" spans="1:7" x14ac:dyDescent="0.3">
      <c r="A46" s="2">
        <v>7</v>
      </c>
      <c r="C46" s="38" t="s">
        <v>19</v>
      </c>
      <c r="D46" s="42">
        <f>TRUNC(18029,-1)</f>
        <v>18020</v>
      </c>
      <c r="E46" s="63">
        <f t="shared" si="1"/>
        <v>59570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TRUNC(45314,-1)</f>
        <v>45310</v>
      </c>
      <c r="E48" s="63">
        <f t="shared" si="1"/>
        <v>149780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v>15490</v>
      </c>
      <c r="E49" s="63">
        <f t="shared" si="1"/>
        <v>51200</v>
      </c>
    </row>
    <row r="50" spans="1:7" x14ac:dyDescent="0.3">
      <c r="A50" s="2">
        <v>11</v>
      </c>
      <c r="C50" s="38" t="s">
        <v>156</v>
      </c>
      <c r="D50" s="42">
        <f>TRUNC(50299,-1)</f>
        <v>50290</v>
      </c>
      <c r="E50" s="63">
        <f t="shared" si="1"/>
        <v>166240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TRUNC(12085,-1)</f>
        <v>12080</v>
      </c>
      <c r="E52" s="63">
        <f t="shared" si="1"/>
        <v>39930</v>
      </c>
    </row>
    <row r="53" spans="1:7" x14ac:dyDescent="0.3">
      <c r="A53" s="2">
        <v>14</v>
      </c>
      <c r="C53" s="38" t="s">
        <v>25</v>
      </c>
      <c r="D53" s="42">
        <f>TRUNC(71622,-1)</f>
        <v>71620</v>
      </c>
      <c r="E53" s="63">
        <f t="shared" si="1"/>
        <v>236760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TRUNC(4195-612+4025,-1)</f>
        <v>7600</v>
      </c>
      <c r="E58" s="63">
        <f t="shared" si="1"/>
        <v>25120</v>
      </c>
      <c r="F58" s="2" t="s">
        <v>257</v>
      </c>
    </row>
    <row r="59" spans="1:7" ht="17.25" thickBot="1" x14ac:dyDescent="0.35">
      <c r="A59" s="2">
        <v>20</v>
      </c>
      <c r="C59" s="38" t="s">
        <v>149</v>
      </c>
      <c r="D59" s="43">
        <v>432800</v>
      </c>
      <c r="E59" s="64">
        <f t="shared" si="1"/>
        <v>1430750</v>
      </c>
    </row>
    <row r="60" spans="1:7" x14ac:dyDescent="0.3">
      <c r="A60" s="2">
        <v>21</v>
      </c>
      <c r="C60" s="27" t="s">
        <v>112</v>
      </c>
      <c r="D60" s="39">
        <f>SUM(D40:D59)</f>
        <v>935700</v>
      </c>
      <c r="E60" s="39">
        <f>SUM(E40:E59)</f>
        <v>3093170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TRUNC(70304,-1)</f>
        <v>70300</v>
      </c>
      <c r="E63" s="62">
        <f>TRUNC(+D63*3.3058,-1)</f>
        <v>232390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70300</v>
      </c>
      <c r="E66" s="65">
        <f>SUM(E63:E65)</f>
        <v>232390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TRUNC(6034,-1)</f>
        <v>6030</v>
      </c>
      <c r="E69" s="62">
        <f t="shared" ref="E69:E94" si="2">TRUNC(+D69*3.3058,-1)</f>
        <v>19930</v>
      </c>
    </row>
    <row r="70" spans="1:7" ht="16.5" customHeight="1" x14ac:dyDescent="0.3">
      <c r="A70" s="2">
        <v>2</v>
      </c>
      <c r="C70" s="38" t="s">
        <v>31</v>
      </c>
      <c r="D70" s="42">
        <v>410</v>
      </c>
      <c r="E70" s="63">
        <f t="shared" si="2"/>
        <v>1350</v>
      </c>
    </row>
    <row r="71" spans="1:7" x14ac:dyDescent="0.3">
      <c r="A71" s="2">
        <v>3</v>
      </c>
      <c r="C71" s="38" t="s">
        <v>32</v>
      </c>
      <c r="D71" s="42">
        <f>TRUNC(3592,-1)</f>
        <v>3590</v>
      </c>
      <c r="E71" s="63">
        <f t="shared" si="2"/>
        <v>11860</v>
      </c>
    </row>
    <row r="72" spans="1:7" x14ac:dyDescent="0.3">
      <c r="A72" s="2">
        <v>4</v>
      </c>
      <c r="C72" s="38" t="s">
        <v>33</v>
      </c>
      <c r="D72" s="42">
        <f>TRUNC(2418,-1)</f>
        <v>2410</v>
      </c>
      <c r="E72" s="63">
        <f t="shared" si="2"/>
        <v>7960</v>
      </c>
    </row>
    <row r="73" spans="1:7" x14ac:dyDescent="0.3">
      <c r="A73" s="2">
        <v>5</v>
      </c>
      <c r="C73" s="38" t="s">
        <v>34</v>
      </c>
      <c r="D73" s="42">
        <f>TRUNC(9699,-1)</f>
        <v>9690</v>
      </c>
      <c r="E73" s="63">
        <f t="shared" si="2"/>
        <v>32030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TRUNC(6645,-1)</f>
        <v>6640</v>
      </c>
      <c r="E89" s="63">
        <f t="shared" si="2"/>
        <v>21950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TRUNC(8748,-1)</f>
        <v>8740</v>
      </c>
      <c r="E91" s="63">
        <f t="shared" si="2"/>
        <v>28890</v>
      </c>
    </row>
    <row r="92" spans="1:7" x14ac:dyDescent="0.3">
      <c r="A92" s="2">
        <v>24</v>
      </c>
      <c r="C92" s="38" t="s">
        <v>38</v>
      </c>
      <c r="D92" s="42">
        <f>TRUNC(5177,-1)</f>
        <v>5170</v>
      </c>
      <c r="E92" s="63">
        <f t="shared" si="2"/>
        <v>17090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TRUNC(1266+3247,-1)</f>
        <v>4510</v>
      </c>
      <c r="E94" s="64">
        <f t="shared" si="2"/>
        <v>14900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47190</v>
      </c>
      <c r="E95" s="39">
        <f>SUM(E69:E94)</f>
        <v>155960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TRUNC(12918,-1)</f>
        <v>12910</v>
      </c>
      <c r="E98" s="62">
        <f t="shared" ref="E98:E118" si="3">TRUNC(+D98*3.3058,-1)</f>
        <v>42670</v>
      </c>
    </row>
    <row r="99" spans="1:7" x14ac:dyDescent="0.3">
      <c r="A99" s="2">
        <v>2</v>
      </c>
      <c r="C99" s="38" t="s">
        <v>40</v>
      </c>
      <c r="D99" s="42">
        <f>TRUNC(6538,-1)</f>
        <v>6530</v>
      </c>
      <c r="E99" s="63">
        <f t="shared" si="3"/>
        <v>21580</v>
      </c>
    </row>
    <row r="100" spans="1:7" x14ac:dyDescent="0.3">
      <c r="A100" s="2">
        <v>3</v>
      </c>
      <c r="C100" s="38" t="s">
        <v>41</v>
      </c>
      <c r="D100" s="42">
        <f>TRUNC(28403,-1)</f>
        <v>28400</v>
      </c>
      <c r="E100" s="63">
        <f t="shared" si="3"/>
        <v>93880</v>
      </c>
    </row>
    <row r="101" spans="1:7" x14ac:dyDescent="0.3">
      <c r="A101" s="2">
        <v>4</v>
      </c>
      <c r="C101" s="38" t="s">
        <v>42</v>
      </c>
      <c r="D101" s="42">
        <v>800</v>
      </c>
      <c r="E101" s="63">
        <f t="shared" si="3"/>
        <v>2640</v>
      </c>
    </row>
    <row r="102" spans="1:7" x14ac:dyDescent="0.3">
      <c r="A102" s="2">
        <v>5</v>
      </c>
      <c r="C102" s="38" t="s">
        <v>43</v>
      </c>
      <c r="D102" s="42">
        <f>TRUNC(8264,-1)</f>
        <v>8260</v>
      </c>
      <c r="E102" s="63">
        <f t="shared" si="3"/>
        <v>27300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TRUNC(2308,-1)</f>
        <v>2300</v>
      </c>
      <c r="E104" s="63">
        <f t="shared" si="3"/>
        <v>7600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TRUNC(2271,-1)</f>
        <v>2270</v>
      </c>
      <c r="E116" s="63">
        <f t="shared" si="3"/>
        <v>7500</v>
      </c>
      <c r="F116" s="2" t="s">
        <v>252</v>
      </c>
    </row>
    <row r="117" spans="1:7" x14ac:dyDescent="0.3">
      <c r="A117" s="2">
        <v>20</v>
      </c>
      <c r="C117" s="38" t="s">
        <v>149</v>
      </c>
      <c r="D117" s="42">
        <f>TRUNC(44534,-1)</f>
        <v>44530</v>
      </c>
      <c r="E117" s="63">
        <f t="shared" si="3"/>
        <v>147200</v>
      </c>
    </row>
    <row r="118" spans="1:7" ht="17.25" thickBot="1" x14ac:dyDescent="0.35">
      <c r="A118" s="2">
        <v>21</v>
      </c>
      <c r="C118" s="38" t="s">
        <v>47</v>
      </c>
      <c r="D118" s="43">
        <f>TRUNC(3344,-1)</f>
        <v>3340</v>
      </c>
      <c r="E118" s="64">
        <f t="shared" si="3"/>
        <v>11040</v>
      </c>
    </row>
    <row r="119" spans="1:7" x14ac:dyDescent="0.3">
      <c r="A119" s="2">
        <v>22</v>
      </c>
      <c r="C119" s="27" t="s">
        <v>112</v>
      </c>
      <c r="D119" s="39">
        <f>SUM(D98:D118)</f>
        <v>109340</v>
      </c>
      <c r="E119" s="39">
        <f>SUM(E98:E118)</f>
        <v>361410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TRUNC(4249,-1)</f>
        <v>4240</v>
      </c>
      <c r="E122" s="62">
        <f t="shared" ref="E122:E132" si="4">TRUNC(+D122*3.3058,-1)</f>
        <v>14010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TRUNC(8126,-1)</f>
        <v>8120</v>
      </c>
      <c r="E125" s="63">
        <f t="shared" si="4"/>
        <v>26840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TRUNC(12638,-1)</f>
        <v>12630</v>
      </c>
      <c r="E130" s="63">
        <f t="shared" si="4"/>
        <v>41750</v>
      </c>
    </row>
    <row r="131" spans="1:7" x14ac:dyDescent="0.3">
      <c r="A131" s="2">
        <v>10</v>
      </c>
      <c r="C131" s="38" t="s">
        <v>149</v>
      </c>
      <c r="D131" s="42">
        <f>TRUNC(45677,-1)</f>
        <v>45670</v>
      </c>
      <c r="E131" s="63">
        <f t="shared" si="4"/>
        <v>150970</v>
      </c>
    </row>
    <row r="132" spans="1:7" ht="18" thickBot="1" x14ac:dyDescent="0.35">
      <c r="A132" s="2">
        <v>11</v>
      </c>
      <c r="C132" s="38" t="s">
        <v>47</v>
      </c>
      <c r="D132" s="43">
        <f>TRUNC(3252,-1)</f>
        <v>3250</v>
      </c>
      <c r="E132" s="64">
        <f t="shared" si="4"/>
        <v>10740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73910</v>
      </c>
      <c r="E133" s="39">
        <f>SUM(E122:E132)</f>
        <v>244310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TRUNC(111+3205+2313,-1)</f>
        <v>5620</v>
      </c>
      <c r="E137" s="63">
        <f t="shared" si="5"/>
        <v>18570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TRUNC(2349,-1)</f>
        <v>2340</v>
      </c>
      <c r="E139" s="63">
        <f t="shared" si="5"/>
        <v>7730</v>
      </c>
    </row>
    <row r="140" spans="1:7" x14ac:dyDescent="0.3">
      <c r="A140" s="2">
        <v>5</v>
      </c>
      <c r="C140" s="38" t="s">
        <v>57</v>
      </c>
      <c r="D140" s="42">
        <f>TRUNC(1306,-1)</f>
        <v>1300</v>
      </c>
      <c r="E140" s="63">
        <f t="shared" si="5"/>
        <v>4290</v>
      </c>
    </row>
    <row r="141" spans="1:7" x14ac:dyDescent="0.3">
      <c r="A141" s="2">
        <v>6</v>
      </c>
      <c r="C141" s="38" t="s">
        <v>59</v>
      </c>
      <c r="D141" s="42">
        <f>TRUNC(11359,-1)</f>
        <v>11350</v>
      </c>
      <c r="E141" s="63">
        <f t="shared" si="5"/>
        <v>37520</v>
      </c>
    </row>
    <row r="142" spans="1:7" x14ac:dyDescent="0.3">
      <c r="A142" s="2">
        <v>7</v>
      </c>
      <c r="C142" s="38" t="s">
        <v>58</v>
      </c>
      <c r="D142" s="42">
        <f>TRUNC(6848,-1)</f>
        <v>6840</v>
      </c>
      <c r="E142" s="63">
        <f t="shared" si="5"/>
        <v>22610</v>
      </c>
    </row>
    <row r="143" spans="1:7" x14ac:dyDescent="0.3">
      <c r="A143" s="2">
        <v>8</v>
      </c>
      <c r="C143" s="38" t="s">
        <v>62</v>
      </c>
      <c r="D143" s="42">
        <f>TRUNC(3347,-1)</f>
        <v>3340</v>
      </c>
      <c r="E143" s="63">
        <f t="shared" si="5"/>
        <v>11040</v>
      </c>
    </row>
    <row r="144" spans="1:7" x14ac:dyDescent="0.3">
      <c r="A144" s="2">
        <v>9</v>
      </c>
      <c r="C144" s="38" t="s">
        <v>63</v>
      </c>
      <c r="D144" s="42">
        <f>TRUNC(10921,-1)</f>
        <v>10920</v>
      </c>
      <c r="E144" s="63">
        <f t="shared" si="5"/>
        <v>36090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41710</v>
      </c>
      <c r="E146" s="39">
        <f>SUM(E136:E145)</f>
        <v>137850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TRUNC(5818+3340,-1)</f>
        <v>9150</v>
      </c>
      <c r="E149" s="62">
        <f>TRUNC(+D149*3.3058,-1)</f>
        <v>30240</v>
      </c>
    </row>
    <row r="150" spans="1:7" x14ac:dyDescent="0.3">
      <c r="A150" s="2">
        <v>2</v>
      </c>
      <c r="C150" s="38" t="s">
        <v>49</v>
      </c>
      <c r="D150" s="42">
        <f>TRUNC(6251,-1)</f>
        <v>6250</v>
      </c>
      <c r="E150" s="63">
        <f>TRUNC(+D150*3.3058,-1)</f>
        <v>20660</v>
      </c>
    </row>
    <row r="151" spans="1:7" x14ac:dyDescent="0.3">
      <c r="A151" s="2">
        <v>3</v>
      </c>
      <c r="C151" s="38" t="s">
        <v>50</v>
      </c>
      <c r="D151" s="42">
        <f>TRUNC(8612,-1)</f>
        <v>8610</v>
      </c>
      <c r="E151" s="63">
        <f>TRUNC(+D151*3.3058,-1)</f>
        <v>28460</v>
      </c>
    </row>
    <row r="152" spans="1:7" x14ac:dyDescent="0.3">
      <c r="A152" s="2">
        <v>4</v>
      </c>
      <c r="C152" s="38" t="s">
        <v>47</v>
      </c>
      <c r="D152" s="42">
        <f>TRUNC(166+4435,-1)</f>
        <v>4600</v>
      </c>
      <c r="E152" s="63">
        <f>TRUNC(+D152*3.3058,-1)</f>
        <v>15200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28610</v>
      </c>
      <c r="E154" s="39">
        <f>SUM(E149:E153)</f>
        <v>94560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TRUNC(8922,-1)</f>
        <v>8920</v>
      </c>
      <c r="E157" s="62">
        <f>TRUNC(+D157*3.3058,-1)</f>
        <v>29480</v>
      </c>
    </row>
    <row r="158" spans="1:7" x14ac:dyDescent="0.3">
      <c r="A158" s="2">
        <v>2</v>
      </c>
      <c r="C158" s="38" t="s">
        <v>52</v>
      </c>
      <c r="D158" s="42">
        <f>TRUNC(1929,-1)</f>
        <v>1920</v>
      </c>
      <c r="E158" s="63">
        <f>TRUNC(+D158*3.3058,-1)</f>
        <v>6340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10840</v>
      </c>
      <c r="E161" s="39">
        <f>SUM(E157:E160)</f>
        <v>35820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2020-12-08T01:16:58Z</dcterms:modified>
</cp:coreProperties>
</file>