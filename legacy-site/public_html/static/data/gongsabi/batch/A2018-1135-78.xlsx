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9" i="4" l="1"/>
  <c r="D117" i="4"/>
  <c r="D131" i="4"/>
  <c r="D159" i="4"/>
  <c r="D158" i="4"/>
  <c r="D157" i="4"/>
  <c r="D152" i="4"/>
  <c r="D150" i="4"/>
  <c r="D149" i="4"/>
  <c r="D137" i="4"/>
  <c r="D144" i="4"/>
  <c r="D143" i="4"/>
  <c r="D139" i="4"/>
  <c r="D142" i="4"/>
  <c r="D140" i="4"/>
  <c r="D132" i="4"/>
  <c r="D128" i="4"/>
  <c r="D127" i="4"/>
  <c r="D125" i="4"/>
  <c r="D124" i="4"/>
  <c r="D122" i="4"/>
  <c r="D130" i="4"/>
  <c r="D126" i="4"/>
  <c r="D118" i="4"/>
  <c r="D105" i="4"/>
  <c r="D104" i="4"/>
  <c r="D102" i="4"/>
  <c r="D100" i="4"/>
  <c r="D99" i="4"/>
  <c r="D98" i="4"/>
  <c r="D92" i="4"/>
  <c r="D91" i="4"/>
  <c r="D90" i="4"/>
  <c r="D89" i="4"/>
  <c r="D73" i="4"/>
  <c r="D72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<sst xmlns="http://schemas.openxmlformats.org/spreadsheetml/2006/main" count="394" uniqueCount="269">
  <si>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</si>
  <si>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</si>
  <si>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</si>
  <si>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</si>
  <si>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</si>
  <si>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</si>
  <si>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</si>
  <si>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</si>
  <si>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</si>
  <si>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</si>
  <si>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</si>
  <si>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</si>
  <si>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</si>
  <si>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</si>
  <si>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</si>
  <si>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</si>
  <si>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</si>
  <si>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</si>
  <si>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</si>
  <si>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</si>
  <si>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</si>
  <si>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</si>
  <si>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</si>
  <si>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</si>
  <si>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</si>
  <si>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</si>
  <si>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</si>
  <si>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</si>
  <si>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</si>
  <si>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</si>
  <si>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</si>
  <si>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</si>
  <si>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</si>
  <si>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</si>
  <si>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</si>
  <si>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</si>
  <si>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</si>
  <si>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</si>
  <si>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</si>
  <si>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</si>
  <si>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</si>
  <si>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</si>
  <si>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</si>
  <si>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</si>
  <si>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</si>
  <si>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</si>
  <si>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</si>
  <si>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</si>
  <si>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</si>
  <si>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</si>
  <si>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</si>
  <si>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</si>
  <si>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</si>
  <si>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</si>
  <si>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</si>
  <si>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</si>
  <si>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</si>
  <si>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</si>
  <si>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</si>
  <si>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</si>
  <si>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</si>
  <si>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</si>
  <si>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</si>
  <si>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</si>
  <si>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</si>
  <si>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</si>
  <si>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</si>
  <si>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</si>
  <si>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</si>
  <si>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</si>
  <si>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</si>
  <si>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</si>
  <si>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</si>
  <si>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</si>
  <si>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</si>
  <si>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</si>
  <si>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</si>
  <si>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</si>
  <si>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</si>
  <si>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</si>
  <si>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</si>
  <si>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</si>
  <si>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</si>
  <si>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</si>
  <si>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</si>
  <si>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</si>
  <si>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</si>
  <si>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</si>
  <si>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</si>
  <si>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</si>
  <si>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</si>
  <si>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</si>
  <si>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</si>
  <si>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</si>
  <si>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</si>
  <si>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</si>
  <si>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</si>
  <si>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</si>
  <si>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</si>
  <si>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</si>
  <si>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</si>
  <si>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</si>
  <si>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</si>
  <si>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</si>
  <si>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</si>
  <si>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</si>
  <si>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</si>
  <si>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</si>
  <si>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</si>
  <si>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</si>
  <si>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</si>
  <si>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</si>
  <si>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</si>
  <si>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</si>
  <si>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</si>
  <si>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</si>
  <si>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</si>
  <si>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</si>
  <si>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</si>
  <si>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</si>
  <si>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</si>
  <si>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</si>
  <si>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</si>
  <si>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</si>
  <si>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</si>
  <si>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</si>
  <si>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</si>
  <si>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</si>
  <si>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</si>
  <si>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</si>
  <si>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</si>
  <si>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</si>
  <si>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</si>
  <si>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</si>
  <si>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</si>
  <si>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</si>
  <si>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</si>
  <si>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</si>
  <si>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</si>
  <si>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</si>
  <si>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</si>
  <si>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</si>
  <si>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</si>
  <si>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</si>
  <si>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</si>
  <si>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</si>
  <si>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</si>
  <si>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</si>
  <si>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</si>
  <si>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</si>
  <si>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</si>
  <si>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</si>
  <si>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</si>
  <si>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</si>
  <si>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</si>
  <si>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</si>
  <si>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</si>
  <si>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</si>
  <si>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</si>
  <si>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</si>
  <si>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</si>
  <si>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</si>
  <si>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</si>
  <si>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</si>
  <si>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</si>
  <si>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</si>
  <si>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</si>
  <si>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</si>
  <si>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</si>
  <si>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</si>
  <si>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</si>
  <si>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</si>
  <si>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</si>
  <si>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</si>
  <si>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</si>
  <si>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</si>
  <si>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</si>
  <si>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</si>
  <si>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</si>
  <si>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</si>
  <si>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</si>
  <si>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</si>
  <si>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</si>
  <si>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</si>
  <si>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</si>
  <si>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</si>
  <si>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</si>
  <si>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</si>
  <si>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</si>
  <si>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</si>
  <si>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</si>
  <si>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</si>
  <si>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</si>
  <si>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</si>
  <si>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</si>
  <si>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</si>
  <si>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</si>
  <si>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</si>
  <si>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</si>
  <si>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</si>
  <si>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</si>
  <si>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</si>
  <si>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</si>
  <si>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</si>
  <si>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</si>
  <si>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</si>
  <si>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</si>
  <si>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</si>
  <si>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</si>
  <si>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</si>
  <si>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</si>
  <si>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</si>
  <si>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</si>
  <si>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</si>
  <si>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</si>
  <si>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</si>
  <si>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</si>
  <si>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</si>
  <si>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</si>
  <si>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</si>
  <si>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</si>
  <si>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</si>
  <si>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</si>
  <si>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</si>
  <si>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</si>
  <si>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</si>
  <si>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</si>
  <si>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</si>
  <si>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</si>
  <si>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</si>
  <si>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</si>
  <si>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</si>
  <si>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</si>
  <si>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</si>
  <si>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</si>
  <si>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</si>
  <si>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</si>
  <si>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</si>
  <si>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</si>
  <si>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</si>
  <si>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</si>
  <si>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</si>
  <si>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</si>
  <si>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</si>
  <si>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</si>
  <si>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</si>
  <si>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</si>
  <si>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</si>
  <si>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한국원자력통제기술원 연구동 증축 공사</t>
    <phoneticPr fontId="2" type="noConversion"/>
  </si>
  <si>
    <t>교육연구</t>
  </si>
  <si>
    <t>대전시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</si>
  <si>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</si>
  <si>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</si>
  <si>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</si>
  <si>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</si>
  <si>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</si>
  <si>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</si>
  <si>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</si>
  <si>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기타공사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</si>
  <si>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</si>
  <si>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</si>
  <si>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</si>
  <si>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</si>
  <si>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난방배관공사,기타공사,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</si>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</sst>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5326.8</v>
      </c>
      <c r="D7" s="36">
        <f>+C7/3.3058</f>
        <v>1611.3497489261299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1182110</v>
      </c>
      <c r="E25" s="59">
        <f t="shared" si="0"/>
        <v>3907810</v>
      </c>
    </row>
    <row r="26" spans="1:5" x14ac:dyDescent="0.3">
      <c r="B26" s="2">
        <v>3</v>
      </c>
      <c r="C26" s="35" t="s">
        <v>95</v>
      </c>
      <c r="D26" s="45">
        <f>+D66</f>
        <v>6610</v>
      </c>
      <c r="E26" s="59">
        <f t="shared" si="0"/>
        <v>21850</v>
      </c>
    </row>
    <row r="27" spans="1:5" x14ac:dyDescent="0.3">
      <c r="B27" s="2">
        <v>4</v>
      </c>
      <c r="C27" s="35" t="s">
        <v>96</v>
      </c>
      <c r="D27" s="45">
        <f>+D95</f>
        <v>47760</v>
      </c>
      <c r="E27" s="59">
        <f t="shared" si="0"/>
        <v>157880</v>
      </c>
    </row>
    <row r="28" spans="1:5" x14ac:dyDescent="0.3">
      <c r="B28" s="2">
        <v>5</v>
      </c>
      <c r="C28" s="35" t="s">
        <v>97</v>
      </c>
      <c r="D28" s="45">
        <f>+D119</f>
        <v>255670</v>
      </c>
      <c r="E28" s="59">
        <f t="shared" si="0"/>
        <v>845190</v>
      </c>
    </row>
    <row r="29" spans="1:5" x14ac:dyDescent="0.3">
      <c r="B29" s="2">
        <v>6</v>
      </c>
      <c r="C29" s="35" t="s">
        <v>98</v>
      </c>
      <c r="D29" s="45">
        <f>+D133</f>
        <v>105050</v>
      </c>
      <c r="E29" s="59">
        <f t="shared" si="0"/>
        <v>347270</v>
      </c>
    </row>
    <row r="30" spans="1:5" x14ac:dyDescent="0.3">
      <c r="B30" s="2">
        <v>7</v>
      </c>
      <c r="C30" s="35" t="s">
        <v>99</v>
      </c>
      <c r="D30" s="45">
        <f>+D146</f>
        <v>44380</v>
      </c>
      <c r="E30" s="59">
        <f t="shared" si="0"/>
        <v>146710</v>
      </c>
    </row>
    <row r="31" spans="1:5" x14ac:dyDescent="0.3">
      <c r="B31" s="2">
        <v>8</v>
      </c>
      <c r="C31" s="35" t="s">
        <v>100</v>
      </c>
      <c r="D31" s="45">
        <f>+D154</f>
        <v>38290</v>
      </c>
      <c r="E31" s="59">
        <f t="shared" si="0"/>
        <v>126570</v>
      </c>
    </row>
    <row r="32" spans="1:5" x14ac:dyDescent="0.3">
      <c r="B32" s="2">
        <v>9</v>
      </c>
      <c r="C32" s="35" t="s">
        <v>101</v>
      </c>
      <c r="D32" s="45">
        <f>+D161</f>
        <v>20040</v>
      </c>
      <c r="E32" s="59">
        <f t="shared" si="0"/>
        <v>66240</v>
      </c>
    </row>
    <row r="33" spans="1:7" x14ac:dyDescent="0.3">
      <c r="B33" s="2">
        <v>10</v>
      </c>
      <c r="C33" s="35" t="s">
        <v>154</v>
      </c>
      <c r="D33" s="53">
        <f>TRUNC(SUM(D24:D32)*0.275,-1)</f>
        <v>467470</v>
      </c>
      <c r="E33" s="60">
        <f t="shared" si="0"/>
        <v>1545360</v>
      </c>
    </row>
    <row r="34" spans="1:7" x14ac:dyDescent="0.3">
      <c r="C34" s="35" t="s">
        <v>112</v>
      </c>
      <c r="D34" s="44">
        <f>SUM(D24:D33)</f>
        <v>2167380</v>
      </c>
      <c r="E34" s="44">
        <f>SUM(E24:E33)</f>
        <v>7164880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TRUNC(59579,-1)</f>
        <v>59570</v>
      </c>
      <c r="E40" s="62">
        <f t="shared" ref="E40:E59" si="1">TRUNC(+D40*3.3058,-1)</f>
        <v>196920</v>
      </c>
    </row>
    <row r="41" spans="1:7" x14ac:dyDescent="0.3">
      <c r="A41" s="2">
        <v>2</v>
      </c>
      <c r="C41" s="38" t="s">
        <v>13</v>
      </c>
      <c r="D41" s="42">
        <f>TRUNC(170246,-1)</f>
        <v>170240</v>
      </c>
      <c r="E41" s="63">
        <f t="shared" si="1"/>
        <v>562770</v>
      </c>
    </row>
    <row r="42" spans="1:7" x14ac:dyDescent="0.3">
      <c r="A42" s="2">
        <v>3</v>
      </c>
      <c r="C42" s="38" t="s">
        <v>14</v>
      </c>
      <c r="D42" s="42">
        <f>TRUNC(24801,-1)</f>
        <v>24800</v>
      </c>
      <c r="E42" s="63">
        <f t="shared" si="1"/>
        <v>81980</v>
      </c>
    </row>
    <row r="43" spans="1:7" x14ac:dyDescent="0.3">
      <c r="A43" s="2">
        <v>4</v>
      </c>
      <c r="C43" s="38" t="s">
        <v>16</v>
      </c>
      <c r="D43" s="42">
        <f>TRUNC(15762,-1)</f>
        <v>15760</v>
      </c>
      <c r="E43" s="63">
        <f t="shared" si="1"/>
        <v>52090</v>
      </c>
    </row>
    <row r="44" spans="1:7" x14ac:dyDescent="0.3">
      <c r="A44" s="2">
        <v>5</v>
      </c>
      <c r="C44" s="38" t="s">
        <v>17</v>
      </c>
      <c r="D44" s="42">
        <f>TRUNC(24863,-1)</f>
        <v>24860</v>
      </c>
      <c r="E44" s="63">
        <f t="shared" si="1"/>
        <v>82180</v>
      </c>
    </row>
    <row r="45" spans="1:7" x14ac:dyDescent="0.3">
      <c r="A45" s="2">
        <v>6</v>
      </c>
      <c r="C45" s="38" t="s">
        <v>18</v>
      </c>
      <c r="D45" s="42">
        <f>TRUNC(33667,-1)</f>
        <v>33660</v>
      </c>
      <c r="E45" s="63">
        <f t="shared" si="1"/>
        <v>111270</v>
      </c>
    </row>
    <row r="46" spans="1:7" x14ac:dyDescent="0.3">
      <c r="A46" s="2">
        <v>7</v>
      </c>
      <c r="C46" s="38" t="s">
        <v>19</v>
      </c>
      <c r="D46" s="42">
        <f>TRUNC(47160,-1)</f>
        <v>47160</v>
      </c>
      <c r="E46" s="63">
        <f t="shared" si="1"/>
        <v>155900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TRUNC(97936,-1)</f>
        <v>97930</v>
      </c>
      <c r="E48" s="63">
        <f t="shared" si="1"/>
        <v>323730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TRUNC(20571,-1)</f>
        <v>20570</v>
      </c>
      <c r="E49" s="63">
        <f t="shared" si="1"/>
        <v>68000</v>
      </c>
    </row>
    <row r="50" spans="1:7" x14ac:dyDescent="0.3">
      <c r="A50" s="2">
        <v>11</v>
      </c>
      <c r="C50" s="38" t="s">
        <v>155</v>
      </c>
      <c r="D50" s="42">
        <f>TRUNC(50408,-1)</f>
        <v>50400</v>
      </c>
      <c r="E50" s="63">
        <f t="shared" si="1"/>
        <v>166610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TRUNC(21189,-1)</f>
        <v>21180</v>
      </c>
      <c r="E52" s="63">
        <f t="shared" si="1"/>
        <v>70010</v>
      </c>
    </row>
    <row r="53" spans="1:7" x14ac:dyDescent="0.3">
      <c r="A53" s="2">
        <v>14</v>
      </c>
      <c r="C53" s="38" t="s">
        <v>25</v>
      </c>
      <c r="D53" s="42">
        <f>TRUNC(98136,-1)</f>
        <v>98130</v>
      </c>
      <c r="E53" s="63">
        <f t="shared" si="1"/>
        <v>324390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TRUNC(9855+11303-982+314+14349,-1)</f>
        <v>34830</v>
      </c>
      <c r="E58" s="63">
        <f t="shared" si="1"/>
        <v>115140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TRUNC(483028,-1)</f>
        <v>483020</v>
      </c>
      <c r="E59" s="64">
        <f t="shared" si="1"/>
        <v>1596760</v>
      </c>
    </row>
    <row r="60" spans="1:7" x14ac:dyDescent="0.3">
      <c r="A60" s="2">
        <v>21</v>
      </c>
      <c r="C60" s="27" t="s">
        <v>112</v>
      </c>
      <c r="D60" s="39">
        <f>SUM(D40:D59)</f>
        <v>1182110</v>
      </c>
      <c r="E60" s="39">
        <f>SUM(E40:E59)</f>
        <v>3907750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TRUNC(6613,-1)</f>
        <v>6610</v>
      </c>
      <c r="E63" s="62">
        <f>TRUNC(+D63*3.3058,-1)</f>
        <v>21850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6610</v>
      </c>
      <c r="E66" s="65">
        <f>SUM(E63:E65)</f>
        <v>21850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TRUNC(6423,-1)</f>
        <v>6420</v>
      </c>
      <c r="E69" s="62">
        <f t="shared" ref="E69:E94" si="2">TRUNC(+D69*3.3058,-1)</f>
        <v>21220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TRUNC(1832,-1)</f>
        <v>1830</v>
      </c>
      <c r="E71" s="63">
        <f t="shared" si="2"/>
        <v>6040</v>
      </c>
    </row>
    <row r="72" spans="1:7" x14ac:dyDescent="0.3">
      <c r="A72" s="2">
        <v>4</v>
      </c>
      <c r="C72" s="38" t="s">
        <v>33</v>
      </c>
      <c r="D72" s="42">
        <f>TRUNC(10647,-1)</f>
        <v>10640</v>
      </c>
      <c r="E72" s="63">
        <f t="shared" si="2"/>
        <v>35170</v>
      </c>
    </row>
    <row r="73" spans="1:7" x14ac:dyDescent="0.3">
      <c r="A73" s="2">
        <v>5</v>
      </c>
      <c r="C73" s="38" t="s">
        <v>34</v>
      </c>
      <c r="D73" s="42">
        <f>TRUNC(7571,-1)</f>
        <v>7570</v>
      </c>
      <c r="E73" s="63">
        <f t="shared" si="2"/>
        <v>25020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TRUNC(4812,-1)</f>
        <v>4810</v>
      </c>
      <c r="E89" s="63">
        <f t="shared" si="2"/>
        <v>15900</v>
      </c>
    </row>
    <row r="90" spans="1:7" x14ac:dyDescent="0.3">
      <c r="A90" s="2">
        <v>22</v>
      </c>
      <c r="C90" s="38" t="s">
        <v>36</v>
      </c>
      <c r="D90" s="42">
        <f>TRUNC(1463,-1)</f>
        <v>1460</v>
      </c>
      <c r="E90" s="63">
        <f t="shared" si="2"/>
        <v>4820</v>
      </c>
    </row>
    <row r="91" spans="1:7" x14ac:dyDescent="0.3">
      <c r="A91" s="2">
        <v>23</v>
      </c>
      <c r="C91" s="38" t="s">
        <v>37</v>
      </c>
      <c r="D91" s="42">
        <f>TRUNC(5448,-1)</f>
        <v>5440</v>
      </c>
      <c r="E91" s="63">
        <f t="shared" si="2"/>
        <v>17980</v>
      </c>
    </row>
    <row r="92" spans="1:7" x14ac:dyDescent="0.3">
      <c r="A92" s="2">
        <v>24</v>
      </c>
      <c r="C92" s="38" t="s">
        <v>38</v>
      </c>
      <c r="D92" s="42">
        <f>TRUNC(4405,-1)</f>
        <v>4400</v>
      </c>
      <c r="E92" s="63">
        <f t="shared" si="2"/>
        <v>14540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TRUNC(3970+982+246,-1)</f>
        <v>5190</v>
      </c>
      <c r="E94" s="64">
        <f t="shared" si="2"/>
        <v>17150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47760</v>
      </c>
      <c r="E95" s="39">
        <f>SUM(E69:E94)</f>
        <v>157840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TRUNC(19215,-1)</f>
        <v>19210</v>
      </c>
      <c r="E98" s="62">
        <f t="shared" ref="E98:E118" si="3">TRUNC(+D98*3.3058,-1)</f>
        <v>63500</v>
      </c>
    </row>
    <row r="99" spans="1:7" x14ac:dyDescent="0.3">
      <c r="A99" s="2">
        <v>2</v>
      </c>
      <c r="C99" s="38" t="s">
        <v>40</v>
      </c>
      <c r="D99" s="42">
        <f>TRUNC(13076,-1)</f>
        <v>13070</v>
      </c>
      <c r="E99" s="63">
        <f t="shared" si="3"/>
        <v>43200</v>
      </c>
    </row>
    <row r="100" spans="1:7" x14ac:dyDescent="0.3">
      <c r="A100" s="2">
        <v>3</v>
      </c>
      <c r="C100" s="38" t="s">
        <v>41</v>
      </c>
      <c r="D100" s="42">
        <f>TRUNC(31790,-1)</f>
        <v>31790</v>
      </c>
      <c r="E100" s="63">
        <f t="shared" si="3"/>
        <v>105090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TRUNC(11422,-1)</f>
        <v>11420</v>
      </c>
      <c r="E102" s="63">
        <f t="shared" si="3"/>
        <v>37750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TRUNC(4703,-1)</f>
        <v>4700</v>
      </c>
      <c r="E104" s="63">
        <f t="shared" si="3"/>
        <v>15530</v>
      </c>
    </row>
    <row r="105" spans="1:7" x14ac:dyDescent="0.3">
      <c r="A105" s="2">
        <v>8</v>
      </c>
      <c r="C105" s="38" t="s">
        <v>46</v>
      </c>
      <c r="D105" s="42">
        <f>TRUNC(7898,-1)</f>
        <v>7890</v>
      </c>
      <c r="E105" s="63">
        <f t="shared" si="3"/>
        <v>26080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TRUNC(166901,-1)</f>
        <v>166900</v>
      </c>
      <c r="E117" s="63">
        <f t="shared" si="3"/>
        <v>551730</v>
      </c>
    </row>
    <row r="118" spans="1:7" ht="17.25" thickBot="1" x14ac:dyDescent="0.35">
      <c r="A118" s="2">
        <v>21</v>
      </c>
      <c r="C118" s="38" t="s">
        <v>47</v>
      </c>
      <c r="D118" s="43">
        <f>TRUNC(692,-1)</f>
        <v>690</v>
      </c>
      <c r="E118" s="64">
        <f t="shared" si="3"/>
        <v>2280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255670</v>
      </c>
      <c r="E119" s="39">
        <f>SUM(E98:E118)</f>
        <v>845160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TRUNC(2914,-1)</f>
        <v>2910</v>
      </c>
      <c r="E122" s="62">
        <f t="shared" ref="E122:E132" si="4">TRUNC(+D122*3.3058,-1)</f>
        <v>9610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TRUNC(1968,-1)</f>
        <v>1960</v>
      </c>
      <c r="E124" s="63">
        <f t="shared" si="4"/>
        <v>6470</v>
      </c>
    </row>
    <row r="125" spans="1:7" x14ac:dyDescent="0.3">
      <c r="A125" s="2">
        <v>4</v>
      </c>
      <c r="C125" s="38" t="s">
        <v>138</v>
      </c>
      <c r="D125" s="42">
        <f>TRUNC(5635,-1)</f>
        <v>5630</v>
      </c>
      <c r="E125" s="63">
        <f t="shared" si="4"/>
        <v>18610</v>
      </c>
    </row>
    <row r="126" spans="1:7" x14ac:dyDescent="0.3">
      <c r="A126" s="2">
        <v>5</v>
      </c>
      <c r="C126" s="38" t="s">
        <v>53</v>
      </c>
      <c r="D126" s="42">
        <f>TRUNC(3392,-1)</f>
        <v>3390</v>
      </c>
      <c r="E126" s="63">
        <f t="shared" si="4"/>
        <v>11200</v>
      </c>
    </row>
    <row r="127" spans="1:7" x14ac:dyDescent="0.3">
      <c r="A127" s="2">
        <v>6</v>
      </c>
      <c r="C127" s="38" t="s">
        <v>56</v>
      </c>
      <c r="D127" s="42">
        <f>TRUNC(4250,-1)</f>
        <v>4250</v>
      </c>
      <c r="E127" s="63">
        <f t="shared" si="4"/>
        <v>14040</v>
      </c>
    </row>
    <row r="128" spans="1:7" x14ac:dyDescent="0.3">
      <c r="A128" s="2">
        <v>7</v>
      </c>
      <c r="C128" s="38" t="s">
        <v>46</v>
      </c>
      <c r="D128" s="42">
        <f>TRUNC(4293,-1)</f>
        <v>4290</v>
      </c>
      <c r="E128" s="63">
        <f t="shared" si="4"/>
        <v>14180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TRUNC(67569,-1)</f>
        <v>67560</v>
      </c>
      <c r="E130" s="63">
        <f t="shared" si="4"/>
        <v>223330</v>
      </c>
    </row>
    <row r="131" spans="1:7" x14ac:dyDescent="0.3">
      <c r="A131" s="2">
        <v>10</v>
      </c>
      <c r="C131" s="38" t="s">
        <v>148</v>
      </c>
      <c r="D131" s="42">
        <f>TRUNC(12401,-1)</f>
        <v>12400</v>
      </c>
      <c r="E131" s="63">
        <f t="shared" si="4"/>
        <v>40990</v>
      </c>
    </row>
    <row r="132" spans="1:7" ht="18" thickBot="1" x14ac:dyDescent="0.35">
      <c r="A132" s="2">
        <v>11</v>
      </c>
      <c r="C132" s="38" t="s">
        <v>47</v>
      </c>
      <c r="D132" s="43">
        <f>TRUNC(1466+1199,-1)</f>
        <v>2660</v>
      </c>
      <c r="E132" s="64">
        <f t="shared" si="4"/>
        <v>8790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105050</v>
      </c>
      <c r="E133" s="39">
        <f>SUM(E122:E132)</f>
        <v>347220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TRUNC(814,-1)</f>
        <v>810</v>
      </c>
      <c r="E137" s="63">
        <f t="shared" si="5"/>
        <v>2670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TRUNC(1340,-1)</f>
        <v>1340</v>
      </c>
      <c r="E139" s="63">
        <f t="shared" si="5"/>
        <v>4420</v>
      </c>
    </row>
    <row r="140" spans="1:7" x14ac:dyDescent="0.3">
      <c r="A140" s="2">
        <v>5</v>
      </c>
      <c r="C140" s="38" t="s">
        <v>57</v>
      </c>
      <c r="D140" s="42">
        <f>TRUNC(4905,-1)</f>
        <v>4900</v>
      </c>
      <c r="E140" s="63">
        <f t="shared" si="5"/>
        <v>16190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TRUNC(17925,-1)</f>
        <v>17920</v>
      </c>
      <c r="E142" s="63">
        <f t="shared" si="5"/>
        <v>59230</v>
      </c>
    </row>
    <row r="143" spans="1:7" x14ac:dyDescent="0.3">
      <c r="A143" s="2">
        <v>8</v>
      </c>
      <c r="C143" s="38" t="s">
        <v>62</v>
      </c>
      <c r="D143" s="42">
        <f>TRUNC(3760,-1)</f>
        <v>3760</v>
      </c>
      <c r="E143" s="63">
        <f t="shared" si="5"/>
        <v>12420</v>
      </c>
    </row>
    <row r="144" spans="1:7" x14ac:dyDescent="0.3">
      <c r="A144" s="2">
        <v>9</v>
      </c>
      <c r="C144" s="38" t="s">
        <v>63</v>
      </c>
      <c r="D144" s="42">
        <f>TRUNC(15652,-1)</f>
        <v>15650</v>
      </c>
      <c r="E144" s="63">
        <f t="shared" si="5"/>
        <v>51730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44380</v>
      </c>
      <c r="E146" s="39">
        <f>SUM(E136:E145)</f>
        <v>146660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TRUNC(2919+289,-1)</f>
        <v>3200</v>
      </c>
      <c r="E149" s="62">
        <f>TRUNC(+D149*3.3058,-1)</f>
        <v>10570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TRUNC(19530,-1)</f>
        <v>19530</v>
      </c>
      <c r="E150" s="63">
        <f>TRUNC(+D150*3.3058,-1)</f>
        <v>64560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TRUNC(182+12159+3225,-1)</f>
        <v>15560</v>
      </c>
      <c r="E152" s="63">
        <f>TRUNC(+D152*3.3058,-1)</f>
        <v>51430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38290</v>
      </c>
      <c r="E154" s="39">
        <f>SUM(E149:E153)</f>
        <v>126560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TRUNC(12141,-1)</f>
        <v>12140</v>
      </c>
      <c r="E157" s="62">
        <f>TRUNC(+D157*3.3058,-1)</f>
        <v>40130</v>
      </c>
    </row>
    <row r="158" spans="1:7" x14ac:dyDescent="0.3">
      <c r="A158" s="2">
        <v>2</v>
      </c>
      <c r="C158" s="38" t="s">
        <v>52</v>
      </c>
      <c r="D158" s="42">
        <f>TRUNC(5480,-1)</f>
        <v>5480</v>
      </c>
      <c r="E158" s="63">
        <f>TRUNC(+D158*3.3058,-1)</f>
        <v>18110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TRUNC(2428,-1)</f>
        <v>2420</v>
      </c>
      <c r="E159" s="63">
        <f>TRUNC(+D159*3.3058,-1)</f>
        <v>8000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20040</v>
      </c>
      <c r="E161" s="39">
        <f>SUM(E157:E160)</f>
        <v>66240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2020-12-08T02:16:09Z</dcterms:modified>
</cp:coreProperties>
</file>