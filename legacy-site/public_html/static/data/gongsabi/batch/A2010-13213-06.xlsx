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0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17" i="4" l="1"/>
  <c r="D93" i="4"/>
  <c r="D153" i="4"/>
  <c r="D59" i="4"/>
  <c r="E160" i="4" l="1"/>
  <c r="E159" i="4"/>
  <c r="E158" i="4"/>
  <c r="E157" i="4"/>
  <c r="E161" i="4" s="1"/>
  <c r="E153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46" i="4" s="1"/>
  <c r="E131" i="4"/>
  <c r="E130" i="4"/>
  <c r="E129" i="4"/>
  <c r="E128" i="4"/>
  <c r="E127" i="4"/>
  <c r="E126" i="4"/>
  <c r="E125" i="4"/>
  <c r="E124" i="4"/>
  <c r="E123" i="4"/>
  <c r="E122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59" i="4"/>
  <c r="E57" i="4"/>
  <c r="E56" i="4"/>
  <c r="E54" i="4"/>
  <c r="E37" i="4"/>
  <c r="D40" i="4" l="1"/>
  <c r="E40" i="4" s="1"/>
  <c r="D152" i="4"/>
  <c r="E152" i="4" s="1"/>
  <c r="E154" i="4" s="1"/>
  <c r="D132" i="4" l="1"/>
  <c r="E132" i="4" s="1"/>
  <c r="E133" i="4" s="1"/>
  <c r="D118" i="4"/>
  <c r="E118" i="4" s="1"/>
  <c r="E119" i="4" s="1"/>
  <c r="D94" i="4"/>
  <c r="E94" i="4" s="1"/>
  <c r="E95" i="4" s="1"/>
  <c r="D63" i="4"/>
  <c r="E63" i="4" s="1"/>
  <c r="E66" i="4" s="1"/>
  <c r="D58" i="4"/>
  <c r="E58" i="4" s="1"/>
  <c r="D53" i="4"/>
  <c r="E53" i="4" s="1"/>
  <c r="D52" i="4"/>
  <c r="E52" i="4" s="1"/>
  <c r="D51" i="4"/>
  <c r="E51" i="4" s="1"/>
  <c r="D50" i="4"/>
  <c r="E50" i="4" s="1"/>
  <c r="D49" i="4"/>
  <c r="E49" i="4" s="1"/>
  <c r="D48" i="4"/>
  <c r="E48" i="4" s="1"/>
  <c r="D55" i="4"/>
  <c r="E55" i="4" s="1"/>
  <c r="D44" i="4"/>
  <c r="E44" i="4" s="1"/>
  <c r="D47" i="4"/>
  <c r="E47" i="4" s="1"/>
  <c r="D45" i="4"/>
  <c r="E45" i="4" s="1"/>
  <c r="D46" i="4"/>
  <c r="E46" i="4" s="1"/>
  <c r="D43" i="4"/>
  <c r="E43" i="4" s="1"/>
  <c r="D42" i="4"/>
  <c r="E42" i="4" s="1"/>
  <c r="D41" i="4"/>
  <c r="E41" i="4" s="1"/>
  <c r="E60" i="4" s="1"/>
  <c r="D161" i="4" l="1"/>
  <c r="D154" i="4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E25" i="4" s="1"/>
  <c r="D32" i="4"/>
  <c r="E32" i="4" s="1"/>
  <c r="D31" i="4"/>
  <c r="E31" i="4" s="1"/>
  <c r="D24" i="4"/>
  <c r="E24" i="4" s="1"/>
  <c r="D7" i="4"/>
  <c r="D33" i="4" l="1"/>
  <c r="D34" i="4" l="1"/>
  <c r="E33" i="4"/>
  <c r="E34" i="4" s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</calcChain>
</file>

<file path=xl/sharedStrings.xml><?xml version="1.0" encoding="utf-8"?>
<sst xmlns="http://schemas.openxmlformats.org/spreadsheetml/2006/main" count="384" uniqueCount="259">
  <si>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</si>
  <si>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</si>
  <si>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</si>
  <si>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</si>
  <si>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</si>
  <si>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</si>
  <si>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</si>
  <si>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</si>
  <si>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</si>
  <si>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</si>
  <si>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</si>
  <si>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</si>
  <si>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</si>
  <si>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</si>
  <si>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</si>
  <si>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</si>
  <si>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</si>
  <si>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</si>
  <si>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</si>
  <si>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</si>
  <si>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</si>
  <si>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</si>
  <si>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</si>
  <si>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</si>
  <si>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</si>
  <si>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</si>
  <si>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</si>
  <si>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</si>
  <si>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</si>
  <si>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</si>
  <si>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</si>
  <si>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</si>
  <si>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</si>
  <si>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</si>
  <si>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</si>
  <si>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</si>
  <si>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</si>
  <si>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</si>
  <si>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</si>
  <si>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</si>
  <si>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</si>
  <si>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</si>
  <si>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</si>
  <si>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</si>
  <si>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</si>
  <si>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</si>
  <si>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</si>
  <si>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</si>
  <si>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</si>
  <si>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</si>
  <si>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</si>
  <si>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</si>
  <si>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</si>
  <si>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</si>
  <si>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</si>
  <si>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</si>
  <si>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</si>
  <si>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</si>
  <si>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</si>
  <si>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</si>
  <si>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</si>
  <si>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</si>
  <si>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</si>
  <si>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</si>
  <si>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</si>
  <si>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</si>
  <si>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</si>
  <si>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</si>
  <si>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</si>
  <si>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</si>
  <si>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</si>
  <si>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</si>
  <si>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</si>
  <si>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</si>
  <si>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</si>
  <si>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</si>
  <si>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</si>
  <si>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</si>
  <si>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</si>
  <si>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</si>
  <si>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</si>
  <si>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</si>
  <si>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</si>
  <si>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</si>
  <si>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</si>
  <si>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</si>
  <si>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</si>
  <si>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</si>
  <si>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</si>
  <si>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</si>
  <si>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</si>
  <si>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</si>
  <si>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</si>
  <si>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</si>
  <si>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</si>
  <si>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</si>
  <si>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</si>
  <si>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</si>
  <si>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</si>
  <si>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</si>
  <si>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</si>
  <si>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</si>
  <si>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</si>
  <si>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</si>
  <si>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</si>
  <si>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</si>
  <si>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</si>
  <si>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</si>
  <si>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</si>
  <si>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</si>
  <si>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</si>
  <si>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</si>
  <si>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</si>
  <si>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</si>
  <si>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</si>
  <si>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</si>
  <si>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</si>
  <si>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</si>
  <si>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</si>
  <si>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</si>
  <si>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</si>
  <si>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</si>
  <si>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</si>
  <si>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</si>
  <si>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</si>
  <si>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</si>
  <si>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</si>
  <si>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</si>
  <si>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</si>
  <si>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</si>
  <si>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</si>
  <si>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</si>
  <si>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</si>
  <si>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</si>
  <si>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</si>
  <si>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</si>
  <si>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</si>
  <si>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</si>
  <si>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</si>
  <si>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</si>
  <si>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</si>
  <si>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</si>
  <si>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</si>
  <si>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</si>
  <si>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</si>
  <si>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</si>
  <si>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</si>
  <si>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</si>
  <si>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</si>
  <si>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</si>
  <si>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</si>
  <si>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</si>
  <si>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</si>
  <si>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</si>
  <si>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</si>
  <si>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</si>
  <si>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</si>
  <si>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</si>
  <si>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</si>
  <si>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</si>
  <si>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</si>
  <si>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</si>
  <si>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</si>
  <si>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</si>
  <si>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</si>
  <si>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</si>
  <si>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</si>
  <si>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</si>
  <si>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</si>
  <si>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</si>
  <si>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</si>
  <si>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</si>
  <si>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</si>
  <si>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</si>
  <si>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</si>
  <si>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</si>
  <si>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</si>
  <si>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</si>
  <si>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</si>
  <si>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</si>
  <si>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</si>
  <si>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</si>
  <si>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</si>
  <si>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</si>
  <si>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</si>
  <si>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</si>
  <si>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</si>
  <si>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</si>
  <si>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</si>
  <si>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</si>
  <si>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</si>
  <si>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</si>
  <si>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</si>
  <si>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</si>
  <si>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</si>
  <si>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</si>
  <si>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</si>
  <si>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</si>
  <si>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</si>
  <si>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</si>
  <si>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</si>
  <si>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</si>
  <si>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</si>
  <si>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</si>
  <si>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</si>
  <si>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</si>
  <si>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</si>
  <si>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</si>
  <si>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</si>
  <si>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</si>
  <si>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</si>
  <si>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</si>
  <si>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</si>
  <si>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</si>
  <si>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</si>
  <si>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</si>
  <si>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</si>
  <si>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</si>
  <si>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</si>
  <si>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</si>
  <si>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</si>
  <si>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</si>
  <si>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</si>
  <si>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</si>
  <si>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</si>
  <si>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</si>
  <si>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</si>
  <si>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</si>
  <si>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</si>
  <si>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</si>
  <si>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</si>
  <si>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</si>
  <si>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</si>
  <si>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</si>
  <si>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</si>
  <si>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</si>
  <si>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</si>
  <si>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</si>
  <si>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</si>
  <si>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</si>
  <si>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</si>
  <si>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</si>
  <si>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</si>
  <si>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</si>
  <si>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</si>
  <si>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</si>
  <si>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</si>
  <si>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지원청사 신축공사</t>
  </si>
  <si>
    <t>업무</t>
  </si>
  <si>
    <t>전라도</t>
  </si>
  <si>
    <t>기타공사,골재대 및 운반비</t>
  </si>
  <si>
    <t>토공사 및 지정공사</t>
  </si>
  <si>
    <t>작업부산물,부대시설공사</t>
    <phoneticPr fontId="2" type="noConversion"/>
  </si>
  <si>
    <t>원/ m2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</si>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</sst>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0" fontId="0" fillId="0" borderId="25" xfId="0" applyFill="1" applyBorder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256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247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248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2900</v>
      </c>
      <c r="D7" s="36">
        <f>+C7/3.3058</f>
        <v>877.24605239276423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249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194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257</v>
      </c>
    </row>
    <row r="19" spans="1:5" x14ac:dyDescent="0.3">
      <c r="A19" s="2">
        <v>9</v>
      </c>
      <c r="B19" s="2" t="s">
        <v>258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235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D37</f>
        <v>0</v>
      </c>
      <c r="E24" s="59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919250</v>
      </c>
      <c r="E25" s="60">
        <f t="shared" si="0"/>
        <v>3038850</v>
      </c>
    </row>
    <row r="26" spans="1:5" x14ac:dyDescent="0.3">
      <c r="B26" s="2">
        <v>3</v>
      </c>
      <c r="C26" s="35" t="s">
        <v>95</v>
      </c>
      <c r="D26" s="45">
        <f>+D66</f>
        <v>21590</v>
      </c>
      <c r="E26" s="60">
        <f t="shared" si="0"/>
        <v>71370</v>
      </c>
    </row>
    <row r="27" spans="1:5" x14ac:dyDescent="0.3">
      <c r="B27" s="2">
        <v>4</v>
      </c>
      <c r="C27" s="35" t="s">
        <v>96</v>
      </c>
      <c r="D27" s="45">
        <f>+D95</f>
        <v>234490</v>
      </c>
      <c r="E27" s="60">
        <f t="shared" si="0"/>
        <v>775170</v>
      </c>
    </row>
    <row r="28" spans="1:5" x14ac:dyDescent="0.3">
      <c r="B28" s="2">
        <v>5</v>
      </c>
      <c r="C28" s="35" t="s">
        <v>97</v>
      </c>
      <c r="D28" s="45">
        <f>+D119</f>
        <v>235340</v>
      </c>
      <c r="E28" s="60">
        <f t="shared" si="0"/>
        <v>777980</v>
      </c>
    </row>
    <row r="29" spans="1:5" x14ac:dyDescent="0.3">
      <c r="B29" s="2">
        <v>6</v>
      </c>
      <c r="C29" s="35" t="s">
        <v>98</v>
      </c>
      <c r="D29" s="45">
        <f>+D133</f>
        <v>70210</v>
      </c>
      <c r="E29" s="60">
        <f t="shared" si="0"/>
        <v>232100</v>
      </c>
    </row>
    <row r="30" spans="1:5" x14ac:dyDescent="0.3">
      <c r="B30" s="2">
        <v>7</v>
      </c>
      <c r="C30" s="35" t="s">
        <v>99</v>
      </c>
      <c r="D30" s="45">
        <f>+D146</f>
        <v>0</v>
      </c>
      <c r="E30" s="60">
        <f t="shared" si="0"/>
        <v>0</v>
      </c>
    </row>
    <row r="31" spans="1:5" x14ac:dyDescent="0.3">
      <c r="B31" s="2">
        <v>8</v>
      </c>
      <c r="C31" s="35" t="s">
        <v>100</v>
      </c>
      <c r="D31" s="45">
        <f>+D154</f>
        <v>152980</v>
      </c>
      <c r="E31" s="60">
        <f t="shared" si="0"/>
        <v>505720</v>
      </c>
    </row>
    <row r="32" spans="1:5" x14ac:dyDescent="0.3">
      <c r="B32" s="2">
        <v>9</v>
      </c>
      <c r="C32" s="35" t="s">
        <v>101</v>
      </c>
      <c r="D32" s="45">
        <f>+D161</f>
        <v>0</v>
      </c>
      <c r="E32" s="60">
        <f t="shared" si="0"/>
        <v>0</v>
      </c>
    </row>
    <row r="33" spans="1:7" x14ac:dyDescent="0.3">
      <c r="B33" s="2">
        <v>10</v>
      </c>
      <c r="C33" s="35" t="s">
        <v>154</v>
      </c>
      <c r="D33" s="53">
        <f>TRUNC(SUM(D24:D32)*0.275,-1)</f>
        <v>449310</v>
      </c>
      <c r="E33" s="61">
        <f t="shared" si="0"/>
        <v>1485320</v>
      </c>
    </row>
    <row r="34" spans="1:7" x14ac:dyDescent="0.3">
      <c r="C34" s="35" t="s">
        <v>112</v>
      </c>
      <c r="D34" s="44">
        <f>SUM(D24:D33)</f>
        <v>2083170</v>
      </c>
      <c r="E34" s="44">
        <f>SUM(E24:E33)</f>
        <v>6886510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237</v>
      </c>
      <c r="D36" s="57" t="s">
        <v>253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2">
        <f>TRUNC(+D37*3.3058,-1)</f>
        <v>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241</v>
      </c>
      <c r="D39" s="67" t="s">
        <v>254</v>
      </c>
      <c r="E39" s="67" t="s">
        <v>255</v>
      </c>
      <c r="G39" s="68"/>
    </row>
    <row r="40" spans="1:7" x14ac:dyDescent="0.3">
      <c r="A40" s="2">
        <v>1</v>
      </c>
      <c r="C40" s="38" t="s">
        <v>15</v>
      </c>
      <c r="D40" s="40">
        <f>TRUNC(36369,-1)</f>
        <v>36360</v>
      </c>
      <c r="E40" s="63">
        <f t="shared" ref="E40:E59" si="1">TRUNC(+D40*3.3058,-1)</f>
        <v>120190</v>
      </c>
    </row>
    <row r="41" spans="1:7" x14ac:dyDescent="0.3">
      <c r="A41" s="2">
        <v>2</v>
      </c>
      <c r="C41" s="38" t="s">
        <v>13</v>
      </c>
      <c r="D41" s="42">
        <f>TRUNC(205190,-1)</f>
        <v>205190</v>
      </c>
      <c r="E41" s="64">
        <f t="shared" si="1"/>
        <v>678310</v>
      </c>
    </row>
    <row r="42" spans="1:7" x14ac:dyDescent="0.3">
      <c r="A42" s="2">
        <v>3</v>
      </c>
      <c r="C42" s="38" t="s">
        <v>14</v>
      </c>
      <c r="D42" s="42">
        <f>TRUNC(8334,-1)</f>
        <v>8330</v>
      </c>
      <c r="E42" s="64">
        <f t="shared" si="1"/>
        <v>27530</v>
      </c>
    </row>
    <row r="43" spans="1:7" x14ac:dyDescent="0.3">
      <c r="A43" s="2">
        <v>4</v>
      </c>
      <c r="C43" s="38" t="s">
        <v>16</v>
      </c>
      <c r="D43" s="42">
        <f>TRUNC(8159,-1)</f>
        <v>8150</v>
      </c>
      <c r="E43" s="64">
        <f t="shared" si="1"/>
        <v>26940</v>
      </c>
    </row>
    <row r="44" spans="1:7" x14ac:dyDescent="0.3">
      <c r="A44" s="2">
        <v>5</v>
      </c>
      <c r="C44" s="38" t="s">
        <v>17</v>
      </c>
      <c r="D44" s="42">
        <f>TRUNC(16692,-1)</f>
        <v>16690</v>
      </c>
      <c r="E44" s="64">
        <f t="shared" si="1"/>
        <v>55170</v>
      </c>
    </row>
    <row r="45" spans="1:7" x14ac:dyDescent="0.3">
      <c r="A45" s="2">
        <v>6</v>
      </c>
      <c r="C45" s="38" t="s">
        <v>18</v>
      </c>
      <c r="D45" s="42">
        <f>TRUNC(37902,-1)</f>
        <v>37900</v>
      </c>
      <c r="E45" s="64">
        <f t="shared" si="1"/>
        <v>125280</v>
      </c>
    </row>
    <row r="46" spans="1:7" x14ac:dyDescent="0.3">
      <c r="A46" s="2">
        <v>7</v>
      </c>
      <c r="C46" s="38" t="s">
        <v>19</v>
      </c>
      <c r="D46" s="42">
        <f>TRUNC(91063,-1)</f>
        <v>91060</v>
      </c>
      <c r="E46" s="64">
        <f t="shared" si="1"/>
        <v>301020</v>
      </c>
    </row>
    <row r="47" spans="1:7" x14ac:dyDescent="0.3">
      <c r="A47" s="2">
        <v>8</v>
      </c>
      <c r="C47" s="38" t="s">
        <v>20</v>
      </c>
      <c r="D47" s="42">
        <f>TRUNC(3158,-1)</f>
        <v>3150</v>
      </c>
      <c r="E47" s="64">
        <f t="shared" si="1"/>
        <v>10410</v>
      </c>
    </row>
    <row r="48" spans="1:7" x14ac:dyDescent="0.3">
      <c r="A48" s="2">
        <v>9</v>
      </c>
      <c r="C48" s="38" t="s">
        <v>21</v>
      </c>
      <c r="D48" s="42">
        <f>TRUNC(66953,-1)</f>
        <v>66950</v>
      </c>
      <c r="E48" s="64">
        <f t="shared" si="1"/>
        <v>221320</v>
      </c>
    </row>
    <row r="49" spans="1:7" x14ac:dyDescent="0.3">
      <c r="A49" s="2">
        <v>10</v>
      </c>
      <c r="C49" s="38" t="s">
        <v>22</v>
      </c>
      <c r="D49" s="42">
        <f>TRUNC(25706,-1)</f>
        <v>25700</v>
      </c>
      <c r="E49" s="64">
        <f t="shared" si="1"/>
        <v>84950</v>
      </c>
    </row>
    <row r="50" spans="1:7" x14ac:dyDescent="0.3">
      <c r="A50" s="2">
        <v>11</v>
      </c>
      <c r="C50" s="38" t="s">
        <v>155</v>
      </c>
      <c r="D50" s="42">
        <f>TRUNC(92332,-1)</f>
        <v>92330</v>
      </c>
      <c r="E50" s="64">
        <f t="shared" si="1"/>
        <v>305220</v>
      </c>
    </row>
    <row r="51" spans="1:7" x14ac:dyDescent="0.3">
      <c r="A51" s="2">
        <v>12</v>
      </c>
      <c r="C51" s="38" t="s">
        <v>23</v>
      </c>
      <c r="D51" s="42">
        <f>TRUNC(18268,-1)</f>
        <v>18260</v>
      </c>
      <c r="E51" s="64">
        <f t="shared" si="1"/>
        <v>60360</v>
      </c>
    </row>
    <row r="52" spans="1:7" x14ac:dyDescent="0.3">
      <c r="A52" s="2">
        <v>13</v>
      </c>
      <c r="C52" s="38" t="s">
        <v>24</v>
      </c>
      <c r="D52" s="42">
        <f>TRUNC(7272,-1)</f>
        <v>7270</v>
      </c>
      <c r="E52" s="64">
        <f t="shared" si="1"/>
        <v>24030</v>
      </c>
    </row>
    <row r="53" spans="1:7" x14ac:dyDescent="0.3">
      <c r="A53" s="2">
        <v>14</v>
      </c>
      <c r="C53" s="38" t="s">
        <v>25</v>
      </c>
      <c r="D53" s="42">
        <f>TRUNC(61903,-1)</f>
        <v>61900</v>
      </c>
      <c r="E53" s="64">
        <f t="shared" si="1"/>
        <v>204620</v>
      </c>
    </row>
    <row r="54" spans="1:7" x14ac:dyDescent="0.3">
      <c r="A54" s="2">
        <v>15</v>
      </c>
      <c r="C54" s="38" t="s">
        <v>147</v>
      </c>
      <c r="D54" s="42">
        <v>0</v>
      </c>
      <c r="E54" s="64">
        <f t="shared" si="1"/>
        <v>0</v>
      </c>
    </row>
    <row r="55" spans="1:7" x14ac:dyDescent="0.3">
      <c r="A55" s="2">
        <v>16</v>
      </c>
      <c r="C55" s="38" t="s">
        <v>144</v>
      </c>
      <c r="D55" s="42">
        <f>TRUNC(3876,-1)</f>
        <v>3870</v>
      </c>
      <c r="E55" s="64">
        <f t="shared" si="1"/>
        <v>12790</v>
      </c>
    </row>
    <row r="56" spans="1:7" x14ac:dyDescent="0.3">
      <c r="A56" s="2">
        <v>17</v>
      </c>
      <c r="C56" s="38" t="s">
        <v>145</v>
      </c>
      <c r="D56" s="42">
        <v>0</v>
      </c>
      <c r="E56" s="64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4">
        <f t="shared" si="1"/>
        <v>0</v>
      </c>
    </row>
    <row r="58" spans="1:7" x14ac:dyDescent="0.3">
      <c r="A58" s="2">
        <v>19</v>
      </c>
      <c r="C58" s="38" t="s">
        <v>26</v>
      </c>
      <c r="D58" s="42">
        <f>TRUNC(21012+3486,-1)</f>
        <v>24490</v>
      </c>
      <c r="E58" s="64">
        <f t="shared" si="1"/>
        <v>80950</v>
      </c>
      <c r="F58" s="2" t="s">
        <v>250</v>
      </c>
    </row>
    <row r="59" spans="1:7" ht="17.25" thickBot="1" x14ac:dyDescent="0.35">
      <c r="A59" s="2">
        <v>20</v>
      </c>
      <c r="C59" s="38" t="s">
        <v>148</v>
      </c>
      <c r="D59" s="43">
        <f>TRUNC(211658.275862069,-1)</f>
        <v>211650</v>
      </c>
      <c r="E59" s="65">
        <f t="shared" si="1"/>
        <v>699670</v>
      </c>
    </row>
    <row r="60" spans="1:7" x14ac:dyDescent="0.3">
      <c r="A60" s="2">
        <v>21</v>
      </c>
      <c r="C60" s="27" t="s">
        <v>112</v>
      </c>
      <c r="D60" s="39">
        <f>SUM(D40:D59)</f>
        <v>919250</v>
      </c>
      <c r="E60" s="39">
        <f>SUM(E40:E59)</f>
        <v>3038760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238</v>
      </c>
      <c r="C62" s="56" t="s">
        <v>239</v>
      </c>
      <c r="D62" s="57" t="s">
        <v>253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TRUNC(21599,-1)</f>
        <v>21590</v>
      </c>
      <c r="E63" s="63">
        <f>TRUNC(+D63*3.3058,-1)</f>
        <v>71370</v>
      </c>
      <c r="F63" s="2" t="s">
        <v>251</v>
      </c>
    </row>
    <row r="64" spans="1:7" x14ac:dyDescent="0.3">
      <c r="A64" s="2">
        <v>2</v>
      </c>
      <c r="C64" s="38" t="s">
        <v>29</v>
      </c>
      <c r="D64" s="42">
        <v>0</v>
      </c>
      <c r="E64" s="64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5">
        <f>TRUNC(+D65*3.3058,-1)</f>
        <v>0</v>
      </c>
    </row>
    <row r="66" spans="1:7" x14ac:dyDescent="0.3">
      <c r="A66" s="2">
        <v>4</v>
      </c>
      <c r="C66" s="27" t="s">
        <v>112</v>
      </c>
      <c r="D66" s="58">
        <f>SUM(D63:D65)</f>
        <v>21590</v>
      </c>
      <c r="E66" s="58">
        <f>SUM(E63:E65)</f>
        <v>71370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240</v>
      </c>
      <c r="C68" s="56" t="s">
        <v>241</v>
      </c>
      <c r="D68" s="57" t="s">
        <v>253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v>0</v>
      </c>
      <c r="E69" s="63">
        <f t="shared" ref="E69:E94" si="2">TRUNC(+D69*3.3058,-1)</f>
        <v>0</v>
      </c>
    </row>
    <row r="70" spans="1:7" ht="16.5" customHeight="1" x14ac:dyDescent="0.3">
      <c r="A70" s="2">
        <v>2</v>
      </c>
      <c r="C70" s="38" t="s">
        <v>31</v>
      </c>
      <c r="D70" s="42">
        <v>0</v>
      </c>
      <c r="E70" s="64">
        <f t="shared" si="2"/>
        <v>0</v>
      </c>
    </row>
    <row r="71" spans="1:7" x14ac:dyDescent="0.3">
      <c r="A71" s="2">
        <v>3</v>
      </c>
      <c r="C71" s="38" t="s">
        <v>32</v>
      </c>
      <c r="D71" s="42">
        <v>0</v>
      </c>
      <c r="E71" s="64">
        <f t="shared" si="2"/>
        <v>0</v>
      </c>
    </row>
    <row r="72" spans="1:7" x14ac:dyDescent="0.3">
      <c r="A72" s="2">
        <v>4</v>
      </c>
      <c r="C72" s="38" t="s">
        <v>33</v>
      </c>
      <c r="D72" s="42">
        <v>0</v>
      </c>
      <c r="E72" s="64">
        <f t="shared" si="2"/>
        <v>0</v>
      </c>
    </row>
    <row r="73" spans="1:7" x14ac:dyDescent="0.3">
      <c r="A73" s="2">
        <v>5</v>
      </c>
      <c r="C73" s="38" t="s">
        <v>34</v>
      </c>
      <c r="D73" s="42">
        <v>0</v>
      </c>
      <c r="E73" s="64">
        <f t="shared" si="2"/>
        <v>0</v>
      </c>
    </row>
    <row r="74" spans="1:7" x14ac:dyDescent="0.3">
      <c r="A74" s="2">
        <v>6</v>
      </c>
      <c r="C74" s="38" t="s">
        <v>176</v>
      </c>
      <c r="D74" s="42">
        <v>0</v>
      </c>
      <c r="E74" s="64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4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4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4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4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4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4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4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4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4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4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4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4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4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4">
        <f t="shared" si="2"/>
        <v>0</v>
      </c>
    </row>
    <row r="89" spans="1:7" x14ac:dyDescent="0.3">
      <c r="A89" s="2">
        <v>21</v>
      </c>
      <c r="C89" s="38" t="s">
        <v>35</v>
      </c>
      <c r="D89" s="42">
        <v>0</v>
      </c>
      <c r="E89" s="64">
        <f t="shared" si="2"/>
        <v>0</v>
      </c>
    </row>
    <row r="90" spans="1:7" x14ac:dyDescent="0.3">
      <c r="A90" s="2">
        <v>22</v>
      </c>
      <c r="C90" s="38" t="s">
        <v>36</v>
      </c>
      <c r="D90" s="42">
        <v>0</v>
      </c>
      <c r="E90" s="64">
        <f t="shared" si="2"/>
        <v>0</v>
      </c>
    </row>
    <row r="91" spans="1:7" x14ac:dyDescent="0.3">
      <c r="A91" s="2">
        <v>23</v>
      </c>
      <c r="C91" s="38" t="s">
        <v>37</v>
      </c>
      <c r="D91" s="42">
        <v>0</v>
      </c>
      <c r="E91" s="64">
        <f t="shared" si="2"/>
        <v>0</v>
      </c>
    </row>
    <row r="92" spans="1:7" x14ac:dyDescent="0.3">
      <c r="A92" s="2">
        <v>24</v>
      </c>
      <c r="C92" s="38" t="s">
        <v>38</v>
      </c>
      <c r="D92" s="42">
        <v>0</v>
      </c>
      <c r="E92" s="64">
        <f t="shared" si="2"/>
        <v>0</v>
      </c>
    </row>
    <row r="93" spans="1:7" x14ac:dyDescent="0.3">
      <c r="A93" s="2">
        <v>25</v>
      </c>
      <c r="C93" s="38" t="s">
        <v>148</v>
      </c>
      <c r="D93" s="42">
        <f>TRUNC(65982.4137931034,-1)</f>
        <v>65980</v>
      </c>
      <c r="E93" s="64">
        <f t="shared" si="2"/>
        <v>218110</v>
      </c>
    </row>
    <row r="94" spans="1:7" ht="17.25" thickBot="1" x14ac:dyDescent="0.35">
      <c r="A94" s="2">
        <v>26</v>
      </c>
      <c r="C94" s="38" t="s">
        <v>47</v>
      </c>
      <c r="D94" s="43">
        <f>TRUNC(168513,-1)</f>
        <v>168510</v>
      </c>
      <c r="E94" s="65">
        <f t="shared" si="2"/>
        <v>557060</v>
      </c>
    </row>
    <row r="95" spans="1:7" x14ac:dyDescent="0.3">
      <c r="A95" s="2">
        <v>27</v>
      </c>
      <c r="C95" s="27" t="s">
        <v>112</v>
      </c>
      <c r="D95" s="39">
        <f>SUM(D69:D94)</f>
        <v>234490</v>
      </c>
      <c r="E95" s="39">
        <f>SUM(E69:E94)</f>
        <v>775170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242</v>
      </c>
      <c r="C97" s="56" t="s">
        <v>241</v>
      </c>
      <c r="D97" s="57" t="s">
        <v>253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v>0</v>
      </c>
      <c r="E98" s="63">
        <f t="shared" ref="E98:E118" si="3">TRUNC(+D98*3.3058,-1)</f>
        <v>0</v>
      </c>
    </row>
    <row r="99" spans="1:7" x14ac:dyDescent="0.3">
      <c r="A99" s="2">
        <v>2</v>
      </c>
      <c r="C99" s="38" t="s">
        <v>40</v>
      </c>
      <c r="D99" s="42">
        <v>0</v>
      </c>
      <c r="E99" s="64">
        <f t="shared" si="3"/>
        <v>0</v>
      </c>
    </row>
    <row r="100" spans="1:7" x14ac:dyDescent="0.3">
      <c r="A100" s="2">
        <v>3</v>
      </c>
      <c r="C100" s="38" t="s">
        <v>41</v>
      </c>
      <c r="D100" s="42">
        <v>0</v>
      </c>
      <c r="E100" s="64">
        <f t="shared" si="3"/>
        <v>0</v>
      </c>
    </row>
    <row r="101" spans="1:7" x14ac:dyDescent="0.3">
      <c r="A101" s="2">
        <v>4</v>
      </c>
      <c r="C101" s="38" t="s">
        <v>42</v>
      </c>
      <c r="D101" s="42">
        <v>0</v>
      </c>
      <c r="E101" s="64">
        <f t="shared" si="3"/>
        <v>0</v>
      </c>
    </row>
    <row r="102" spans="1:7" x14ac:dyDescent="0.3">
      <c r="A102" s="2">
        <v>5</v>
      </c>
      <c r="C102" s="38" t="s">
        <v>43</v>
      </c>
      <c r="D102" s="42">
        <v>0</v>
      </c>
      <c r="E102" s="64">
        <f t="shared" si="3"/>
        <v>0</v>
      </c>
    </row>
    <row r="103" spans="1:7" x14ac:dyDescent="0.3">
      <c r="A103" s="2">
        <v>6</v>
      </c>
      <c r="C103" s="38" t="s">
        <v>44</v>
      </c>
      <c r="D103" s="42">
        <v>0</v>
      </c>
      <c r="E103" s="64">
        <f t="shared" si="3"/>
        <v>0</v>
      </c>
    </row>
    <row r="104" spans="1:7" x14ac:dyDescent="0.3">
      <c r="A104" s="2">
        <v>7</v>
      </c>
      <c r="C104" s="38" t="s">
        <v>45</v>
      </c>
      <c r="D104" s="42">
        <v>0</v>
      </c>
      <c r="E104" s="64">
        <f t="shared" si="3"/>
        <v>0</v>
      </c>
    </row>
    <row r="105" spans="1:7" x14ac:dyDescent="0.3">
      <c r="A105" s="2">
        <v>8</v>
      </c>
      <c r="C105" s="38" t="s">
        <v>46</v>
      </c>
      <c r="D105" s="42">
        <v>0</v>
      </c>
      <c r="E105" s="64">
        <f t="shared" si="3"/>
        <v>0</v>
      </c>
    </row>
    <row r="106" spans="1:7" x14ac:dyDescent="0.3">
      <c r="A106" s="2">
        <v>9</v>
      </c>
      <c r="C106" s="38" t="s">
        <v>135</v>
      </c>
      <c r="D106" s="42">
        <v>0</v>
      </c>
      <c r="E106" s="64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4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4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4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4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4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4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4">
        <f t="shared" si="3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4">
        <f t="shared" si="3"/>
        <v>0</v>
      </c>
    </row>
    <row r="115" spans="1:7" x14ac:dyDescent="0.3">
      <c r="A115" s="2">
        <v>18</v>
      </c>
      <c r="C115" s="38" t="s">
        <v>116</v>
      </c>
      <c r="D115" s="42">
        <v>0</v>
      </c>
      <c r="E115" s="64">
        <f t="shared" si="3"/>
        <v>0</v>
      </c>
    </row>
    <row r="116" spans="1:7" x14ac:dyDescent="0.3">
      <c r="A116" s="2">
        <v>19</v>
      </c>
      <c r="C116" s="38" t="s">
        <v>115</v>
      </c>
      <c r="D116" s="42">
        <v>0</v>
      </c>
      <c r="E116" s="64">
        <f t="shared" si="3"/>
        <v>0</v>
      </c>
    </row>
    <row r="117" spans="1:7" x14ac:dyDescent="0.3">
      <c r="A117" s="2">
        <v>20</v>
      </c>
      <c r="C117" s="38" t="s">
        <v>148</v>
      </c>
      <c r="D117" s="42">
        <f>TRUNC(52556.5517241379,-1)</f>
        <v>52550</v>
      </c>
      <c r="E117" s="64">
        <f t="shared" si="3"/>
        <v>173710</v>
      </c>
    </row>
    <row r="118" spans="1:7" ht="17.25" thickBot="1" x14ac:dyDescent="0.35">
      <c r="A118" s="2">
        <v>21</v>
      </c>
      <c r="C118" s="38" t="s">
        <v>47</v>
      </c>
      <c r="D118" s="43">
        <f>TRUNC(182798,-1)</f>
        <v>182790</v>
      </c>
      <c r="E118" s="65">
        <f t="shared" si="3"/>
        <v>604260</v>
      </c>
    </row>
    <row r="119" spans="1:7" x14ac:dyDescent="0.3">
      <c r="A119" s="2">
        <v>22</v>
      </c>
      <c r="C119" s="27" t="s">
        <v>112</v>
      </c>
      <c r="D119" s="39">
        <f>SUM(D98:D118)</f>
        <v>235340</v>
      </c>
      <c r="E119" s="39">
        <f>SUM(E98:E118)</f>
        <v>777970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243</v>
      </c>
      <c r="C121" s="56" t="s">
        <v>241</v>
      </c>
      <c r="D121" s="57" t="s">
        <v>253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v>0</v>
      </c>
      <c r="E122" s="63">
        <f t="shared" ref="E122:E132" si="4">TRUNC(+D122*3.3058,-1)</f>
        <v>0</v>
      </c>
    </row>
    <row r="123" spans="1:7" x14ac:dyDescent="0.3">
      <c r="A123" s="2">
        <v>2</v>
      </c>
      <c r="C123" s="38" t="s">
        <v>124</v>
      </c>
      <c r="D123" s="42">
        <v>0</v>
      </c>
      <c r="E123" s="64">
        <f t="shared" si="4"/>
        <v>0</v>
      </c>
    </row>
    <row r="124" spans="1:7" x14ac:dyDescent="0.3">
      <c r="A124" s="2">
        <v>3</v>
      </c>
      <c r="C124" s="38" t="s">
        <v>151</v>
      </c>
      <c r="D124" s="42">
        <v>0</v>
      </c>
      <c r="E124" s="64">
        <f t="shared" si="4"/>
        <v>0</v>
      </c>
    </row>
    <row r="125" spans="1:7" x14ac:dyDescent="0.3">
      <c r="A125" s="2">
        <v>4</v>
      </c>
      <c r="C125" s="38" t="s">
        <v>138</v>
      </c>
      <c r="D125" s="42">
        <v>0</v>
      </c>
      <c r="E125" s="64">
        <f t="shared" si="4"/>
        <v>0</v>
      </c>
    </row>
    <row r="126" spans="1:7" x14ac:dyDescent="0.3">
      <c r="A126" s="2">
        <v>5</v>
      </c>
      <c r="C126" s="38" t="s">
        <v>53</v>
      </c>
      <c r="D126" s="42">
        <v>0</v>
      </c>
      <c r="E126" s="64">
        <f t="shared" si="4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4">
        <f t="shared" si="4"/>
        <v>0</v>
      </c>
    </row>
    <row r="128" spans="1:7" x14ac:dyDescent="0.3">
      <c r="A128" s="2">
        <v>7</v>
      </c>
      <c r="C128" s="38" t="s">
        <v>46</v>
      </c>
      <c r="D128" s="42">
        <v>0</v>
      </c>
      <c r="E128" s="64">
        <f t="shared" si="4"/>
        <v>0</v>
      </c>
    </row>
    <row r="129" spans="1:7" x14ac:dyDescent="0.3">
      <c r="A129" s="2">
        <v>8</v>
      </c>
      <c r="C129" s="38" t="s">
        <v>126</v>
      </c>
      <c r="D129" s="42">
        <v>0</v>
      </c>
      <c r="E129" s="64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v>0</v>
      </c>
      <c r="E130" s="64">
        <f t="shared" si="4"/>
        <v>0</v>
      </c>
    </row>
    <row r="131" spans="1:7" x14ac:dyDescent="0.3">
      <c r="A131" s="2">
        <v>10</v>
      </c>
      <c r="C131" s="38" t="s">
        <v>148</v>
      </c>
      <c r="D131" s="42">
        <v>0</v>
      </c>
      <c r="E131" s="64">
        <f t="shared" si="4"/>
        <v>0</v>
      </c>
    </row>
    <row r="132" spans="1:7" ht="18" thickBot="1" x14ac:dyDescent="0.35">
      <c r="A132" s="2">
        <v>11</v>
      </c>
      <c r="C132" s="38" t="s">
        <v>47</v>
      </c>
      <c r="D132" s="43">
        <f>TRUNC(70212,-1)</f>
        <v>70210</v>
      </c>
      <c r="E132" s="65">
        <f t="shared" si="4"/>
        <v>232100</v>
      </c>
      <c r="F132" s="54"/>
    </row>
    <row r="133" spans="1:7" x14ac:dyDescent="0.3">
      <c r="A133" s="2">
        <v>12</v>
      </c>
      <c r="C133" s="27" t="s">
        <v>112</v>
      </c>
      <c r="D133" s="39">
        <f>SUM(D122:D132)</f>
        <v>70210</v>
      </c>
      <c r="E133" s="39">
        <f>SUM(E122:E132)</f>
        <v>232100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244</v>
      </c>
      <c r="C135" s="56" t="s">
        <v>241</v>
      </c>
      <c r="D135" s="57" t="s">
        <v>253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3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v>0</v>
      </c>
      <c r="E137" s="64">
        <f t="shared" si="5"/>
        <v>0</v>
      </c>
    </row>
    <row r="138" spans="1:7" x14ac:dyDescent="0.3">
      <c r="A138" s="2">
        <v>3</v>
      </c>
      <c r="C138" s="38" t="s">
        <v>60</v>
      </c>
      <c r="D138" s="42">
        <v>0</v>
      </c>
      <c r="E138" s="64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4">
        <f t="shared" si="5"/>
        <v>0</v>
      </c>
    </row>
    <row r="140" spans="1:7" x14ac:dyDescent="0.3">
      <c r="A140" s="2">
        <v>5</v>
      </c>
      <c r="C140" s="38" t="s">
        <v>57</v>
      </c>
      <c r="D140" s="42">
        <v>0</v>
      </c>
      <c r="E140" s="64">
        <f t="shared" si="5"/>
        <v>0</v>
      </c>
    </row>
    <row r="141" spans="1:7" x14ac:dyDescent="0.3">
      <c r="A141" s="2">
        <v>6</v>
      </c>
      <c r="C141" s="38" t="s">
        <v>59</v>
      </c>
      <c r="D141" s="42">
        <v>0</v>
      </c>
      <c r="E141" s="64">
        <f t="shared" si="5"/>
        <v>0</v>
      </c>
    </row>
    <row r="142" spans="1:7" x14ac:dyDescent="0.3">
      <c r="A142" s="2">
        <v>7</v>
      </c>
      <c r="C142" s="38" t="s">
        <v>58</v>
      </c>
      <c r="D142" s="42">
        <v>0</v>
      </c>
      <c r="E142" s="64">
        <f t="shared" si="5"/>
        <v>0</v>
      </c>
    </row>
    <row r="143" spans="1:7" x14ac:dyDescent="0.3">
      <c r="A143" s="2">
        <v>8</v>
      </c>
      <c r="C143" s="38" t="s">
        <v>62</v>
      </c>
      <c r="D143" s="42">
        <v>0</v>
      </c>
      <c r="E143" s="64">
        <f t="shared" si="5"/>
        <v>0</v>
      </c>
    </row>
    <row r="144" spans="1:7" x14ac:dyDescent="0.3">
      <c r="A144" s="2">
        <v>9</v>
      </c>
      <c r="C144" s="38" t="s">
        <v>63</v>
      </c>
      <c r="D144" s="42">
        <v>0</v>
      </c>
      <c r="E144" s="64">
        <f t="shared" si="5"/>
        <v>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5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0</v>
      </c>
      <c r="E146" s="39">
        <f>SUM(E136:E145)</f>
        <v>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245</v>
      </c>
      <c r="C148" s="56" t="s">
        <v>241</v>
      </c>
      <c r="D148" s="57" t="s">
        <v>253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v>0</v>
      </c>
      <c r="E149" s="63">
        <f>TRUNC(+D149*3.3058,-1)</f>
        <v>0</v>
      </c>
    </row>
    <row r="150" spans="1:7" x14ac:dyDescent="0.3">
      <c r="A150" s="2">
        <v>2</v>
      </c>
      <c r="C150" s="38" t="s">
        <v>49</v>
      </c>
      <c r="D150" s="42">
        <v>0</v>
      </c>
      <c r="E150" s="64">
        <f>TRUNC(+D150*3.3058,-1)</f>
        <v>0</v>
      </c>
    </row>
    <row r="151" spans="1:7" x14ac:dyDescent="0.3">
      <c r="A151" s="2">
        <v>3</v>
      </c>
      <c r="C151" s="38" t="s">
        <v>50</v>
      </c>
      <c r="D151" s="42">
        <v>0</v>
      </c>
      <c r="E151" s="64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TRUNC(-1022+115650,-1)</f>
        <v>114620</v>
      </c>
      <c r="E152" s="64">
        <f>TRUNC(+D152*3.3058,-1)</f>
        <v>378910</v>
      </c>
      <c r="F152" s="2" t="s">
        <v>252</v>
      </c>
    </row>
    <row r="153" spans="1:7" ht="17.25" thickBot="1" x14ac:dyDescent="0.35">
      <c r="A153" s="2">
        <v>5</v>
      </c>
      <c r="C153" s="38" t="s">
        <v>148</v>
      </c>
      <c r="D153" s="43">
        <f>TRUNC(38362.7586206897,-1)</f>
        <v>38360</v>
      </c>
      <c r="E153" s="65">
        <f>TRUNC(+D153*3.3058,-1)</f>
        <v>126810</v>
      </c>
    </row>
    <row r="154" spans="1:7" x14ac:dyDescent="0.3">
      <c r="A154" s="2">
        <v>6</v>
      </c>
      <c r="C154" s="27" t="s">
        <v>112</v>
      </c>
      <c r="D154" s="39">
        <f>SUM(D149:D153)</f>
        <v>152980</v>
      </c>
      <c r="E154" s="39">
        <f>SUM(E149:E153)</f>
        <v>505720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246</v>
      </c>
      <c r="C156" s="56" t="s">
        <v>241</v>
      </c>
      <c r="D156" s="57" t="s">
        <v>253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v>0</v>
      </c>
      <c r="E157" s="63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4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v>0</v>
      </c>
      <c r="E159" s="64">
        <f>TRUNC(+D159*3.3058,-1)</f>
        <v>0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5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0</v>
      </c>
      <c r="E161" s="39">
        <f>SUM(E157:E160)</f>
        <v>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2020-12-07T09:29:23Z</dcterms:modified>
</cp:coreProperties>
</file>