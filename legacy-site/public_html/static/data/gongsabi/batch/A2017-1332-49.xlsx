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45" i="4" l="1"/>
  <c r="D131" i="4"/>
  <c r="D117" i="4"/>
  <c r="D59" i="4"/>
  <c r="D159" i="4" l="1"/>
  <c r="D158" i="4"/>
  <c r="D157" i="4"/>
  <c r="D152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26" i="4"/>
  <c r="D125" i="4"/>
  <c r="D122" i="4"/>
  <c r="D118" i="4"/>
  <c r="D105" i="4"/>
  <c r="D104" i="4"/>
  <c r="D103" i="4"/>
  <c r="D102" i="4"/>
  <c r="D101" i="4"/>
  <c r="D100" i="4"/>
  <c r="D99" i="4"/>
  <c r="D98" i="4"/>
  <c r="D91" i="4"/>
  <c r="D76" i="4"/>
  <c r="D73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<sst xmlns="http://schemas.openxmlformats.org/spreadsheetml/2006/main" count="394" uniqueCount="269">
  <si>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</si>
  <si>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</si>
  <si>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</si>
  <si>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</si>
  <si>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</si>
  <si>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</si>
  <si>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</si>
  <si>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</si>
  <si>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</si>
  <si>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</si>
  <si>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</si>
  <si>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</si>
  <si>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</si>
  <si>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</si>
  <si>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</si>
  <si>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</si>
  <si>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</si>
  <si>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</si>
  <si>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</si>
  <si>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</si>
  <si>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</si>
  <si>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</si>
  <si>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</si>
  <si>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</si>
  <si>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</si>
  <si>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</si>
  <si>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</si>
  <si>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</si>
  <si>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</si>
  <si>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</si>
  <si>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</si>
  <si>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</si>
  <si>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</si>
  <si>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</si>
  <si>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</si>
  <si>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</si>
  <si>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</si>
  <si>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</si>
  <si>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</si>
  <si>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</si>
  <si>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</si>
  <si>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</si>
  <si>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</si>
  <si>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</si>
  <si>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</si>
  <si>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</si>
  <si>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</si>
  <si>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</si>
  <si>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</si>
  <si>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</si>
  <si>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</si>
  <si>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</si>
  <si>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</si>
  <si>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</si>
  <si>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</si>
  <si>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</si>
  <si>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</si>
  <si>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</si>
  <si>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</si>
  <si>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</si>
  <si>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</si>
  <si>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</si>
  <si>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</si>
  <si>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</si>
  <si>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</si>
  <si>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</si>
  <si>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</si>
  <si>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</si>
  <si>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</si>
  <si>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</si>
  <si>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</si>
  <si>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</si>
  <si>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</si>
  <si>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</si>
  <si>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</si>
  <si>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</si>
  <si>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</si>
  <si>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</si>
  <si>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</si>
  <si>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</si>
  <si>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</si>
  <si>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</si>
  <si>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</si>
  <si>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</si>
  <si>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</si>
  <si>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</si>
  <si>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</si>
  <si>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</si>
  <si>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</si>
  <si>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</si>
  <si>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</si>
  <si>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</si>
  <si>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</si>
  <si>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</si>
  <si>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</si>
  <si>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</si>
  <si>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</si>
  <si>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</si>
  <si>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</si>
  <si>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</si>
  <si>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</si>
  <si>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</si>
  <si>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</si>
  <si>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</si>
  <si>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</si>
  <si>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</si>
  <si>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</si>
  <si>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</si>
  <si>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</si>
  <si>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</si>
  <si>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</si>
  <si>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</si>
  <si>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</si>
  <si>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</si>
  <si>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</si>
  <si>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</si>
  <si>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</si>
  <si>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</si>
  <si>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</si>
  <si>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</si>
  <si>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</si>
  <si>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</si>
  <si>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</si>
  <si>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</si>
  <si>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</si>
  <si>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</si>
  <si>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</si>
  <si>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</si>
  <si>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</si>
  <si>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</si>
  <si>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</si>
  <si>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</si>
  <si>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</si>
  <si>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</si>
  <si>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</si>
  <si>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</si>
  <si>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</si>
  <si>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</si>
  <si>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</si>
  <si>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</si>
  <si>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</si>
  <si>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</si>
  <si>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</si>
  <si>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</si>
  <si>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</si>
  <si>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</si>
  <si>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</si>
  <si>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</si>
  <si>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</si>
  <si>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</si>
  <si>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</si>
  <si>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</si>
  <si>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</si>
  <si>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</si>
  <si>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</si>
  <si>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</si>
  <si>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</si>
  <si>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</si>
  <si>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</si>
  <si>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</si>
  <si>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</si>
  <si>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</si>
  <si>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</si>
  <si>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</si>
  <si>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</si>
  <si>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</si>
  <si>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</si>
  <si>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</si>
  <si>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</si>
  <si>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</si>
  <si>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</si>
  <si>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</si>
  <si>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</si>
  <si>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</si>
  <si>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</si>
  <si>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</si>
  <si>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</si>
  <si>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</si>
  <si>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</si>
  <si>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</si>
  <si>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</si>
  <si>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</si>
  <si>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</si>
  <si>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</si>
  <si>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</si>
  <si>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</si>
  <si>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</si>
  <si>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</si>
  <si>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</si>
  <si>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</si>
  <si>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</si>
  <si>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</si>
  <si>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</si>
  <si>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</si>
  <si>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</si>
  <si>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</si>
  <si>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</si>
  <si>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</si>
  <si>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</si>
  <si>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</si>
  <si>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</si>
  <si>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</si>
  <si>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</si>
  <si>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</si>
  <si>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</si>
  <si>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</si>
  <si>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</si>
  <si>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</si>
  <si>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</si>
  <si>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</si>
  <si>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</si>
  <si>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</si>
  <si>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</si>
  <si>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</si>
  <si>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</si>
  <si>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</si>
  <si>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</si>
  <si>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</si>
  <si>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</si>
  <si>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</si>
  <si>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</si>
  <si>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</si>
  <si>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</si>
  <si>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</si>
  <si>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</si>
  <si>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</si>
  <si>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</si>
  <si>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</si>
  <si>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</si>
  <si>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</si>
  <si>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</si>
  <si>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</si>
  <si>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</si>
  <si>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</si>
  <si>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</si>
  <si>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</si>
  <si>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</si>
  <si>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</si>
  <si>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</si>
  <si>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</si>
  <si>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</si>
  <si>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</si>
  <si>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</si>
  <si>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</si>
  <si>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</si>
  <si>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</si>
  <si>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</si>
  <si>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</si>
  <si>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</si>
  <si>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이천행복센터 건립공사</t>
    <phoneticPr fontId="2" type="noConversion"/>
  </si>
  <si>
    <t>업무</t>
  </si>
  <si>
    <t>경기도</t>
  </si>
  <si>
    <t xml:space="preserve">(지붕및홈통공사 포함)  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</si>
  <si>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</si>
  <si>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</si>
  <si>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해체및철거공사,골재비및운반비,작업부산물,기타공사</t>
    <phoneticPr fontId="2" type="noConversion"/>
  </si>
  <si>
    <t>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</si>
  <si>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</si>
  <si>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</si>
  <si>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</si>
  <si>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펌프실배관공사,무선통신보조설비공사  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</si>
  <si>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</si>
  <si>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</si>
  <si>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조경시설물</t>
    <phoneticPr fontId="2" type="noConversion"/>
  </si>
  <si>
    <t>바닥난방공사, 기타공사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</si>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</sst>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9571.23</v>
      </c>
      <c r="D7" s="36">
        <f>+C7/3.3058</f>
        <v>2895.2840462217919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877020</v>
      </c>
      <c r="E25" s="59">
        <f t="shared" si="0"/>
        <v>2899250</v>
      </c>
    </row>
    <row r="26" spans="1:5" x14ac:dyDescent="0.3">
      <c r="B26" s="2">
        <v>3</v>
      </c>
      <c r="C26" s="35" t="s">
        <v>95</v>
      </c>
      <c r="D26" s="45">
        <f>+D66</f>
        <v>75630</v>
      </c>
      <c r="E26" s="59">
        <f t="shared" si="0"/>
        <v>250010</v>
      </c>
    </row>
    <row r="27" spans="1:5" x14ac:dyDescent="0.3">
      <c r="B27" s="2">
        <v>4</v>
      </c>
      <c r="C27" s="35" t="s">
        <v>96</v>
      </c>
      <c r="D27" s="45">
        <f>+D95</f>
        <v>68660</v>
      </c>
      <c r="E27" s="59">
        <f t="shared" si="0"/>
        <v>226970</v>
      </c>
    </row>
    <row r="28" spans="1:5" x14ac:dyDescent="0.3">
      <c r="B28" s="2">
        <v>5</v>
      </c>
      <c r="C28" s="35" t="s">
        <v>97</v>
      </c>
      <c r="D28" s="45">
        <f>+D119</f>
        <v>197500</v>
      </c>
      <c r="E28" s="59">
        <f t="shared" si="0"/>
        <v>652890</v>
      </c>
    </row>
    <row r="29" spans="1:5" x14ac:dyDescent="0.3">
      <c r="B29" s="2">
        <v>6</v>
      </c>
      <c r="C29" s="35" t="s">
        <v>98</v>
      </c>
      <c r="D29" s="45">
        <f>+D133</f>
        <v>94670</v>
      </c>
      <c r="E29" s="59">
        <f t="shared" si="0"/>
        <v>312960</v>
      </c>
    </row>
    <row r="30" spans="1:5" x14ac:dyDescent="0.3">
      <c r="B30" s="2">
        <v>7</v>
      </c>
      <c r="C30" s="35" t="s">
        <v>99</v>
      </c>
      <c r="D30" s="45">
        <f>+D146</f>
        <v>54080</v>
      </c>
      <c r="E30" s="59">
        <f t="shared" si="0"/>
        <v>178770</v>
      </c>
    </row>
    <row r="31" spans="1:5" x14ac:dyDescent="0.3">
      <c r="B31" s="2">
        <v>8</v>
      </c>
      <c r="C31" s="35" t="s">
        <v>100</v>
      </c>
      <c r="D31" s="45">
        <f>+D154</f>
        <v>15310</v>
      </c>
      <c r="E31" s="59">
        <f t="shared" si="0"/>
        <v>50610</v>
      </c>
    </row>
    <row r="32" spans="1:5" x14ac:dyDescent="0.3">
      <c r="B32" s="2">
        <v>9</v>
      </c>
      <c r="C32" s="35" t="s">
        <v>101</v>
      </c>
      <c r="D32" s="45">
        <f>+D161</f>
        <v>68040</v>
      </c>
      <c r="E32" s="59">
        <f t="shared" si="0"/>
        <v>224920</v>
      </c>
    </row>
    <row r="33" spans="1:7" x14ac:dyDescent="0.3">
      <c r="B33" s="2">
        <v>10</v>
      </c>
      <c r="C33" s="35" t="s">
        <v>155</v>
      </c>
      <c r="D33" s="53">
        <f>TRUNC(SUM(D24:D32)*0.275,-1)</f>
        <v>399000</v>
      </c>
      <c r="E33" s="60">
        <f t="shared" si="0"/>
        <v>1319010</v>
      </c>
    </row>
    <row r="34" spans="1:7" x14ac:dyDescent="0.3">
      <c r="C34" s="35" t="s">
        <v>112</v>
      </c>
      <c r="D34" s="44">
        <f>SUM(D24:D33)</f>
        <v>1849910</v>
      </c>
      <c r="E34" s="44">
        <f>SUM(E24:E33)</f>
        <v>6115390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265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TRUNC(51073,-1)</f>
        <v>51070</v>
      </c>
      <c r="E40" s="62">
        <f t="shared" ref="E40:E59" si="1">TRUNC(+D40*3.3058,-1)</f>
        <v>168820</v>
      </c>
    </row>
    <row r="41" spans="1:7" x14ac:dyDescent="0.3">
      <c r="A41" s="2">
        <v>2</v>
      </c>
      <c r="C41" s="38" t="s">
        <v>13</v>
      </c>
      <c r="D41" s="42">
        <f>TRUNC(125086,-1)</f>
        <v>125080</v>
      </c>
      <c r="E41" s="63">
        <f t="shared" si="1"/>
        <v>413480</v>
      </c>
    </row>
    <row r="42" spans="1:7" x14ac:dyDescent="0.3">
      <c r="A42" s="2">
        <v>3</v>
      </c>
      <c r="C42" s="38" t="s">
        <v>14</v>
      </c>
      <c r="D42" s="42">
        <f>TRUNC(10124,-1)</f>
        <v>10120</v>
      </c>
      <c r="E42" s="63">
        <f t="shared" si="1"/>
        <v>33450</v>
      </c>
    </row>
    <row r="43" spans="1:7" x14ac:dyDescent="0.3">
      <c r="A43" s="2">
        <v>4</v>
      </c>
      <c r="C43" s="38" t="s">
        <v>16</v>
      </c>
      <c r="D43" s="42">
        <f>TRUNC(22569,-1)</f>
        <v>22560</v>
      </c>
      <c r="E43" s="63">
        <f t="shared" si="1"/>
        <v>74570</v>
      </c>
    </row>
    <row r="44" spans="1:7" x14ac:dyDescent="0.3">
      <c r="A44" s="2">
        <v>5</v>
      </c>
      <c r="C44" s="38" t="s">
        <v>17</v>
      </c>
      <c r="D44" s="42">
        <f>TRUNC(18448,-1)</f>
        <v>18440</v>
      </c>
      <c r="E44" s="63">
        <f t="shared" si="1"/>
        <v>60950</v>
      </c>
    </row>
    <row r="45" spans="1:7" x14ac:dyDescent="0.3">
      <c r="A45" s="2">
        <v>6</v>
      </c>
      <c r="C45" s="38" t="s">
        <v>18</v>
      </c>
      <c r="D45" s="42">
        <f>TRUNC(3167,-1)</f>
        <v>3160</v>
      </c>
      <c r="E45" s="63">
        <f t="shared" si="1"/>
        <v>10440</v>
      </c>
    </row>
    <row r="46" spans="1:7" x14ac:dyDescent="0.3">
      <c r="A46" s="2">
        <v>7</v>
      </c>
      <c r="C46" s="38" t="s">
        <v>19</v>
      </c>
      <c r="D46" s="42">
        <f>TRUNC(18744,-1)</f>
        <v>18740</v>
      </c>
      <c r="E46" s="63">
        <f t="shared" si="1"/>
        <v>61950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TRUNC(134520,-1)</f>
        <v>134520</v>
      </c>
      <c r="E48" s="63">
        <f t="shared" si="1"/>
        <v>444690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TRUNC(28295,-1)</f>
        <v>28290</v>
      </c>
      <c r="E49" s="63">
        <f t="shared" si="1"/>
        <v>93520</v>
      </c>
    </row>
    <row r="50" spans="1:7" x14ac:dyDescent="0.3">
      <c r="A50" s="2">
        <v>11</v>
      </c>
      <c r="C50" s="38" t="s">
        <v>156</v>
      </c>
      <c r="D50" s="42">
        <f>TRUNC(63698,-1)</f>
        <v>63690</v>
      </c>
      <c r="E50" s="63">
        <f t="shared" si="1"/>
        <v>210540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TRUNC(10615,-1)</f>
        <v>10610</v>
      </c>
      <c r="E52" s="63">
        <f t="shared" si="1"/>
        <v>35070</v>
      </c>
    </row>
    <row r="53" spans="1:7" x14ac:dyDescent="0.3">
      <c r="A53" s="2">
        <v>14</v>
      </c>
      <c r="C53" s="38" t="s">
        <v>25</v>
      </c>
      <c r="D53" s="42">
        <f>TRUNC(87444,-1)</f>
        <v>87440</v>
      </c>
      <c r="E53" s="63">
        <f t="shared" si="1"/>
        <v>289050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TRUNC(6599+1037-716+9254,-1)</f>
        <v>16170</v>
      </c>
      <c r="E58" s="63">
        <f t="shared" si="1"/>
        <v>53450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TRUNC(287133,-1)</f>
        <v>287130</v>
      </c>
      <c r="E59" s="64">
        <f t="shared" si="1"/>
        <v>949190</v>
      </c>
    </row>
    <row r="60" spans="1:7" x14ac:dyDescent="0.3">
      <c r="A60" s="2">
        <v>21</v>
      </c>
      <c r="C60" s="27" t="s">
        <v>112</v>
      </c>
      <c r="D60" s="39">
        <f>SUM(D40:D59)</f>
        <v>877020</v>
      </c>
      <c r="E60" s="39">
        <f>SUM(E40:E59)</f>
        <v>2899170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TRUNC(2422,-1)</f>
        <v>2420</v>
      </c>
      <c r="E63" s="62">
        <f>TRUNC(+D63*3.3058,-1)</f>
        <v>8000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TRUNC(73219,-1)</f>
        <v>73210</v>
      </c>
      <c r="E65" s="64">
        <f>TRUNC(+D65*3.3058,-1)</f>
        <v>242010</v>
      </c>
    </row>
    <row r="66" spans="1:7" x14ac:dyDescent="0.3">
      <c r="A66" s="2">
        <v>4</v>
      </c>
      <c r="C66" s="27" t="s">
        <v>112</v>
      </c>
      <c r="D66" s="39">
        <f>SUM(D63:D65)</f>
        <v>75630</v>
      </c>
      <c r="E66" s="65">
        <f>SUM(E63:E65)</f>
        <v>250010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TRUNC(9043,-1)</f>
        <v>9040</v>
      </c>
      <c r="E69" s="62">
        <f t="shared" ref="E69:E94" si="2">TRUNC(+D69*3.3058,-1)</f>
        <v>29880</v>
      </c>
    </row>
    <row r="70" spans="1:7" ht="16.5" customHeight="1" x14ac:dyDescent="0.3">
      <c r="A70" s="2">
        <v>2</v>
      </c>
      <c r="C70" s="38" t="s">
        <v>31</v>
      </c>
      <c r="D70" s="42">
        <f>TRUNC(326,-1)</f>
        <v>320</v>
      </c>
      <c r="E70" s="63">
        <f t="shared" si="2"/>
        <v>1050</v>
      </c>
    </row>
    <row r="71" spans="1:7" x14ac:dyDescent="0.3">
      <c r="A71" s="2">
        <v>3</v>
      </c>
      <c r="C71" s="38" t="s">
        <v>32</v>
      </c>
      <c r="D71" s="42">
        <f>TRUNC(2414,-1)</f>
        <v>2410</v>
      </c>
      <c r="E71" s="63">
        <f t="shared" si="2"/>
        <v>7960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TRUNC(11948,-1)</f>
        <v>11940</v>
      </c>
      <c r="E73" s="63">
        <f t="shared" si="2"/>
        <v>39470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TRUNC(39932,-1)</f>
        <v>39930</v>
      </c>
      <c r="E76" s="63">
        <f t="shared" si="2"/>
        <v>132000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TRUNC(3364,-1)</f>
        <v>3360</v>
      </c>
      <c r="E91" s="63">
        <f t="shared" si="2"/>
        <v>11100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TRUNC(111+1553,-1)</f>
        <v>1660</v>
      </c>
      <c r="E94" s="64">
        <f t="shared" si="2"/>
        <v>5480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68660</v>
      </c>
      <c r="E95" s="39">
        <f>SUM(E69:E94)</f>
        <v>226940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TRUNC(3043,-1)</f>
        <v>3040</v>
      </c>
      <c r="E98" s="62">
        <f t="shared" ref="E98:E118" si="3">TRUNC(+D98*3.3058,-1)</f>
        <v>10040</v>
      </c>
    </row>
    <row r="99" spans="1:7" x14ac:dyDescent="0.3">
      <c r="A99" s="2">
        <v>2</v>
      </c>
      <c r="C99" s="38" t="s">
        <v>40</v>
      </c>
      <c r="D99" s="42">
        <f>TRUNC(17644,-1)</f>
        <v>17640</v>
      </c>
      <c r="E99" s="63">
        <f t="shared" si="3"/>
        <v>58310</v>
      </c>
    </row>
    <row r="100" spans="1:7" x14ac:dyDescent="0.3">
      <c r="A100" s="2">
        <v>3</v>
      </c>
      <c r="C100" s="38" t="s">
        <v>41</v>
      </c>
      <c r="D100" s="42">
        <f>TRUNC(20812,-1)</f>
        <v>20810</v>
      </c>
      <c r="E100" s="63">
        <f t="shared" si="3"/>
        <v>68790</v>
      </c>
    </row>
    <row r="101" spans="1:7" x14ac:dyDescent="0.3">
      <c r="A101" s="2">
        <v>4</v>
      </c>
      <c r="C101" s="38" t="s">
        <v>42</v>
      </c>
      <c r="D101" s="42">
        <f>TRUNC(2662,-1)</f>
        <v>2660</v>
      </c>
      <c r="E101" s="63">
        <f t="shared" si="3"/>
        <v>8790</v>
      </c>
    </row>
    <row r="102" spans="1:7" x14ac:dyDescent="0.3">
      <c r="A102" s="2">
        <v>5</v>
      </c>
      <c r="C102" s="38" t="s">
        <v>43</v>
      </c>
      <c r="D102" s="42">
        <f>TRUNC(7562,-1)</f>
        <v>7560</v>
      </c>
      <c r="E102" s="63">
        <f t="shared" si="3"/>
        <v>24990</v>
      </c>
    </row>
    <row r="103" spans="1:7" x14ac:dyDescent="0.3">
      <c r="A103" s="2">
        <v>6</v>
      </c>
      <c r="C103" s="38" t="s">
        <v>44</v>
      </c>
      <c r="D103" s="42">
        <f>TRUNC(3136,-1)</f>
        <v>3130</v>
      </c>
      <c r="E103" s="63">
        <f t="shared" si="3"/>
        <v>10340</v>
      </c>
    </row>
    <row r="104" spans="1:7" x14ac:dyDescent="0.3">
      <c r="A104" s="2">
        <v>7</v>
      </c>
      <c r="C104" s="38" t="s">
        <v>45</v>
      </c>
      <c r="D104" s="42">
        <f>TRUNC(3823,-1)</f>
        <v>3820</v>
      </c>
      <c r="E104" s="63">
        <f t="shared" si="3"/>
        <v>12620</v>
      </c>
    </row>
    <row r="105" spans="1:7" x14ac:dyDescent="0.3">
      <c r="A105" s="2">
        <v>8</v>
      </c>
      <c r="C105" s="38" t="s">
        <v>46</v>
      </c>
      <c r="D105" s="42">
        <f>TRUNC(3484,-1)</f>
        <v>3480</v>
      </c>
      <c r="E105" s="63">
        <f t="shared" si="3"/>
        <v>11500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TRUNC(135103,-1)</f>
        <v>135100</v>
      </c>
      <c r="E117" s="63">
        <f t="shared" si="3"/>
        <v>446610</v>
      </c>
    </row>
    <row r="118" spans="1:7" ht="17.25" thickBot="1" x14ac:dyDescent="0.35">
      <c r="A118" s="2">
        <v>21</v>
      </c>
      <c r="C118" s="38" t="s">
        <v>47</v>
      </c>
      <c r="D118" s="43">
        <f>TRUNC(267,-1)</f>
        <v>260</v>
      </c>
      <c r="E118" s="64">
        <f t="shared" si="3"/>
        <v>850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197500</v>
      </c>
      <c r="E119" s="39">
        <f>SUM(E98:E118)</f>
        <v>652840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TRUNC(2196,-1)</f>
        <v>2190</v>
      </c>
      <c r="E122" s="62">
        <f t="shared" ref="E122:E132" si="4">TRUNC(+D122*3.3058,-1)</f>
        <v>7230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TRUNC(3954,-1)</f>
        <v>3950</v>
      </c>
      <c r="E125" s="63">
        <f t="shared" si="4"/>
        <v>13050</v>
      </c>
    </row>
    <row r="126" spans="1:7" x14ac:dyDescent="0.3">
      <c r="A126" s="2">
        <v>5</v>
      </c>
      <c r="C126" s="38" t="s">
        <v>53</v>
      </c>
      <c r="D126" s="42">
        <f>TRUNC(1582,-1)</f>
        <v>1580</v>
      </c>
      <c r="E126" s="63">
        <f t="shared" si="4"/>
        <v>5220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TRUNC(2888,-1)</f>
        <v>2880</v>
      </c>
      <c r="E128" s="63">
        <f t="shared" si="4"/>
        <v>9520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TRUNC(5130,-1)</f>
        <v>5130</v>
      </c>
      <c r="E130" s="63">
        <f t="shared" si="4"/>
        <v>16950</v>
      </c>
    </row>
    <row r="131" spans="1:7" x14ac:dyDescent="0.3">
      <c r="A131" s="2">
        <v>10</v>
      </c>
      <c r="C131" s="38" t="s">
        <v>149</v>
      </c>
      <c r="D131" s="42">
        <f>TRUNC(72591,-1)</f>
        <v>72590</v>
      </c>
      <c r="E131" s="63">
        <f t="shared" si="4"/>
        <v>239960</v>
      </c>
    </row>
    <row r="132" spans="1:7" ht="18" thickBot="1" x14ac:dyDescent="0.35">
      <c r="A132" s="2">
        <v>11</v>
      </c>
      <c r="C132" s="38" t="s">
        <v>47</v>
      </c>
      <c r="D132" s="43">
        <f>TRUNC(1749+1751+2852,-1)</f>
        <v>6350</v>
      </c>
      <c r="E132" s="64">
        <f t="shared" si="4"/>
        <v>20990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94670</v>
      </c>
      <c r="E133" s="39">
        <f>SUM(E122:E132)</f>
        <v>312920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TRUNC(2538+1882+5197,-1)</f>
        <v>9610</v>
      </c>
      <c r="E137" s="63">
        <f t="shared" si="5"/>
        <v>31760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TRUNC(3089,-1)</f>
        <v>3080</v>
      </c>
      <c r="E139" s="63">
        <f t="shared" si="5"/>
        <v>10180</v>
      </c>
    </row>
    <row r="140" spans="1:7" x14ac:dyDescent="0.3">
      <c r="A140" s="2">
        <v>5</v>
      </c>
      <c r="C140" s="38" t="s">
        <v>57</v>
      </c>
      <c r="D140" s="42">
        <f>TRUNC(1653,-1)</f>
        <v>1650</v>
      </c>
      <c r="E140" s="63">
        <f t="shared" si="5"/>
        <v>5450</v>
      </c>
    </row>
    <row r="141" spans="1:7" x14ac:dyDescent="0.3">
      <c r="A141" s="2">
        <v>6</v>
      </c>
      <c r="C141" s="38" t="s">
        <v>59</v>
      </c>
      <c r="D141" s="42">
        <f>TRUNC(22509,-1)</f>
        <v>22500</v>
      </c>
      <c r="E141" s="63">
        <f t="shared" si="5"/>
        <v>74380</v>
      </c>
    </row>
    <row r="142" spans="1:7" x14ac:dyDescent="0.3">
      <c r="A142" s="2">
        <v>7</v>
      </c>
      <c r="C142" s="38" t="s">
        <v>58</v>
      </c>
      <c r="D142" s="42">
        <f>TRUNC(2606,-1)</f>
        <v>2600</v>
      </c>
      <c r="E142" s="63">
        <f t="shared" si="5"/>
        <v>8590</v>
      </c>
    </row>
    <row r="143" spans="1:7" x14ac:dyDescent="0.3">
      <c r="A143" s="2">
        <v>8</v>
      </c>
      <c r="C143" s="38" t="s">
        <v>62</v>
      </c>
      <c r="D143" s="42">
        <f>TRUNC(5669,-1)</f>
        <v>5660</v>
      </c>
      <c r="E143" s="63">
        <f t="shared" si="5"/>
        <v>18710</v>
      </c>
    </row>
    <row r="144" spans="1:7" x14ac:dyDescent="0.3">
      <c r="A144" s="2">
        <v>9</v>
      </c>
      <c r="C144" s="38" t="s">
        <v>63</v>
      </c>
      <c r="D144" s="42">
        <f>TRUNC(5623,-1)</f>
        <v>5620</v>
      </c>
      <c r="E144" s="63">
        <f t="shared" si="5"/>
        <v>18570</v>
      </c>
    </row>
    <row r="145" spans="1:7" ht="17.25" thickBot="1" x14ac:dyDescent="0.35">
      <c r="A145" s="2">
        <v>10</v>
      </c>
      <c r="C145" s="38" t="s">
        <v>149</v>
      </c>
      <c r="D145" s="43">
        <f>TRUNC(3369,-1)</f>
        <v>3360</v>
      </c>
      <c r="E145" s="64">
        <f t="shared" si="5"/>
        <v>11100</v>
      </c>
    </row>
    <row r="146" spans="1:7" x14ac:dyDescent="0.3">
      <c r="A146" s="2">
        <v>11</v>
      </c>
      <c r="C146" s="27" t="s">
        <v>112</v>
      </c>
      <c r="D146" s="39">
        <f>SUM(D136:D145)</f>
        <v>54080</v>
      </c>
      <c r="E146" s="39">
        <f>SUM(E136:E145)</f>
        <v>178740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TRUNC(2989+325,-1)</f>
        <v>3310</v>
      </c>
      <c r="E149" s="62">
        <f>TRUNC(+D149*3.3058,-1)</f>
        <v>10940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TRUNC(2045,-1)</f>
        <v>2040</v>
      </c>
      <c r="E150" s="63">
        <f>TRUNC(+D150*3.3058,-1)</f>
        <v>6740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TRUNC(4189+2655+3123,-1)</f>
        <v>9960</v>
      </c>
      <c r="E152" s="63">
        <f>TRUNC(+D152*3.3058,-1)</f>
        <v>32920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15310</v>
      </c>
      <c r="E154" s="39">
        <f>SUM(E149:E153)</f>
        <v>50600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TRUNC(25615,-1)</f>
        <v>25610</v>
      </c>
      <c r="E157" s="62">
        <f>TRUNC(+D157*3.3058,-1)</f>
        <v>84660</v>
      </c>
    </row>
    <row r="158" spans="1:7" x14ac:dyDescent="0.3">
      <c r="A158" s="2">
        <v>2</v>
      </c>
      <c r="C158" s="38" t="s">
        <v>52</v>
      </c>
      <c r="D158" s="42">
        <f>TRUNC(41160,-1)</f>
        <v>41160</v>
      </c>
      <c r="E158" s="63">
        <f>TRUNC(+D158*3.3058,-1)</f>
        <v>136060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TRUNC(1275,-1)</f>
        <v>1270</v>
      </c>
      <c r="E159" s="63">
        <f>TRUNC(+D159*3.3058,-1)</f>
        <v>4190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68040</v>
      </c>
      <c r="E161" s="39">
        <f>SUM(E157:E160)</f>
        <v>224910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2020-12-08T01:44:17Z</dcterms:modified>
</cp:coreProperties>
</file>