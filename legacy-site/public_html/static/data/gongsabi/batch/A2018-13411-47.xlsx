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60" i="4" l="1"/>
  <c r="D153" i="4"/>
  <c r="D131" i="4"/>
  <c r="D117" i="4"/>
  <c r="D93" i="4"/>
  <c r="D59" i="4"/>
  <c r="D58" i="4"/>
  <c r="D53" i="4"/>
  <c r="D52" i="4"/>
  <c r="D50" i="4"/>
  <c r="D49" i="4"/>
  <c r="D48" i="4"/>
  <c r="D46" i="4"/>
  <c r="D45" i="4"/>
  <c r="D44" i="4"/>
  <c r="D43" i="4"/>
  <c r="D42" i="4"/>
  <c r="D41" i="4"/>
  <c r="D40" i="4"/>
  <c r="D63" i="4"/>
  <c r="D94" i="4"/>
  <c r="D76" i="4"/>
  <c r="D92" i="4"/>
  <c r="D91" i="4"/>
  <c r="D89" i="4"/>
  <c r="D73" i="4"/>
  <c r="D72" i="4"/>
  <c r="D71" i="4"/>
  <c r="D70" i="4"/>
  <c r="D69" i="4"/>
  <c r="D102" i="4"/>
  <c r="D100" i="4"/>
  <c r="D99" i="4"/>
  <c r="D98" i="4"/>
  <c r="D114" i="4"/>
  <c r="D116" i="4"/>
  <c r="D105" i="4"/>
  <c r="D104" i="4"/>
  <c r="D103" i="4"/>
  <c r="D118" i="4"/>
  <c r="D132" i="4"/>
  <c r="D128" i="4"/>
  <c r="D127" i="4"/>
  <c r="D125" i="4"/>
  <c r="D122" i="4"/>
  <c r="D130" i="4"/>
  <c r="D126" i="4"/>
  <c r="D137" i="4"/>
  <c r="D144" i="4"/>
  <c r="D143" i="4"/>
  <c r="D139" i="4"/>
  <c r="D138" i="4"/>
  <c r="D141" i="4"/>
  <c r="D142" i="4"/>
  <c r="D140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60" i="4"/>
  <c r="E95" i="4"/>
  <c r="E119" i="4"/>
  <c r="E133" i="4"/>
  <c r="E146" i="4"/>
  <c r="E154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E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<sst xmlns="http://schemas.openxmlformats.org/spreadsheetml/2006/main" count="395" uniqueCount="270">
  <si>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</si>
  <si>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</si>
  <si>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</si>
  <si>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</si>
  <si>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</si>
  <si>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</si>
  <si>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</si>
  <si>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</si>
  <si>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</si>
  <si>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</si>
  <si>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</si>
  <si>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</si>
  <si>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</si>
  <si>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</si>
  <si>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</si>
  <si>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</si>
  <si>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</si>
  <si>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</si>
  <si>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</si>
  <si>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</si>
  <si>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</si>
  <si>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</si>
  <si>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</si>
  <si>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</si>
  <si>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</si>
  <si>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</si>
  <si>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</si>
  <si>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</si>
  <si>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</si>
  <si>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</si>
  <si>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</si>
  <si>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</si>
  <si>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</si>
  <si>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</si>
  <si>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</si>
  <si>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</si>
  <si>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</si>
  <si>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</si>
  <si>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</si>
  <si>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</si>
  <si>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</si>
  <si>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</si>
  <si>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</si>
  <si>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</si>
  <si>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</si>
  <si>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</si>
  <si>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</si>
  <si>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</si>
  <si>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</si>
  <si>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</si>
  <si>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</si>
  <si>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</si>
  <si>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</si>
  <si>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</si>
  <si>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</si>
  <si>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</si>
  <si>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</si>
  <si>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</si>
  <si>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</si>
  <si>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</si>
  <si>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</si>
  <si>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</si>
  <si>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</si>
  <si>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</si>
  <si>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</si>
  <si>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</si>
  <si>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</si>
  <si>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</si>
  <si>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</si>
  <si>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</si>
  <si>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</si>
  <si>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</si>
  <si>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</si>
  <si>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</si>
  <si>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</si>
  <si>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</si>
  <si>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</si>
  <si>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</si>
  <si>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</si>
  <si>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</si>
  <si>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</si>
  <si>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</si>
  <si>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</si>
  <si>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</si>
  <si>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</si>
  <si>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</si>
  <si>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</si>
  <si>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</si>
  <si>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</si>
  <si>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</si>
  <si>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</si>
  <si>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</si>
  <si>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</si>
  <si>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</si>
  <si>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</si>
  <si>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</si>
  <si>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</si>
  <si>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</si>
  <si>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</si>
  <si>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</si>
  <si>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</si>
  <si>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</si>
  <si>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</si>
  <si>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</si>
  <si>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</si>
  <si>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</si>
  <si>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</si>
  <si>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</si>
  <si>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</si>
  <si>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</si>
  <si>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</si>
  <si>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</si>
  <si>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</si>
  <si>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</si>
  <si>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</si>
  <si>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</si>
  <si>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</si>
  <si>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</si>
  <si>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</si>
  <si>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</si>
  <si>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</si>
  <si>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</si>
  <si>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</si>
  <si>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</si>
  <si>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</si>
  <si>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</si>
  <si>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</si>
  <si>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</si>
  <si>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</si>
  <si>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</si>
  <si>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</si>
  <si>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</si>
  <si>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</si>
  <si>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</si>
  <si>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</si>
  <si>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</si>
  <si>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</si>
  <si>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</si>
  <si>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</si>
  <si>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</si>
  <si>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</si>
  <si>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</si>
  <si>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</si>
  <si>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</si>
  <si>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</si>
  <si>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</si>
  <si>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</si>
  <si>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</si>
  <si>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</si>
  <si>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</si>
  <si>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</si>
  <si>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</si>
  <si>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</si>
  <si>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</si>
  <si>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</si>
  <si>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</si>
  <si>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</si>
  <si>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</si>
  <si>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</si>
  <si>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</si>
  <si>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</si>
  <si>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</si>
  <si>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</si>
  <si>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</si>
  <si>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</si>
  <si>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</si>
  <si>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</si>
  <si>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</si>
  <si>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</si>
  <si>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</si>
  <si>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</si>
  <si>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</si>
  <si>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</si>
  <si>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</si>
  <si>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</si>
  <si>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</si>
  <si>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</si>
  <si>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</si>
  <si>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</si>
  <si>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</si>
  <si>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</si>
  <si>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</si>
  <si>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</si>
  <si>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</si>
  <si>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</si>
  <si>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</si>
  <si>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</si>
  <si>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</si>
  <si>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</si>
  <si>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</si>
  <si>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</si>
  <si>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</si>
  <si>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</si>
  <si>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</si>
  <si>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</si>
  <si>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</si>
  <si>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</si>
  <si>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</si>
  <si>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</si>
  <si>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</si>
  <si>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</si>
  <si>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</si>
  <si>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</si>
  <si>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</si>
  <si>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</si>
  <si>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</si>
  <si>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</si>
  <si>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</si>
  <si>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</si>
  <si>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</si>
  <si>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</si>
  <si>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</si>
  <si>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</si>
  <si>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</si>
  <si>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</si>
  <si>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</si>
  <si>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</si>
  <si>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</si>
  <si>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</si>
  <si>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</si>
  <si>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</si>
  <si>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</si>
  <si>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</si>
  <si>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</si>
  <si>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</si>
  <si>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</si>
  <si>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</si>
  <si>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</si>
  <si>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</si>
  <si>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</si>
  <si>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</si>
  <si>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</si>
  <si>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</si>
  <si>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</si>
  <si>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</si>
  <si>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</si>
  <si>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</si>
  <si>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</si>
  <si>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</si>
  <si>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</si>
  <si>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</si>
  <si>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</si>
  <si>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</si>
  <si>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</si>
  <si>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</si>
  <si>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</si>
  <si>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</si>
  <si>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</si>
  <si>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청주시 흥덕구청사 건축공사</t>
    <phoneticPr fontId="2" type="noConversion"/>
  </si>
  <si>
    <t>업무</t>
  </si>
  <si>
    <t>충청도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</si>
  <si>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</si>
  <si>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</si>
  <si>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</si>
  <si>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해체및철거공사,골재비및운반비,작업부산물,품질시험비,기타공사</t>
    <phoneticPr fontId="2" type="noConversion"/>
  </si>
  <si>
    <t>난방배관공사,우수처리시설공사,기타공사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</si>
  <si>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</si>
  <si>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</si>
  <si>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</si>
  <si>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기타공사</t>
    <phoneticPr fontId="2" type="noConversion"/>
  </si>
  <si>
    <t>옥외소화배관공사,기타공사</t>
    <phoneticPr fontId="2" type="noConversion"/>
  </si>
  <si>
    <t>우수공사,오수공사</t>
    <phoneticPr fontId="2" type="noConversion"/>
  </si>
  <si>
    <t>운반비,기타공사</t>
    <phoneticPr fontId="2" type="noConversion"/>
  </si>
  <si>
    <t>조경시설물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</si>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</sst>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267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14174.43</v>
      </c>
      <c r="D7" s="36">
        <f>+C7/3.3058</f>
        <v>4287.7457801439896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268</v>
      </c>
    </row>
    <row r="19" spans="1:5" x14ac:dyDescent="0.3">
      <c r="A19" s="2">
        <v>9</v>
      </c>
      <c r="B19" s="2" t="s">
        <v>269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1533960</v>
      </c>
      <c r="E25" s="59">
        <f t="shared" si="0"/>
        <v>5070960</v>
      </c>
    </row>
    <row r="26" spans="1:5" x14ac:dyDescent="0.3">
      <c r="B26" s="2">
        <v>3</v>
      </c>
      <c r="C26" s="35" t="s">
        <v>95</v>
      </c>
      <c r="D26" s="45">
        <f>+D66</f>
        <v>90170</v>
      </c>
      <c r="E26" s="59">
        <f t="shared" si="0"/>
        <v>298080</v>
      </c>
    </row>
    <row r="27" spans="1:5" x14ac:dyDescent="0.3">
      <c r="B27" s="2">
        <v>4</v>
      </c>
      <c r="C27" s="35" t="s">
        <v>96</v>
      </c>
      <c r="D27" s="45">
        <f>+D95</f>
        <v>309090</v>
      </c>
      <c r="E27" s="59">
        <f t="shared" si="0"/>
        <v>1021780</v>
      </c>
    </row>
    <row r="28" spans="1:5" x14ac:dyDescent="0.3">
      <c r="B28" s="2">
        <v>5</v>
      </c>
      <c r="C28" s="35" t="s">
        <v>97</v>
      </c>
      <c r="D28" s="45">
        <f>+D119</f>
        <v>272510</v>
      </c>
      <c r="E28" s="59">
        <f t="shared" si="0"/>
        <v>900860</v>
      </c>
    </row>
    <row r="29" spans="1:5" x14ac:dyDescent="0.3">
      <c r="B29" s="2">
        <v>6</v>
      </c>
      <c r="C29" s="35" t="s">
        <v>98</v>
      </c>
      <c r="D29" s="45">
        <f>+D133</f>
        <v>352260</v>
      </c>
      <c r="E29" s="59">
        <f t="shared" si="0"/>
        <v>1164500</v>
      </c>
    </row>
    <row r="30" spans="1:5" x14ac:dyDescent="0.3">
      <c r="B30" s="2">
        <v>7</v>
      </c>
      <c r="C30" s="35" t="s">
        <v>99</v>
      </c>
      <c r="D30" s="45">
        <f>+D146</f>
        <v>93220</v>
      </c>
      <c r="E30" s="59">
        <f t="shared" si="0"/>
        <v>308160</v>
      </c>
    </row>
    <row r="31" spans="1:5" x14ac:dyDescent="0.3">
      <c r="B31" s="2">
        <v>8</v>
      </c>
      <c r="C31" s="35" t="s">
        <v>100</v>
      </c>
      <c r="D31" s="45">
        <f>+D154</f>
        <v>135560</v>
      </c>
      <c r="E31" s="59">
        <f t="shared" si="0"/>
        <v>448130</v>
      </c>
    </row>
    <row r="32" spans="1:5" x14ac:dyDescent="0.3">
      <c r="B32" s="2">
        <v>9</v>
      </c>
      <c r="C32" s="35" t="s">
        <v>101</v>
      </c>
      <c r="D32" s="45">
        <f>+D161</f>
        <v>51760</v>
      </c>
      <c r="E32" s="59">
        <f t="shared" si="0"/>
        <v>171100</v>
      </c>
    </row>
    <row r="33" spans="1:7" x14ac:dyDescent="0.3">
      <c r="B33" s="2">
        <v>10</v>
      </c>
      <c r="C33" s="35" t="s">
        <v>154</v>
      </c>
      <c r="D33" s="53">
        <f>TRUNC(SUM(D24:D32)*0.275,-1)</f>
        <v>780590</v>
      </c>
      <c r="E33" s="60">
        <f t="shared" si="0"/>
        <v>2580470</v>
      </c>
    </row>
    <row r="34" spans="1:7" x14ac:dyDescent="0.3">
      <c r="C34" s="35" t="s">
        <v>112</v>
      </c>
      <c r="D34" s="44">
        <f>SUM(D24:D33)</f>
        <v>3619120</v>
      </c>
      <c r="E34" s="44">
        <f>SUM(E24:E33)</f>
        <v>11964040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265</v>
      </c>
      <c r="E39" s="67" t="s">
        <v>266</v>
      </c>
      <c r="G39" s="68"/>
    </row>
    <row r="40" spans="1:7" x14ac:dyDescent="0.3">
      <c r="A40" s="2">
        <v>1</v>
      </c>
      <c r="C40" s="38" t="s">
        <v>15</v>
      </c>
      <c r="D40" s="40">
        <f>TRUNC(75249,-1)</f>
        <v>75240</v>
      </c>
      <c r="E40" s="62">
        <f t="shared" ref="E40:E59" si="1">TRUNC(+D40*3.3058,-1)</f>
        <v>248720</v>
      </c>
    </row>
    <row r="41" spans="1:7" x14ac:dyDescent="0.3">
      <c r="A41" s="2">
        <v>2</v>
      </c>
      <c r="C41" s="38" t="s">
        <v>13</v>
      </c>
      <c r="D41" s="42">
        <f>TRUNC(161185,-1)</f>
        <v>161180</v>
      </c>
      <c r="E41" s="63">
        <f t="shared" si="1"/>
        <v>532820</v>
      </c>
    </row>
    <row r="42" spans="1:7" x14ac:dyDescent="0.3">
      <c r="A42" s="2">
        <v>3</v>
      </c>
      <c r="C42" s="38" t="s">
        <v>14</v>
      </c>
      <c r="D42" s="42">
        <f>TRUNC(314035,-1)</f>
        <v>314030</v>
      </c>
      <c r="E42" s="63">
        <f t="shared" si="1"/>
        <v>1038120</v>
      </c>
    </row>
    <row r="43" spans="1:7" x14ac:dyDescent="0.3">
      <c r="A43" s="2">
        <v>4</v>
      </c>
      <c r="C43" s="38" t="s">
        <v>16</v>
      </c>
      <c r="D43" s="42">
        <f>TRUNC(13900,-1)</f>
        <v>13900</v>
      </c>
      <c r="E43" s="63">
        <f t="shared" si="1"/>
        <v>45950</v>
      </c>
    </row>
    <row r="44" spans="1:7" x14ac:dyDescent="0.3">
      <c r="A44" s="2">
        <v>5</v>
      </c>
      <c r="C44" s="38" t="s">
        <v>17</v>
      </c>
      <c r="D44" s="42">
        <f>TRUNC(32483,-1)</f>
        <v>32480</v>
      </c>
      <c r="E44" s="63">
        <f t="shared" si="1"/>
        <v>107370</v>
      </c>
    </row>
    <row r="45" spans="1:7" x14ac:dyDescent="0.3">
      <c r="A45" s="2">
        <v>6</v>
      </c>
      <c r="C45" s="38" t="s">
        <v>18</v>
      </c>
      <c r="D45" s="42">
        <f>TRUNC(3041,-1)</f>
        <v>3040</v>
      </c>
      <c r="E45" s="63">
        <f t="shared" si="1"/>
        <v>10040</v>
      </c>
    </row>
    <row r="46" spans="1:7" x14ac:dyDescent="0.3">
      <c r="A46" s="2">
        <v>7</v>
      </c>
      <c r="C46" s="38" t="s">
        <v>19</v>
      </c>
      <c r="D46" s="42">
        <f>TRUNC(148295,-1)</f>
        <v>148290</v>
      </c>
      <c r="E46" s="63">
        <f t="shared" si="1"/>
        <v>490210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TRUNC(43535,-1)</f>
        <v>43530</v>
      </c>
      <c r="E48" s="63">
        <f t="shared" si="1"/>
        <v>143900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TRUNC(16416,-1)</f>
        <v>16410</v>
      </c>
      <c r="E49" s="63">
        <f t="shared" si="1"/>
        <v>54240</v>
      </c>
    </row>
    <row r="50" spans="1:7" x14ac:dyDescent="0.3">
      <c r="A50" s="2">
        <v>11</v>
      </c>
      <c r="C50" s="38" t="s">
        <v>155</v>
      </c>
      <c r="D50" s="42">
        <f>TRUNC(58457,-1)</f>
        <v>58450</v>
      </c>
      <c r="E50" s="63">
        <f t="shared" si="1"/>
        <v>193220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TRUNC(21229,-1)</f>
        <v>21220</v>
      </c>
      <c r="E52" s="63">
        <f t="shared" si="1"/>
        <v>70140</v>
      </c>
    </row>
    <row r="53" spans="1:7" x14ac:dyDescent="0.3">
      <c r="A53" s="2">
        <v>14</v>
      </c>
      <c r="C53" s="38" t="s">
        <v>25</v>
      </c>
      <c r="D53" s="42">
        <f>TRUNC(193444,-1)</f>
        <v>193440</v>
      </c>
      <c r="E53" s="63">
        <f t="shared" si="1"/>
        <v>639470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TRUNC(1170+4137-1101+2822+38532,-1)</f>
        <v>45560</v>
      </c>
      <c r="E58" s="63">
        <f t="shared" si="1"/>
        <v>150610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TRUNC(407193,-1)</f>
        <v>407190</v>
      </c>
      <c r="E59" s="64">
        <f t="shared" si="1"/>
        <v>1346080</v>
      </c>
    </row>
    <row r="60" spans="1:7" x14ac:dyDescent="0.3">
      <c r="A60" s="2">
        <v>21</v>
      </c>
      <c r="C60" s="27" t="s">
        <v>112</v>
      </c>
      <c r="D60" s="39">
        <f>SUM(D40:D59)</f>
        <v>1533960</v>
      </c>
      <c r="E60" s="39">
        <f>SUM(E40:E59)</f>
        <v>5070890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TRUNC(90170,-1)</f>
        <v>90170</v>
      </c>
      <c r="E63" s="62">
        <f>TRUNC(+D63*3.3058,-1)</f>
        <v>298080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90170</v>
      </c>
      <c r="E66" s="65">
        <f>SUM(E63:E65)</f>
        <v>298080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TRUNC(6318,-1)</f>
        <v>6310</v>
      </c>
      <c r="E69" s="62">
        <f t="shared" ref="E69:E94" si="2">TRUNC(+D69*3.3058,-1)</f>
        <v>20850</v>
      </c>
    </row>
    <row r="70" spans="1:7" ht="16.5" customHeight="1" x14ac:dyDescent="0.3">
      <c r="A70" s="2">
        <v>2</v>
      </c>
      <c r="C70" s="38" t="s">
        <v>31</v>
      </c>
      <c r="D70" s="42">
        <f>TRUNC(887,-1)</f>
        <v>880</v>
      </c>
      <c r="E70" s="63">
        <f t="shared" si="2"/>
        <v>2900</v>
      </c>
    </row>
    <row r="71" spans="1:7" x14ac:dyDescent="0.3">
      <c r="A71" s="2">
        <v>3</v>
      </c>
      <c r="C71" s="38" t="s">
        <v>32</v>
      </c>
      <c r="D71" s="42">
        <f>TRUNC(3139,-1)</f>
        <v>3130</v>
      </c>
      <c r="E71" s="63">
        <f t="shared" si="2"/>
        <v>10340</v>
      </c>
    </row>
    <row r="72" spans="1:7" x14ac:dyDescent="0.3">
      <c r="A72" s="2">
        <v>4</v>
      </c>
      <c r="C72" s="38" t="s">
        <v>33</v>
      </c>
      <c r="D72" s="42">
        <f>TRUNC(2309,-1)</f>
        <v>2300</v>
      </c>
      <c r="E72" s="63">
        <f t="shared" si="2"/>
        <v>7600</v>
      </c>
    </row>
    <row r="73" spans="1:7" x14ac:dyDescent="0.3">
      <c r="A73" s="2">
        <v>5</v>
      </c>
      <c r="C73" s="38" t="s">
        <v>34</v>
      </c>
      <c r="D73" s="42">
        <f>TRUNC(13667,-1)</f>
        <v>13660</v>
      </c>
      <c r="E73" s="63">
        <f t="shared" si="2"/>
        <v>45150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f>TRUNC(71620,-1)</f>
        <v>71620</v>
      </c>
      <c r="E76" s="63">
        <f t="shared" si="2"/>
        <v>236760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TRUNC(7812,-1)</f>
        <v>7810</v>
      </c>
      <c r="E89" s="63">
        <f t="shared" si="2"/>
        <v>25810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TRUNC(11100,-1)</f>
        <v>11100</v>
      </c>
      <c r="E91" s="63">
        <f t="shared" si="2"/>
        <v>36690</v>
      </c>
    </row>
    <row r="92" spans="1:7" x14ac:dyDescent="0.3">
      <c r="A92" s="2">
        <v>24</v>
      </c>
      <c r="C92" s="38" t="s">
        <v>38</v>
      </c>
      <c r="D92" s="42">
        <f>TRUNC(10512,-1)</f>
        <v>10510</v>
      </c>
      <c r="E92" s="63">
        <f t="shared" si="2"/>
        <v>34740</v>
      </c>
    </row>
    <row r="93" spans="1:7" x14ac:dyDescent="0.3">
      <c r="A93" s="2">
        <v>25</v>
      </c>
      <c r="C93" s="38" t="s">
        <v>148</v>
      </c>
      <c r="D93" s="42">
        <f>TRUNC(148932,-1)</f>
        <v>148930</v>
      </c>
      <c r="E93" s="63">
        <f t="shared" si="2"/>
        <v>492330</v>
      </c>
    </row>
    <row r="94" spans="1:7" ht="17.25" thickBot="1" x14ac:dyDescent="0.35">
      <c r="A94" s="2">
        <v>26</v>
      </c>
      <c r="C94" s="38" t="s">
        <v>47</v>
      </c>
      <c r="D94" s="43">
        <f>TRUNC(24+12933+19889,-1)</f>
        <v>32840</v>
      </c>
      <c r="E94" s="64">
        <f t="shared" si="2"/>
        <v>108560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309090</v>
      </c>
      <c r="E95" s="39">
        <f>SUM(E69:E94)</f>
        <v>1021730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TRUNC(29645,-1)</f>
        <v>29640</v>
      </c>
      <c r="E98" s="62">
        <f t="shared" ref="E98:E118" si="3">TRUNC(+D98*3.3058,-1)</f>
        <v>97980</v>
      </c>
    </row>
    <row r="99" spans="1:7" x14ac:dyDescent="0.3">
      <c r="A99" s="2">
        <v>2</v>
      </c>
      <c r="C99" s="38" t="s">
        <v>40</v>
      </c>
      <c r="D99" s="42">
        <f>TRUNC(9114,-1)</f>
        <v>9110</v>
      </c>
      <c r="E99" s="63">
        <f t="shared" si="3"/>
        <v>30110</v>
      </c>
    </row>
    <row r="100" spans="1:7" x14ac:dyDescent="0.3">
      <c r="A100" s="2">
        <v>3</v>
      </c>
      <c r="C100" s="38" t="s">
        <v>41</v>
      </c>
      <c r="D100" s="42">
        <f>TRUNC(41822,-1)</f>
        <v>41820</v>
      </c>
      <c r="E100" s="63">
        <f t="shared" si="3"/>
        <v>138240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TRUNC(21151,-1)</f>
        <v>21150</v>
      </c>
      <c r="E102" s="63">
        <f t="shared" si="3"/>
        <v>69910</v>
      </c>
    </row>
    <row r="103" spans="1:7" x14ac:dyDescent="0.3">
      <c r="A103" s="2">
        <v>6</v>
      </c>
      <c r="C103" s="38" t="s">
        <v>44</v>
      </c>
      <c r="D103" s="42">
        <f>TRUNC(8585,-1)</f>
        <v>8580</v>
      </c>
      <c r="E103" s="63">
        <f t="shared" si="3"/>
        <v>28360</v>
      </c>
    </row>
    <row r="104" spans="1:7" x14ac:dyDescent="0.3">
      <c r="A104" s="2">
        <v>7</v>
      </c>
      <c r="C104" s="38" t="s">
        <v>45</v>
      </c>
      <c r="D104" s="42">
        <f>TRUNC(3042,-1)</f>
        <v>3040</v>
      </c>
      <c r="E104" s="63">
        <f t="shared" si="3"/>
        <v>10040</v>
      </c>
    </row>
    <row r="105" spans="1:7" x14ac:dyDescent="0.3">
      <c r="A105" s="2">
        <v>8</v>
      </c>
      <c r="C105" s="38" t="s">
        <v>46</v>
      </c>
      <c r="D105" s="42">
        <f>TRUNC(19988,-1)</f>
        <v>19980</v>
      </c>
      <c r="E105" s="63">
        <f t="shared" si="3"/>
        <v>66040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TRUNC(8134,-1)</f>
        <v>8130</v>
      </c>
      <c r="E114" s="63">
        <f t="shared" si="3"/>
        <v>26870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TRUNC(6644,-1)</f>
        <v>6640</v>
      </c>
      <c r="E116" s="63">
        <f t="shared" si="3"/>
        <v>21950</v>
      </c>
      <c r="F116" s="2" t="s">
        <v>256</v>
      </c>
    </row>
    <row r="117" spans="1:7" x14ac:dyDescent="0.3">
      <c r="A117" s="2">
        <v>20</v>
      </c>
      <c r="C117" s="38" t="s">
        <v>148</v>
      </c>
      <c r="D117" s="42">
        <f>TRUNC(116822,-1)</f>
        <v>116820</v>
      </c>
      <c r="E117" s="63">
        <f t="shared" si="3"/>
        <v>386180</v>
      </c>
    </row>
    <row r="118" spans="1:7" ht="17.25" thickBot="1" x14ac:dyDescent="0.35">
      <c r="A118" s="2">
        <v>21</v>
      </c>
      <c r="C118" s="38" t="s">
        <v>47</v>
      </c>
      <c r="D118" s="43">
        <f>TRUNC(7607,-1)</f>
        <v>7600</v>
      </c>
      <c r="E118" s="64">
        <f t="shared" si="3"/>
        <v>25120</v>
      </c>
      <c r="F118" s="2" t="s">
        <v>257</v>
      </c>
    </row>
    <row r="119" spans="1:7" x14ac:dyDescent="0.3">
      <c r="A119" s="2">
        <v>22</v>
      </c>
      <c r="C119" s="27" t="s">
        <v>112</v>
      </c>
      <c r="D119" s="39">
        <f>SUM(D98:D118)</f>
        <v>272510</v>
      </c>
      <c r="E119" s="39">
        <f>SUM(E98:E118)</f>
        <v>900800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TRUNC(6065,-1)</f>
        <v>6060</v>
      </c>
      <c r="E122" s="62">
        <f t="shared" ref="E122:E132" si="4">TRUNC(+D122*3.3058,-1)</f>
        <v>20030</v>
      </c>
      <c r="F122" s="2" t="s">
        <v>258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TRUNC(14992,-1)</f>
        <v>14990</v>
      </c>
      <c r="E125" s="63">
        <f t="shared" si="4"/>
        <v>49550</v>
      </c>
    </row>
    <row r="126" spans="1:7" x14ac:dyDescent="0.3">
      <c r="A126" s="2">
        <v>5</v>
      </c>
      <c r="C126" s="38" t="s">
        <v>53</v>
      </c>
      <c r="D126" s="42">
        <f>TRUNC(8363,-1)</f>
        <v>8360</v>
      </c>
      <c r="E126" s="63">
        <f t="shared" si="4"/>
        <v>27630</v>
      </c>
    </row>
    <row r="127" spans="1:7" x14ac:dyDescent="0.3">
      <c r="A127" s="2">
        <v>6</v>
      </c>
      <c r="C127" s="38" t="s">
        <v>56</v>
      </c>
      <c r="D127" s="42">
        <f>TRUNC(18588,-1)</f>
        <v>18580</v>
      </c>
      <c r="E127" s="63">
        <f t="shared" si="4"/>
        <v>61420</v>
      </c>
    </row>
    <row r="128" spans="1:7" x14ac:dyDescent="0.3">
      <c r="A128" s="2">
        <v>7</v>
      </c>
      <c r="C128" s="38" t="s">
        <v>46</v>
      </c>
      <c r="D128" s="42">
        <f>TRUNC(7903,-1)</f>
        <v>7900</v>
      </c>
      <c r="E128" s="63">
        <f t="shared" si="4"/>
        <v>26110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TRUNC(41808,-1)</f>
        <v>41800</v>
      </c>
      <c r="E130" s="63">
        <f t="shared" si="4"/>
        <v>138180</v>
      </c>
    </row>
    <row r="131" spans="1:7" x14ac:dyDescent="0.3">
      <c r="A131" s="2">
        <v>10</v>
      </c>
      <c r="C131" s="38" t="s">
        <v>148</v>
      </c>
      <c r="D131" s="42">
        <f>TRUNC(254194,-1)</f>
        <v>254190</v>
      </c>
      <c r="E131" s="63">
        <f t="shared" si="4"/>
        <v>840300</v>
      </c>
    </row>
    <row r="132" spans="1:7" ht="18" thickBot="1" x14ac:dyDescent="0.35">
      <c r="A132" s="2">
        <v>11</v>
      </c>
      <c r="C132" s="38" t="s">
        <v>47</v>
      </c>
      <c r="D132" s="43">
        <f>TRUNC(388,-1)</f>
        <v>380</v>
      </c>
      <c r="E132" s="64">
        <f t="shared" si="4"/>
        <v>1250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352260</v>
      </c>
      <c r="E133" s="39">
        <f>SUM(E122:E132)</f>
        <v>1164470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TRUNC(235+390,-1)</f>
        <v>620</v>
      </c>
      <c r="E137" s="63">
        <f t="shared" si="5"/>
        <v>2040</v>
      </c>
      <c r="F137" s="2" t="s">
        <v>260</v>
      </c>
    </row>
    <row r="138" spans="1:7" x14ac:dyDescent="0.3">
      <c r="A138" s="2">
        <v>3</v>
      </c>
      <c r="C138" s="38" t="s">
        <v>60</v>
      </c>
      <c r="D138" s="42">
        <f>TRUNC(3370,-1)</f>
        <v>3370</v>
      </c>
      <c r="E138" s="63">
        <f t="shared" si="5"/>
        <v>11140</v>
      </c>
    </row>
    <row r="139" spans="1:7" x14ac:dyDescent="0.3">
      <c r="A139" s="2">
        <v>4</v>
      </c>
      <c r="C139" s="38" t="s">
        <v>61</v>
      </c>
      <c r="D139" s="42">
        <f>TRUNC(5050,-1)</f>
        <v>5050</v>
      </c>
      <c r="E139" s="63">
        <f t="shared" si="5"/>
        <v>16690</v>
      </c>
    </row>
    <row r="140" spans="1:7" x14ac:dyDescent="0.3">
      <c r="A140" s="2">
        <v>5</v>
      </c>
      <c r="C140" s="38" t="s">
        <v>57</v>
      </c>
      <c r="D140" s="42">
        <f>TRUNC(1645,-1)</f>
        <v>1640</v>
      </c>
      <c r="E140" s="63">
        <f t="shared" si="5"/>
        <v>5420</v>
      </c>
    </row>
    <row r="141" spans="1:7" x14ac:dyDescent="0.3">
      <c r="A141" s="2">
        <v>6</v>
      </c>
      <c r="C141" s="38" t="s">
        <v>59</v>
      </c>
      <c r="D141" s="42">
        <f>TRUNC(56164,-1)</f>
        <v>56160</v>
      </c>
      <c r="E141" s="63">
        <f t="shared" si="5"/>
        <v>185650</v>
      </c>
    </row>
    <row r="142" spans="1:7" x14ac:dyDescent="0.3">
      <c r="A142" s="2">
        <v>7</v>
      </c>
      <c r="C142" s="38" t="s">
        <v>58</v>
      </c>
      <c r="D142" s="42">
        <f>TRUNC(10920,-1)</f>
        <v>10920</v>
      </c>
      <c r="E142" s="63">
        <f t="shared" si="5"/>
        <v>36090</v>
      </c>
    </row>
    <row r="143" spans="1:7" x14ac:dyDescent="0.3">
      <c r="A143" s="2">
        <v>8</v>
      </c>
      <c r="C143" s="38" t="s">
        <v>62</v>
      </c>
      <c r="D143" s="42">
        <f>TRUNC(8239,-1)</f>
        <v>8230</v>
      </c>
      <c r="E143" s="63">
        <f t="shared" si="5"/>
        <v>27200</v>
      </c>
    </row>
    <row r="144" spans="1:7" x14ac:dyDescent="0.3">
      <c r="A144" s="2">
        <v>9</v>
      </c>
      <c r="C144" s="38" t="s">
        <v>63</v>
      </c>
      <c r="D144" s="42">
        <f>TRUNC(7237,-1)</f>
        <v>7230</v>
      </c>
      <c r="E144" s="63">
        <f t="shared" si="5"/>
        <v>23900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93220</v>
      </c>
      <c r="E146" s="39">
        <f>SUM(E136:E145)</f>
        <v>308130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TRUNC(11004+1883,-1)</f>
        <v>12880</v>
      </c>
      <c r="E149" s="62">
        <f>TRUNC(+D149*3.3058,-1)</f>
        <v>42570</v>
      </c>
      <c r="F149" s="2" t="s">
        <v>261</v>
      </c>
    </row>
    <row r="150" spans="1:7" x14ac:dyDescent="0.3">
      <c r="A150" s="2">
        <v>2</v>
      </c>
      <c r="C150" s="38" t="s">
        <v>49</v>
      </c>
      <c r="D150" s="42">
        <f>TRUNC(31302,-1)</f>
        <v>31300</v>
      </c>
      <c r="E150" s="63">
        <f>TRUNC(+D150*3.3058,-1)</f>
        <v>103470</v>
      </c>
    </row>
    <row r="151" spans="1:7" x14ac:dyDescent="0.3">
      <c r="A151" s="2">
        <v>3</v>
      </c>
      <c r="C151" s="38" t="s">
        <v>50</v>
      </c>
      <c r="D151" s="42">
        <f>TRUNC(14341,-1)</f>
        <v>14340</v>
      </c>
      <c r="E151" s="63">
        <f>TRUNC(+D151*3.3058,-1)</f>
        <v>47400</v>
      </c>
    </row>
    <row r="152" spans="1:7" x14ac:dyDescent="0.3">
      <c r="A152" s="2">
        <v>4</v>
      </c>
      <c r="C152" s="38" t="s">
        <v>47</v>
      </c>
      <c r="D152" s="42">
        <f>TRUNC(368+7418,-1)</f>
        <v>7780</v>
      </c>
      <c r="E152" s="63">
        <f>TRUNC(+D152*3.3058,-1)</f>
        <v>25710</v>
      </c>
      <c r="F152" s="2" t="s">
        <v>262</v>
      </c>
    </row>
    <row r="153" spans="1:7" ht="17.25" thickBot="1" x14ac:dyDescent="0.35">
      <c r="A153" s="2">
        <v>5</v>
      </c>
      <c r="C153" s="38" t="s">
        <v>148</v>
      </c>
      <c r="D153" s="43">
        <f>TRUNC(69264,-1)</f>
        <v>69260</v>
      </c>
      <c r="E153" s="64">
        <f>TRUNC(+D153*3.3058,-1)</f>
        <v>228950</v>
      </c>
    </row>
    <row r="154" spans="1:7" x14ac:dyDescent="0.3">
      <c r="A154" s="2">
        <v>6</v>
      </c>
      <c r="C154" s="27" t="s">
        <v>112</v>
      </c>
      <c r="D154" s="39">
        <f>SUM(D149:D153)</f>
        <v>135560</v>
      </c>
      <c r="E154" s="39">
        <f>SUM(E149:E153)</f>
        <v>448100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TRUNC(24134,-1)</f>
        <v>24130</v>
      </c>
      <c r="E157" s="62">
        <f>TRUNC(+D157*3.3058,-1)</f>
        <v>79760</v>
      </c>
    </row>
    <row r="158" spans="1:7" x14ac:dyDescent="0.3">
      <c r="A158" s="2">
        <v>2</v>
      </c>
      <c r="C158" s="38" t="s">
        <v>52</v>
      </c>
      <c r="D158" s="42">
        <f>TRUNC(8498,-1)</f>
        <v>8490</v>
      </c>
      <c r="E158" s="63">
        <f>TRUNC(+D158*3.3058,-1)</f>
        <v>28060</v>
      </c>
      <c r="F158" s="2" t="s">
        <v>263</v>
      </c>
    </row>
    <row r="159" spans="1:7" x14ac:dyDescent="0.3">
      <c r="A159" s="2">
        <v>3</v>
      </c>
      <c r="C159" s="38" t="s">
        <v>47</v>
      </c>
      <c r="D159" s="42">
        <f>TRUNC(5075+1355,-1)</f>
        <v>6430</v>
      </c>
      <c r="E159" s="63">
        <f>TRUNC(+D159*3.3058,-1)</f>
        <v>21250</v>
      </c>
      <c r="F159" s="2" t="s">
        <v>264</v>
      </c>
    </row>
    <row r="160" spans="1:7" ht="17.25" thickBot="1" x14ac:dyDescent="0.35">
      <c r="A160" s="2">
        <v>4</v>
      </c>
      <c r="C160" s="38" t="s">
        <v>148</v>
      </c>
      <c r="D160" s="43">
        <f>TRUNC(12718,-1)</f>
        <v>12710</v>
      </c>
      <c r="E160" s="64">
        <f>TRUNC(+D160*3.3058,-1)</f>
        <v>42010</v>
      </c>
    </row>
    <row r="161" spans="1:5" x14ac:dyDescent="0.3">
      <c r="A161" s="2">
        <v>5</v>
      </c>
      <c r="C161" s="27" t="s">
        <v>112</v>
      </c>
      <c r="D161" s="39">
        <f>SUM(D157:D160)</f>
        <v>51760</v>
      </c>
      <c r="E161" s="39">
        <f>SUM(E157:E160)</f>
        <v>171080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2020-12-08T04:02:12Z</dcterms:modified>
</cp:coreProperties>
</file>