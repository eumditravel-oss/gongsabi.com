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61" i="4" s="1"/>
  <c r="D152" i="4"/>
  <c r="D151" i="4"/>
  <c r="D150" i="4"/>
  <c r="D149" i="4"/>
  <c r="D154" i="4" s="1"/>
  <c r="D144" i="4"/>
  <c r="D143" i="4"/>
  <c r="D142" i="4"/>
  <c r="D140" i="4"/>
  <c r="D139" i="4"/>
  <c r="D137" i="4"/>
  <c r="D132" i="4"/>
  <c r="D130" i="4"/>
  <c r="D128" i="4"/>
  <c r="D127" i="4"/>
  <c r="D126" i="4"/>
  <c r="D125" i="4"/>
  <c r="D124" i="4"/>
  <c r="D122" i="4"/>
  <c r="D118" i="4"/>
  <c r="D116" i="4"/>
  <c r="D114" i="4"/>
  <c r="D105" i="4"/>
  <c r="D104" i="4"/>
  <c r="D102" i="4"/>
  <c r="D99" i="4"/>
  <c r="D98" i="4"/>
  <c r="D92" i="4"/>
  <c r="D91" i="4"/>
  <c r="D90" i="4"/>
  <c r="D89" i="4"/>
  <c r="D73" i="4"/>
  <c r="D71" i="4"/>
  <c r="D70" i="4"/>
  <c r="D69" i="4"/>
  <c r="D65" i="4"/>
  <c r="D63" i="4"/>
  <c r="D66" i="4" s="1"/>
  <c r="D58" i="4"/>
  <c r="D53" i="4"/>
  <c r="D52" i="4"/>
  <c r="D50" i="4"/>
  <c r="D49" i="4"/>
  <c r="D48" i="4"/>
  <c r="D46" i="4"/>
  <c r="D45" i="4"/>
  <c r="D44" i="4"/>
  <c r="D43" i="4"/>
  <c r="D41" i="4"/>
  <c r="D40" i="4"/>
  <c r="D60" i="4" s="1"/>
  <c r="D94" i="4"/>
  <c r="D95" i="4" l="1"/>
  <c r="D119" i="4"/>
  <c r="D133" i="4"/>
  <c r="E160" i="4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32" i="4"/>
  <c r="E32" i="4" s="1"/>
  <c r="D146" i="4"/>
  <c r="D30" i="4" s="1"/>
  <c r="E30" i="4" s="1"/>
  <c r="D29" i="4"/>
  <c r="E29" i="4" s="1"/>
  <c r="D28" i="4"/>
  <c r="E28" i="4" s="1"/>
  <c r="D27" i="4"/>
  <c r="E27" i="4" s="1"/>
  <c r="D26" i="4"/>
  <c r="E26" i="4" s="1"/>
  <c r="D25" i="4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<sst xmlns="http://schemas.openxmlformats.org/spreadsheetml/2006/main" count="393" uniqueCount="269">
  <si>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</si>
  <si>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</si>
  <si>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</si>
  <si>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</si>
  <si>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</si>
  <si>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</si>
  <si>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</si>
  <si>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</si>
  <si>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</si>
  <si>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</si>
  <si>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</si>
  <si>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</si>
  <si>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</si>
  <si>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</si>
  <si>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</si>
  <si>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</si>
  <si>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</si>
  <si>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</si>
  <si>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</si>
  <si>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</si>
  <si>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</si>
  <si>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</si>
  <si>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</si>
  <si>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</si>
  <si>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</si>
  <si>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</si>
  <si>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</si>
  <si>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</si>
  <si>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</si>
  <si>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</si>
  <si>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</si>
  <si>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</si>
  <si>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</si>
  <si>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</si>
  <si>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</si>
  <si>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</si>
  <si>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</si>
  <si>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</si>
  <si>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</si>
  <si>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</si>
  <si>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</si>
  <si>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</si>
  <si>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</si>
  <si>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</si>
  <si>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</si>
  <si>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</si>
  <si>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</si>
  <si>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</si>
  <si>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</si>
  <si>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</si>
  <si>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</si>
  <si>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</si>
  <si>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</si>
  <si>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</si>
  <si>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</si>
  <si>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</si>
  <si>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</si>
  <si>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</si>
  <si>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</si>
  <si>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</si>
  <si>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</si>
  <si>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</si>
  <si>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</si>
  <si>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</si>
  <si>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</si>
  <si>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</si>
  <si>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</si>
  <si>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</si>
  <si>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</si>
  <si>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</si>
  <si>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</si>
  <si>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</si>
  <si>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</si>
  <si>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</si>
  <si>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</si>
  <si>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</si>
  <si>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</si>
  <si>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</si>
  <si>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</si>
  <si>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</si>
  <si>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</si>
  <si>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</si>
  <si>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</si>
  <si>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</si>
  <si>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</si>
  <si>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</si>
  <si>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</si>
  <si>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</si>
  <si>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</si>
  <si>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</si>
  <si>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</si>
  <si>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</si>
  <si>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</si>
  <si>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</si>
  <si>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</si>
  <si>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</si>
  <si>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</si>
  <si>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</si>
  <si>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</si>
  <si>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</si>
  <si>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</si>
  <si>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</si>
  <si>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</si>
  <si>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</si>
  <si>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</si>
  <si>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</si>
  <si>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</si>
  <si>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</si>
  <si>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</si>
  <si>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</si>
  <si>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</si>
  <si>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</si>
  <si>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</si>
  <si>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</si>
  <si>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</si>
  <si>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</si>
  <si>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</si>
  <si>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</si>
  <si>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</si>
  <si>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</si>
  <si>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</si>
  <si>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</si>
  <si>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</si>
  <si>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</si>
  <si>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</si>
  <si>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</si>
  <si>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</si>
  <si>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</si>
  <si>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</si>
  <si>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</si>
  <si>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</si>
  <si>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</si>
  <si>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</si>
  <si>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</si>
  <si>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</si>
  <si>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</si>
  <si>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</si>
  <si>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</si>
  <si>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</si>
  <si>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</si>
  <si>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</si>
  <si>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</si>
  <si>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</si>
  <si>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</si>
  <si>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</si>
  <si>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</si>
  <si>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</si>
  <si>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</si>
  <si>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</si>
  <si>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</si>
  <si>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</si>
  <si>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</si>
  <si>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</si>
  <si>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</si>
  <si>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</si>
  <si>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</si>
  <si>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</si>
  <si>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</si>
  <si>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</si>
  <si>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</si>
  <si>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</si>
  <si>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</si>
  <si>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</si>
  <si>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</si>
  <si>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</si>
  <si>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</si>
  <si>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</si>
  <si>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</si>
  <si>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</si>
  <si>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</si>
  <si>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</si>
  <si>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</si>
  <si>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</si>
  <si>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</si>
  <si>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</si>
  <si>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</si>
  <si>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</si>
  <si>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</si>
  <si>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</si>
  <si>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</si>
  <si>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</si>
  <si>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</si>
  <si>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</si>
  <si>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</si>
  <si>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</si>
  <si>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</si>
  <si>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</si>
  <si>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</si>
  <si>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</si>
  <si>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</si>
  <si>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</si>
  <si>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</si>
  <si>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</si>
  <si>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</si>
  <si>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</si>
  <si>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</si>
  <si>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</si>
  <si>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</si>
  <si>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</si>
  <si>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</si>
  <si>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</si>
  <si>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</si>
  <si>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</si>
  <si>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</si>
  <si>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</si>
  <si>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</si>
  <si>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</si>
  <si>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</si>
  <si>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</si>
  <si>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</si>
  <si>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</si>
  <si>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</si>
  <si>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</si>
  <si>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</si>
  <si>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</si>
  <si>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</si>
  <si>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</si>
  <si>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</si>
  <si>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</si>
  <si>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</si>
  <si>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</si>
  <si>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</si>
  <si>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</si>
  <si>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</si>
  <si>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</si>
  <si>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</si>
  <si>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</si>
  <si>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</si>
  <si>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</si>
  <si>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</si>
  <si>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</si>
  <si>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</si>
  <si>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</si>
  <si>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</si>
  <si>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</si>
  <si>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</si>
  <si>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</si>
  <si>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</si>
  <si>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</si>
  <si>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</si>
  <si>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</si>
  <si>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</si>
  <si>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</si>
  <si>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</si>
  <si>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</si>
  <si>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</si>
  <si>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</si>
  <si>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</si>
  <si>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</si>
  <si>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</si>
  <si>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</si>
  <si>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</si>
  <si>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</si>
  <si>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</si>
  <si>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</si>
  <si>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서울서부광역등기소 신축공사</t>
    <phoneticPr fontId="2" type="noConversion"/>
  </si>
  <si>
    <t>서울</t>
  </si>
  <si>
    <t>골재비및운반비, 작업부산물, 품질시험비, 기타공사</t>
    <phoneticPr fontId="2" type="noConversion"/>
  </si>
  <si>
    <t>난방배관공사, 우수처리시설공사, 바닥난방공사, 기타공사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</si>
  <si>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</si>
  <si>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</si>
  <si>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 xml:space="preserve"> 상수도공사, 사급자재비, 운반비, 기타공사</t>
    <phoneticPr fontId="2" type="noConversion"/>
  </si>
  <si>
    <t>포장공사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</si>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</sst>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4856.9799999999996</v>
      </c>
      <c r="D7" s="36">
        <f>+C7/3.3058</f>
        <v>1469.2298384657267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510320</v>
      </c>
      <c r="E25" s="59">
        <f t="shared" si="0"/>
        <v>1687010</v>
      </c>
    </row>
    <row r="26" spans="1:5" x14ac:dyDescent="0.3">
      <c r="B26" s="2">
        <v>3</v>
      </c>
      <c r="C26" s="35" t="s">
        <v>95</v>
      </c>
      <c r="D26" s="45">
        <f>+D66</f>
        <v>102100</v>
      </c>
      <c r="E26" s="59">
        <f t="shared" si="0"/>
        <v>337520</v>
      </c>
    </row>
    <row r="27" spans="1:5" x14ac:dyDescent="0.3">
      <c r="B27" s="2">
        <v>4</v>
      </c>
      <c r="C27" s="35" t="s">
        <v>96</v>
      </c>
      <c r="D27" s="45">
        <f>+D95</f>
        <v>160090</v>
      </c>
      <c r="E27" s="59">
        <f t="shared" si="0"/>
        <v>529220</v>
      </c>
    </row>
    <row r="28" spans="1:5" x14ac:dyDescent="0.3">
      <c r="B28" s="2">
        <v>5</v>
      </c>
      <c r="C28" s="35" t="s">
        <v>97</v>
      </c>
      <c r="D28" s="45">
        <f>+D119</f>
        <v>108540</v>
      </c>
      <c r="E28" s="59">
        <f t="shared" si="0"/>
        <v>358810</v>
      </c>
    </row>
    <row r="29" spans="1:5" x14ac:dyDescent="0.3">
      <c r="B29" s="2">
        <v>6</v>
      </c>
      <c r="C29" s="35" t="s">
        <v>98</v>
      </c>
      <c r="D29" s="45">
        <f>+D133</f>
        <v>52630</v>
      </c>
      <c r="E29" s="59">
        <f t="shared" si="0"/>
        <v>173980</v>
      </c>
    </row>
    <row r="30" spans="1:5" x14ac:dyDescent="0.3">
      <c r="B30" s="2">
        <v>7</v>
      </c>
      <c r="C30" s="35" t="s">
        <v>99</v>
      </c>
      <c r="D30" s="45">
        <f>+D146</f>
        <v>68590</v>
      </c>
      <c r="E30" s="59">
        <f t="shared" si="0"/>
        <v>226740</v>
      </c>
    </row>
    <row r="31" spans="1:5" x14ac:dyDescent="0.3">
      <c r="B31" s="2">
        <v>8</v>
      </c>
      <c r="C31" s="35" t="s">
        <v>100</v>
      </c>
      <c r="D31" s="45">
        <f>+D154</f>
        <v>4980</v>
      </c>
      <c r="E31" s="59">
        <f t="shared" si="0"/>
        <v>16460</v>
      </c>
    </row>
    <row r="32" spans="1:5" x14ac:dyDescent="0.3">
      <c r="B32" s="2">
        <v>9</v>
      </c>
      <c r="C32" s="35" t="s">
        <v>101</v>
      </c>
      <c r="D32" s="45">
        <f>+D161</f>
        <v>19260</v>
      </c>
      <c r="E32" s="59">
        <f t="shared" si="0"/>
        <v>63660</v>
      </c>
    </row>
    <row r="33" spans="1:7" x14ac:dyDescent="0.3">
      <c r="B33" s="2">
        <v>10</v>
      </c>
      <c r="C33" s="35" t="s">
        <v>154</v>
      </c>
      <c r="D33" s="53">
        <f>TRUNC(SUM(D24:D32)*0.275,-1)</f>
        <v>282290</v>
      </c>
      <c r="E33" s="60">
        <f t="shared" si="0"/>
        <v>933190</v>
      </c>
    </row>
    <row r="34" spans="1:7" x14ac:dyDescent="0.3">
      <c r="C34" s="35" t="s">
        <v>112</v>
      </c>
      <c r="D34" s="44">
        <f>SUM(D24:D33)</f>
        <v>1308800</v>
      </c>
      <c r="E34" s="44">
        <f>SUM(E24:E33)</f>
        <v>4326590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TRUNC(56085,-1)</f>
        <v>56080</v>
      </c>
      <c r="E40" s="62">
        <f t="shared" ref="E40:E59" si="1">TRUNC(+D40*3.3058,-1)</f>
        <v>185380</v>
      </c>
    </row>
    <row r="41" spans="1:7" x14ac:dyDescent="0.3">
      <c r="A41" s="2">
        <v>2</v>
      </c>
      <c r="C41" s="38" t="s">
        <v>13</v>
      </c>
      <c r="D41" s="42">
        <f>TRUNC(145933,-1)</f>
        <v>145930</v>
      </c>
      <c r="E41" s="63">
        <f t="shared" si="1"/>
        <v>482410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TRUNC(29034,-1)</f>
        <v>29030</v>
      </c>
      <c r="E43" s="63">
        <f t="shared" si="1"/>
        <v>95960</v>
      </c>
    </row>
    <row r="44" spans="1:7" x14ac:dyDescent="0.3">
      <c r="A44" s="2">
        <v>5</v>
      </c>
      <c r="C44" s="38" t="s">
        <v>17</v>
      </c>
      <c r="D44" s="42">
        <f>TRUNC(29621,-1)</f>
        <v>29620</v>
      </c>
      <c r="E44" s="63">
        <f t="shared" si="1"/>
        <v>97910</v>
      </c>
    </row>
    <row r="45" spans="1:7" x14ac:dyDescent="0.3">
      <c r="A45" s="2">
        <v>6</v>
      </c>
      <c r="C45" s="38" t="s">
        <v>18</v>
      </c>
      <c r="D45" s="42">
        <f>TRUNC(5745,-1)</f>
        <v>5740</v>
      </c>
      <c r="E45" s="63">
        <f t="shared" si="1"/>
        <v>18970</v>
      </c>
    </row>
    <row r="46" spans="1:7" x14ac:dyDescent="0.3">
      <c r="A46" s="2">
        <v>7</v>
      </c>
      <c r="C46" s="38" t="s">
        <v>19</v>
      </c>
      <c r="D46" s="42">
        <f>TRUNC(44316,-1)</f>
        <v>44310</v>
      </c>
      <c r="E46" s="63">
        <f t="shared" si="1"/>
        <v>146470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TRUNC(22213,-1)</f>
        <v>22210</v>
      </c>
      <c r="E48" s="63">
        <f t="shared" si="1"/>
        <v>73420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TRUNC(16542,-1)</f>
        <v>16540</v>
      </c>
      <c r="E49" s="63">
        <f t="shared" si="1"/>
        <v>54670</v>
      </c>
    </row>
    <row r="50" spans="1:7" x14ac:dyDescent="0.3">
      <c r="A50" s="2">
        <v>11</v>
      </c>
      <c r="C50" s="38" t="s">
        <v>155</v>
      </c>
      <c r="D50" s="42">
        <f>TRUNC(36409,-1)</f>
        <v>36400</v>
      </c>
      <c r="E50" s="63">
        <f t="shared" si="1"/>
        <v>120330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TRUNC(16984,-1)</f>
        <v>16980</v>
      </c>
      <c r="E52" s="63">
        <f t="shared" si="1"/>
        <v>56130</v>
      </c>
    </row>
    <row r="53" spans="1:7" x14ac:dyDescent="0.3">
      <c r="A53" s="2">
        <v>14</v>
      </c>
      <c r="C53" s="38" t="s">
        <v>25</v>
      </c>
      <c r="D53" s="42">
        <f>TRUNC(72587,-1)</f>
        <v>72580</v>
      </c>
      <c r="E53" s="63">
        <f t="shared" si="1"/>
        <v>239930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TRUNC(2729-562+1476+31265,-1)</f>
        <v>34900</v>
      </c>
      <c r="E58" s="63">
        <f t="shared" si="1"/>
        <v>115370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510320</v>
      </c>
      <c r="E60" s="39">
        <f>SUM(E40:E59)</f>
        <v>1686950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TRUNC(32272,-1)</f>
        <v>32270</v>
      </c>
      <c r="E63" s="62">
        <f>TRUNC(+D63*3.3058,-1)</f>
        <v>106670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TRUNC(69834,-1)</f>
        <v>69830</v>
      </c>
      <c r="E65" s="64">
        <f>TRUNC(+D65*3.3058,-1)</f>
        <v>230840</v>
      </c>
    </row>
    <row r="66" spans="1:7" x14ac:dyDescent="0.3">
      <c r="A66" s="2">
        <v>4</v>
      </c>
      <c r="C66" s="27" t="s">
        <v>112</v>
      </c>
      <c r="D66" s="39">
        <f>SUM(D63:D65)</f>
        <v>102100</v>
      </c>
      <c r="E66" s="65">
        <f>SUM(E63:E65)</f>
        <v>337510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TRUNC(65622,-1)</f>
        <v>65620</v>
      </c>
      <c r="E69" s="62">
        <f t="shared" ref="E69:E94" si="2">TRUNC(+D69*3.3058,-1)</f>
        <v>216920</v>
      </c>
    </row>
    <row r="70" spans="1:7" ht="16.5" customHeight="1" x14ac:dyDescent="0.3">
      <c r="A70" s="2">
        <v>2</v>
      </c>
      <c r="C70" s="38" t="s">
        <v>31</v>
      </c>
      <c r="D70" s="42">
        <f>TRUNC(185,-1)</f>
        <v>180</v>
      </c>
      <c r="E70" s="63">
        <f t="shared" si="2"/>
        <v>590</v>
      </c>
    </row>
    <row r="71" spans="1:7" x14ac:dyDescent="0.3">
      <c r="A71" s="2">
        <v>3</v>
      </c>
      <c r="C71" s="38" t="s">
        <v>32</v>
      </c>
      <c r="D71" s="42">
        <f>TRUNC(14823,-1)</f>
        <v>14820</v>
      </c>
      <c r="E71" s="63">
        <f t="shared" si="2"/>
        <v>48990</v>
      </c>
    </row>
    <row r="72" spans="1:7" x14ac:dyDescent="0.3">
      <c r="A72" s="2">
        <v>4</v>
      </c>
      <c r="C72" s="38" t="s">
        <v>33</v>
      </c>
      <c r="D72" s="42">
        <v>5770</v>
      </c>
      <c r="E72" s="63">
        <f t="shared" si="2"/>
        <v>19070</v>
      </c>
    </row>
    <row r="73" spans="1:7" x14ac:dyDescent="0.3">
      <c r="A73" s="2">
        <v>5</v>
      </c>
      <c r="C73" s="38" t="s">
        <v>34</v>
      </c>
      <c r="D73" s="42">
        <f>TRUNC(10624,-1)</f>
        <v>10620</v>
      </c>
      <c r="E73" s="63">
        <f t="shared" si="2"/>
        <v>35100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TRUNC(17869,-1)</f>
        <v>17860</v>
      </c>
      <c r="E89" s="63">
        <f t="shared" si="2"/>
        <v>59040</v>
      </c>
    </row>
    <row r="90" spans="1:7" x14ac:dyDescent="0.3">
      <c r="A90" s="2">
        <v>22</v>
      </c>
      <c r="C90" s="38" t="s">
        <v>36</v>
      </c>
      <c r="D90" s="42">
        <f>TRUNC(6413,-1)</f>
        <v>6410</v>
      </c>
      <c r="E90" s="63">
        <f t="shared" si="2"/>
        <v>21190</v>
      </c>
    </row>
    <row r="91" spans="1:7" x14ac:dyDescent="0.3">
      <c r="A91" s="2">
        <v>23</v>
      </c>
      <c r="C91" s="38" t="s">
        <v>37</v>
      </c>
      <c r="D91" s="42">
        <f>TRUNC(11682,-1)</f>
        <v>11680</v>
      </c>
      <c r="E91" s="63">
        <f t="shared" si="2"/>
        <v>38610</v>
      </c>
    </row>
    <row r="92" spans="1:7" x14ac:dyDescent="0.3">
      <c r="A92" s="2">
        <v>24</v>
      </c>
      <c r="C92" s="38" t="s">
        <v>38</v>
      </c>
      <c r="D92" s="42">
        <f>TRUNC(4625,-1)</f>
        <v>4620</v>
      </c>
      <c r="E92" s="63">
        <f t="shared" si="2"/>
        <v>15270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4338+9037+660+8475</f>
        <v>22510</v>
      </c>
      <c r="E94" s="64">
        <f t="shared" si="2"/>
        <v>74410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160090</v>
      </c>
      <c r="E95" s="39">
        <f>SUM(E69:E94)</f>
        <v>529190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TRUNC(14338,-1)</f>
        <v>14330</v>
      </c>
      <c r="E98" s="62">
        <f t="shared" ref="E98:E118" si="3">TRUNC(+D98*3.3058,-1)</f>
        <v>47370</v>
      </c>
    </row>
    <row r="99" spans="1:7" x14ac:dyDescent="0.3">
      <c r="A99" s="2">
        <v>2</v>
      </c>
      <c r="C99" s="38" t="s">
        <v>40</v>
      </c>
      <c r="D99" s="42">
        <f>TRUNC(18751,-1)</f>
        <v>18750</v>
      </c>
      <c r="E99" s="63">
        <f t="shared" si="3"/>
        <v>61980</v>
      </c>
    </row>
    <row r="100" spans="1:7" x14ac:dyDescent="0.3">
      <c r="A100" s="2">
        <v>3</v>
      </c>
      <c r="C100" s="38" t="s">
        <v>41</v>
      </c>
      <c r="D100" s="42">
        <v>32720</v>
      </c>
      <c r="E100" s="63">
        <f t="shared" si="3"/>
        <v>108160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TRUNC(22152,-1)</f>
        <v>22150</v>
      </c>
      <c r="E102" s="63">
        <f t="shared" si="3"/>
        <v>73220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TRUNC(6388,-1)</f>
        <v>6380</v>
      </c>
      <c r="E104" s="63">
        <f t="shared" si="3"/>
        <v>21090</v>
      </c>
    </row>
    <row r="105" spans="1:7" x14ac:dyDescent="0.3">
      <c r="A105" s="2">
        <v>8</v>
      </c>
      <c r="C105" s="38" t="s">
        <v>46</v>
      </c>
      <c r="D105" s="42">
        <f>TRUNC(4727,-1)</f>
        <v>4720</v>
      </c>
      <c r="E105" s="63">
        <f t="shared" si="3"/>
        <v>15600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TRUNC(2142,-1)</f>
        <v>2140</v>
      </c>
      <c r="E114" s="63">
        <f t="shared" si="3"/>
        <v>7070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TRUNC(5259,-1)</f>
        <v>5250</v>
      </c>
      <c r="E116" s="63">
        <f t="shared" si="3"/>
        <v>17350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TRUNC(2101,-1)</f>
        <v>2100</v>
      </c>
      <c r="E118" s="64">
        <f t="shared" si="3"/>
        <v>6940</v>
      </c>
    </row>
    <row r="119" spans="1:7" x14ac:dyDescent="0.3">
      <c r="A119" s="2">
        <v>22</v>
      </c>
      <c r="C119" s="27" t="s">
        <v>112</v>
      </c>
      <c r="D119" s="39">
        <f>SUM(D98:D118)</f>
        <v>108540</v>
      </c>
      <c r="E119" s="39">
        <f>SUM(E98:E118)</f>
        <v>358780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TRUNC(4254,-1)</f>
        <v>4250</v>
      </c>
      <c r="E122" s="62">
        <f t="shared" ref="E122:E132" si="4">TRUNC(+D122*3.3058,-1)</f>
        <v>14040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TRUNC(1085,-1)</f>
        <v>1080</v>
      </c>
      <c r="E124" s="63">
        <f t="shared" si="4"/>
        <v>3570</v>
      </c>
    </row>
    <row r="125" spans="1:7" x14ac:dyDescent="0.3">
      <c r="A125" s="2">
        <v>4</v>
      </c>
      <c r="C125" s="38" t="s">
        <v>138</v>
      </c>
      <c r="D125" s="42">
        <f>TRUNC(6528,-1)</f>
        <v>6520</v>
      </c>
      <c r="E125" s="63">
        <f t="shared" si="4"/>
        <v>21550</v>
      </c>
    </row>
    <row r="126" spans="1:7" x14ac:dyDescent="0.3">
      <c r="A126" s="2">
        <v>5</v>
      </c>
      <c r="C126" s="38" t="s">
        <v>53</v>
      </c>
      <c r="D126" s="42">
        <f>TRUNC(2285,-1)</f>
        <v>2280</v>
      </c>
      <c r="E126" s="63">
        <f t="shared" si="4"/>
        <v>7530</v>
      </c>
    </row>
    <row r="127" spans="1:7" x14ac:dyDescent="0.3">
      <c r="A127" s="2">
        <v>6</v>
      </c>
      <c r="C127" s="38" t="s">
        <v>56</v>
      </c>
      <c r="D127" s="42">
        <f>TRUNC(7122,-1)</f>
        <v>7120</v>
      </c>
      <c r="E127" s="63">
        <f t="shared" si="4"/>
        <v>23530</v>
      </c>
    </row>
    <row r="128" spans="1:7" x14ac:dyDescent="0.3">
      <c r="A128" s="2">
        <v>7</v>
      </c>
      <c r="C128" s="38" t="s">
        <v>46</v>
      </c>
      <c r="D128" s="42">
        <f>TRUNC(2783,-1)</f>
        <v>2780</v>
      </c>
      <c r="E128" s="63">
        <f t="shared" si="4"/>
        <v>9190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TRUNC(26089,-1)</f>
        <v>26080</v>
      </c>
      <c r="E130" s="63">
        <f t="shared" si="4"/>
        <v>86210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TRUNC(2251+271,-1)</f>
        <v>2520</v>
      </c>
      <c r="E132" s="64">
        <f t="shared" si="4"/>
        <v>8330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52630</v>
      </c>
      <c r="E133" s="39">
        <f>SUM(E122:E132)</f>
        <v>173950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TRUNC(5793+271,-1)</f>
        <v>6060</v>
      </c>
      <c r="E137" s="63">
        <f t="shared" si="5"/>
        <v>20030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TRUNC(2877,-1)</f>
        <v>2870</v>
      </c>
      <c r="E139" s="63">
        <f t="shared" si="5"/>
        <v>9480</v>
      </c>
    </row>
    <row r="140" spans="1:7" x14ac:dyDescent="0.3">
      <c r="A140" s="2">
        <v>5</v>
      </c>
      <c r="C140" s="38" t="s">
        <v>57</v>
      </c>
      <c r="D140" s="42">
        <f>TRUNC(2368,-1)</f>
        <v>2360</v>
      </c>
      <c r="E140" s="63">
        <f t="shared" si="5"/>
        <v>7800</v>
      </c>
    </row>
    <row r="141" spans="1:7" x14ac:dyDescent="0.3">
      <c r="A141" s="2">
        <v>6</v>
      </c>
      <c r="C141" s="38" t="s">
        <v>59</v>
      </c>
      <c r="D141" s="42">
        <v>23430</v>
      </c>
      <c r="E141" s="63">
        <f t="shared" si="5"/>
        <v>77450</v>
      </c>
    </row>
    <row r="142" spans="1:7" x14ac:dyDescent="0.3">
      <c r="A142" s="2">
        <v>7</v>
      </c>
      <c r="C142" s="38" t="s">
        <v>58</v>
      </c>
      <c r="D142" s="42">
        <f>TRUNC(6313,-1)</f>
        <v>6310</v>
      </c>
      <c r="E142" s="63">
        <f t="shared" si="5"/>
        <v>20850</v>
      </c>
    </row>
    <row r="143" spans="1:7" x14ac:dyDescent="0.3">
      <c r="A143" s="2">
        <v>8</v>
      </c>
      <c r="C143" s="38" t="s">
        <v>62</v>
      </c>
      <c r="D143" s="42">
        <f>TRUNC(4648,-1)</f>
        <v>4640</v>
      </c>
      <c r="E143" s="63">
        <f t="shared" si="5"/>
        <v>15330</v>
      </c>
    </row>
    <row r="144" spans="1:7" x14ac:dyDescent="0.3">
      <c r="A144" s="2">
        <v>9</v>
      </c>
      <c r="C144" s="38" t="s">
        <v>63</v>
      </c>
      <c r="D144" s="42">
        <f>TRUNC(22922,-1)</f>
        <v>22920</v>
      </c>
      <c r="E144" s="63">
        <f t="shared" si="5"/>
        <v>75760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68590</v>
      </c>
      <c r="E146" s="39">
        <f>SUM(E136:E145)</f>
        <v>226700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TRUNC(1980+263,-1)</f>
        <v>2240</v>
      </c>
      <c r="E149" s="62">
        <f>TRUNC(+D149*3.3058,-1)</f>
        <v>7400</v>
      </c>
    </row>
    <row r="150" spans="1:7" x14ac:dyDescent="0.3">
      <c r="A150" s="2">
        <v>2</v>
      </c>
      <c r="C150" s="38" t="s">
        <v>49</v>
      </c>
      <c r="D150" s="42">
        <f>TRUNC(519,-1)</f>
        <v>510</v>
      </c>
      <c r="E150" s="63">
        <f>TRUNC(+D150*3.3058,-1)</f>
        <v>1680</v>
      </c>
    </row>
    <row r="151" spans="1:7" x14ac:dyDescent="0.3">
      <c r="A151" s="2">
        <v>3</v>
      </c>
      <c r="C151" s="38" t="s">
        <v>50</v>
      </c>
      <c r="D151" s="42">
        <f>TRUNC(1263,-1)</f>
        <v>1260</v>
      </c>
      <c r="E151" s="63">
        <f>TRUNC(+D151*3.3058,-1)</f>
        <v>4160</v>
      </c>
    </row>
    <row r="152" spans="1:7" x14ac:dyDescent="0.3">
      <c r="A152" s="2">
        <v>4</v>
      </c>
      <c r="C152" s="38" t="s">
        <v>47</v>
      </c>
      <c r="D152" s="42">
        <f>TRUNC(159+657+87+69,-1)</f>
        <v>970</v>
      </c>
      <c r="E152" s="63">
        <f>TRUNC(+D152*3.3058,-1)</f>
        <v>3200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4980</v>
      </c>
      <c r="E154" s="39">
        <f>SUM(E149:E153)</f>
        <v>16440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TRUNC(5923,-1)</f>
        <v>5920</v>
      </c>
      <c r="E157" s="62">
        <f>TRUNC(+D157*3.3058,-1)</f>
        <v>19570</v>
      </c>
    </row>
    <row r="158" spans="1:7" x14ac:dyDescent="0.3">
      <c r="A158" s="2">
        <v>2</v>
      </c>
      <c r="C158" s="38" t="s">
        <v>52</v>
      </c>
      <c r="D158" s="42">
        <f>TRUNC(7558,-1)</f>
        <v>7550</v>
      </c>
      <c r="E158" s="63">
        <f>TRUNC(+D158*3.3058,-1)</f>
        <v>24950</v>
      </c>
    </row>
    <row r="159" spans="1:7" x14ac:dyDescent="0.3">
      <c r="A159" s="2">
        <v>3</v>
      </c>
      <c r="C159" s="38" t="s">
        <v>47</v>
      </c>
      <c r="D159" s="42">
        <f>TRUNC(5799,-1)</f>
        <v>5790</v>
      </c>
      <c r="E159" s="63">
        <f>TRUNC(+D159*3.3058,-1)</f>
        <v>19140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19260</v>
      </c>
      <c r="E161" s="39">
        <f>SUM(E157:E160)</f>
        <v>63660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2020-12-08T01:45:41Z</dcterms:modified>
</cp:coreProperties>
</file>