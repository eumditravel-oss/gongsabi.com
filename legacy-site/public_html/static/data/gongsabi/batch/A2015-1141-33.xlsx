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4" i="4"/>
  <c r="D143" i="4"/>
  <c r="D142" i="4"/>
  <c r="D141" i="4"/>
  <c r="D140" i="4"/>
  <c r="D137" i="4"/>
  <c r="D132" i="4"/>
  <c r="D128" i="4"/>
  <c r="D126" i="4"/>
  <c r="D125" i="4"/>
  <c r="D122" i="4"/>
  <c r="D118" i="4"/>
  <c r="D117" i="4"/>
  <c r="D116" i="4"/>
  <c r="D114" i="4"/>
  <c r="D105" i="4"/>
  <c r="D104" i="4"/>
  <c r="D103" i="4"/>
  <c r="D102" i="4"/>
  <c r="D100" i="4"/>
  <c r="D99" i="4"/>
  <c r="D98" i="4"/>
  <c r="D94" i="4"/>
  <c r="D92" i="4"/>
  <c r="D91" i="4"/>
  <c r="D90" i="4"/>
  <c r="D89" i="4"/>
  <c r="D76" i="4"/>
  <c r="D75" i="4"/>
  <c r="D73" i="4"/>
  <c r="D72" i="4"/>
  <c r="D71" i="4"/>
  <c r="D69" i="4"/>
  <c r="D65" i="4"/>
  <c r="D63" i="4"/>
  <c r="D59" i="4"/>
  <c r="D58" i="4"/>
  <c r="D53" i="4"/>
  <c r="D52" i="4"/>
  <c r="D50" i="4"/>
  <c r="D49" i="4"/>
  <c r="D48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<sst xmlns="http://schemas.openxmlformats.org/spreadsheetml/2006/main" count="393" uniqueCount="269">
  <si>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</si>
  <si>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</si>
  <si>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</si>
  <si>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</si>
  <si>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</si>
  <si>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</si>
  <si>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</si>
  <si>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</si>
  <si>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</si>
  <si>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</si>
  <si>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</si>
  <si>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</si>
  <si>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</si>
  <si>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</si>
  <si>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</si>
  <si>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</si>
  <si>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</si>
  <si>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</si>
  <si>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</si>
  <si>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</si>
  <si>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</si>
  <si>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</si>
  <si>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</si>
  <si>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</si>
  <si>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</si>
  <si>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</si>
  <si>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</si>
  <si>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</si>
  <si>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</si>
  <si>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</si>
  <si>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</si>
  <si>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</si>
  <si>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</si>
  <si>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</si>
  <si>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</si>
  <si>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</si>
  <si>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</si>
  <si>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</si>
  <si>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</si>
  <si>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</si>
  <si>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</si>
  <si>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</si>
  <si>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</si>
  <si>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</si>
  <si>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</si>
  <si>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</si>
  <si>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</si>
  <si>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</si>
  <si>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</si>
  <si>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</si>
  <si>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</si>
  <si>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</si>
  <si>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</si>
  <si>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</si>
  <si>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</si>
  <si>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</si>
  <si>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</si>
  <si>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</si>
  <si>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</si>
  <si>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</si>
  <si>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</si>
  <si>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</si>
  <si>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</si>
  <si>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</si>
  <si>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</si>
  <si>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</si>
  <si>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</si>
  <si>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</si>
  <si>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</si>
  <si>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</si>
  <si>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</si>
  <si>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</si>
  <si>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</si>
  <si>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</si>
  <si>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</si>
  <si>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</si>
  <si>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</si>
  <si>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</si>
  <si>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</si>
  <si>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</si>
  <si>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</si>
  <si>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</si>
  <si>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</si>
  <si>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</si>
  <si>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</si>
  <si>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</si>
  <si>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</si>
  <si>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</si>
  <si>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</si>
  <si>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</si>
  <si>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</si>
  <si>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</si>
  <si>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</si>
  <si>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</si>
  <si>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</si>
  <si>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</si>
  <si>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</si>
  <si>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</si>
  <si>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</si>
  <si>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</si>
  <si>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</si>
  <si>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</si>
  <si>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</si>
  <si>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</si>
  <si>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</si>
  <si>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</si>
  <si>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</si>
  <si>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</si>
  <si>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</si>
  <si>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</si>
  <si>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</si>
  <si>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</si>
  <si>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</si>
  <si>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</si>
  <si>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</si>
  <si>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</si>
  <si>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</si>
  <si>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</si>
  <si>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</si>
  <si>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</si>
  <si>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</si>
  <si>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</si>
  <si>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</si>
  <si>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</si>
  <si>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</si>
  <si>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</si>
  <si>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</si>
  <si>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</si>
  <si>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</si>
  <si>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</si>
  <si>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</si>
  <si>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</si>
  <si>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</si>
  <si>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</si>
  <si>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</si>
  <si>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</si>
  <si>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</si>
  <si>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</si>
  <si>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</si>
  <si>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</si>
  <si>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</si>
  <si>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</si>
  <si>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</si>
  <si>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</si>
  <si>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</si>
  <si>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</si>
  <si>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</si>
  <si>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</si>
  <si>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</si>
  <si>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</si>
  <si>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</si>
  <si>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</si>
  <si>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</si>
  <si>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</si>
  <si>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</si>
  <si>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</si>
  <si>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</si>
  <si>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</si>
  <si>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</si>
  <si>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</si>
  <si>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</si>
  <si>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</si>
  <si>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</si>
  <si>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</si>
  <si>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</si>
  <si>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</si>
  <si>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</si>
  <si>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</si>
  <si>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</si>
  <si>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</si>
  <si>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</si>
  <si>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</si>
  <si>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</si>
  <si>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</si>
  <si>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</si>
  <si>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</si>
  <si>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</si>
  <si>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</si>
  <si>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</si>
  <si>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</si>
  <si>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</si>
  <si>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</si>
  <si>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</si>
  <si>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</si>
  <si>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</si>
  <si>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</si>
  <si>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</si>
  <si>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</si>
  <si>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</si>
  <si>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</si>
  <si>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</si>
  <si>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</si>
  <si>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</si>
  <si>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</si>
  <si>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</si>
  <si>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</si>
  <si>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</si>
  <si>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</si>
  <si>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</si>
  <si>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</si>
  <si>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</si>
  <si>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</si>
  <si>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</si>
  <si>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</si>
  <si>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</si>
  <si>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</si>
  <si>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</si>
  <si>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</si>
  <si>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</si>
  <si>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</si>
  <si>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</si>
  <si>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</si>
  <si>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</si>
  <si>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</si>
  <si>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</si>
  <si>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</si>
  <si>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</si>
  <si>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</si>
  <si>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</si>
  <si>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</si>
  <si>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</si>
  <si>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</si>
  <si>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</si>
  <si>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</si>
  <si>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</si>
  <si>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</si>
  <si>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</si>
  <si>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</si>
  <si>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</si>
  <si>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</si>
  <si>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</si>
  <si>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</si>
  <si>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</si>
  <si>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</si>
  <si>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</si>
  <si>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</si>
  <si>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</si>
  <si>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</si>
  <si>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</si>
  <si>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</si>
  <si>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</si>
  <si>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</si>
  <si>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</si>
  <si>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</si>
  <si>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</si>
  <si>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</si>
  <si>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</si>
  <si>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</si>
  <si>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</si>
  <si>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</si>
  <si>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</si>
  <si>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</si>
  <si>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</si>
  <si>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</si>
  <si>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</si>
  <si>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</si>
  <si>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</si>
  <si>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서울과학기술대학교 산학협력연구동 신축공사</t>
    <phoneticPr fontId="2" type="noConversion"/>
  </si>
  <si>
    <t>서울</t>
  </si>
  <si>
    <t>기초공사, 골재비및운반비, 작업부산물, 품질시험비, 기타공사</t>
    <phoneticPr fontId="2" type="noConversion"/>
  </si>
  <si>
    <t>우수처리시설공사,기타공사</t>
    <phoneticPr fontId="2" type="noConversion"/>
  </si>
  <si>
    <t>옥외보안등설비공사</t>
    <phoneticPr fontId="2" type="noConversion"/>
  </si>
  <si>
    <t>원격검침 설비공사</t>
    <phoneticPr fontId="2" type="noConversion"/>
  </si>
  <si>
    <t>옥외소화배관공사, 펌프실배관공사, 제연덕트설치공사, 무선통신보조설비공사</t>
    <phoneticPr fontId="2" type="noConversion"/>
  </si>
  <si>
    <t>사급자재비, 운반비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</si>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</sst>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15500</v>
      </c>
      <c r="D7" s="36">
        <f>+C7/3.3058</f>
        <v>4688.728900719947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679890</v>
      </c>
      <c r="E25" s="59">
        <f t="shared" si="0"/>
        <v>2247580</v>
      </c>
    </row>
    <row r="26" spans="1:5" x14ac:dyDescent="0.3">
      <c r="B26" s="2">
        <v>3</v>
      </c>
      <c r="C26" s="35" t="s">
        <v>95</v>
      </c>
      <c r="D26" s="45">
        <f>+D66</f>
        <v>33000</v>
      </c>
      <c r="E26" s="59">
        <f t="shared" si="0"/>
        <v>109090</v>
      </c>
    </row>
    <row r="27" spans="1:5" x14ac:dyDescent="0.3">
      <c r="B27" s="2">
        <v>4</v>
      </c>
      <c r="C27" s="35" t="s">
        <v>96</v>
      </c>
      <c r="D27" s="45">
        <f>+D95</f>
        <v>217150</v>
      </c>
      <c r="E27" s="59">
        <f t="shared" si="0"/>
        <v>717850</v>
      </c>
    </row>
    <row r="28" spans="1:5" x14ac:dyDescent="0.3">
      <c r="B28" s="2">
        <v>5</v>
      </c>
      <c r="C28" s="35" t="s">
        <v>97</v>
      </c>
      <c r="D28" s="45">
        <f>+D119</f>
        <v>138200</v>
      </c>
      <c r="E28" s="59">
        <f t="shared" si="0"/>
        <v>456860</v>
      </c>
    </row>
    <row r="29" spans="1:5" x14ac:dyDescent="0.3">
      <c r="B29" s="2">
        <v>6</v>
      </c>
      <c r="C29" s="35" t="s">
        <v>98</v>
      </c>
      <c r="D29" s="45">
        <f>+D133</f>
        <v>31980</v>
      </c>
      <c r="E29" s="59">
        <f t="shared" si="0"/>
        <v>105710</v>
      </c>
    </row>
    <row r="30" spans="1:5" x14ac:dyDescent="0.3">
      <c r="B30" s="2">
        <v>7</v>
      </c>
      <c r="C30" s="35" t="s">
        <v>99</v>
      </c>
      <c r="D30" s="45">
        <f>+D146</f>
        <v>57110</v>
      </c>
      <c r="E30" s="59">
        <f t="shared" si="0"/>
        <v>188790</v>
      </c>
    </row>
    <row r="31" spans="1:5" x14ac:dyDescent="0.3">
      <c r="B31" s="2">
        <v>8</v>
      </c>
      <c r="C31" s="35" t="s">
        <v>100</v>
      </c>
      <c r="D31" s="45">
        <f>+D154</f>
        <v>16730</v>
      </c>
      <c r="E31" s="59">
        <f t="shared" si="0"/>
        <v>55300</v>
      </c>
    </row>
    <row r="32" spans="1:5" x14ac:dyDescent="0.3">
      <c r="B32" s="2">
        <v>9</v>
      </c>
      <c r="C32" s="35" t="s">
        <v>101</v>
      </c>
      <c r="D32" s="45">
        <f>+D161</f>
        <v>16140</v>
      </c>
      <c r="E32" s="59">
        <f t="shared" si="0"/>
        <v>53350</v>
      </c>
    </row>
    <row r="33" spans="1:7" x14ac:dyDescent="0.3">
      <c r="B33" s="2">
        <v>10</v>
      </c>
      <c r="C33" s="35" t="s">
        <v>154</v>
      </c>
      <c r="D33" s="53">
        <f>TRUNC(SUM(D24:D32)*0.275,-1)</f>
        <v>327300</v>
      </c>
      <c r="E33" s="60">
        <f t="shared" si="0"/>
        <v>1081980</v>
      </c>
    </row>
    <row r="34" spans="1:7" x14ac:dyDescent="0.3">
      <c r="C34" s="35" t="s">
        <v>112</v>
      </c>
      <c r="D34" s="44">
        <f>SUM(D24:D33)</f>
        <v>1517500</v>
      </c>
      <c r="E34" s="44">
        <f>SUM(E24:E33)</f>
        <v>5016510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TRUNC(51994,-1)</f>
        <v>51990</v>
      </c>
      <c r="E40" s="62">
        <f t="shared" ref="E40:E59" si="1">TRUNC(+D40*3.3058,-1)</f>
        <v>171860</v>
      </c>
    </row>
    <row r="41" spans="1:7" x14ac:dyDescent="0.3">
      <c r="A41" s="2">
        <v>2</v>
      </c>
      <c r="C41" s="38" t="s">
        <v>13</v>
      </c>
      <c r="D41" s="42">
        <f>TRUNC(96738,-1)</f>
        <v>96730</v>
      </c>
      <c r="E41" s="63">
        <f t="shared" si="1"/>
        <v>319770</v>
      </c>
    </row>
    <row r="42" spans="1:7" x14ac:dyDescent="0.3">
      <c r="A42" s="2">
        <v>3</v>
      </c>
      <c r="C42" s="38" t="s">
        <v>14</v>
      </c>
      <c r="D42" s="42">
        <f>TRUNC(16643,-1)</f>
        <v>16640</v>
      </c>
      <c r="E42" s="63">
        <f t="shared" si="1"/>
        <v>55000</v>
      </c>
    </row>
    <row r="43" spans="1:7" x14ac:dyDescent="0.3">
      <c r="A43" s="2">
        <v>4</v>
      </c>
      <c r="C43" s="38" t="s">
        <v>16</v>
      </c>
      <c r="D43" s="42">
        <f>TRUNC(12184,-1)</f>
        <v>12180</v>
      </c>
      <c r="E43" s="63">
        <f t="shared" si="1"/>
        <v>40260</v>
      </c>
    </row>
    <row r="44" spans="1:7" x14ac:dyDescent="0.3">
      <c r="A44" s="2">
        <v>5</v>
      </c>
      <c r="C44" s="38" t="s">
        <v>17</v>
      </c>
      <c r="D44" s="42">
        <f>TRUNC(24154,-1)</f>
        <v>24150</v>
      </c>
      <c r="E44" s="63">
        <f t="shared" si="1"/>
        <v>79830</v>
      </c>
    </row>
    <row r="45" spans="1:7" x14ac:dyDescent="0.3">
      <c r="A45" s="2">
        <v>6</v>
      </c>
      <c r="C45" s="38" t="s">
        <v>18</v>
      </c>
      <c r="D45" s="42">
        <f>TRUNC(8291,-1)</f>
        <v>8290</v>
      </c>
      <c r="E45" s="63">
        <f t="shared" si="1"/>
        <v>27400</v>
      </c>
    </row>
    <row r="46" spans="1:7" x14ac:dyDescent="0.3">
      <c r="A46" s="2">
        <v>7</v>
      </c>
      <c r="C46" s="38" t="s">
        <v>19</v>
      </c>
      <c r="D46" s="42">
        <v>47920</v>
      </c>
      <c r="E46" s="63">
        <f t="shared" si="1"/>
        <v>158410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TRUNC(74137,-1)</f>
        <v>74130</v>
      </c>
      <c r="E48" s="63">
        <f t="shared" si="1"/>
        <v>245050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TRUNC(14236,-1)</f>
        <v>14230</v>
      </c>
      <c r="E49" s="63">
        <f t="shared" si="1"/>
        <v>47040</v>
      </c>
    </row>
    <row r="50" spans="1:7" x14ac:dyDescent="0.3">
      <c r="A50" s="2">
        <v>11</v>
      </c>
      <c r="C50" s="38" t="s">
        <v>155</v>
      </c>
      <c r="D50" s="42">
        <f>TRUNC(40025,-1)</f>
        <v>40020</v>
      </c>
      <c r="E50" s="63">
        <f t="shared" si="1"/>
        <v>132290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TRUNC(12146,-1)</f>
        <v>12140</v>
      </c>
      <c r="E52" s="63">
        <f t="shared" si="1"/>
        <v>40130</v>
      </c>
    </row>
    <row r="53" spans="1:7" x14ac:dyDescent="0.3">
      <c r="A53" s="2">
        <v>14</v>
      </c>
      <c r="C53" s="38" t="s">
        <v>25</v>
      </c>
      <c r="D53" s="42">
        <f>TRUNC(52259,-1)</f>
        <v>52250</v>
      </c>
      <c r="E53" s="63">
        <f t="shared" si="1"/>
        <v>172720</v>
      </c>
      <c r="F53" s="2" t="s">
        <v>256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TRUNC(1346+5281-916+960+4012,-1)</f>
        <v>10680</v>
      </c>
      <c r="E58" s="63">
        <f t="shared" si="1"/>
        <v>35300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f>TRUNC(218548,-1)</f>
        <v>218540</v>
      </c>
      <c r="E59" s="64">
        <f t="shared" si="1"/>
        <v>722440</v>
      </c>
    </row>
    <row r="60" spans="1:7" x14ac:dyDescent="0.3">
      <c r="A60" s="2">
        <v>21</v>
      </c>
      <c r="C60" s="27" t="s">
        <v>112</v>
      </c>
      <c r="D60" s="39">
        <f>SUM(D40:D59)</f>
        <v>679890</v>
      </c>
      <c r="E60" s="39">
        <f>SUM(E40:E59)</f>
        <v>2247500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TRUNC(46,-1)</f>
        <v>40</v>
      </c>
      <c r="E63" s="62">
        <f>TRUNC(+D63*3.3058,-1)</f>
        <v>130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TRUNC(32968,-1)</f>
        <v>32960</v>
      </c>
      <c r="E65" s="64">
        <f>TRUNC(+D65*3.3058,-1)</f>
        <v>108950</v>
      </c>
    </row>
    <row r="66" spans="1:7" x14ac:dyDescent="0.3">
      <c r="A66" s="2">
        <v>4</v>
      </c>
      <c r="C66" s="27" t="s">
        <v>112</v>
      </c>
      <c r="D66" s="39">
        <f>SUM(D63:D65)</f>
        <v>33000</v>
      </c>
      <c r="E66" s="65">
        <f>SUM(E63:E65)</f>
        <v>109080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TRUNC(9957,-1)</f>
        <v>9950</v>
      </c>
      <c r="E69" s="62">
        <f t="shared" ref="E69:E94" si="2">TRUNC(+D69*3.3058,-1)</f>
        <v>32890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TRUNC(15194,-1)</f>
        <v>15190</v>
      </c>
      <c r="E71" s="63">
        <f t="shared" si="2"/>
        <v>50210</v>
      </c>
    </row>
    <row r="72" spans="1:7" x14ac:dyDescent="0.3">
      <c r="A72" s="2">
        <v>4</v>
      </c>
      <c r="C72" s="38" t="s">
        <v>33</v>
      </c>
      <c r="D72" s="42">
        <f>TRUNC(4088,-1)</f>
        <v>4080</v>
      </c>
      <c r="E72" s="63">
        <f t="shared" si="2"/>
        <v>13480</v>
      </c>
    </row>
    <row r="73" spans="1:7" x14ac:dyDescent="0.3">
      <c r="A73" s="2">
        <v>5</v>
      </c>
      <c r="C73" s="38" t="s">
        <v>34</v>
      </c>
      <c r="D73" s="42">
        <f>TRUNC(16559,-1)</f>
        <v>16550</v>
      </c>
      <c r="E73" s="63">
        <f t="shared" si="2"/>
        <v>54710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TRUNC(344,-1)</f>
        <v>340</v>
      </c>
      <c r="E75" s="63">
        <f t="shared" si="2"/>
        <v>1120</v>
      </c>
    </row>
    <row r="76" spans="1:7" x14ac:dyDescent="0.3">
      <c r="A76" s="2">
        <v>8</v>
      </c>
      <c r="C76" s="38" t="s">
        <v>119</v>
      </c>
      <c r="D76" s="42">
        <f>TRUNC(31002,-1)</f>
        <v>31000</v>
      </c>
      <c r="E76" s="63">
        <f t="shared" si="2"/>
        <v>102470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TRUNC(24756,-1)</f>
        <v>24750</v>
      </c>
      <c r="E89" s="63">
        <f t="shared" si="2"/>
        <v>81810</v>
      </c>
    </row>
    <row r="90" spans="1:7" x14ac:dyDescent="0.3">
      <c r="A90" s="2">
        <v>22</v>
      </c>
      <c r="C90" s="38" t="s">
        <v>36</v>
      </c>
      <c r="D90" s="42">
        <f>TRUNC(1366,-1)</f>
        <v>1360</v>
      </c>
      <c r="E90" s="63">
        <f t="shared" si="2"/>
        <v>4490</v>
      </c>
    </row>
    <row r="91" spans="1:7" x14ac:dyDescent="0.3">
      <c r="A91" s="2">
        <v>23</v>
      </c>
      <c r="C91" s="38" t="s">
        <v>37</v>
      </c>
      <c r="D91" s="42">
        <f>TRUNC(18102,-1)</f>
        <v>18100</v>
      </c>
      <c r="E91" s="63">
        <f t="shared" si="2"/>
        <v>59830</v>
      </c>
    </row>
    <row r="92" spans="1:7" x14ac:dyDescent="0.3">
      <c r="A92" s="2">
        <v>24</v>
      </c>
      <c r="C92" s="38" t="s">
        <v>38</v>
      </c>
      <c r="D92" s="42">
        <f>TRUNC(5763,-1)</f>
        <v>5760</v>
      </c>
      <c r="E92" s="63">
        <f t="shared" si="2"/>
        <v>19040</v>
      </c>
    </row>
    <row r="93" spans="1:7" x14ac:dyDescent="0.3">
      <c r="A93" s="2">
        <v>25</v>
      </c>
      <c r="C93" s="38" t="s">
        <v>148</v>
      </c>
      <c r="D93" s="42">
        <v>83400</v>
      </c>
      <c r="E93" s="63">
        <f t="shared" si="2"/>
        <v>275700</v>
      </c>
    </row>
    <row r="94" spans="1:7" ht="17.25" thickBot="1" x14ac:dyDescent="0.35">
      <c r="A94" s="2">
        <v>26</v>
      </c>
      <c r="C94" s="38" t="s">
        <v>47</v>
      </c>
      <c r="D94" s="43">
        <f>TRUNC(3106+3569,-1)</f>
        <v>6670</v>
      </c>
      <c r="E94" s="64">
        <f t="shared" si="2"/>
        <v>22040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217150</v>
      </c>
      <c r="E95" s="39">
        <f>SUM(E69:E94)</f>
        <v>717790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TRUNC(11196,-1)</f>
        <v>11190</v>
      </c>
      <c r="E98" s="62">
        <f t="shared" ref="E98:E118" si="3">TRUNC(+D98*3.3058,-1)</f>
        <v>36990</v>
      </c>
    </row>
    <row r="99" spans="1:7" x14ac:dyDescent="0.3">
      <c r="A99" s="2">
        <v>2</v>
      </c>
      <c r="C99" s="38" t="s">
        <v>40</v>
      </c>
      <c r="D99" s="42">
        <f>TRUNC(2882,-1)</f>
        <v>2880</v>
      </c>
      <c r="E99" s="63">
        <f t="shared" si="3"/>
        <v>9520</v>
      </c>
    </row>
    <row r="100" spans="1:7" x14ac:dyDescent="0.3">
      <c r="A100" s="2">
        <v>3</v>
      </c>
      <c r="C100" s="38" t="s">
        <v>41</v>
      </c>
      <c r="D100" s="42">
        <f>TRUNC(16146,-1)</f>
        <v>16140</v>
      </c>
      <c r="E100" s="63">
        <f t="shared" si="3"/>
        <v>53350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TRUNC(6866,-1)</f>
        <v>6860</v>
      </c>
      <c r="E102" s="63">
        <f t="shared" si="3"/>
        <v>22670</v>
      </c>
    </row>
    <row r="103" spans="1:7" x14ac:dyDescent="0.3">
      <c r="A103" s="2">
        <v>6</v>
      </c>
      <c r="C103" s="38" t="s">
        <v>44</v>
      </c>
      <c r="D103" s="42">
        <f>TRUNC(4567,-1)</f>
        <v>4560</v>
      </c>
      <c r="E103" s="63">
        <f t="shared" si="3"/>
        <v>15070</v>
      </c>
    </row>
    <row r="104" spans="1:7" x14ac:dyDescent="0.3">
      <c r="A104" s="2">
        <v>7</v>
      </c>
      <c r="C104" s="38" t="s">
        <v>45</v>
      </c>
      <c r="D104" s="42">
        <f>TRUNC(2697,-1)</f>
        <v>2690</v>
      </c>
      <c r="E104" s="63">
        <f t="shared" si="3"/>
        <v>8890</v>
      </c>
    </row>
    <row r="105" spans="1:7" x14ac:dyDescent="0.3">
      <c r="A105" s="2">
        <v>8</v>
      </c>
      <c r="C105" s="38" t="s">
        <v>46</v>
      </c>
      <c r="D105" s="42">
        <f>TRUNC(3996,-1)</f>
        <v>3990</v>
      </c>
      <c r="E105" s="63">
        <f t="shared" si="3"/>
        <v>13190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TRUNC(1041,-1)</f>
        <v>1040</v>
      </c>
      <c r="E114" s="63">
        <f t="shared" si="3"/>
        <v>3430</v>
      </c>
      <c r="F114" s="2" t="s">
        <v>261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TRUNC(8142,-1)</f>
        <v>8140</v>
      </c>
      <c r="E116" s="63">
        <f t="shared" si="3"/>
        <v>26900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TRUNC(76462,-1)</f>
        <v>76460</v>
      </c>
      <c r="E117" s="63">
        <f t="shared" si="3"/>
        <v>252760</v>
      </c>
    </row>
    <row r="118" spans="1:7" ht="17.25" thickBot="1" x14ac:dyDescent="0.35">
      <c r="A118" s="2">
        <v>21</v>
      </c>
      <c r="C118" s="38" t="s">
        <v>47</v>
      </c>
      <c r="D118" s="43">
        <f>TRUNC(600+3658,-1)</f>
        <v>4250</v>
      </c>
      <c r="E118" s="64">
        <f t="shared" si="3"/>
        <v>14040</v>
      </c>
      <c r="F118" s="2" t="s">
        <v>262</v>
      </c>
    </row>
    <row r="119" spans="1:7" x14ac:dyDescent="0.3">
      <c r="A119" s="2">
        <v>22</v>
      </c>
      <c r="C119" s="27" t="s">
        <v>112</v>
      </c>
      <c r="D119" s="39">
        <f>SUM(D98:D118)</f>
        <v>138200</v>
      </c>
      <c r="E119" s="39">
        <f>SUM(E98:E118)</f>
        <v>456810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TRUNC(2586,-1)</f>
        <v>2580</v>
      </c>
      <c r="E122" s="62">
        <f t="shared" ref="E122:E132" si="4">TRUNC(+D122*3.3058,-1)</f>
        <v>8520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TRUNC(4578,-1)</f>
        <v>4570</v>
      </c>
      <c r="E125" s="63">
        <f t="shared" si="4"/>
        <v>15100</v>
      </c>
    </row>
    <row r="126" spans="1:7" x14ac:dyDescent="0.3">
      <c r="A126" s="2">
        <v>5</v>
      </c>
      <c r="C126" s="38" t="s">
        <v>53</v>
      </c>
      <c r="D126" s="42">
        <f>TRUNC(13275,-1)</f>
        <v>13270</v>
      </c>
      <c r="E126" s="63">
        <f t="shared" si="4"/>
        <v>43860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TRUNC(3233,-1)</f>
        <v>3230</v>
      </c>
      <c r="E128" s="63">
        <f t="shared" si="4"/>
        <v>10670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TRUNC(8339,-1)</f>
        <v>8330</v>
      </c>
      <c r="E132" s="64">
        <f t="shared" si="4"/>
        <v>27530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31980</v>
      </c>
      <c r="E133" s="39">
        <f>SUM(E122:E132)</f>
        <v>105680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TRUNC(183+2961+8081+247,-1)</f>
        <v>11470</v>
      </c>
      <c r="E137" s="63">
        <f t="shared" si="5"/>
        <v>37910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TRUNC(1894,-1)</f>
        <v>1890</v>
      </c>
      <c r="E140" s="63">
        <f t="shared" si="5"/>
        <v>6240</v>
      </c>
    </row>
    <row r="141" spans="1:7" x14ac:dyDescent="0.3">
      <c r="A141" s="2">
        <v>6</v>
      </c>
      <c r="C141" s="38" t="s">
        <v>59</v>
      </c>
      <c r="D141" s="42">
        <f>TRUNC(25337,-1)</f>
        <v>25330</v>
      </c>
      <c r="E141" s="63">
        <f t="shared" si="5"/>
        <v>83730</v>
      </c>
    </row>
    <row r="142" spans="1:7" x14ac:dyDescent="0.3">
      <c r="A142" s="2">
        <v>7</v>
      </c>
      <c r="C142" s="38" t="s">
        <v>58</v>
      </c>
      <c r="D142" s="42">
        <f>TRUNC(5509,-1)</f>
        <v>5500</v>
      </c>
      <c r="E142" s="63">
        <f t="shared" si="5"/>
        <v>18180</v>
      </c>
    </row>
    <row r="143" spans="1:7" x14ac:dyDescent="0.3">
      <c r="A143" s="2">
        <v>8</v>
      </c>
      <c r="C143" s="38" t="s">
        <v>62</v>
      </c>
      <c r="D143" s="42">
        <f>TRUNC(3138,-1)</f>
        <v>3130</v>
      </c>
      <c r="E143" s="63">
        <f t="shared" si="5"/>
        <v>10340</v>
      </c>
    </row>
    <row r="144" spans="1:7" x14ac:dyDescent="0.3">
      <c r="A144" s="2">
        <v>9</v>
      </c>
      <c r="C144" s="38" t="s">
        <v>63</v>
      </c>
      <c r="D144" s="42">
        <f>TRUNC(9792,-1)</f>
        <v>9790</v>
      </c>
      <c r="E144" s="63">
        <f t="shared" si="5"/>
        <v>32360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57110</v>
      </c>
      <c r="E146" s="39">
        <f>SUM(E136:E145)</f>
        <v>188760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TRUNC(4395+2586,-1)</f>
        <v>6980</v>
      </c>
      <c r="E149" s="62">
        <f>TRUNC(+D149*3.3058,-1)</f>
        <v>23070</v>
      </c>
    </row>
    <row r="150" spans="1:7" x14ac:dyDescent="0.3">
      <c r="A150" s="2">
        <v>2</v>
      </c>
      <c r="C150" s="38" t="s">
        <v>49</v>
      </c>
      <c r="D150" s="42">
        <f>TRUNC(3261,-1)</f>
        <v>3260</v>
      </c>
      <c r="E150" s="63">
        <f>TRUNC(+D150*3.3058,-1)</f>
        <v>10770</v>
      </c>
    </row>
    <row r="151" spans="1:7" x14ac:dyDescent="0.3">
      <c r="A151" s="2">
        <v>3</v>
      </c>
      <c r="C151" s="38" t="s">
        <v>50</v>
      </c>
      <c r="D151" s="42">
        <v>1300</v>
      </c>
      <c r="E151" s="63">
        <f>TRUNC(+D151*3.3058,-1)</f>
        <v>4290</v>
      </c>
    </row>
    <row r="152" spans="1:7" x14ac:dyDescent="0.3">
      <c r="A152" s="2">
        <v>4</v>
      </c>
      <c r="C152" s="38" t="s">
        <v>47</v>
      </c>
      <c r="D152" s="42">
        <f>TRUNC(5074+124,-1)</f>
        <v>5190</v>
      </c>
      <c r="E152" s="63">
        <f>TRUNC(+D152*3.3058,-1)</f>
        <v>17150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16730</v>
      </c>
      <c r="E154" s="39">
        <f>SUM(E149:E153)</f>
        <v>55280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TRUNC(9071,-1)</f>
        <v>9070</v>
      </c>
      <c r="E157" s="62">
        <f>TRUNC(+D157*3.3058,-1)</f>
        <v>29980</v>
      </c>
    </row>
    <row r="158" spans="1:7" x14ac:dyDescent="0.3">
      <c r="A158" s="2">
        <v>2</v>
      </c>
      <c r="C158" s="38" t="s">
        <v>52</v>
      </c>
      <c r="D158" s="42">
        <f>TRUNC(4502,-1)</f>
        <v>4500</v>
      </c>
      <c r="E158" s="63">
        <f>TRUNC(+D158*3.3058,-1)</f>
        <v>14870</v>
      </c>
    </row>
    <row r="159" spans="1:7" x14ac:dyDescent="0.3">
      <c r="A159" s="2">
        <v>3</v>
      </c>
      <c r="C159" s="38" t="s">
        <v>47</v>
      </c>
      <c r="D159" s="42">
        <f>TRUNC(2321+252,-1)</f>
        <v>2570</v>
      </c>
      <c r="E159" s="63">
        <f>TRUNC(+D159*3.3058,-1)</f>
        <v>8490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16140</v>
      </c>
      <c r="E161" s="39">
        <f>SUM(E157:E160)</f>
        <v>53340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2020-12-07T09:55:49Z</dcterms:modified>
</cp:coreProperties>
</file>