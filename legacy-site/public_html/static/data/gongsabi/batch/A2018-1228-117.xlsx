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0" i="4"/>
  <c r="D149" i="4"/>
  <c r="D143" i="4"/>
  <c r="D142" i="4"/>
  <c r="D141" i="4"/>
  <c r="D137" i="4"/>
  <c r="D132" i="4"/>
  <c r="D131" i="4"/>
  <c r="D130" i="4"/>
  <c r="D128" i="4"/>
  <c r="D126" i="4"/>
  <c r="D125" i="4"/>
  <c r="D122" i="4"/>
  <c r="D118" i="4"/>
  <c r="D117" i="4"/>
  <c r="D116" i="4"/>
  <c r="D114" i="4"/>
  <c r="D105" i="4"/>
  <c r="D104" i="4"/>
  <c r="D103" i="4"/>
  <c r="D102" i="4"/>
  <c r="D101" i="4"/>
  <c r="D100" i="4"/>
  <c r="D98" i="4"/>
  <c r="D94" i="4"/>
  <c r="D93" i="4"/>
  <c r="D92" i="4"/>
  <c r="D91" i="4"/>
  <c r="D89" i="4"/>
  <c r="D75" i="4"/>
  <c r="D73" i="4"/>
  <c r="D71" i="4"/>
  <c r="D70" i="4"/>
  <c r="D65" i="4"/>
  <c r="D63" i="4"/>
  <c r="D40" i="4"/>
  <c r="D59" i="4"/>
  <c r="D58" i="4"/>
  <c r="D53" i="4"/>
  <c r="D52" i="4"/>
  <c r="D50" i="4"/>
  <c r="D49" i="4"/>
  <c r="D48" i="4"/>
  <c r="D46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<sst xmlns="http://schemas.openxmlformats.org/spreadsheetml/2006/main" count="391" uniqueCount="266">
  <si>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</si>
  <si>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</si>
  <si>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</si>
  <si>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</si>
  <si>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</si>
  <si>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</si>
  <si>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</si>
  <si>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</si>
  <si>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</si>
  <si>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</si>
  <si>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</si>
  <si>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</si>
  <si>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</si>
  <si>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</si>
  <si>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</si>
  <si>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</si>
  <si>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</si>
  <si>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</si>
  <si>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</si>
  <si>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</si>
  <si>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</si>
  <si>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</si>
  <si>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</si>
  <si>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</si>
  <si>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</si>
  <si>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</si>
  <si>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</si>
  <si>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</si>
  <si>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</si>
  <si>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</si>
  <si>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</si>
  <si>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</si>
  <si>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</si>
  <si>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</si>
  <si>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</si>
  <si>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</si>
  <si>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</si>
  <si>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</si>
  <si>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</si>
  <si>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</si>
  <si>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</si>
  <si>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</si>
  <si>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</si>
  <si>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</si>
  <si>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</si>
  <si>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</si>
  <si>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</si>
  <si>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</si>
  <si>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</si>
  <si>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</si>
  <si>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</si>
  <si>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</si>
  <si>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</si>
  <si>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</si>
  <si>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</si>
  <si>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</si>
  <si>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</si>
  <si>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</si>
  <si>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</si>
  <si>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</si>
  <si>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</si>
  <si>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</si>
  <si>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</si>
  <si>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</si>
  <si>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</si>
  <si>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</si>
  <si>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</si>
  <si>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</si>
  <si>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</si>
  <si>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</si>
  <si>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</si>
  <si>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</si>
  <si>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</si>
  <si>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</si>
  <si>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</si>
  <si>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</si>
  <si>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</si>
  <si>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</si>
  <si>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</si>
  <si>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</si>
  <si>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</si>
  <si>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</si>
  <si>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</si>
  <si>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</si>
  <si>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</si>
  <si>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</si>
  <si>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</si>
  <si>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</si>
  <si>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</si>
  <si>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</si>
  <si>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</si>
  <si>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</si>
  <si>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</si>
  <si>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</si>
  <si>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</si>
  <si>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</si>
  <si>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</si>
  <si>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</si>
  <si>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</si>
  <si>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</si>
  <si>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</si>
  <si>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</si>
  <si>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</si>
  <si>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</si>
  <si>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</si>
  <si>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</si>
  <si>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</si>
  <si>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</si>
  <si>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</si>
  <si>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</si>
  <si>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</si>
  <si>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</si>
  <si>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</si>
  <si>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</si>
  <si>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</si>
  <si>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</si>
  <si>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</si>
  <si>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</si>
  <si>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</si>
  <si>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</si>
  <si>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</si>
  <si>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</si>
  <si>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</si>
  <si>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</si>
  <si>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</si>
  <si>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</si>
  <si>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</si>
  <si>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</si>
  <si>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</si>
  <si>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</si>
  <si>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</si>
  <si>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</si>
  <si>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</si>
  <si>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</si>
  <si>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</si>
  <si>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</si>
  <si>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</si>
  <si>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</si>
  <si>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</si>
  <si>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</si>
  <si>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</si>
  <si>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</si>
  <si>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</si>
  <si>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</si>
  <si>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</si>
  <si>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</si>
  <si>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</si>
  <si>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</si>
  <si>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</si>
  <si>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</si>
  <si>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</si>
  <si>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</si>
  <si>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</si>
  <si>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</si>
  <si>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</si>
  <si>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</si>
  <si>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</si>
  <si>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</si>
  <si>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</si>
  <si>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</si>
  <si>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</si>
  <si>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</si>
  <si>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</si>
  <si>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</si>
  <si>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</si>
  <si>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</si>
  <si>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</si>
  <si>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</si>
  <si>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</si>
  <si>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</si>
  <si>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</si>
  <si>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</si>
  <si>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</si>
  <si>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</si>
  <si>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</si>
  <si>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</si>
  <si>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</si>
  <si>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</si>
  <si>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</si>
  <si>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</si>
  <si>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</si>
  <si>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</si>
  <si>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</si>
  <si>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</si>
  <si>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</si>
  <si>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</si>
  <si>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</si>
  <si>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</si>
  <si>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</si>
  <si>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</si>
  <si>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</si>
  <si>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</si>
  <si>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</si>
  <si>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</si>
  <si>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</si>
  <si>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</si>
  <si>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</si>
  <si>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</si>
  <si>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</si>
  <si>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</si>
  <si>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</si>
  <si>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</si>
  <si>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</si>
  <si>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</si>
  <si>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</si>
  <si>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</si>
  <si>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</si>
  <si>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</si>
  <si>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</si>
  <si>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</si>
  <si>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</si>
  <si>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</si>
  <si>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</si>
  <si>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</si>
  <si>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</si>
  <si>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</si>
  <si>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</si>
  <si>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</si>
  <si>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</si>
  <si>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</si>
  <si>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</si>
  <si>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</si>
  <si>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</si>
  <si>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</si>
  <si>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</si>
  <si>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</si>
  <si>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</si>
  <si>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</si>
  <si>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</si>
  <si>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</si>
  <si>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</si>
  <si>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</si>
  <si>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</si>
  <si>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</si>
  <si>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</si>
  <si>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</si>
  <si>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</si>
  <si>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</si>
  <si>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</si>
  <si>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</si>
  <si>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</si>
  <si>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</si>
  <si>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</si>
  <si>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</si>
  <si>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</si>
  <si>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</si>
  <si>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</si>
  <si>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</si>
  <si>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세종특별자치시 장애인형 국민체육센터 건립사업 건축공사</t>
    <phoneticPr fontId="2" type="noConversion"/>
  </si>
  <si>
    <t>세종시</t>
  </si>
  <si>
    <t>운동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</si>
  <si>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</si>
  <si>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</si>
  <si>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</si>
  <si>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난방배관공사, 우수처리시설공사, 바닥난방공사, 기타공사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</si>
  <si>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</si>
  <si>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</si>
  <si>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</si>
  <si>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</si>
  <si>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펌프실배관공사,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</si>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</sst>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4946.93</v>
      </c>
      <c r="D7" s="36">
        <f>+C7/3.3058</f>
        <v>1496.4395910218404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1189440</v>
      </c>
      <c r="E25" s="59">
        <f t="shared" si="0"/>
        <v>3932050</v>
      </c>
    </row>
    <row r="26" spans="1:5" x14ac:dyDescent="0.3">
      <c r="B26" s="2">
        <v>3</v>
      </c>
      <c r="C26" s="35" t="s">
        <v>95</v>
      </c>
      <c r="D26" s="45">
        <f>+D66</f>
        <v>49480</v>
      </c>
      <c r="E26" s="59">
        <f t="shared" si="0"/>
        <v>163570</v>
      </c>
    </row>
    <row r="27" spans="1:5" x14ac:dyDescent="0.3">
      <c r="B27" s="2">
        <v>4</v>
      </c>
      <c r="C27" s="35" t="s">
        <v>96</v>
      </c>
      <c r="D27" s="45">
        <f>+D95</f>
        <v>509050</v>
      </c>
      <c r="E27" s="59">
        <f t="shared" si="0"/>
        <v>1682810</v>
      </c>
    </row>
    <row r="28" spans="1:5" x14ac:dyDescent="0.3">
      <c r="B28" s="2">
        <v>5</v>
      </c>
      <c r="C28" s="35" t="s">
        <v>97</v>
      </c>
      <c r="D28" s="45">
        <f>+D119</f>
        <v>216030</v>
      </c>
      <c r="E28" s="59">
        <f t="shared" si="0"/>
        <v>714150</v>
      </c>
    </row>
    <row r="29" spans="1:5" x14ac:dyDescent="0.3">
      <c r="B29" s="2">
        <v>6</v>
      </c>
      <c r="C29" s="35" t="s">
        <v>98</v>
      </c>
      <c r="D29" s="45">
        <f>+D133</f>
        <v>139830</v>
      </c>
      <c r="E29" s="59">
        <f t="shared" si="0"/>
        <v>462250</v>
      </c>
    </row>
    <row r="30" spans="1:5" x14ac:dyDescent="0.3">
      <c r="B30" s="2">
        <v>7</v>
      </c>
      <c r="C30" s="35" t="s">
        <v>99</v>
      </c>
      <c r="D30" s="45">
        <f>+D146</f>
        <v>69430</v>
      </c>
      <c r="E30" s="59">
        <f t="shared" si="0"/>
        <v>229520</v>
      </c>
    </row>
    <row r="31" spans="1:5" x14ac:dyDescent="0.3">
      <c r="B31" s="2">
        <v>8</v>
      </c>
      <c r="C31" s="35" t="s">
        <v>100</v>
      </c>
      <c r="D31" s="45">
        <f>+D154</f>
        <v>26320</v>
      </c>
      <c r="E31" s="59">
        <f t="shared" si="0"/>
        <v>87000</v>
      </c>
    </row>
    <row r="32" spans="1:5" x14ac:dyDescent="0.3">
      <c r="B32" s="2">
        <v>9</v>
      </c>
      <c r="C32" s="35" t="s">
        <v>101</v>
      </c>
      <c r="D32" s="45">
        <f>+D161</f>
        <v>50070</v>
      </c>
      <c r="E32" s="59">
        <f t="shared" si="0"/>
        <v>165520</v>
      </c>
    </row>
    <row r="33" spans="1:7" x14ac:dyDescent="0.3">
      <c r="B33" s="2">
        <v>10</v>
      </c>
      <c r="C33" s="35" t="s">
        <v>154</v>
      </c>
      <c r="D33" s="53">
        <f>TRUNC(SUM(D24:D32)*0.275,-1)</f>
        <v>618650</v>
      </c>
      <c r="E33" s="60">
        <f t="shared" si="0"/>
        <v>2045130</v>
      </c>
    </row>
    <row r="34" spans="1:7" x14ac:dyDescent="0.3">
      <c r="C34" s="35" t="s">
        <v>112</v>
      </c>
      <c r="D34" s="44">
        <f>SUM(D24:D33)</f>
        <v>2868300</v>
      </c>
      <c r="E34" s="44">
        <f>SUM(E24:E33)</f>
        <v>9482000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TRUNC(64748,-1)</f>
        <v>64740</v>
      </c>
      <c r="E40" s="62">
        <f t="shared" ref="E40:E59" si="1">TRUNC(+D40*3.3058,-1)</f>
        <v>214010</v>
      </c>
    </row>
    <row r="41" spans="1:7" x14ac:dyDescent="0.3">
      <c r="A41" s="2">
        <v>2</v>
      </c>
      <c r="C41" s="38" t="s">
        <v>13</v>
      </c>
      <c r="D41" s="42">
        <f>TRUNC(176182,-1)</f>
        <v>176180</v>
      </c>
      <c r="E41" s="63">
        <f t="shared" si="1"/>
        <v>582410</v>
      </c>
    </row>
    <row r="42" spans="1:7" x14ac:dyDescent="0.3">
      <c r="A42" s="2">
        <v>3</v>
      </c>
      <c r="C42" s="38" t="s">
        <v>14</v>
      </c>
      <c r="D42" s="42">
        <f>TRUNC(100738,-1)</f>
        <v>100730</v>
      </c>
      <c r="E42" s="63">
        <f t="shared" si="1"/>
        <v>332990</v>
      </c>
    </row>
    <row r="43" spans="1:7" x14ac:dyDescent="0.3">
      <c r="A43" s="2">
        <v>4</v>
      </c>
      <c r="C43" s="38" t="s">
        <v>16</v>
      </c>
      <c r="D43" s="42">
        <f>TRUNC(28352,-1)</f>
        <v>28350</v>
      </c>
      <c r="E43" s="63">
        <f t="shared" si="1"/>
        <v>93710</v>
      </c>
    </row>
    <row r="44" spans="1:7" x14ac:dyDescent="0.3">
      <c r="A44" s="2">
        <v>5</v>
      </c>
      <c r="C44" s="38" t="s">
        <v>17</v>
      </c>
      <c r="D44" s="42">
        <f>TRUNC(26755,-1)</f>
        <v>26750</v>
      </c>
      <c r="E44" s="63">
        <f t="shared" si="1"/>
        <v>88430</v>
      </c>
    </row>
    <row r="45" spans="1:7" x14ac:dyDescent="0.3">
      <c r="A45" s="2">
        <v>6</v>
      </c>
      <c r="C45" s="38" t="s">
        <v>18</v>
      </c>
      <c r="D45" s="42">
        <v>31240</v>
      </c>
      <c r="E45" s="63">
        <f t="shared" si="1"/>
        <v>103270</v>
      </c>
    </row>
    <row r="46" spans="1:7" x14ac:dyDescent="0.3">
      <c r="A46" s="2">
        <v>7</v>
      </c>
      <c r="C46" s="38" t="s">
        <v>19</v>
      </c>
      <c r="D46" s="42">
        <f>TRUNC(4349,-1)</f>
        <v>4340</v>
      </c>
      <c r="E46" s="63">
        <f t="shared" si="1"/>
        <v>14340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TRUNC(26825,-1)</f>
        <v>26820</v>
      </c>
      <c r="E48" s="63">
        <f t="shared" si="1"/>
        <v>88660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TRUNC(13074,-1)</f>
        <v>13070</v>
      </c>
      <c r="E49" s="63">
        <f t="shared" si="1"/>
        <v>43200</v>
      </c>
    </row>
    <row r="50" spans="1:7" x14ac:dyDescent="0.3">
      <c r="A50" s="2">
        <v>11</v>
      </c>
      <c r="C50" s="38" t="s">
        <v>155</v>
      </c>
      <c r="D50" s="42">
        <f>TRUNC(51877,-1)</f>
        <v>51870</v>
      </c>
      <c r="E50" s="63">
        <f t="shared" si="1"/>
        <v>171470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TRUNC(10921,-1)</f>
        <v>10920</v>
      </c>
      <c r="E52" s="63">
        <f t="shared" si="1"/>
        <v>36090</v>
      </c>
    </row>
    <row r="53" spans="1:7" x14ac:dyDescent="0.3">
      <c r="A53" s="2">
        <v>14</v>
      </c>
      <c r="C53" s="38" t="s">
        <v>25</v>
      </c>
      <c r="D53" s="42">
        <f>TRUNC(156859,-1)</f>
        <v>156850</v>
      </c>
      <c r="E53" s="63">
        <f t="shared" si="1"/>
        <v>518510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TRUNC(47339+7502-1735+1786+14159,-1)</f>
        <v>69050</v>
      </c>
      <c r="E58" s="63">
        <f t="shared" si="1"/>
        <v>228260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TRUNC(428531,-1)</f>
        <v>428530</v>
      </c>
      <c r="E59" s="64">
        <f t="shared" si="1"/>
        <v>1416630</v>
      </c>
    </row>
    <row r="60" spans="1:7" x14ac:dyDescent="0.3">
      <c r="A60" s="2">
        <v>21</v>
      </c>
      <c r="C60" s="27" t="s">
        <v>112</v>
      </c>
      <c r="D60" s="39">
        <f>SUM(D40:D59)</f>
        <v>1189440</v>
      </c>
      <c r="E60" s="39">
        <f>SUM(E40:E59)</f>
        <v>3931980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TRUNC(23104,-1)</f>
        <v>23100</v>
      </c>
      <c r="E63" s="62">
        <f>TRUNC(+D63*3.3058,-1)</f>
        <v>76360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TRUNC(26388,-1)</f>
        <v>26380</v>
      </c>
      <c r="E65" s="64">
        <f>TRUNC(+D65*3.3058,-1)</f>
        <v>87200</v>
      </c>
    </row>
    <row r="66" spans="1:7" x14ac:dyDescent="0.3">
      <c r="A66" s="2">
        <v>4</v>
      </c>
      <c r="C66" s="27" t="s">
        <v>112</v>
      </c>
      <c r="D66" s="39">
        <f>SUM(D63:D65)</f>
        <v>49480</v>
      </c>
      <c r="E66" s="65">
        <f>SUM(E63:E65)</f>
        <v>163560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85540</v>
      </c>
      <c r="E69" s="62">
        <f t="shared" ref="E69:E94" si="2">TRUNC(+D69*3.3058,-1)</f>
        <v>282770</v>
      </c>
    </row>
    <row r="70" spans="1:7" ht="16.5" customHeight="1" x14ac:dyDescent="0.3">
      <c r="A70" s="2">
        <v>2</v>
      </c>
      <c r="C70" s="38" t="s">
        <v>31</v>
      </c>
      <c r="D70" s="42">
        <f>TRUNC(409,-1)</f>
        <v>400</v>
      </c>
      <c r="E70" s="63">
        <f t="shared" si="2"/>
        <v>1320</v>
      </c>
    </row>
    <row r="71" spans="1:7" x14ac:dyDescent="0.3">
      <c r="A71" s="2">
        <v>3</v>
      </c>
      <c r="C71" s="38" t="s">
        <v>32</v>
      </c>
      <c r="D71" s="42">
        <f>TRUNC(41702,-1)</f>
        <v>41700</v>
      </c>
      <c r="E71" s="63">
        <f t="shared" si="2"/>
        <v>137850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TRUNC(9373,-1)</f>
        <v>9370</v>
      </c>
      <c r="E73" s="63">
        <f t="shared" si="2"/>
        <v>30970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TRUNC(1136,-1)</f>
        <v>1130</v>
      </c>
      <c r="E75" s="63">
        <f t="shared" si="2"/>
        <v>3730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TRUNC(8511,-1)</f>
        <v>8510</v>
      </c>
      <c r="E89" s="63">
        <f t="shared" si="2"/>
        <v>28130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TRUNC(22022,-1)</f>
        <v>22020</v>
      </c>
      <c r="E91" s="63">
        <f t="shared" si="2"/>
        <v>72790</v>
      </c>
    </row>
    <row r="92" spans="1:7" x14ac:dyDescent="0.3">
      <c r="A92" s="2">
        <v>24</v>
      </c>
      <c r="C92" s="38" t="s">
        <v>38</v>
      </c>
      <c r="D92" s="42">
        <f>TRUNC(10944,-1)</f>
        <v>10940</v>
      </c>
      <c r="E92" s="63">
        <f t="shared" si="2"/>
        <v>36160</v>
      </c>
    </row>
    <row r="93" spans="1:7" x14ac:dyDescent="0.3">
      <c r="A93" s="2">
        <v>25</v>
      </c>
      <c r="C93" s="38" t="s">
        <v>148</v>
      </c>
      <c r="D93" s="42">
        <f>TRUNC(242213,-1)</f>
        <v>242210</v>
      </c>
      <c r="E93" s="63">
        <f t="shared" si="2"/>
        <v>800690</v>
      </c>
    </row>
    <row r="94" spans="1:7" ht="17.25" thickBot="1" x14ac:dyDescent="0.35">
      <c r="A94" s="2">
        <v>26</v>
      </c>
      <c r="C94" s="38" t="s">
        <v>47</v>
      </c>
      <c r="D94" s="43">
        <f>TRUNC(33495+487+12485+458+40308,-1)</f>
        <v>87230</v>
      </c>
      <c r="E94" s="64">
        <f t="shared" si="2"/>
        <v>288360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509050</v>
      </c>
      <c r="E95" s="39">
        <f>SUM(E69:E94)</f>
        <v>1682770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TRUNC(13113,-1)</f>
        <v>13110</v>
      </c>
      <c r="E98" s="62">
        <f t="shared" ref="E98:E118" si="3">TRUNC(+D98*3.3058,-1)</f>
        <v>43330</v>
      </c>
    </row>
    <row r="99" spans="1:7" x14ac:dyDescent="0.3">
      <c r="A99" s="2">
        <v>2</v>
      </c>
      <c r="C99" s="38" t="s">
        <v>40</v>
      </c>
      <c r="D99" s="42">
        <v>14630</v>
      </c>
      <c r="E99" s="63">
        <f t="shared" si="3"/>
        <v>48360</v>
      </c>
    </row>
    <row r="100" spans="1:7" x14ac:dyDescent="0.3">
      <c r="A100" s="2">
        <v>3</v>
      </c>
      <c r="C100" s="38" t="s">
        <v>41</v>
      </c>
      <c r="D100" s="42">
        <f>TRUNC(37005,-1)</f>
        <v>37000</v>
      </c>
      <c r="E100" s="63">
        <f t="shared" si="3"/>
        <v>122310</v>
      </c>
    </row>
    <row r="101" spans="1:7" x14ac:dyDescent="0.3">
      <c r="A101" s="2">
        <v>4</v>
      </c>
      <c r="C101" s="38" t="s">
        <v>42</v>
      </c>
      <c r="D101" s="42">
        <f>TRUNC(8909,-1)</f>
        <v>8900</v>
      </c>
      <c r="E101" s="63">
        <f t="shared" si="3"/>
        <v>29420</v>
      </c>
    </row>
    <row r="102" spans="1:7" x14ac:dyDescent="0.3">
      <c r="A102" s="2">
        <v>5</v>
      </c>
      <c r="C102" s="38" t="s">
        <v>43</v>
      </c>
      <c r="D102" s="42">
        <f>TRUNC(11123,-1)</f>
        <v>11120</v>
      </c>
      <c r="E102" s="63">
        <f t="shared" si="3"/>
        <v>36760</v>
      </c>
    </row>
    <row r="103" spans="1:7" x14ac:dyDescent="0.3">
      <c r="A103" s="2">
        <v>6</v>
      </c>
      <c r="C103" s="38" t="s">
        <v>44</v>
      </c>
      <c r="D103" s="42">
        <f>TRUNC(5142,-1)</f>
        <v>5140</v>
      </c>
      <c r="E103" s="63">
        <f t="shared" si="3"/>
        <v>16990</v>
      </c>
    </row>
    <row r="104" spans="1:7" x14ac:dyDescent="0.3">
      <c r="A104" s="2">
        <v>7</v>
      </c>
      <c r="C104" s="38" t="s">
        <v>45</v>
      </c>
      <c r="D104" s="42">
        <f>TRUNC(2938,-1)</f>
        <v>2930</v>
      </c>
      <c r="E104" s="63">
        <f t="shared" si="3"/>
        <v>9680</v>
      </c>
    </row>
    <row r="105" spans="1:7" x14ac:dyDescent="0.3">
      <c r="A105" s="2">
        <v>8</v>
      </c>
      <c r="C105" s="38" t="s">
        <v>46</v>
      </c>
      <c r="D105" s="42">
        <f>TRUNC(6192,-1)</f>
        <v>6190</v>
      </c>
      <c r="E105" s="63">
        <f t="shared" si="3"/>
        <v>20460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TRUNC(3872,-1)</f>
        <v>3870</v>
      </c>
      <c r="E114" s="63">
        <f t="shared" si="3"/>
        <v>12790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TRUNC(4782,-1)</f>
        <v>4780</v>
      </c>
      <c r="E116" s="63">
        <f t="shared" si="3"/>
        <v>15800</v>
      </c>
    </row>
    <row r="117" spans="1:7" x14ac:dyDescent="0.3">
      <c r="A117" s="2">
        <v>20</v>
      </c>
      <c r="C117" s="38" t="s">
        <v>148</v>
      </c>
      <c r="D117" s="42">
        <f>TRUNC(106592,-1)</f>
        <v>106590</v>
      </c>
      <c r="E117" s="63">
        <f t="shared" si="3"/>
        <v>352360</v>
      </c>
    </row>
    <row r="118" spans="1:7" ht="17.25" thickBot="1" x14ac:dyDescent="0.35">
      <c r="A118" s="2">
        <v>21</v>
      </c>
      <c r="C118" s="38" t="s">
        <v>47</v>
      </c>
      <c r="D118" s="43">
        <f>TRUNC(1411+362,-1)</f>
        <v>1770</v>
      </c>
      <c r="E118" s="64">
        <f t="shared" si="3"/>
        <v>5850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216030</v>
      </c>
      <c r="E119" s="39">
        <f>SUM(E98:E118)</f>
        <v>714110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TRUNC(1716,-1)</f>
        <v>1710</v>
      </c>
      <c r="E122" s="62">
        <f t="shared" ref="E122:E132" si="4">TRUNC(+D122*3.3058,-1)</f>
        <v>5650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11330</v>
      </c>
      <c r="E124" s="63">
        <f t="shared" si="4"/>
        <v>37450</v>
      </c>
    </row>
    <row r="125" spans="1:7" x14ac:dyDescent="0.3">
      <c r="A125" s="2">
        <v>4</v>
      </c>
      <c r="C125" s="38" t="s">
        <v>138</v>
      </c>
      <c r="D125" s="42">
        <f>TRUNC(7728,-1)</f>
        <v>7720</v>
      </c>
      <c r="E125" s="63">
        <f t="shared" si="4"/>
        <v>25520</v>
      </c>
    </row>
    <row r="126" spans="1:7" x14ac:dyDescent="0.3">
      <c r="A126" s="2">
        <v>5</v>
      </c>
      <c r="C126" s="38" t="s">
        <v>53</v>
      </c>
      <c r="D126" s="42">
        <f>TRUNC(4851,-1)</f>
        <v>4850</v>
      </c>
      <c r="E126" s="63">
        <f t="shared" si="4"/>
        <v>16030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TRUNC(2838,-1)</f>
        <v>2830</v>
      </c>
      <c r="E128" s="63">
        <f t="shared" si="4"/>
        <v>9350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TRUNC(16934,-1)</f>
        <v>16930</v>
      </c>
      <c r="E130" s="63">
        <f t="shared" si="4"/>
        <v>55960</v>
      </c>
    </row>
    <row r="131" spans="1:7" x14ac:dyDescent="0.3">
      <c r="A131" s="2">
        <v>10</v>
      </c>
      <c r="C131" s="38" t="s">
        <v>148</v>
      </c>
      <c r="D131" s="42">
        <f>TRUNC(90496,-1)</f>
        <v>90490</v>
      </c>
      <c r="E131" s="63">
        <f t="shared" si="4"/>
        <v>299140</v>
      </c>
    </row>
    <row r="132" spans="1:7" ht="18" thickBot="1" x14ac:dyDescent="0.35">
      <c r="A132" s="2">
        <v>11</v>
      </c>
      <c r="C132" s="38" t="s">
        <v>47</v>
      </c>
      <c r="D132" s="43">
        <f>TRUNC(2291+1004+683,-1)</f>
        <v>3970</v>
      </c>
      <c r="E132" s="64">
        <f t="shared" si="4"/>
        <v>13120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139830</v>
      </c>
      <c r="E133" s="39">
        <f>SUM(E122:E132)</f>
        <v>462220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TRUNC(4892+1981,-1)</f>
        <v>6870</v>
      </c>
      <c r="E137" s="63">
        <f t="shared" si="5"/>
        <v>22710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2290</v>
      </c>
      <c r="E139" s="63">
        <f t="shared" si="5"/>
        <v>7570</v>
      </c>
    </row>
    <row r="140" spans="1:7" x14ac:dyDescent="0.3">
      <c r="A140" s="2">
        <v>5</v>
      </c>
      <c r="C140" s="38" t="s">
        <v>57</v>
      </c>
      <c r="D140" s="42">
        <v>4110</v>
      </c>
      <c r="E140" s="63">
        <f t="shared" si="5"/>
        <v>13580</v>
      </c>
    </row>
    <row r="141" spans="1:7" x14ac:dyDescent="0.3">
      <c r="A141" s="2">
        <v>6</v>
      </c>
      <c r="C141" s="38" t="s">
        <v>59</v>
      </c>
      <c r="D141" s="42">
        <f>TRUNC(29129,-1)</f>
        <v>29120</v>
      </c>
      <c r="E141" s="63">
        <f t="shared" si="5"/>
        <v>96260</v>
      </c>
    </row>
    <row r="142" spans="1:7" x14ac:dyDescent="0.3">
      <c r="A142" s="2">
        <v>7</v>
      </c>
      <c r="C142" s="38" t="s">
        <v>58</v>
      </c>
      <c r="D142" s="42">
        <f>TRUNC(6159,-1)</f>
        <v>6150</v>
      </c>
      <c r="E142" s="63">
        <f t="shared" si="5"/>
        <v>20330</v>
      </c>
    </row>
    <row r="143" spans="1:7" x14ac:dyDescent="0.3">
      <c r="A143" s="2">
        <v>8</v>
      </c>
      <c r="C143" s="38" t="s">
        <v>62</v>
      </c>
      <c r="D143" s="42">
        <f>TRUNC(7531,-1)</f>
        <v>7530</v>
      </c>
      <c r="E143" s="63">
        <f t="shared" si="5"/>
        <v>24890</v>
      </c>
    </row>
    <row r="144" spans="1:7" x14ac:dyDescent="0.3">
      <c r="A144" s="2">
        <v>9</v>
      </c>
      <c r="C144" s="38" t="s">
        <v>63</v>
      </c>
      <c r="D144" s="42">
        <v>13360</v>
      </c>
      <c r="E144" s="63">
        <f t="shared" si="5"/>
        <v>44160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69430</v>
      </c>
      <c r="E146" s="39">
        <f>SUM(E136:E145)</f>
        <v>229500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TRUNC(7089+1230,-1)</f>
        <v>8310</v>
      </c>
      <c r="E149" s="62">
        <f>TRUNC(+D149*3.3058,-1)</f>
        <v>27470</v>
      </c>
    </row>
    <row r="150" spans="1:7" x14ac:dyDescent="0.3">
      <c r="A150" s="2">
        <v>2</v>
      </c>
      <c r="C150" s="38" t="s">
        <v>49</v>
      </c>
      <c r="D150" s="42">
        <f>TRUNC(13332,-1)</f>
        <v>13330</v>
      </c>
      <c r="E150" s="63">
        <f>TRUNC(+D150*3.3058,-1)</f>
        <v>44060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TRUNC(3412,-1)</f>
        <v>3410</v>
      </c>
      <c r="E152" s="63">
        <f>TRUNC(+D152*3.3058,-1)</f>
        <v>11270</v>
      </c>
    </row>
    <row r="153" spans="1:7" ht="17.25" thickBot="1" x14ac:dyDescent="0.35">
      <c r="A153" s="2">
        <v>5</v>
      </c>
      <c r="C153" s="38" t="s">
        <v>148</v>
      </c>
      <c r="D153" s="43">
        <f>TRUNC(1275,-1)</f>
        <v>1270</v>
      </c>
      <c r="E153" s="64">
        <f>TRUNC(+D153*3.3058,-1)</f>
        <v>4190</v>
      </c>
    </row>
    <row r="154" spans="1:7" x14ac:dyDescent="0.3">
      <c r="A154" s="2">
        <v>6</v>
      </c>
      <c r="C154" s="27" t="s">
        <v>112</v>
      </c>
      <c r="D154" s="39">
        <f>SUM(D149:D153)</f>
        <v>26320</v>
      </c>
      <c r="E154" s="39">
        <f>SUM(E149:E153)</f>
        <v>86990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TRUNC(21113,-1)</f>
        <v>21110</v>
      </c>
      <c r="E157" s="62">
        <f>TRUNC(+D157*3.3058,-1)</f>
        <v>69780</v>
      </c>
    </row>
    <row r="158" spans="1:7" x14ac:dyDescent="0.3">
      <c r="A158" s="2">
        <v>2</v>
      </c>
      <c r="C158" s="38" t="s">
        <v>52</v>
      </c>
      <c r="D158" s="42">
        <v>13780</v>
      </c>
      <c r="E158" s="63">
        <f>TRUNC(+D158*3.3058,-1)</f>
        <v>45550</v>
      </c>
    </row>
    <row r="159" spans="1:7" x14ac:dyDescent="0.3">
      <c r="A159" s="2">
        <v>3</v>
      </c>
      <c r="C159" s="38" t="s">
        <v>47</v>
      </c>
      <c r="D159" s="42">
        <f>TRUNC(6977,-1)</f>
        <v>6970</v>
      </c>
      <c r="E159" s="63">
        <f>TRUNC(+D159*3.3058,-1)</f>
        <v>23040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TRUNC(8218,-1)</f>
        <v>8210</v>
      </c>
      <c r="E160" s="64">
        <f>TRUNC(+D160*3.3058,-1)</f>
        <v>27140</v>
      </c>
    </row>
    <row r="161" spans="1:5" x14ac:dyDescent="0.3">
      <c r="A161" s="2">
        <v>5</v>
      </c>
      <c r="C161" s="27" t="s">
        <v>112</v>
      </c>
      <c r="D161" s="39">
        <f>SUM(D157:D160)</f>
        <v>50070</v>
      </c>
      <c r="E161" s="39">
        <f>SUM(E157:E160)</f>
        <v>165510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2020-12-08T02:14:21Z</dcterms:modified>
</cp:coreProperties>
</file>