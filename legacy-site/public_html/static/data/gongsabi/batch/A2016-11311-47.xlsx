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3" i="4"/>
  <c r="D142" i="4"/>
  <c r="D141" i="4"/>
  <c r="D140" i="4"/>
  <c r="D138" i="4"/>
  <c r="D137" i="4"/>
  <c r="D132" i="4"/>
  <c r="D130" i="4"/>
  <c r="D128" i="4"/>
  <c r="D126" i="4"/>
  <c r="D125" i="4"/>
  <c r="D122" i="4"/>
  <c r="D118" i="4"/>
  <c r="D117" i="4"/>
  <c r="D116" i="4"/>
  <c r="D105" i="4"/>
  <c r="D102" i="4"/>
  <c r="D100" i="4"/>
  <c r="D99" i="4"/>
  <c r="D98" i="4"/>
  <c r="D94" i="4"/>
  <c r="D91" i="4"/>
  <c r="D90" i="4"/>
  <c r="D89" i="4"/>
  <c r="D75" i="4"/>
  <c r="D73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<sst xmlns="http://schemas.openxmlformats.org/spreadsheetml/2006/main" count="393" uniqueCount="267">
  <si>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</si>
  <si>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</si>
  <si>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</si>
  <si>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</si>
  <si>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</si>
  <si>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</si>
  <si>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</si>
  <si>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</si>
  <si>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</si>
  <si>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</si>
  <si>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</si>
  <si>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</si>
  <si>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</si>
  <si>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</si>
  <si>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</si>
  <si>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</si>
  <si>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</si>
  <si>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</si>
  <si>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</si>
  <si>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</si>
  <si>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</si>
  <si>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</si>
  <si>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</si>
  <si>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</si>
  <si>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</si>
  <si>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</si>
  <si>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</si>
  <si>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</si>
  <si>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</si>
  <si>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</si>
  <si>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</si>
  <si>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</si>
  <si>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</si>
  <si>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</si>
  <si>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</si>
  <si>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</si>
  <si>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</si>
  <si>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</si>
  <si>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</si>
  <si>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</si>
  <si>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</si>
  <si>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</si>
  <si>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</si>
  <si>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</si>
  <si>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</si>
  <si>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</si>
  <si>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</si>
  <si>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</si>
  <si>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</si>
  <si>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</si>
  <si>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</si>
  <si>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</si>
  <si>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</si>
  <si>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</si>
  <si>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</si>
  <si>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</si>
  <si>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</si>
  <si>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</si>
  <si>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</si>
  <si>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</si>
  <si>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</si>
  <si>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</si>
  <si>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</si>
  <si>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</si>
  <si>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</si>
  <si>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</si>
  <si>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</si>
  <si>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</si>
  <si>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</si>
  <si>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</si>
  <si>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</si>
  <si>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</si>
  <si>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</si>
  <si>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</si>
  <si>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</si>
  <si>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</si>
  <si>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</si>
  <si>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</si>
  <si>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</si>
  <si>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</si>
  <si>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</si>
  <si>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</si>
  <si>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</si>
  <si>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</si>
  <si>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</si>
  <si>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</si>
  <si>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</si>
  <si>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</si>
  <si>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</si>
  <si>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</si>
  <si>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</si>
  <si>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</si>
  <si>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</si>
  <si>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</si>
  <si>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</si>
  <si>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</si>
  <si>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</si>
  <si>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</si>
  <si>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</si>
  <si>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</si>
  <si>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</si>
  <si>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</si>
  <si>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</si>
  <si>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</si>
  <si>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</si>
  <si>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</si>
  <si>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</si>
  <si>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</si>
  <si>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</si>
  <si>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</si>
  <si>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</si>
  <si>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</si>
  <si>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</si>
  <si>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</si>
  <si>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</si>
  <si>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</si>
  <si>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</si>
  <si>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</si>
  <si>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</si>
  <si>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</si>
  <si>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</si>
  <si>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</si>
  <si>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</si>
  <si>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</si>
  <si>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</si>
  <si>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</si>
  <si>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</si>
  <si>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</si>
  <si>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</si>
  <si>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</si>
  <si>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</si>
  <si>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</si>
  <si>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</si>
  <si>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</si>
  <si>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</si>
  <si>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</si>
  <si>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</si>
  <si>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</si>
  <si>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</si>
  <si>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</si>
  <si>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</si>
  <si>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</si>
  <si>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</si>
  <si>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</si>
  <si>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</si>
  <si>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</si>
  <si>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</si>
  <si>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</si>
  <si>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</si>
  <si>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</si>
  <si>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</si>
  <si>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</si>
  <si>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</si>
  <si>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</si>
  <si>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</si>
  <si>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</si>
  <si>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</si>
  <si>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</si>
  <si>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</si>
  <si>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</si>
  <si>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</si>
  <si>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</si>
  <si>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</si>
  <si>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</si>
  <si>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</si>
  <si>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</si>
  <si>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</si>
  <si>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</si>
  <si>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</si>
  <si>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</si>
  <si>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</si>
  <si>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</si>
  <si>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</si>
  <si>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</si>
  <si>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</si>
  <si>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</si>
  <si>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</si>
  <si>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</si>
  <si>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</si>
  <si>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</si>
  <si>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</si>
  <si>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</si>
  <si>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</si>
  <si>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</si>
  <si>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</si>
  <si>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</si>
  <si>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</si>
  <si>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</si>
  <si>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</si>
  <si>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</si>
  <si>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</si>
  <si>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</si>
  <si>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</si>
  <si>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</si>
  <si>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</si>
  <si>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</si>
  <si>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</si>
  <si>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</si>
  <si>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</si>
  <si>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</si>
  <si>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</si>
  <si>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</si>
  <si>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</si>
  <si>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</si>
  <si>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</si>
  <si>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</si>
  <si>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</si>
  <si>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</si>
  <si>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</si>
  <si>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</si>
  <si>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</si>
  <si>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</si>
  <si>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</si>
  <si>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</si>
  <si>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</si>
  <si>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</si>
  <si>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</si>
  <si>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</si>
  <si>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</si>
  <si>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</si>
  <si>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</si>
  <si>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</si>
  <si>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</si>
  <si>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</si>
  <si>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</si>
  <si>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</si>
  <si>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</si>
  <si>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</si>
  <si>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</si>
  <si>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</si>
  <si>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</si>
  <si>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</si>
  <si>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</si>
  <si>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</si>
  <si>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</si>
  <si>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</si>
  <si>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</si>
  <si>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</si>
  <si>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</si>
  <si>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</si>
  <si>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</si>
  <si>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</si>
  <si>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</si>
  <si>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</si>
  <si>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</si>
  <si>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</si>
  <si>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</si>
  <si>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</si>
  <si>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</si>
  <si>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</si>
  <si>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</si>
  <si>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</si>
  <si>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</si>
  <si>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</si>
  <si>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</si>
  <si>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</si>
  <si>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KTC충북혁신도시 ESS사업 및 전자파시험센터 구축공사</t>
    <phoneticPr fontId="2" type="noConversion"/>
  </si>
  <si>
    <t>충청도</t>
  </si>
  <si>
    <t>기초공사, 폐기물처리비, 골재비및운반비, 작업부산물, 기타공사</t>
    <phoneticPr fontId="2" type="noConversion"/>
  </si>
  <si>
    <t>공조배관공사, 바닥난방공사, 기타공사</t>
    <phoneticPr fontId="2" type="noConversion"/>
  </si>
  <si>
    <t>CCTV설비공사</t>
    <phoneticPr fontId="2" type="noConversion"/>
  </si>
  <si>
    <t>옥외소화배관공사, 펌프실배관공사, 기타공사</t>
    <phoneticPr fontId="2" type="noConversion"/>
  </si>
  <si>
    <t>포장공사</t>
    <phoneticPr fontId="2" type="noConversion"/>
  </si>
  <si>
    <t>상수도공사, 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</si>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</sst>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9269.19</v>
      </c>
      <c r="D7" s="36">
        <f>+C7/3.3058</f>
        <v>2803.9173573718917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1025590</v>
      </c>
      <c r="E25" s="59">
        <f t="shared" si="0"/>
        <v>3390390</v>
      </c>
    </row>
    <row r="26" spans="1:5" x14ac:dyDescent="0.3">
      <c r="B26" s="2">
        <v>3</v>
      </c>
      <c r="C26" s="35" t="s">
        <v>95</v>
      </c>
      <c r="D26" s="45">
        <f>+D66</f>
        <v>96060</v>
      </c>
      <c r="E26" s="59">
        <f t="shared" si="0"/>
        <v>317550</v>
      </c>
    </row>
    <row r="27" spans="1:5" x14ac:dyDescent="0.3">
      <c r="B27" s="2">
        <v>4</v>
      </c>
      <c r="C27" s="35" t="s">
        <v>96</v>
      </c>
      <c r="D27" s="45">
        <f>+D95</f>
        <v>180710</v>
      </c>
      <c r="E27" s="59">
        <f t="shared" si="0"/>
        <v>597390</v>
      </c>
    </row>
    <row r="28" spans="1:5" x14ac:dyDescent="0.3">
      <c r="B28" s="2">
        <v>5</v>
      </c>
      <c r="C28" s="35" t="s">
        <v>97</v>
      </c>
      <c r="D28" s="45">
        <f>+D119</f>
        <v>431480</v>
      </c>
      <c r="E28" s="59">
        <f t="shared" si="0"/>
        <v>1426380</v>
      </c>
    </row>
    <row r="29" spans="1:5" x14ac:dyDescent="0.3">
      <c r="B29" s="2">
        <v>6</v>
      </c>
      <c r="C29" s="35" t="s">
        <v>98</v>
      </c>
      <c r="D29" s="45">
        <f>+D133</f>
        <v>52910</v>
      </c>
      <c r="E29" s="59">
        <f t="shared" si="0"/>
        <v>174900</v>
      </c>
    </row>
    <row r="30" spans="1:5" x14ac:dyDescent="0.3">
      <c r="B30" s="2">
        <v>7</v>
      </c>
      <c r="C30" s="35" t="s">
        <v>99</v>
      </c>
      <c r="D30" s="45">
        <f>+D146</f>
        <v>50630</v>
      </c>
      <c r="E30" s="59">
        <f t="shared" si="0"/>
        <v>167370</v>
      </c>
    </row>
    <row r="31" spans="1:5" x14ac:dyDescent="0.3">
      <c r="B31" s="2">
        <v>8</v>
      </c>
      <c r="C31" s="35" t="s">
        <v>100</v>
      </c>
      <c r="D31" s="45">
        <f>+D154</f>
        <v>55960</v>
      </c>
      <c r="E31" s="59">
        <f t="shared" si="0"/>
        <v>184990</v>
      </c>
    </row>
    <row r="32" spans="1:5" x14ac:dyDescent="0.3">
      <c r="B32" s="2">
        <v>9</v>
      </c>
      <c r="C32" s="35" t="s">
        <v>101</v>
      </c>
      <c r="D32" s="45">
        <f>+D161</f>
        <v>55170</v>
      </c>
      <c r="E32" s="59">
        <f t="shared" si="0"/>
        <v>182380</v>
      </c>
    </row>
    <row r="33" spans="1:7" x14ac:dyDescent="0.3">
      <c r="B33" s="2">
        <v>10</v>
      </c>
      <c r="C33" s="35" t="s">
        <v>155</v>
      </c>
      <c r="D33" s="53">
        <f>TRUNC(SUM(D24:D32)*0.275,-1)</f>
        <v>535840</v>
      </c>
      <c r="E33" s="60">
        <f t="shared" si="0"/>
        <v>1771370</v>
      </c>
    </row>
    <row r="34" spans="1:7" x14ac:dyDescent="0.3">
      <c r="C34" s="35" t="s">
        <v>112</v>
      </c>
      <c r="D34" s="44">
        <f>SUM(D24:D33)</f>
        <v>2484350</v>
      </c>
      <c r="E34" s="44">
        <f>SUM(E24:E33)</f>
        <v>8212720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127750</v>
      </c>
      <c r="E40" s="62">
        <f t="shared" ref="E40:E59" si="1">TRUNC(+D40*3.3058,-1)</f>
        <v>422310</v>
      </c>
    </row>
    <row r="41" spans="1:7" x14ac:dyDescent="0.3">
      <c r="A41" s="2">
        <v>2</v>
      </c>
      <c r="C41" s="38" t="s">
        <v>13</v>
      </c>
      <c r="D41" s="42">
        <f>TRUNC(168212,-1)</f>
        <v>168210</v>
      </c>
      <c r="E41" s="63">
        <f t="shared" si="1"/>
        <v>556060</v>
      </c>
    </row>
    <row r="42" spans="1:7" x14ac:dyDescent="0.3">
      <c r="A42" s="2">
        <v>3</v>
      </c>
      <c r="C42" s="38" t="s">
        <v>14</v>
      </c>
      <c r="D42" s="42">
        <f>TRUNC(19111,-1)</f>
        <v>19110</v>
      </c>
      <c r="E42" s="63">
        <f t="shared" si="1"/>
        <v>63170</v>
      </c>
    </row>
    <row r="43" spans="1:7" x14ac:dyDescent="0.3">
      <c r="A43" s="2">
        <v>4</v>
      </c>
      <c r="C43" s="38" t="s">
        <v>16</v>
      </c>
      <c r="D43" s="42">
        <f>TRUNC(16705,-1)</f>
        <v>16700</v>
      </c>
      <c r="E43" s="63">
        <f t="shared" si="1"/>
        <v>55200</v>
      </c>
    </row>
    <row r="44" spans="1:7" x14ac:dyDescent="0.3">
      <c r="A44" s="2">
        <v>5</v>
      </c>
      <c r="C44" s="38" t="s">
        <v>17</v>
      </c>
      <c r="D44" s="42">
        <f>TRUNC(46847,-1)</f>
        <v>46840</v>
      </c>
      <c r="E44" s="63">
        <f t="shared" si="1"/>
        <v>154840</v>
      </c>
    </row>
    <row r="45" spans="1:7" x14ac:dyDescent="0.3">
      <c r="A45" s="2">
        <v>6</v>
      </c>
      <c r="C45" s="38" t="s">
        <v>18</v>
      </c>
      <c r="D45" s="42">
        <f>TRUNC(1855,-1)</f>
        <v>1850</v>
      </c>
      <c r="E45" s="63">
        <f t="shared" si="1"/>
        <v>6110</v>
      </c>
    </row>
    <row r="46" spans="1:7" x14ac:dyDescent="0.3">
      <c r="A46" s="2">
        <v>7</v>
      </c>
      <c r="C46" s="38" t="s">
        <v>19</v>
      </c>
      <c r="D46" s="42">
        <f>TRUNC(4392,-1)</f>
        <v>4390</v>
      </c>
      <c r="E46" s="63">
        <f t="shared" si="1"/>
        <v>14510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TRUNC(129085,-1)</f>
        <v>129080</v>
      </c>
      <c r="E48" s="63">
        <f t="shared" si="1"/>
        <v>426710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TRUNC(24267,-1)</f>
        <v>24260</v>
      </c>
      <c r="E49" s="63">
        <f t="shared" si="1"/>
        <v>80190</v>
      </c>
    </row>
    <row r="50" spans="1:7" x14ac:dyDescent="0.3">
      <c r="A50" s="2">
        <v>11</v>
      </c>
      <c r="C50" s="38" t="s">
        <v>156</v>
      </c>
      <c r="D50" s="42">
        <f>TRUNC(129846,-1)</f>
        <v>129840</v>
      </c>
      <c r="E50" s="63">
        <f t="shared" si="1"/>
        <v>429220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TRUNC(32652,-1)</f>
        <v>32650</v>
      </c>
      <c r="E52" s="63">
        <f t="shared" si="1"/>
        <v>107930</v>
      </c>
    </row>
    <row r="53" spans="1:7" x14ac:dyDescent="0.3">
      <c r="A53" s="2">
        <v>14</v>
      </c>
      <c r="C53" s="38" t="s">
        <v>25</v>
      </c>
      <c r="D53" s="42">
        <f>TRUNC(81825,-1)</f>
        <v>81820</v>
      </c>
      <c r="E53" s="63">
        <f t="shared" si="1"/>
        <v>270480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TRUNC(64649+2176+12086-467+26243,-1)</f>
        <v>104680</v>
      </c>
      <c r="E58" s="63">
        <f t="shared" si="1"/>
        <v>346050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TRUNC(138419,-1)</f>
        <v>138410</v>
      </c>
      <c r="E59" s="64">
        <f t="shared" si="1"/>
        <v>457550</v>
      </c>
    </row>
    <row r="60" spans="1:7" x14ac:dyDescent="0.3">
      <c r="A60" s="2">
        <v>21</v>
      </c>
      <c r="C60" s="27" t="s">
        <v>112</v>
      </c>
      <c r="D60" s="39">
        <f>SUM(D40:D59)</f>
        <v>1025590</v>
      </c>
      <c r="E60" s="39">
        <f>SUM(E40:E59)</f>
        <v>3390330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TRUNC(18857,-1)</f>
        <v>18850</v>
      </c>
      <c r="E63" s="62">
        <f>TRUNC(+D63*3.3058,-1)</f>
        <v>62310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TRUNC(77214,-1)</f>
        <v>77210</v>
      </c>
      <c r="E65" s="64">
        <f>TRUNC(+D65*3.3058,-1)</f>
        <v>255240</v>
      </c>
    </row>
    <row r="66" spans="1:7" x14ac:dyDescent="0.3">
      <c r="A66" s="2">
        <v>4</v>
      </c>
      <c r="C66" s="27" t="s">
        <v>112</v>
      </c>
      <c r="D66" s="39">
        <f>SUM(D63:D65)</f>
        <v>96060</v>
      </c>
      <c r="E66" s="65">
        <f>SUM(E63:E65)</f>
        <v>317550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TRUNC(29203,-1)</f>
        <v>29200</v>
      </c>
      <c r="E69" s="62">
        <f t="shared" ref="E69:E94" si="2">TRUNC(+D69*3.3058,-1)</f>
        <v>96520</v>
      </c>
    </row>
    <row r="70" spans="1:7" ht="16.5" customHeight="1" x14ac:dyDescent="0.3">
      <c r="A70" s="2">
        <v>2</v>
      </c>
      <c r="C70" s="38" t="s">
        <v>31</v>
      </c>
      <c r="D70" s="42">
        <f>TRUNC(268,-1)</f>
        <v>260</v>
      </c>
      <c r="E70" s="63">
        <f t="shared" si="2"/>
        <v>850</v>
      </c>
    </row>
    <row r="71" spans="1:7" x14ac:dyDescent="0.3">
      <c r="A71" s="2">
        <v>3</v>
      </c>
      <c r="C71" s="38" t="s">
        <v>32</v>
      </c>
      <c r="D71" s="42">
        <f>TRUNC(2315,-1)</f>
        <v>2310</v>
      </c>
      <c r="E71" s="63">
        <f t="shared" si="2"/>
        <v>7630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TRUNC(9506,-1)</f>
        <v>9500</v>
      </c>
      <c r="E73" s="63">
        <f t="shared" si="2"/>
        <v>31400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TRUNC(5788,-1)</f>
        <v>5780</v>
      </c>
      <c r="E75" s="63">
        <f t="shared" si="2"/>
        <v>19100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TRUNC(9394,-1)</f>
        <v>9390</v>
      </c>
      <c r="E89" s="63">
        <f t="shared" si="2"/>
        <v>31040</v>
      </c>
    </row>
    <row r="90" spans="1:7" x14ac:dyDescent="0.3">
      <c r="A90" s="2">
        <v>22</v>
      </c>
      <c r="C90" s="38" t="s">
        <v>36</v>
      </c>
      <c r="D90" s="42">
        <f>TRUNC(909,-1)</f>
        <v>900</v>
      </c>
      <c r="E90" s="63">
        <f t="shared" si="2"/>
        <v>2970</v>
      </c>
    </row>
    <row r="91" spans="1:7" x14ac:dyDescent="0.3">
      <c r="A91" s="2">
        <v>23</v>
      </c>
      <c r="C91" s="38" t="s">
        <v>37</v>
      </c>
      <c r="D91" s="42">
        <f>TRUNC(34268,-1)</f>
        <v>34260</v>
      </c>
      <c r="E91" s="63">
        <f t="shared" si="2"/>
        <v>113250</v>
      </c>
    </row>
    <row r="92" spans="1:7" x14ac:dyDescent="0.3">
      <c r="A92" s="2">
        <v>24</v>
      </c>
      <c r="C92" s="38" t="s">
        <v>38</v>
      </c>
      <c r="D92" s="42">
        <v>1180</v>
      </c>
      <c r="E92" s="63">
        <f t="shared" si="2"/>
        <v>3900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TRUNC(64567+53+23317,-1)</f>
        <v>87930</v>
      </c>
      <c r="E94" s="64">
        <f t="shared" si="2"/>
        <v>290670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180710</v>
      </c>
      <c r="E95" s="39">
        <f>SUM(E69:E94)</f>
        <v>597330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TRUNC(122925,-1)</f>
        <v>122920</v>
      </c>
      <c r="E98" s="62">
        <f t="shared" ref="E98:E118" si="3">TRUNC(+D98*3.3058,-1)</f>
        <v>406340</v>
      </c>
    </row>
    <row r="99" spans="1:7" x14ac:dyDescent="0.3">
      <c r="A99" s="2">
        <v>2</v>
      </c>
      <c r="C99" s="38" t="s">
        <v>40</v>
      </c>
      <c r="D99" s="42">
        <f>TRUNC(18563,-1)</f>
        <v>18560</v>
      </c>
      <c r="E99" s="63">
        <f t="shared" si="3"/>
        <v>61350</v>
      </c>
    </row>
    <row r="100" spans="1:7" x14ac:dyDescent="0.3">
      <c r="A100" s="2">
        <v>3</v>
      </c>
      <c r="C100" s="38" t="s">
        <v>41</v>
      </c>
      <c r="D100" s="42">
        <f>TRUNC(44257,-1)</f>
        <v>44250</v>
      </c>
      <c r="E100" s="63">
        <f t="shared" si="3"/>
        <v>146280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TRUNC(5778,-1)</f>
        <v>5770</v>
      </c>
      <c r="E102" s="63">
        <f t="shared" si="3"/>
        <v>19070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8960</v>
      </c>
      <c r="E104" s="63">
        <f t="shared" si="3"/>
        <v>29610</v>
      </c>
    </row>
    <row r="105" spans="1:7" x14ac:dyDescent="0.3">
      <c r="A105" s="2">
        <v>8</v>
      </c>
      <c r="C105" s="38" t="s">
        <v>46</v>
      </c>
      <c r="D105" s="42">
        <f>TRUNC(10309,-1)</f>
        <v>10300</v>
      </c>
      <c r="E105" s="63">
        <f t="shared" si="3"/>
        <v>34040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3350</v>
      </c>
      <c r="E114" s="63">
        <f t="shared" si="3"/>
        <v>11070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TRUNC(46038,-1)</f>
        <v>46030</v>
      </c>
      <c r="E116" s="63">
        <f t="shared" si="3"/>
        <v>152160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TRUNC(146913,-1)</f>
        <v>146910</v>
      </c>
      <c r="E117" s="63">
        <f t="shared" si="3"/>
        <v>485650</v>
      </c>
    </row>
    <row r="118" spans="1:7" ht="17.25" thickBot="1" x14ac:dyDescent="0.35">
      <c r="A118" s="2">
        <v>21</v>
      </c>
      <c r="C118" s="38" t="s">
        <v>47</v>
      </c>
      <c r="D118" s="43">
        <f>TRUNC(24434,-1)</f>
        <v>24430</v>
      </c>
      <c r="E118" s="64">
        <f t="shared" si="3"/>
        <v>80760</v>
      </c>
    </row>
    <row r="119" spans="1:7" x14ac:dyDescent="0.3">
      <c r="A119" s="2">
        <v>22</v>
      </c>
      <c r="C119" s="27" t="s">
        <v>112</v>
      </c>
      <c r="D119" s="39">
        <f>SUM(D98:D118)</f>
        <v>431480</v>
      </c>
      <c r="E119" s="39">
        <f>SUM(E98:E118)</f>
        <v>1426330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TRUNC(2554,-1)</f>
        <v>2550</v>
      </c>
      <c r="E122" s="62">
        <f t="shared" ref="E122:E132" si="4">TRUNC(+D122*3.3058,-1)</f>
        <v>8420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TRUNC(7386,-1)</f>
        <v>7380</v>
      </c>
      <c r="E125" s="63">
        <f t="shared" si="4"/>
        <v>24390</v>
      </c>
    </row>
    <row r="126" spans="1:7" x14ac:dyDescent="0.3">
      <c r="A126" s="2">
        <v>5</v>
      </c>
      <c r="C126" s="38" t="s">
        <v>53</v>
      </c>
      <c r="D126" s="42">
        <f>TRUNC(6279,-1)</f>
        <v>6270</v>
      </c>
      <c r="E126" s="63">
        <f t="shared" si="4"/>
        <v>20720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TRUNC(3596,-1)</f>
        <v>3590</v>
      </c>
      <c r="E128" s="63">
        <f t="shared" si="4"/>
        <v>11860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TRUNC(13607,-1)</f>
        <v>13600</v>
      </c>
      <c r="E130" s="63">
        <f t="shared" si="4"/>
        <v>44950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TRUNC(19522,-1)</f>
        <v>19520</v>
      </c>
      <c r="E132" s="64">
        <f t="shared" si="4"/>
        <v>64520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52910</v>
      </c>
      <c r="E133" s="39">
        <f>SUM(E122:E132)</f>
        <v>174860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TRUNC(158+1794+1074,-1)</f>
        <v>3020</v>
      </c>
      <c r="E137" s="63">
        <f t="shared" si="5"/>
        <v>9980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TRUNC(11464,-1)</f>
        <v>11460</v>
      </c>
      <c r="E138" s="63">
        <f t="shared" si="5"/>
        <v>37880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TRUNC(2726,-1)</f>
        <v>2720</v>
      </c>
      <c r="E140" s="63">
        <f t="shared" si="5"/>
        <v>8990</v>
      </c>
    </row>
    <row r="141" spans="1:7" x14ac:dyDescent="0.3">
      <c r="A141" s="2">
        <v>6</v>
      </c>
      <c r="C141" s="38" t="s">
        <v>59</v>
      </c>
      <c r="D141" s="42">
        <f>TRUNC(1782,-1)</f>
        <v>1780</v>
      </c>
      <c r="E141" s="63">
        <f t="shared" si="5"/>
        <v>5880</v>
      </c>
    </row>
    <row r="142" spans="1:7" x14ac:dyDescent="0.3">
      <c r="A142" s="2">
        <v>7</v>
      </c>
      <c r="C142" s="38" t="s">
        <v>58</v>
      </c>
      <c r="D142" s="42">
        <f>TRUNC(5124,-1)</f>
        <v>5120</v>
      </c>
      <c r="E142" s="63">
        <f t="shared" si="5"/>
        <v>16920</v>
      </c>
    </row>
    <row r="143" spans="1:7" x14ac:dyDescent="0.3">
      <c r="A143" s="2">
        <v>8</v>
      </c>
      <c r="C143" s="38" t="s">
        <v>62</v>
      </c>
      <c r="D143" s="42">
        <f>TRUNC(6845,-1)</f>
        <v>6840</v>
      </c>
      <c r="E143" s="63">
        <f t="shared" si="5"/>
        <v>22610</v>
      </c>
    </row>
    <row r="144" spans="1:7" x14ac:dyDescent="0.3">
      <c r="A144" s="2">
        <v>9</v>
      </c>
      <c r="C144" s="38" t="s">
        <v>63</v>
      </c>
      <c r="D144" s="42">
        <f>TRUNC(19695,-1)</f>
        <v>19690</v>
      </c>
      <c r="E144" s="63">
        <f t="shared" si="5"/>
        <v>65090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50630</v>
      </c>
      <c r="E146" s="39">
        <f>SUM(E136:E145)</f>
        <v>167350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TRUNC(7283+4080,-1)</f>
        <v>11360</v>
      </c>
      <c r="E149" s="62">
        <f>TRUNC(+D149*3.3058,-1)</f>
        <v>37550</v>
      </c>
    </row>
    <row r="150" spans="1:7" x14ac:dyDescent="0.3">
      <c r="A150" s="2">
        <v>2</v>
      </c>
      <c r="C150" s="38" t="s">
        <v>49</v>
      </c>
      <c r="D150" s="42">
        <f>TRUNC(5787,-1)</f>
        <v>5780</v>
      </c>
      <c r="E150" s="63">
        <f>TRUNC(+D150*3.3058,-1)</f>
        <v>19100</v>
      </c>
    </row>
    <row r="151" spans="1:7" x14ac:dyDescent="0.3">
      <c r="A151" s="2">
        <v>3</v>
      </c>
      <c r="C151" s="38" t="s">
        <v>50</v>
      </c>
      <c r="D151" s="42">
        <v>17550</v>
      </c>
      <c r="E151" s="63">
        <f>TRUNC(+D151*3.3058,-1)</f>
        <v>58010</v>
      </c>
    </row>
    <row r="152" spans="1:7" x14ac:dyDescent="0.3">
      <c r="A152" s="2">
        <v>4</v>
      </c>
      <c r="C152" s="38" t="s">
        <v>47</v>
      </c>
      <c r="D152" s="42">
        <f>TRUNC(1141+14609+2404+30,-1)</f>
        <v>18180</v>
      </c>
      <c r="E152" s="63">
        <f>TRUNC(+D152*3.3058,-1)</f>
        <v>60090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TRUNC(3097,-1)</f>
        <v>3090</v>
      </c>
      <c r="E153" s="64">
        <f>TRUNC(+D153*3.3058,-1)</f>
        <v>10210</v>
      </c>
    </row>
    <row r="154" spans="1:7" x14ac:dyDescent="0.3">
      <c r="A154" s="2">
        <v>6</v>
      </c>
      <c r="C154" s="27" t="s">
        <v>112</v>
      </c>
      <c r="D154" s="39">
        <f>SUM(D149:D153)</f>
        <v>55960</v>
      </c>
      <c r="E154" s="39">
        <f>SUM(E149:E153)</f>
        <v>184960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TRUNC(51689,-1)</f>
        <v>51680</v>
      </c>
      <c r="E157" s="62">
        <f>TRUNC(+D157*3.3058,-1)</f>
        <v>170840</v>
      </c>
    </row>
    <row r="158" spans="1:7" x14ac:dyDescent="0.3">
      <c r="A158" s="2">
        <v>2</v>
      </c>
      <c r="C158" s="38" t="s">
        <v>52</v>
      </c>
      <c r="D158" s="42">
        <f>TRUNC(2889,-1)</f>
        <v>2880</v>
      </c>
      <c r="E158" s="63">
        <f>TRUNC(+D158*3.3058,-1)</f>
        <v>9520</v>
      </c>
    </row>
    <row r="159" spans="1:7" x14ac:dyDescent="0.3">
      <c r="A159" s="2">
        <v>3</v>
      </c>
      <c r="C159" s="38" t="s">
        <v>47</v>
      </c>
      <c r="D159" s="42">
        <f>TRUNC(611,-1)</f>
        <v>610</v>
      </c>
      <c r="E159" s="63">
        <f>TRUNC(+D159*3.3058,-1)</f>
        <v>2010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55170</v>
      </c>
      <c r="E161" s="39">
        <f>SUM(E157:E160)</f>
        <v>182370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2020-12-08T01:23:52Z</dcterms:modified>
</cp:coreProperties>
</file>