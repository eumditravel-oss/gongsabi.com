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8" i="4" l="1"/>
  <c r="D124" i="4"/>
  <c r="D125" i="4"/>
  <c r="D122" i="4"/>
  <c r="D132" i="4"/>
  <c r="D118" i="4"/>
  <c r="D105" i="4"/>
  <c r="D108" i="4"/>
  <c r="D102" i="4"/>
  <c r="D100" i="4"/>
  <c r="D99" i="4"/>
  <c r="D98" i="4"/>
  <c r="D75" i="4"/>
  <c r="D94" i="4"/>
  <c r="D72" i="4"/>
  <c r="D92" i="4"/>
  <c r="D79" i="4"/>
  <c r="D71" i="4"/>
  <c r="D70" i="4"/>
  <c r="D69" i="4"/>
  <c r="D58" i="4"/>
  <c r="D55" i="4"/>
  <c r="D53" i="4"/>
  <c r="D52" i="4"/>
  <c r="D51" i="4"/>
  <c r="D50" i="4"/>
  <c r="D49" i="4"/>
  <c r="D48" i="4"/>
  <c r="D47" i="4"/>
  <c r="D46" i="4"/>
  <c r="D45" i="4"/>
  <c r="D44" i="4"/>
  <c r="D43" i="4"/>
  <c r="D41" i="4"/>
  <c r="D40" i="4"/>
  <c r="D64" i="4"/>
  <c r="D63" i="4"/>
  <c r="D152" i="4"/>
  <c r="D151" i="4"/>
  <c r="D159" i="4"/>
  <c r="D137" i="4"/>
  <c r="D136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33" i="4"/>
  <c r="E119" i="4"/>
  <c r="E95" i="4"/>
  <c r="E60" i="4"/>
  <c r="E154" i="4"/>
  <c r="E146" i="4"/>
  <c r="D161" i="4"/>
  <c r="D154" i="4"/>
  <c r="D31" i="4" s="1"/>
  <c r="E31" i="4" s="1"/>
  <c r="D146" i="4"/>
  <c r="D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0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<sst xmlns="http://schemas.openxmlformats.org/spreadsheetml/2006/main" count="393" uniqueCount="268">
  <si>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</si>
  <si>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</si>
  <si>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</si>
  <si>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</si>
  <si>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</si>
  <si>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</si>
  <si>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</si>
  <si>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</si>
  <si>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</si>
  <si>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</si>
  <si>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</si>
  <si>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</si>
  <si>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</si>
  <si>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</si>
  <si>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</si>
  <si>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</si>
  <si>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</si>
  <si>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</si>
  <si>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</si>
  <si>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</si>
  <si>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</si>
  <si>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</si>
  <si>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</si>
  <si>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</si>
  <si>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</si>
  <si>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</si>
  <si>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</si>
  <si>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</si>
  <si>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</si>
  <si>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</si>
  <si>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</si>
  <si>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</si>
  <si>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</si>
  <si>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</si>
  <si>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</si>
  <si>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</si>
  <si>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</si>
  <si>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</si>
  <si>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</si>
  <si>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</si>
  <si>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</si>
  <si>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</si>
  <si>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</si>
  <si>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</si>
  <si>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</si>
  <si>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</si>
  <si>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</si>
  <si>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</si>
  <si>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</si>
  <si>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</si>
  <si>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</si>
  <si>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</si>
  <si>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</si>
  <si>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</si>
  <si>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</si>
  <si>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</si>
  <si>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</si>
  <si>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</si>
  <si>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</si>
  <si>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</si>
  <si>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</si>
  <si>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</si>
  <si>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</si>
  <si>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</si>
  <si>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</si>
  <si>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</si>
  <si>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</si>
  <si>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</si>
  <si>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</si>
  <si>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</si>
  <si>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</si>
  <si>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</si>
  <si>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</si>
  <si>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</si>
  <si>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</si>
  <si>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</si>
  <si>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</si>
  <si>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</si>
  <si>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</si>
  <si>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</si>
  <si>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</si>
  <si>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</si>
  <si>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</si>
  <si>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</si>
  <si>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</si>
  <si>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</si>
  <si>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</si>
  <si>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</si>
  <si>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</si>
  <si>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</si>
  <si>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</si>
  <si>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</si>
  <si>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</si>
  <si>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</si>
  <si>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</si>
  <si>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</si>
  <si>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</si>
  <si>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</si>
  <si>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</si>
  <si>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</si>
  <si>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</si>
  <si>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</si>
  <si>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</si>
  <si>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</si>
  <si>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</si>
  <si>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</si>
  <si>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</si>
  <si>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</si>
  <si>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</si>
  <si>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</si>
  <si>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</si>
  <si>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</si>
  <si>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</si>
  <si>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</si>
  <si>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</si>
  <si>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</si>
  <si>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</si>
  <si>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</si>
  <si>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</si>
  <si>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</si>
  <si>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</si>
  <si>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</si>
  <si>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</si>
  <si>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</si>
  <si>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</si>
  <si>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</si>
  <si>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</si>
  <si>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</si>
  <si>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</si>
  <si>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</si>
  <si>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</si>
  <si>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</si>
  <si>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</si>
  <si>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</si>
  <si>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</si>
  <si>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</si>
  <si>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</si>
  <si>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</si>
  <si>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</si>
  <si>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</si>
  <si>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</si>
  <si>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</si>
  <si>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</si>
  <si>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</si>
  <si>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</si>
  <si>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</si>
  <si>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</si>
  <si>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</si>
  <si>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</si>
  <si>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</si>
  <si>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</si>
  <si>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</si>
  <si>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</si>
  <si>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</si>
  <si>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</si>
  <si>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</si>
  <si>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</si>
  <si>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</si>
  <si>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</si>
  <si>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</si>
  <si>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</si>
  <si>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</si>
  <si>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</si>
  <si>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</si>
  <si>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</si>
  <si>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</si>
  <si>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</si>
  <si>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</si>
  <si>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</si>
  <si>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</si>
  <si>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</si>
  <si>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</si>
  <si>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</si>
  <si>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</si>
  <si>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</si>
  <si>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</si>
  <si>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</si>
  <si>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</si>
  <si>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</si>
  <si>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</si>
  <si>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</si>
  <si>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</si>
  <si>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</si>
  <si>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</si>
  <si>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</si>
  <si>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</si>
  <si>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</si>
  <si>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</si>
  <si>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</si>
  <si>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</si>
  <si>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</si>
  <si>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</si>
  <si>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</si>
  <si>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</si>
  <si>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</si>
  <si>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</si>
  <si>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</si>
  <si>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</si>
  <si>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</si>
  <si>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</si>
  <si>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</si>
  <si>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</si>
  <si>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</si>
  <si>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</si>
  <si>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</si>
  <si>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</si>
  <si>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</si>
  <si>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</si>
  <si>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</si>
  <si>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</si>
  <si>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</si>
  <si>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</si>
  <si>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</si>
  <si>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</si>
  <si>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</si>
  <si>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</si>
  <si>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</si>
  <si>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</si>
  <si>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</si>
  <si>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</si>
  <si>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</si>
  <si>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</si>
  <si>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</si>
  <si>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</si>
  <si>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</si>
  <si>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</si>
  <si>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</si>
  <si>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</si>
  <si>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</si>
  <si>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</si>
  <si>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</si>
  <si>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</si>
  <si>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</si>
  <si>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</si>
  <si>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</si>
  <si>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</si>
  <si>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</si>
  <si>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</si>
  <si>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</si>
  <si>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</si>
  <si>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</si>
  <si>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</si>
  <si>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</si>
  <si>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</si>
  <si>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</si>
  <si>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</si>
  <si>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</si>
  <si>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</si>
  <si>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0000공사 000지사 사옥 신축공사</t>
    <phoneticPr fontId="2" type="noConversion"/>
  </si>
  <si>
    <t>업무</t>
  </si>
  <si>
    <t>경기도</t>
  </si>
  <si>
    <t>조경공사</t>
    <phoneticPr fontId="2" type="noConversion"/>
  </si>
  <si>
    <t>배수공</t>
    <phoneticPr fontId="2" type="noConversion"/>
  </si>
  <si>
    <t>파일및지정공사</t>
    <phoneticPr fontId="2" type="noConversion"/>
  </si>
  <si>
    <t>기계 소화설비공사</t>
    <phoneticPr fontId="2" type="noConversion"/>
  </si>
  <si>
    <t>전기 소방공사</t>
    <phoneticPr fontId="2" type="noConversion"/>
  </si>
  <si>
    <t>골재대,운반비,작업부산물</t>
    <phoneticPr fontId="2" type="noConversion"/>
  </si>
  <si>
    <t>환기덕트설치공사</t>
    <phoneticPr fontId="2" type="noConversion"/>
  </si>
  <si>
    <t>위생설비공사</t>
    <phoneticPr fontId="2" type="noConversion"/>
  </si>
  <si>
    <t>가스온수기설치공사</t>
    <phoneticPr fontId="2" type="noConversion"/>
  </si>
  <si>
    <t>옥외외등설비공사,태양광발전설비공사</t>
    <phoneticPr fontId="2" type="noConversion"/>
  </si>
  <si>
    <t>정보통신설비공사,CCTV설비공사</t>
    <phoneticPr fontId="2" type="noConversion"/>
  </si>
  <si>
    <t>CATV설비공사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</si>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</sst>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1966</v>
      </c>
      <c r="D7" s="36">
        <f>+C7/3.3058</f>
        <v>594.71232379454295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608740</v>
      </c>
      <c r="E25" s="59">
        <f t="shared" si="0"/>
        <v>2012370</v>
      </c>
    </row>
    <row r="26" spans="1:5" x14ac:dyDescent="0.3">
      <c r="B26" s="2">
        <v>3</v>
      </c>
      <c r="C26" s="35" t="s">
        <v>95</v>
      </c>
      <c r="D26" s="45">
        <f>+D66</f>
        <v>40260</v>
      </c>
      <c r="E26" s="59">
        <f t="shared" si="0"/>
        <v>133090</v>
      </c>
    </row>
    <row r="27" spans="1:5" x14ac:dyDescent="0.3">
      <c r="B27" s="2">
        <v>4</v>
      </c>
      <c r="C27" s="35" t="s">
        <v>96</v>
      </c>
      <c r="D27" s="45">
        <f>+D95</f>
        <v>56590</v>
      </c>
      <c r="E27" s="59">
        <f t="shared" si="0"/>
        <v>187070</v>
      </c>
    </row>
    <row r="28" spans="1:5" x14ac:dyDescent="0.3">
      <c r="B28" s="2">
        <v>5</v>
      </c>
      <c r="C28" s="35" t="s">
        <v>97</v>
      </c>
      <c r="D28" s="45">
        <f>+D119</f>
        <v>86730</v>
      </c>
      <c r="E28" s="59">
        <f t="shared" si="0"/>
        <v>286710</v>
      </c>
    </row>
    <row r="29" spans="1:5" x14ac:dyDescent="0.3">
      <c r="B29" s="2">
        <v>6</v>
      </c>
      <c r="C29" s="35" t="s">
        <v>98</v>
      </c>
      <c r="D29" s="45">
        <f>+D133</f>
        <v>52340</v>
      </c>
      <c r="E29" s="59">
        <f t="shared" si="0"/>
        <v>173020</v>
      </c>
    </row>
    <row r="30" spans="1:5" x14ac:dyDescent="0.3">
      <c r="B30" s="2">
        <v>7</v>
      </c>
      <c r="C30" s="35" t="s">
        <v>99</v>
      </c>
      <c r="D30" s="45">
        <f>+D146</f>
        <v>35010</v>
      </c>
      <c r="E30" s="59">
        <f t="shared" si="0"/>
        <v>115730</v>
      </c>
    </row>
    <row r="31" spans="1:5" x14ac:dyDescent="0.3">
      <c r="B31" s="2">
        <v>8</v>
      </c>
      <c r="C31" s="35" t="s">
        <v>100</v>
      </c>
      <c r="D31" s="45">
        <f>+D154</f>
        <v>32350</v>
      </c>
      <c r="E31" s="59">
        <f t="shared" si="0"/>
        <v>106940</v>
      </c>
    </row>
    <row r="32" spans="1:5" x14ac:dyDescent="0.3">
      <c r="B32" s="2">
        <v>9</v>
      </c>
      <c r="C32" s="35" t="s">
        <v>101</v>
      </c>
      <c r="D32" s="45">
        <f>+D161</f>
        <v>5500</v>
      </c>
      <c r="E32" s="59">
        <f t="shared" si="0"/>
        <v>18180</v>
      </c>
    </row>
    <row r="33" spans="1:7" x14ac:dyDescent="0.3">
      <c r="B33" s="2">
        <v>10</v>
      </c>
      <c r="C33" s="35" t="s">
        <v>154</v>
      </c>
      <c r="D33" s="53">
        <f>TRUNC(SUM(D24:D32)*0.275,-1)</f>
        <v>252310</v>
      </c>
      <c r="E33" s="60">
        <f t="shared" si="0"/>
        <v>834080</v>
      </c>
    </row>
    <row r="34" spans="1:7" x14ac:dyDescent="0.3">
      <c r="C34" s="35" t="s">
        <v>112</v>
      </c>
      <c r="D34" s="44">
        <f>SUM(D24:D33)</f>
        <v>1169830</v>
      </c>
      <c r="E34" s="44">
        <f>SUM(E24:E33)</f>
        <v>3867190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TRUNC(42328,-1)</f>
        <v>42320</v>
      </c>
      <c r="E40" s="62">
        <f t="shared" ref="E40:E59" si="1">TRUNC(+D40*3.3058,-1)</f>
        <v>139900</v>
      </c>
    </row>
    <row r="41" spans="1:7" x14ac:dyDescent="0.3">
      <c r="A41" s="2">
        <v>2</v>
      </c>
      <c r="C41" s="38" t="s">
        <v>13</v>
      </c>
      <c r="D41" s="42">
        <f>TRUNC(137567,-1)</f>
        <v>137560</v>
      </c>
      <c r="E41" s="63">
        <f t="shared" si="1"/>
        <v>454740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TRUNC(18895,-1)</f>
        <v>18890</v>
      </c>
      <c r="E43" s="63">
        <f t="shared" si="1"/>
        <v>62440</v>
      </c>
    </row>
    <row r="44" spans="1:7" x14ac:dyDescent="0.3">
      <c r="A44" s="2">
        <v>5</v>
      </c>
      <c r="C44" s="38" t="s">
        <v>17</v>
      </c>
      <c r="D44" s="42">
        <f>TRUNC(29816,-1)</f>
        <v>29810</v>
      </c>
      <c r="E44" s="63">
        <f t="shared" si="1"/>
        <v>98540</v>
      </c>
    </row>
    <row r="45" spans="1:7" x14ac:dyDescent="0.3">
      <c r="A45" s="2">
        <v>6</v>
      </c>
      <c r="C45" s="38" t="s">
        <v>18</v>
      </c>
      <c r="D45" s="42">
        <f>TRUNC(10060,-1)</f>
        <v>10060</v>
      </c>
      <c r="E45" s="63">
        <f t="shared" si="1"/>
        <v>33250</v>
      </c>
    </row>
    <row r="46" spans="1:7" x14ac:dyDescent="0.3">
      <c r="A46" s="2">
        <v>7</v>
      </c>
      <c r="C46" s="38" t="s">
        <v>19</v>
      </c>
      <c r="D46" s="42">
        <f>TRUNC(152223,-1)</f>
        <v>152220</v>
      </c>
      <c r="E46" s="63">
        <f t="shared" si="1"/>
        <v>503200</v>
      </c>
    </row>
    <row r="47" spans="1:7" x14ac:dyDescent="0.3">
      <c r="A47" s="2">
        <v>8</v>
      </c>
      <c r="C47" s="38" t="s">
        <v>20</v>
      </c>
      <c r="D47" s="42">
        <f>TRUNC(1775,-1)</f>
        <v>1770</v>
      </c>
      <c r="E47" s="63">
        <f t="shared" si="1"/>
        <v>5850</v>
      </c>
    </row>
    <row r="48" spans="1:7" x14ac:dyDescent="0.3">
      <c r="A48" s="2">
        <v>9</v>
      </c>
      <c r="C48" s="38" t="s">
        <v>21</v>
      </c>
      <c r="D48" s="42">
        <f>TRUNC(35039,-1)</f>
        <v>35030</v>
      </c>
      <c r="E48" s="63">
        <f t="shared" si="1"/>
        <v>115800</v>
      </c>
    </row>
    <row r="49" spans="1:7" x14ac:dyDescent="0.3">
      <c r="A49" s="2">
        <v>10</v>
      </c>
      <c r="C49" s="38" t="s">
        <v>22</v>
      </c>
      <c r="D49" s="42">
        <f>TRUNC(26975,-1)</f>
        <v>26970</v>
      </c>
      <c r="E49" s="63">
        <f t="shared" si="1"/>
        <v>89150</v>
      </c>
    </row>
    <row r="50" spans="1:7" x14ac:dyDescent="0.3">
      <c r="A50" s="2">
        <v>11</v>
      </c>
      <c r="C50" s="38" t="s">
        <v>155</v>
      </c>
      <c r="D50" s="42">
        <f>TRUNC(28610,-1)</f>
        <v>28610</v>
      </c>
      <c r="E50" s="63">
        <f t="shared" si="1"/>
        <v>94570</v>
      </c>
    </row>
    <row r="51" spans="1:7" x14ac:dyDescent="0.3">
      <c r="A51" s="2">
        <v>12</v>
      </c>
      <c r="C51" s="38" t="s">
        <v>23</v>
      </c>
      <c r="D51" s="42">
        <f>TRUNC(18543,-1)</f>
        <v>18540</v>
      </c>
      <c r="E51" s="63">
        <f t="shared" si="1"/>
        <v>61280</v>
      </c>
    </row>
    <row r="52" spans="1:7" x14ac:dyDescent="0.3">
      <c r="A52" s="2">
        <v>13</v>
      </c>
      <c r="C52" s="38" t="s">
        <v>24</v>
      </c>
      <c r="D52" s="42">
        <f>TRUNC(10838,-1)</f>
        <v>10830</v>
      </c>
      <c r="E52" s="63">
        <f t="shared" si="1"/>
        <v>35800</v>
      </c>
    </row>
    <row r="53" spans="1:7" x14ac:dyDescent="0.3">
      <c r="A53" s="2">
        <v>14</v>
      </c>
      <c r="C53" s="38" t="s">
        <v>25</v>
      </c>
      <c r="D53" s="42">
        <f>TRUNC(88068,-1)</f>
        <v>88060</v>
      </c>
      <c r="E53" s="63">
        <f t="shared" si="1"/>
        <v>291100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TRUNC(3017,-1)</f>
        <v>3010</v>
      </c>
      <c r="E55" s="63">
        <f t="shared" si="1"/>
        <v>9950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TRUNC(2533+3552-1017,-1)</f>
        <v>5060</v>
      </c>
      <c r="E58" s="63">
        <f t="shared" si="1"/>
        <v>16720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608740</v>
      </c>
      <c r="E60" s="39">
        <f>SUM(E40:E59)</f>
        <v>2012290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TRUNC(2844,-1)</f>
        <v>2840</v>
      </c>
      <c r="E63" s="62">
        <f>TRUNC(+D63*3.3058,-1)</f>
        <v>9380</v>
      </c>
    </row>
    <row r="64" spans="1:7" x14ac:dyDescent="0.3">
      <c r="A64" s="2">
        <v>2</v>
      </c>
      <c r="C64" s="38" t="s">
        <v>29</v>
      </c>
      <c r="D64" s="42">
        <f>TRUNC(37428,-1)</f>
        <v>37420</v>
      </c>
      <c r="E64" s="63">
        <f>TRUNC(+D64*3.3058,-1)</f>
        <v>123700</v>
      </c>
      <c r="F64" s="2" t="s">
        <v>253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40260</v>
      </c>
      <c r="E66" s="65">
        <f>SUM(E63:E65)</f>
        <v>133080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TRUNC(13896,-1)</f>
        <v>13890</v>
      </c>
      <c r="E69" s="62">
        <f t="shared" ref="E69:E94" si="2">TRUNC(+D69*3.3058,-1)</f>
        <v>45910</v>
      </c>
    </row>
    <row r="70" spans="1:7" ht="16.5" customHeight="1" x14ac:dyDescent="0.3">
      <c r="A70" s="2">
        <v>2</v>
      </c>
      <c r="C70" s="38" t="s">
        <v>31</v>
      </c>
      <c r="D70" s="42">
        <f>TRUNC(492,-1)</f>
        <v>490</v>
      </c>
      <c r="E70" s="63">
        <f t="shared" si="2"/>
        <v>1610</v>
      </c>
    </row>
    <row r="71" spans="1:7" x14ac:dyDescent="0.3">
      <c r="A71" s="2">
        <v>3</v>
      </c>
      <c r="C71" s="38" t="s">
        <v>32</v>
      </c>
      <c r="D71" s="42">
        <f>TRUNC(6075,-1)</f>
        <v>6070</v>
      </c>
      <c r="E71" s="63">
        <f t="shared" si="2"/>
        <v>20060</v>
      </c>
    </row>
    <row r="72" spans="1:7" x14ac:dyDescent="0.3">
      <c r="A72" s="2">
        <v>4</v>
      </c>
      <c r="C72" s="38" t="s">
        <v>33</v>
      </c>
      <c r="D72" s="42">
        <f>TRUNC(10355,-1)</f>
        <v>10350</v>
      </c>
      <c r="E72" s="63">
        <f t="shared" si="2"/>
        <v>34210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TRUNC(973,-1)</f>
        <v>970</v>
      </c>
      <c r="E75" s="63">
        <f t="shared" si="2"/>
        <v>3200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TRUNC(4849,-1)</f>
        <v>4840</v>
      </c>
      <c r="E79" s="63">
        <f t="shared" si="2"/>
        <v>16000</v>
      </c>
      <c r="F79" s="2" t="s">
        <v>257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TRUNC(17397,-1)</f>
        <v>17390</v>
      </c>
      <c r="E92" s="63">
        <f t="shared" si="2"/>
        <v>57480</v>
      </c>
      <c r="F92" s="2" t="s">
        <v>258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TRUNC(2594,-1)</f>
        <v>2590</v>
      </c>
      <c r="E94" s="64">
        <f t="shared" si="2"/>
        <v>8560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56590</v>
      </c>
      <c r="E95" s="39">
        <f>SUM(E69:E94)</f>
        <v>187030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TRUNC(32783,-1)</f>
        <v>32780</v>
      </c>
      <c r="E98" s="62">
        <f t="shared" ref="E98:E118" si="3">TRUNC(+D98*3.3058,-1)</f>
        <v>108360</v>
      </c>
    </row>
    <row r="99" spans="1:7" x14ac:dyDescent="0.3">
      <c r="A99" s="2">
        <v>2</v>
      </c>
      <c r="C99" s="38" t="s">
        <v>40</v>
      </c>
      <c r="D99" s="42">
        <f>TRUNC(4267,-1)</f>
        <v>4260</v>
      </c>
      <c r="E99" s="63">
        <f t="shared" si="3"/>
        <v>14080</v>
      </c>
    </row>
    <row r="100" spans="1:7" x14ac:dyDescent="0.3">
      <c r="A100" s="2">
        <v>3</v>
      </c>
      <c r="C100" s="38" t="s">
        <v>41</v>
      </c>
      <c r="D100" s="42">
        <f>TRUNC(28794,-1)</f>
        <v>28790</v>
      </c>
      <c r="E100" s="63">
        <f t="shared" si="3"/>
        <v>95170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TRUNC(11219,-1)</f>
        <v>11210</v>
      </c>
      <c r="E102" s="63">
        <f t="shared" si="3"/>
        <v>37050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TRUNC(1516,-1)</f>
        <v>1510</v>
      </c>
      <c r="E105" s="63">
        <f t="shared" si="3"/>
        <v>4990</v>
      </c>
    </row>
    <row r="106" spans="1:7" x14ac:dyDescent="0.3">
      <c r="A106" s="2">
        <v>9</v>
      </c>
      <c r="C106" s="38" t="s">
        <v>135</v>
      </c>
      <c r="D106" s="42"/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TRUNC(3549,-1)</f>
        <v>3540</v>
      </c>
      <c r="E108" s="63">
        <f t="shared" si="3"/>
        <v>11700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TRUNC(2841+1801,-1)</f>
        <v>4640</v>
      </c>
      <c r="E118" s="64">
        <f t="shared" si="3"/>
        <v>15330</v>
      </c>
      <c r="F118" s="2" t="s">
        <v>260</v>
      </c>
    </row>
    <row r="119" spans="1:7" x14ac:dyDescent="0.3">
      <c r="A119" s="2">
        <v>22</v>
      </c>
      <c r="C119" s="27" t="s">
        <v>112</v>
      </c>
      <c r="D119" s="39">
        <f>SUM(D98:D118)</f>
        <v>86730</v>
      </c>
      <c r="E119" s="39">
        <f>SUM(E98:E118)</f>
        <v>286680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TRUNC(9889,-1)</f>
        <v>9880</v>
      </c>
      <c r="E122" s="62">
        <f t="shared" ref="E122:E132" si="4">TRUNC(+D122*3.3058,-1)</f>
        <v>32660</v>
      </c>
      <c r="F122" s="2" t="s">
        <v>262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TRUNC(4572,-1)</f>
        <v>4570</v>
      </c>
      <c r="E124" s="63">
        <f t="shared" si="4"/>
        <v>15100</v>
      </c>
    </row>
    <row r="125" spans="1:7" x14ac:dyDescent="0.3">
      <c r="A125" s="2">
        <v>4</v>
      </c>
      <c r="C125" s="38" t="s">
        <v>138</v>
      </c>
      <c r="D125" s="42">
        <f>TRUNC(12162,-1)</f>
        <v>12160</v>
      </c>
      <c r="E125" s="63">
        <f t="shared" si="4"/>
        <v>40190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TRUNC(2516,-1)</f>
        <v>2510</v>
      </c>
      <c r="E128" s="63">
        <f t="shared" si="4"/>
        <v>8290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TRUNC(20432+2793,-1)</f>
        <v>23220</v>
      </c>
      <c r="E132" s="64">
        <f t="shared" si="4"/>
        <v>76760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52340</v>
      </c>
      <c r="E133" s="39">
        <f>SUM(E122:E132)</f>
        <v>173000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TRUNC(20128,-1)</f>
        <v>20120</v>
      </c>
      <c r="E136" s="62">
        <f t="shared" ref="E136:E145" si="5">TRUNC(+D136*3.3058,-1)</f>
        <v>66510</v>
      </c>
      <c r="F136" s="2" t="s">
        <v>254</v>
      </c>
    </row>
    <row r="137" spans="1:7" x14ac:dyDescent="0.3">
      <c r="A137" s="2">
        <v>2</v>
      </c>
      <c r="C137" s="38" t="s">
        <v>47</v>
      </c>
      <c r="D137" s="42">
        <f>TRUNC(14895,-1)</f>
        <v>14890</v>
      </c>
      <c r="E137" s="63">
        <f t="shared" si="5"/>
        <v>49220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35010</v>
      </c>
      <c r="E146" s="39">
        <f>SUM(E136:E145)</f>
        <v>115730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f>TRUNC(22871,-1)</f>
        <v>22870</v>
      </c>
      <c r="E151" s="63">
        <f>TRUNC(+D151*3.3058,-1)</f>
        <v>75600</v>
      </c>
    </row>
    <row r="152" spans="1:7" x14ac:dyDescent="0.3">
      <c r="A152" s="2">
        <v>4</v>
      </c>
      <c r="C152" s="38" t="s">
        <v>47</v>
      </c>
      <c r="D152" s="42">
        <f>TRUNC(9480,-1)</f>
        <v>9480</v>
      </c>
      <c r="E152" s="63">
        <f>TRUNC(+D152*3.3058,-1)</f>
        <v>31330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32350</v>
      </c>
      <c r="E154" s="39">
        <f>SUM(E149:E153)</f>
        <v>106930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TRUNC(5509,-1)</f>
        <v>5500</v>
      </c>
      <c r="E159" s="63">
        <f>TRUNC(+D159*3.3058,-1)</f>
        <v>18180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5500</v>
      </c>
      <c r="E161" s="39">
        <f>SUM(E157:E160)</f>
        <v>18180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2020-12-07T09:40:47Z</dcterms:modified>
</cp:coreProperties>
</file>