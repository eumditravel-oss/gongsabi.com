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9" i="4" l="1"/>
  <c r="D94" i="4"/>
  <c r="D136" i="4"/>
  <c r="D137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29" i="4"/>
  <c r="E126" i="4"/>
  <c r="E123" i="4"/>
  <c r="E116" i="4"/>
  <c r="E113" i="4"/>
  <c r="E112" i="4"/>
  <c r="E111" i="4"/>
  <c r="E110" i="4"/>
  <c r="E109" i="4"/>
  <c r="E108" i="4"/>
  <c r="E107" i="4"/>
  <c r="E106" i="4"/>
  <c r="E103" i="4"/>
  <c r="E94" i="4"/>
  <c r="E91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3" i="4"/>
  <c r="E72" i="4"/>
  <c r="E65" i="4"/>
  <c r="E64" i="4"/>
  <c r="E63" i="4"/>
  <c r="E57" i="4"/>
  <c r="E56" i="4"/>
  <c r="E66" i="4" l="1"/>
  <c r="D132" i="4"/>
  <c r="E132" i="4" s="1"/>
  <c r="D131" i="4"/>
  <c r="E131" i="4" s="1"/>
  <c r="D130" i="4"/>
  <c r="E130" i="4" s="1"/>
  <c r="D128" i="4"/>
  <c r="E128" i="4" s="1"/>
  <c r="D127" i="4"/>
  <c r="E127" i="4" s="1"/>
  <c r="D125" i="4"/>
  <c r="E125" i="4" s="1"/>
  <c r="D124" i="4"/>
  <c r="E124" i="4" s="1"/>
  <c r="D122" i="4"/>
  <c r="E122" i="4" s="1"/>
  <c r="D118" i="4"/>
  <c r="E118" i="4" s="1"/>
  <c r="D117" i="4"/>
  <c r="E117" i="4" s="1"/>
  <c r="D115" i="4"/>
  <c r="E115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93" i="4"/>
  <c r="E93" i="4" s="1"/>
  <c r="D92" i="4"/>
  <c r="E92" i="4" s="1"/>
  <c r="D90" i="4"/>
  <c r="E90" i="4" s="1"/>
  <c r="D75" i="4"/>
  <c r="E75" i="4" s="1"/>
  <c r="D74" i="4"/>
  <c r="E74" i="4" s="1"/>
  <c r="D71" i="4"/>
  <c r="E71" i="4" s="1"/>
  <c r="D70" i="4"/>
  <c r="E70" i="4" s="1"/>
  <c r="D69" i="4"/>
  <c r="E69" i="4" s="1"/>
  <c r="E95" i="4" s="1"/>
  <c r="D59" i="4"/>
  <c r="E59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52" i="4"/>
  <c r="E152" i="4" s="1"/>
  <c r="E154" i="4" s="1"/>
  <c r="D159" i="4"/>
  <c r="E159" i="4" s="1"/>
  <c r="E161" i="4" s="1"/>
  <c r="E119" i="4" l="1"/>
  <c r="E133" i="4"/>
  <c r="E60" i="4"/>
  <c r="D60" i="4"/>
  <c r="D161" i="4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25" i="4"/>
  <c r="E25" i="4" s="1"/>
  <c r="D24" i="4"/>
  <c r="E24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<sst xmlns="http://schemas.openxmlformats.org/spreadsheetml/2006/main" count="391" uniqueCount="266">
  <si>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</si>
  <si>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</si>
  <si>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</si>
  <si>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</si>
  <si>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</si>
  <si>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</si>
  <si>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</si>
  <si>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</si>
  <si>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</si>
  <si>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</si>
  <si>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</si>
  <si>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</si>
  <si>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</si>
  <si>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</si>
  <si>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</si>
  <si>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</si>
  <si>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</si>
  <si>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</si>
  <si>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</si>
  <si>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</si>
  <si>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</si>
  <si>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</si>
  <si>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</si>
  <si>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</si>
  <si>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</si>
  <si>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</si>
  <si>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</si>
  <si>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</si>
  <si>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</si>
  <si>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</si>
  <si>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</si>
  <si>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</si>
  <si>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</si>
  <si>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</si>
  <si>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</si>
  <si>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</si>
  <si>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</si>
  <si>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</si>
  <si>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</si>
  <si>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</si>
  <si>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</si>
  <si>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</si>
  <si>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</si>
  <si>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</si>
  <si>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</si>
  <si>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</si>
  <si>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</si>
  <si>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</si>
  <si>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</si>
  <si>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</si>
  <si>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</si>
  <si>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</si>
  <si>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</si>
  <si>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</si>
  <si>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</si>
  <si>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</si>
  <si>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</si>
  <si>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</si>
  <si>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</si>
  <si>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</si>
  <si>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</si>
  <si>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</si>
  <si>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</si>
  <si>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</si>
  <si>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</si>
  <si>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</si>
  <si>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</si>
  <si>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</si>
  <si>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</si>
  <si>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</si>
  <si>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</si>
  <si>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</si>
  <si>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</si>
  <si>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</si>
  <si>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</si>
  <si>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</si>
  <si>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</si>
  <si>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</si>
  <si>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</si>
  <si>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</si>
  <si>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</si>
  <si>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</si>
  <si>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</si>
  <si>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</si>
  <si>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</si>
  <si>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</si>
  <si>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</si>
  <si>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</si>
  <si>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</si>
  <si>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</si>
  <si>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</si>
  <si>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</si>
  <si>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</si>
  <si>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</si>
  <si>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</si>
  <si>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</si>
  <si>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</si>
  <si>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</si>
  <si>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</si>
  <si>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</si>
  <si>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</si>
  <si>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</si>
  <si>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</si>
  <si>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</si>
  <si>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</si>
  <si>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</si>
  <si>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</si>
  <si>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</si>
  <si>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</si>
  <si>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</si>
  <si>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</si>
  <si>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</si>
  <si>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</si>
  <si>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</si>
  <si>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</si>
  <si>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</si>
  <si>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</si>
  <si>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</si>
  <si>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</si>
  <si>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</si>
  <si>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</si>
  <si>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</si>
  <si>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</si>
  <si>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</si>
  <si>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</si>
  <si>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</si>
  <si>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</si>
  <si>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</si>
  <si>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</si>
  <si>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</si>
  <si>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</si>
  <si>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</si>
  <si>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</si>
  <si>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</si>
  <si>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</si>
  <si>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</si>
  <si>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</si>
  <si>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</si>
  <si>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</si>
  <si>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</si>
  <si>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</si>
  <si>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</si>
  <si>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</si>
  <si>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</si>
  <si>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</si>
  <si>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</si>
  <si>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</si>
  <si>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</si>
  <si>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</si>
  <si>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</si>
  <si>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</si>
  <si>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</si>
  <si>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</si>
  <si>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</si>
  <si>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</si>
  <si>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</si>
  <si>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</si>
  <si>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</si>
  <si>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</si>
  <si>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</si>
  <si>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</si>
  <si>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</si>
  <si>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</si>
  <si>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</si>
  <si>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</si>
  <si>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</si>
  <si>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</si>
  <si>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</si>
  <si>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</si>
  <si>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</si>
  <si>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</si>
  <si>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</si>
  <si>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</si>
  <si>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</si>
  <si>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</si>
  <si>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</si>
  <si>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</si>
  <si>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</si>
  <si>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</si>
  <si>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</si>
  <si>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</si>
  <si>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</si>
  <si>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</si>
  <si>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</si>
  <si>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</si>
  <si>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</si>
  <si>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</si>
  <si>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</si>
  <si>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</si>
  <si>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</si>
  <si>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</si>
  <si>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</si>
  <si>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</si>
  <si>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</si>
  <si>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</si>
  <si>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</si>
  <si>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</si>
  <si>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</si>
  <si>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</si>
  <si>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</si>
  <si>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</si>
  <si>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</si>
  <si>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</si>
  <si>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</si>
  <si>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</si>
  <si>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</si>
  <si>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</si>
  <si>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</si>
  <si>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</si>
  <si>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</si>
  <si>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</si>
  <si>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</si>
  <si>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</si>
  <si>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</si>
  <si>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</si>
  <si>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</si>
  <si>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</si>
  <si>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</si>
  <si>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</si>
  <si>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</si>
  <si>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</si>
  <si>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</si>
  <si>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</si>
  <si>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</si>
  <si>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</si>
  <si>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</si>
  <si>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</si>
  <si>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</si>
  <si>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</si>
  <si>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</si>
  <si>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</si>
  <si>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</si>
  <si>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</si>
  <si>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</si>
  <si>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</si>
  <si>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</si>
  <si>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</si>
  <si>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</si>
  <si>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</si>
  <si>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</si>
  <si>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</si>
  <si>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</si>
  <si>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</si>
  <si>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</si>
  <si>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</si>
  <si>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</si>
  <si>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</si>
  <si>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</si>
  <si>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0000세무서 청사 신축공사</t>
    <phoneticPr fontId="2" type="noConversion"/>
  </si>
  <si>
    <t>업무</t>
  </si>
  <si>
    <t>대구시</t>
  </si>
  <si>
    <t>부대조경공사</t>
    <phoneticPr fontId="2" type="noConversion"/>
  </si>
  <si>
    <t>부대토목공사(흙막이공사포함)</t>
    <phoneticPr fontId="2" type="noConversion"/>
  </si>
  <si>
    <t>토및지정공사,품질관리비,기타공사,철거공사(일반),철거공사(석면),임목폐기물처리비</t>
    <phoneticPr fontId="2" type="noConversion"/>
  </si>
  <si>
    <t>위생설비공사</t>
    <phoneticPr fontId="2" type="noConversion"/>
  </si>
  <si>
    <t>태양광발전공사,스노우멜팅공사,가설사무소,철거공사</t>
    <phoneticPr fontId="2" type="noConversion"/>
  </si>
  <si>
    <t>CCTV설비공사,접지및피뢰공사,주차관제공사,가설사무소</t>
    <phoneticPr fontId="2" type="noConversion"/>
  </si>
  <si>
    <t>전기 소방공사</t>
    <phoneticPr fontId="2" type="noConversion"/>
  </si>
  <si>
    <t>기계 소화설비공사</t>
    <phoneticPr fontId="2" type="noConversion"/>
  </si>
  <si>
    <t>철거공사,초절전전기방열관공사,우수설치공사,주방시스템천정공사,최대전력관리장치설치공사,정화조설치공사</t>
    <phoneticPr fontId="2" type="noConversion"/>
  </si>
  <si>
    <t>환기덕트설치공사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</si>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</sst>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8818</v>
      </c>
      <c r="D7" s="36">
        <f>+C7/3.3058</f>
        <v>2667.4329965515153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23400</v>
      </c>
      <c r="E24" s="58">
        <f t="shared" ref="E24:E33" si="0">TRUNC(+D24*3.3058,-1)</f>
        <v>77350</v>
      </c>
    </row>
    <row r="25" spans="1:5" x14ac:dyDescent="0.3">
      <c r="B25" s="2">
        <v>2</v>
      </c>
      <c r="C25" s="35" t="s">
        <v>111</v>
      </c>
      <c r="D25" s="45">
        <f>+D60</f>
        <v>705950</v>
      </c>
      <c r="E25" s="59">
        <f t="shared" si="0"/>
        <v>2333720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232100</v>
      </c>
      <c r="E27" s="59">
        <f t="shared" si="0"/>
        <v>767270</v>
      </c>
    </row>
    <row r="28" spans="1:5" x14ac:dyDescent="0.3">
      <c r="B28" s="2">
        <v>5</v>
      </c>
      <c r="C28" s="35" t="s">
        <v>97</v>
      </c>
      <c r="D28" s="45">
        <f>+D119</f>
        <v>182230</v>
      </c>
      <c r="E28" s="59">
        <f t="shared" si="0"/>
        <v>602410</v>
      </c>
    </row>
    <row r="29" spans="1:5" x14ac:dyDescent="0.3">
      <c r="B29" s="2">
        <v>6</v>
      </c>
      <c r="C29" s="35" t="s">
        <v>98</v>
      </c>
      <c r="D29" s="45">
        <f>+D133</f>
        <v>114830</v>
      </c>
      <c r="E29" s="59">
        <f t="shared" si="0"/>
        <v>379600</v>
      </c>
    </row>
    <row r="30" spans="1:5" x14ac:dyDescent="0.3">
      <c r="B30" s="2">
        <v>7</v>
      </c>
      <c r="C30" s="35" t="s">
        <v>99</v>
      </c>
      <c r="D30" s="45">
        <f>+D146</f>
        <v>42970</v>
      </c>
      <c r="E30" s="59">
        <f t="shared" si="0"/>
        <v>142050</v>
      </c>
    </row>
    <row r="31" spans="1:5" x14ac:dyDescent="0.3">
      <c r="B31" s="2">
        <v>8</v>
      </c>
      <c r="C31" s="35" t="s">
        <v>100</v>
      </c>
      <c r="D31" s="45">
        <f>+D154</f>
        <v>151180</v>
      </c>
      <c r="E31" s="59">
        <f t="shared" si="0"/>
        <v>499770</v>
      </c>
    </row>
    <row r="32" spans="1:5" x14ac:dyDescent="0.3">
      <c r="B32" s="2">
        <v>9</v>
      </c>
      <c r="C32" s="35" t="s">
        <v>101</v>
      </c>
      <c r="D32" s="45">
        <f>+D161</f>
        <v>33900</v>
      </c>
      <c r="E32" s="59">
        <f t="shared" si="0"/>
        <v>112060</v>
      </c>
    </row>
    <row r="33" spans="1:7" x14ac:dyDescent="0.3">
      <c r="B33" s="2">
        <v>10</v>
      </c>
      <c r="C33" s="35" t="s">
        <v>153</v>
      </c>
      <c r="D33" s="53">
        <f>TRUNC(SUM(D24:D32)*0.275,-1)</f>
        <v>408800</v>
      </c>
      <c r="E33" s="60">
        <f t="shared" si="0"/>
        <v>1351410</v>
      </c>
    </row>
    <row r="34" spans="1:7" x14ac:dyDescent="0.3">
      <c r="C34" s="35" t="s">
        <v>112</v>
      </c>
      <c r="D34" s="44">
        <f>SUM(D24:D33)</f>
        <v>1895360</v>
      </c>
      <c r="E34" s="44">
        <f>SUM(E24:E33)</f>
        <v>6265640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235</v>
      </c>
      <c r="G36" s="55"/>
    </row>
    <row r="37" spans="1:7" ht="17.25" thickBot="1" x14ac:dyDescent="0.35">
      <c r="C37" s="38" t="s">
        <v>143</v>
      </c>
      <c r="D37" s="52">
        <f>TRUNC(23404,-1)</f>
        <v>23400</v>
      </c>
      <c r="E37" s="61">
        <f>TRUNC(+D37*3.3058,-1)</f>
        <v>77350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TRUNC(30714,-1)</f>
        <v>30710</v>
      </c>
      <c r="E40" s="62">
        <f t="shared" ref="E40:E59" si="1">TRUNC(+D40*3.3058,-1)</f>
        <v>101520</v>
      </c>
    </row>
    <row r="41" spans="1:7" x14ac:dyDescent="0.3">
      <c r="A41" s="2">
        <v>2</v>
      </c>
      <c r="C41" s="38" t="s">
        <v>13</v>
      </c>
      <c r="D41" s="42">
        <f>TRUNC(93946,-1)</f>
        <v>93940</v>
      </c>
      <c r="E41" s="63">
        <f t="shared" si="1"/>
        <v>310540</v>
      </c>
    </row>
    <row r="42" spans="1:7" x14ac:dyDescent="0.3">
      <c r="A42" s="2">
        <v>3</v>
      </c>
      <c r="C42" s="38" t="s">
        <v>14</v>
      </c>
      <c r="D42" s="42">
        <f>TRUNC(8493,-1)</f>
        <v>8490</v>
      </c>
      <c r="E42" s="63">
        <f t="shared" si="1"/>
        <v>28060</v>
      </c>
    </row>
    <row r="43" spans="1:7" x14ac:dyDescent="0.3">
      <c r="A43" s="2">
        <v>4</v>
      </c>
      <c r="C43" s="38" t="s">
        <v>16</v>
      </c>
      <c r="D43" s="42">
        <f>TRUNC(23727,-1)</f>
        <v>23720</v>
      </c>
      <c r="E43" s="63">
        <f t="shared" si="1"/>
        <v>78410</v>
      </c>
    </row>
    <row r="44" spans="1:7" x14ac:dyDescent="0.3">
      <c r="A44" s="2">
        <v>5</v>
      </c>
      <c r="C44" s="38" t="s">
        <v>17</v>
      </c>
      <c r="D44" s="42">
        <f>TRUNC(32198,-1)</f>
        <v>32190</v>
      </c>
      <c r="E44" s="63">
        <f t="shared" si="1"/>
        <v>106410</v>
      </c>
    </row>
    <row r="45" spans="1:7" x14ac:dyDescent="0.3">
      <c r="A45" s="2">
        <v>6</v>
      </c>
      <c r="C45" s="38" t="s">
        <v>18</v>
      </c>
      <c r="D45" s="42">
        <f>TRUNC(11273,-1)</f>
        <v>11270</v>
      </c>
      <c r="E45" s="63">
        <f t="shared" si="1"/>
        <v>37250</v>
      </c>
    </row>
    <row r="46" spans="1:7" x14ac:dyDescent="0.3">
      <c r="A46" s="2">
        <v>7</v>
      </c>
      <c r="C46" s="38" t="s">
        <v>19</v>
      </c>
      <c r="D46" s="42">
        <f>TRUNC(19516,-1)</f>
        <v>19510</v>
      </c>
      <c r="E46" s="63">
        <f t="shared" si="1"/>
        <v>64490</v>
      </c>
    </row>
    <row r="47" spans="1:7" x14ac:dyDescent="0.3">
      <c r="A47" s="2">
        <v>8</v>
      </c>
      <c r="C47" s="38" t="s">
        <v>20</v>
      </c>
      <c r="D47" s="42">
        <f>TRUNC(1615,-1)</f>
        <v>1610</v>
      </c>
      <c r="E47" s="63">
        <f t="shared" si="1"/>
        <v>5320</v>
      </c>
    </row>
    <row r="48" spans="1:7" x14ac:dyDescent="0.3">
      <c r="A48" s="2">
        <v>9</v>
      </c>
      <c r="C48" s="38" t="s">
        <v>21</v>
      </c>
      <c r="D48" s="42">
        <f>TRUNC(77300,-1)</f>
        <v>77300</v>
      </c>
      <c r="E48" s="63">
        <f t="shared" si="1"/>
        <v>255530</v>
      </c>
    </row>
    <row r="49" spans="1:7" x14ac:dyDescent="0.3">
      <c r="A49" s="2">
        <v>10</v>
      </c>
      <c r="C49" s="38" t="s">
        <v>22</v>
      </c>
      <c r="D49" s="42">
        <f>TRUNC(22462,-1)</f>
        <v>22460</v>
      </c>
      <c r="E49" s="63">
        <f t="shared" si="1"/>
        <v>74240</v>
      </c>
    </row>
    <row r="50" spans="1:7" x14ac:dyDescent="0.3">
      <c r="A50" s="2">
        <v>11</v>
      </c>
      <c r="C50" s="38" t="s">
        <v>154</v>
      </c>
      <c r="D50" s="42">
        <f>TRUNC(21628,-1)</f>
        <v>21620</v>
      </c>
      <c r="E50" s="63">
        <f t="shared" si="1"/>
        <v>71470</v>
      </c>
    </row>
    <row r="51" spans="1:7" x14ac:dyDescent="0.3">
      <c r="A51" s="2">
        <v>12</v>
      </c>
      <c r="C51" s="38" t="s">
        <v>23</v>
      </c>
      <c r="D51" s="42">
        <f>TRUNC(11481,-1)</f>
        <v>11480</v>
      </c>
      <c r="E51" s="63">
        <f t="shared" si="1"/>
        <v>37950</v>
      </c>
    </row>
    <row r="52" spans="1:7" x14ac:dyDescent="0.3">
      <c r="A52" s="2">
        <v>13</v>
      </c>
      <c r="C52" s="38" t="s">
        <v>24</v>
      </c>
      <c r="D52" s="42">
        <f>TRUNC(7505,-1)</f>
        <v>7500</v>
      </c>
      <c r="E52" s="63">
        <f t="shared" si="1"/>
        <v>24790</v>
      </c>
    </row>
    <row r="53" spans="1:7" x14ac:dyDescent="0.3">
      <c r="A53" s="2">
        <v>14</v>
      </c>
      <c r="C53" s="38" t="s">
        <v>25</v>
      </c>
      <c r="D53" s="42">
        <f>TRUNC(80169,-1)</f>
        <v>80160</v>
      </c>
      <c r="E53" s="63">
        <f t="shared" si="1"/>
        <v>264990</v>
      </c>
    </row>
    <row r="54" spans="1:7" x14ac:dyDescent="0.3">
      <c r="A54" s="2">
        <v>15</v>
      </c>
      <c r="C54" s="38" t="s">
        <v>147</v>
      </c>
      <c r="D54" s="42">
        <f>TRUNC(2864,-1)</f>
        <v>2860</v>
      </c>
      <c r="E54" s="63">
        <f t="shared" si="1"/>
        <v>9450</v>
      </c>
    </row>
    <row r="55" spans="1:7" x14ac:dyDescent="0.3">
      <c r="A55" s="2">
        <v>16</v>
      </c>
      <c r="C55" s="38" t="s">
        <v>144</v>
      </c>
      <c r="D55" s="42">
        <f>TRUNC(216,-1)</f>
        <v>210</v>
      </c>
      <c r="E55" s="63">
        <f t="shared" si="1"/>
        <v>690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TRUNC(396+632+3017+16401+679+24,-1)</f>
        <v>21140</v>
      </c>
      <c r="E58" s="63">
        <f t="shared" si="1"/>
        <v>69880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TRUNC(239782,-1)</f>
        <v>239780</v>
      </c>
      <c r="E59" s="64">
        <f t="shared" si="1"/>
        <v>792660</v>
      </c>
    </row>
    <row r="60" spans="1:7" x14ac:dyDescent="0.3">
      <c r="A60" s="2">
        <v>21</v>
      </c>
      <c r="C60" s="27" t="s">
        <v>112</v>
      </c>
      <c r="D60" s="39">
        <f>SUM(D40:D59)</f>
        <v>705950</v>
      </c>
      <c r="E60" s="39">
        <f>SUM(E40:E59)</f>
        <v>2333650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f>TRUNC(13347,-1)</f>
        <v>13340</v>
      </c>
      <c r="E69" s="62">
        <f t="shared" ref="E69:E94" si="2">TRUNC(+D69*3.3058,-1)</f>
        <v>44090</v>
      </c>
    </row>
    <row r="70" spans="1:7" ht="16.5" customHeight="1" x14ac:dyDescent="0.3">
      <c r="A70" s="2">
        <v>2</v>
      </c>
      <c r="C70" s="38" t="s">
        <v>31</v>
      </c>
      <c r="D70" s="42">
        <f>TRUNC(162,-1)</f>
        <v>160</v>
      </c>
      <c r="E70" s="63">
        <f t="shared" si="2"/>
        <v>520</v>
      </c>
    </row>
    <row r="71" spans="1:7" x14ac:dyDescent="0.3">
      <c r="A71" s="2">
        <v>3</v>
      </c>
      <c r="C71" s="38" t="s">
        <v>32</v>
      </c>
      <c r="D71" s="42">
        <f>TRUNC(3343,-1)</f>
        <v>3340</v>
      </c>
      <c r="E71" s="63">
        <f t="shared" si="2"/>
        <v>11040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f>TRUNC(2933,-1)</f>
        <v>2930</v>
      </c>
      <c r="E74" s="63">
        <f t="shared" si="2"/>
        <v>9680</v>
      </c>
    </row>
    <row r="75" spans="1:7" x14ac:dyDescent="0.3">
      <c r="A75" s="2">
        <v>7</v>
      </c>
      <c r="C75" s="38" t="s">
        <v>140</v>
      </c>
      <c r="D75" s="42">
        <f>TRUNC(220,-1)</f>
        <v>220</v>
      </c>
      <c r="E75" s="63">
        <f t="shared" si="2"/>
        <v>720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TRUNC(8624,-1)</f>
        <v>8620</v>
      </c>
      <c r="E79" s="63">
        <f t="shared" si="2"/>
        <v>28490</v>
      </c>
      <c r="F79" s="2" t="s">
        <v>260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TRUNC(1955,-1)</f>
        <v>1950</v>
      </c>
      <c r="E90" s="63">
        <f t="shared" si="2"/>
        <v>6440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TRUNC(14260,-1)</f>
        <v>14260</v>
      </c>
      <c r="E92" s="63">
        <f t="shared" si="2"/>
        <v>47140</v>
      </c>
      <c r="F92" s="2" t="s">
        <v>254</v>
      </c>
    </row>
    <row r="93" spans="1:7" x14ac:dyDescent="0.3">
      <c r="A93" s="2">
        <v>25</v>
      </c>
      <c r="C93" s="38" t="s">
        <v>148</v>
      </c>
      <c r="D93" s="42">
        <f>TRUNC(165962,-1)</f>
        <v>165960</v>
      </c>
      <c r="E93" s="63">
        <f t="shared" si="2"/>
        <v>548630</v>
      </c>
    </row>
    <row r="94" spans="1:7" ht="17.25" thickBot="1" x14ac:dyDescent="0.35">
      <c r="A94" s="2">
        <v>26</v>
      </c>
      <c r="C94" s="38" t="s">
        <v>47</v>
      </c>
      <c r="D94" s="43">
        <f>TRUNC(-531+285+8437+7620+647+4869,-1)</f>
        <v>21320</v>
      </c>
      <c r="E94" s="64">
        <f t="shared" si="2"/>
        <v>70470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232100</v>
      </c>
      <c r="E95" s="39">
        <f>SUM(E69:E94)</f>
        <v>767220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f>TRUNC(10824,-1)</f>
        <v>10820</v>
      </c>
      <c r="E98" s="62">
        <f t="shared" ref="E98:E118" si="3">TRUNC(+D98*3.3058,-1)</f>
        <v>35760</v>
      </c>
    </row>
    <row r="99" spans="1:7" x14ac:dyDescent="0.3">
      <c r="A99" s="2">
        <v>2</v>
      </c>
      <c r="C99" s="38" t="s">
        <v>40</v>
      </c>
      <c r="D99" s="42">
        <f>TRUNC(5967,-1)</f>
        <v>5960</v>
      </c>
      <c r="E99" s="63">
        <f t="shared" si="3"/>
        <v>19700</v>
      </c>
    </row>
    <row r="100" spans="1:7" x14ac:dyDescent="0.3">
      <c r="A100" s="2">
        <v>3</v>
      </c>
      <c r="C100" s="38" t="s">
        <v>41</v>
      </c>
      <c r="D100" s="42">
        <f>TRUNC(20817,-1)</f>
        <v>20810</v>
      </c>
      <c r="E100" s="63">
        <f t="shared" si="3"/>
        <v>68790</v>
      </c>
    </row>
    <row r="101" spans="1:7" x14ac:dyDescent="0.3">
      <c r="A101" s="2">
        <v>4</v>
      </c>
      <c r="C101" s="38" t="s">
        <v>42</v>
      </c>
      <c r="D101" s="42">
        <f>TRUNC(209,-1)</f>
        <v>200</v>
      </c>
      <c r="E101" s="63">
        <f t="shared" si="3"/>
        <v>660</v>
      </c>
    </row>
    <row r="102" spans="1:7" x14ac:dyDescent="0.3">
      <c r="A102" s="2">
        <v>5</v>
      </c>
      <c r="C102" s="38" t="s">
        <v>43</v>
      </c>
      <c r="D102" s="42">
        <f>TRUNC(10164,-1)</f>
        <v>10160</v>
      </c>
      <c r="E102" s="63">
        <f t="shared" si="3"/>
        <v>33580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TRUNC(3400,-1)</f>
        <v>3400</v>
      </c>
      <c r="E104" s="63">
        <f t="shared" si="3"/>
        <v>11230</v>
      </c>
    </row>
    <row r="105" spans="1:7" x14ac:dyDescent="0.3">
      <c r="A105" s="2">
        <v>8</v>
      </c>
      <c r="C105" s="38" t="s">
        <v>46</v>
      </c>
      <c r="D105" s="42">
        <f>TRUNC(3758,-1)</f>
        <v>3750</v>
      </c>
      <c r="E105" s="63">
        <f t="shared" si="3"/>
        <v>12390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TRUNC(2303,-1)</f>
        <v>2300</v>
      </c>
      <c r="E114" s="63">
        <f t="shared" si="3"/>
        <v>7600</v>
      </c>
    </row>
    <row r="115" spans="1:7" x14ac:dyDescent="0.3">
      <c r="A115" s="2">
        <v>18</v>
      </c>
      <c r="C115" s="38" t="s">
        <v>116</v>
      </c>
      <c r="D115" s="42">
        <f>TRUNC(6128,-1)</f>
        <v>6120</v>
      </c>
      <c r="E115" s="63">
        <f t="shared" si="3"/>
        <v>20230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TRUNC(114616,-1)</f>
        <v>114610</v>
      </c>
      <c r="E117" s="63">
        <f t="shared" si="3"/>
        <v>378870</v>
      </c>
    </row>
    <row r="118" spans="1:7" ht="17.25" thickBot="1" x14ac:dyDescent="0.35">
      <c r="A118" s="2">
        <v>21</v>
      </c>
      <c r="C118" s="38" t="s">
        <v>47</v>
      </c>
      <c r="D118" s="43">
        <f>TRUNC(1710+1630+210+550,-1)</f>
        <v>4100</v>
      </c>
      <c r="E118" s="64">
        <f t="shared" si="3"/>
        <v>13550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182230</v>
      </c>
      <c r="E119" s="39">
        <f>SUM(E98:E118)</f>
        <v>602360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f>TRUNC(5589,-1)</f>
        <v>5580</v>
      </c>
      <c r="E122" s="62">
        <f t="shared" ref="E122:E132" si="4">TRUNC(+D122*3.3058,-1)</f>
        <v>18440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TRUNC(845,-1)</f>
        <v>840</v>
      </c>
      <c r="E124" s="63">
        <f t="shared" si="4"/>
        <v>2770</v>
      </c>
    </row>
    <row r="125" spans="1:7" x14ac:dyDescent="0.3">
      <c r="A125" s="2">
        <v>4</v>
      </c>
      <c r="C125" s="38" t="s">
        <v>138</v>
      </c>
      <c r="D125" s="42">
        <f>TRUNC(4660,-1)</f>
        <v>4660</v>
      </c>
      <c r="E125" s="63">
        <f t="shared" si="4"/>
        <v>15400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TRUNC(661,-1)</f>
        <v>660</v>
      </c>
      <c r="E127" s="63">
        <f t="shared" si="4"/>
        <v>2180</v>
      </c>
    </row>
    <row r="128" spans="1:7" x14ac:dyDescent="0.3">
      <c r="A128" s="2">
        <v>7</v>
      </c>
      <c r="C128" s="38" t="s">
        <v>46</v>
      </c>
      <c r="D128" s="42">
        <f>TRUNC(3780,-1)</f>
        <v>3780</v>
      </c>
      <c r="E128" s="63">
        <f t="shared" si="4"/>
        <v>12490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TRUNC(62388,-1)</f>
        <v>62380</v>
      </c>
      <c r="E130" s="63">
        <f t="shared" si="4"/>
        <v>206210</v>
      </c>
    </row>
    <row r="131" spans="1:7" x14ac:dyDescent="0.3">
      <c r="A131" s="2">
        <v>10</v>
      </c>
      <c r="C131" s="38" t="s">
        <v>148</v>
      </c>
      <c r="D131" s="42">
        <f>TRUNC(34261,-1)</f>
        <v>34260</v>
      </c>
      <c r="E131" s="63">
        <f t="shared" si="4"/>
        <v>113250</v>
      </c>
    </row>
    <row r="132" spans="1:7" ht="18" thickBot="1" x14ac:dyDescent="0.35">
      <c r="A132" s="2">
        <v>11</v>
      </c>
      <c r="C132" s="38" t="s">
        <v>47</v>
      </c>
      <c r="D132" s="43">
        <f>TRUNC(1210+705+553+210,-1)</f>
        <v>2670</v>
      </c>
      <c r="E132" s="64">
        <f t="shared" si="4"/>
        <v>8820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114830</v>
      </c>
      <c r="E133" s="39">
        <f>SUM(E122:E132)</f>
        <v>379560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f>TRUNC(26041,-1)</f>
        <v>26040</v>
      </c>
      <c r="E136" s="62">
        <f t="shared" ref="E136:E145" si="5">TRUNC(+D136*3.3058,-1)</f>
        <v>86080</v>
      </c>
      <c r="F136" s="2" t="s">
        <v>258</v>
      </c>
    </row>
    <row r="137" spans="1:7" x14ac:dyDescent="0.3">
      <c r="A137" s="2">
        <v>2</v>
      </c>
      <c r="C137" s="38" t="s">
        <v>47</v>
      </c>
      <c r="D137" s="42">
        <f>TRUNC(16938,-1)</f>
        <v>16930</v>
      </c>
      <c r="E137" s="63">
        <f t="shared" si="5"/>
        <v>55960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42970</v>
      </c>
      <c r="E146" s="39">
        <f>SUM(E136:E145)</f>
        <v>142040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TRUNC(151181,-1)</f>
        <v>151180</v>
      </c>
      <c r="E152" s="63">
        <f>TRUNC(+D152*3.3058,-1)</f>
        <v>499770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151180</v>
      </c>
      <c r="E154" s="39">
        <f>SUM(E149:E153)</f>
        <v>499770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TRUNC(33903,-1)</f>
        <v>33900</v>
      </c>
      <c r="E159" s="63">
        <f>TRUNC(+D159*3.3058,-1)</f>
        <v>112060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33900</v>
      </c>
      <c r="E161" s="39">
        <f>SUM(E157:E160)</f>
        <v>112060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2020-12-07T09:46:22Z</dcterms:modified>
</cp:coreProperties>
</file>