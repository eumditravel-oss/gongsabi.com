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40" i="4" l="1"/>
  <c r="D151" i="4"/>
  <c r="D152" i="4"/>
  <c r="D150" i="4"/>
  <c r="D144" i="4"/>
  <c r="D143" i="4"/>
  <c r="D142" i="4"/>
  <c r="D139" i="4"/>
  <c r="D138" i="4"/>
  <c r="D137" i="4"/>
  <c r="D132" i="4"/>
  <c r="D130" i="4"/>
  <c r="D126" i="4"/>
  <c r="D125" i="4"/>
  <c r="D122" i="4"/>
  <c r="D118" i="4"/>
  <c r="D116" i="4"/>
  <c r="D104" i="4"/>
  <c r="D103" i="4"/>
  <c r="D102" i="4"/>
  <c r="D100" i="4"/>
  <c r="D99" i="4"/>
  <c r="D98" i="4"/>
  <c r="D94" i="4"/>
  <c r="D92" i="4"/>
  <c r="D91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<sst xmlns="http://schemas.openxmlformats.org/spreadsheetml/2006/main" count="390" uniqueCount="265">
  <si>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</si>
  <si>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</si>
  <si>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</si>
  <si>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</si>
  <si>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</si>
  <si>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</si>
  <si>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</si>
  <si>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</si>
  <si>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</si>
  <si>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</si>
  <si>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</si>
  <si>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</si>
  <si>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</si>
  <si>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</si>
  <si>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</si>
  <si>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</si>
  <si>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</si>
  <si>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</si>
  <si>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</si>
  <si>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</si>
  <si>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</si>
  <si>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</si>
  <si>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</si>
  <si>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</si>
  <si>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</si>
  <si>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</si>
  <si>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</si>
  <si>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</si>
  <si>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</si>
  <si>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</si>
  <si>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</si>
  <si>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</si>
  <si>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</si>
  <si>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</si>
  <si>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</si>
  <si>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</si>
  <si>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</si>
  <si>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</si>
  <si>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</si>
  <si>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</si>
  <si>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</si>
  <si>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</si>
  <si>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</si>
  <si>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</si>
  <si>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</si>
  <si>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</si>
  <si>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</si>
  <si>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</si>
  <si>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</si>
  <si>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</si>
  <si>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</si>
  <si>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</si>
  <si>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</si>
  <si>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</si>
  <si>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</si>
  <si>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</si>
  <si>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</si>
  <si>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</si>
  <si>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</si>
  <si>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</si>
  <si>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</si>
  <si>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</si>
  <si>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</si>
  <si>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</si>
  <si>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</si>
  <si>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</si>
  <si>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</si>
  <si>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</si>
  <si>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</si>
  <si>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</si>
  <si>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</si>
  <si>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</si>
  <si>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</si>
  <si>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</si>
  <si>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</si>
  <si>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</si>
  <si>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</si>
  <si>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</si>
  <si>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</si>
  <si>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</si>
  <si>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</si>
  <si>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</si>
  <si>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</si>
  <si>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</si>
  <si>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</si>
  <si>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</si>
  <si>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</si>
  <si>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</si>
  <si>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</si>
  <si>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</si>
  <si>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</si>
  <si>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</si>
  <si>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</si>
  <si>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</si>
  <si>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</si>
  <si>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</si>
  <si>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</si>
  <si>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</si>
  <si>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</si>
  <si>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</si>
  <si>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</si>
  <si>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</si>
  <si>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</si>
  <si>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</si>
  <si>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</si>
  <si>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</si>
  <si>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</si>
  <si>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</si>
  <si>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</si>
  <si>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</si>
  <si>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</si>
  <si>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</si>
  <si>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</si>
  <si>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</si>
  <si>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</si>
  <si>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</si>
  <si>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</si>
  <si>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</si>
  <si>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</si>
  <si>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</si>
  <si>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</si>
  <si>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</si>
  <si>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</si>
  <si>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</si>
  <si>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</si>
  <si>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</si>
  <si>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</si>
  <si>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</si>
  <si>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</si>
  <si>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</si>
  <si>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</si>
  <si>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</si>
  <si>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</si>
  <si>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</si>
  <si>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</si>
  <si>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</si>
  <si>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</si>
  <si>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</si>
  <si>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</si>
  <si>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</si>
  <si>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</si>
  <si>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</si>
  <si>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</si>
  <si>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</si>
  <si>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</si>
  <si>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</si>
  <si>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</si>
  <si>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</si>
  <si>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</si>
  <si>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</si>
  <si>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</si>
  <si>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</si>
  <si>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</si>
  <si>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</si>
  <si>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</si>
  <si>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</si>
  <si>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</si>
  <si>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</si>
  <si>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</si>
  <si>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</si>
  <si>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</si>
  <si>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</si>
  <si>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</si>
  <si>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</si>
  <si>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</si>
  <si>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</si>
  <si>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</si>
  <si>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</si>
  <si>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</si>
  <si>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</si>
  <si>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</si>
  <si>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</si>
  <si>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</si>
  <si>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</si>
  <si>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</si>
  <si>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</si>
  <si>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</si>
  <si>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</si>
  <si>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</si>
  <si>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</si>
  <si>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</si>
  <si>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</si>
  <si>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</si>
  <si>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</si>
  <si>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</si>
  <si>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</si>
  <si>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</si>
  <si>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</si>
  <si>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</si>
  <si>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</si>
  <si>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</si>
  <si>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</si>
  <si>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</si>
  <si>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</si>
  <si>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</si>
  <si>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</si>
  <si>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</si>
  <si>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</si>
  <si>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</si>
  <si>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</si>
  <si>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</si>
  <si>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</si>
  <si>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</si>
  <si>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</si>
  <si>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</si>
  <si>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</si>
  <si>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</si>
  <si>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</si>
  <si>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</si>
  <si>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</si>
  <si>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</si>
  <si>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</si>
  <si>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</si>
  <si>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</si>
  <si>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</si>
  <si>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</si>
  <si>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</si>
  <si>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</si>
  <si>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</si>
  <si>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</si>
  <si>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</si>
  <si>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</si>
  <si>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</si>
  <si>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</si>
  <si>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</si>
  <si>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</si>
  <si>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</si>
  <si>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</si>
  <si>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</si>
  <si>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</si>
  <si>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</si>
  <si>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</si>
  <si>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</si>
  <si>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</si>
  <si>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</si>
  <si>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</si>
  <si>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</si>
  <si>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</si>
  <si>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</si>
  <si>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</si>
  <si>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</si>
  <si>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</si>
  <si>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</si>
  <si>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</si>
  <si>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</si>
  <si>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</si>
  <si>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</si>
  <si>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</si>
  <si>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</si>
  <si>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</si>
  <si>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창호및유리공사</t>
    <phoneticPr fontId="2" type="noConversion"/>
  </si>
  <si>
    <t>전기인입 및 수변전 설비공사</t>
    <phoneticPr fontId="2" type="noConversion"/>
  </si>
  <si>
    <t>중대형 2차전지 시험인증센터 신축공사</t>
    <phoneticPr fontId="2" type="noConversion"/>
  </si>
  <si>
    <t>충청도</t>
  </si>
  <si>
    <t>기타</t>
  </si>
  <si>
    <t>기초공사, 골재비및운반비, 기타공사</t>
    <phoneticPr fontId="2" type="noConversion"/>
  </si>
  <si>
    <t>바닥난방공사, 기타공사</t>
    <phoneticPr fontId="2" type="noConversion"/>
  </si>
  <si>
    <t xml:space="preserve">CCTV설비공사 </t>
    <phoneticPr fontId="2" type="noConversion"/>
  </si>
  <si>
    <t>펌프실배관공사</t>
    <phoneticPr fontId="2" type="noConversion"/>
  </si>
  <si>
    <t>사급자재비,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</si>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</sst>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252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5435.32</v>
      </c>
      <c r="D7" s="36">
        <f>+C7/3.3058</f>
        <v>1644.1769012039445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253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758880</v>
      </c>
      <c r="E25" s="59">
        <f t="shared" si="0"/>
        <v>2508700</v>
      </c>
    </row>
    <row r="26" spans="1:5" x14ac:dyDescent="0.3">
      <c r="B26" s="2">
        <v>3</v>
      </c>
      <c r="C26" s="35" t="s">
        <v>95</v>
      </c>
      <c r="D26" s="45">
        <f>+D66</f>
        <v>1640</v>
      </c>
      <c r="E26" s="59">
        <f t="shared" si="0"/>
        <v>5420</v>
      </c>
    </row>
    <row r="27" spans="1:5" x14ac:dyDescent="0.3">
      <c r="B27" s="2">
        <v>4</v>
      </c>
      <c r="C27" s="35" t="s">
        <v>96</v>
      </c>
      <c r="D27" s="45">
        <f>+D95</f>
        <v>84020</v>
      </c>
      <c r="E27" s="59">
        <f t="shared" si="0"/>
        <v>277750</v>
      </c>
    </row>
    <row r="28" spans="1:5" x14ac:dyDescent="0.3">
      <c r="B28" s="2">
        <v>5</v>
      </c>
      <c r="C28" s="35" t="s">
        <v>97</v>
      </c>
      <c r="D28" s="45">
        <f>+D119</f>
        <v>201710</v>
      </c>
      <c r="E28" s="59">
        <f t="shared" si="0"/>
        <v>666810</v>
      </c>
    </row>
    <row r="29" spans="1:5" x14ac:dyDescent="0.3">
      <c r="B29" s="2">
        <v>6</v>
      </c>
      <c r="C29" s="35" t="s">
        <v>98</v>
      </c>
      <c r="D29" s="45">
        <f>+D133</f>
        <v>62170</v>
      </c>
      <c r="E29" s="59">
        <f t="shared" si="0"/>
        <v>205520</v>
      </c>
    </row>
    <row r="30" spans="1:5" x14ac:dyDescent="0.3">
      <c r="B30" s="2">
        <v>7</v>
      </c>
      <c r="C30" s="35" t="s">
        <v>99</v>
      </c>
      <c r="D30" s="45">
        <f>+D146</f>
        <v>39560</v>
      </c>
      <c r="E30" s="59">
        <f t="shared" si="0"/>
        <v>130770</v>
      </c>
    </row>
    <row r="31" spans="1:5" x14ac:dyDescent="0.3">
      <c r="B31" s="2">
        <v>8</v>
      </c>
      <c r="C31" s="35" t="s">
        <v>100</v>
      </c>
      <c r="D31" s="45">
        <f>+D154</f>
        <v>21230</v>
      </c>
      <c r="E31" s="59">
        <f t="shared" si="0"/>
        <v>70180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321530</v>
      </c>
      <c r="E33" s="60">
        <f t="shared" si="0"/>
        <v>1062910</v>
      </c>
    </row>
    <row r="34" spans="1:7" x14ac:dyDescent="0.3">
      <c r="C34" s="35" t="s">
        <v>112</v>
      </c>
      <c r="D34" s="44">
        <f>SUM(D24:D33)</f>
        <v>1490740</v>
      </c>
      <c r="E34" s="44">
        <f>SUM(E24:E33)</f>
        <v>4928060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TRUNC(62791,-1)</f>
        <v>62790</v>
      </c>
      <c r="E40" s="62">
        <f t="shared" ref="E40:E59" si="1">TRUNC(+D40*3.3058,-1)</f>
        <v>207570</v>
      </c>
    </row>
    <row r="41" spans="1:7" x14ac:dyDescent="0.3">
      <c r="A41" s="2">
        <v>2</v>
      </c>
      <c r="C41" s="38" t="s">
        <v>13</v>
      </c>
      <c r="D41" s="42">
        <f>TRUNC(236104,-1)</f>
        <v>236100</v>
      </c>
      <c r="E41" s="63">
        <f t="shared" si="1"/>
        <v>780490</v>
      </c>
    </row>
    <row r="42" spans="1:7" x14ac:dyDescent="0.3">
      <c r="A42" s="2">
        <v>3</v>
      </c>
      <c r="C42" s="38" t="s">
        <v>14</v>
      </c>
      <c r="D42" s="42">
        <v>2350</v>
      </c>
      <c r="E42" s="63">
        <f t="shared" si="1"/>
        <v>7760</v>
      </c>
    </row>
    <row r="43" spans="1:7" x14ac:dyDescent="0.3">
      <c r="A43" s="2">
        <v>4</v>
      </c>
      <c r="C43" s="38" t="s">
        <v>16</v>
      </c>
      <c r="D43" s="42">
        <f>TRUNC(11131,-1)</f>
        <v>11130</v>
      </c>
      <c r="E43" s="63">
        <f t="shared" si="1"/>
        <v>36790</v>
      </c>
    </row>
    <row r="44" spans="1:7" x14ac:dyDescent="0.3">
      <c r="A44" s="2">
        <v>5</v>
      </c>
      <c r="C44" s="38" t="s">
        <v>17</v>
      </c>
      <c r="D44" s="42">
        <f>TRUNC(41463,-1)</f>
        <v>41460</v>
      </c>
      <c r="E44" s="63">
        <f t="shared" si="1"/>
        <v>137050</v>
      </c>
    </row>
    <row r="45" spans="1:7" x14ac:dyDescent="0.3">
      <c r="A45" s="2">
        <v>6</v>
      </c>
      <c r="C45" s="38" t="s">
        <v>18</v>
      </c>
      <c r="D45" s="42">
        <v>2700</v>
      </c>
      <c r="E45" s="63">
        <f t="shared" si="1"/>
        <v>8920</v>
      </c>
    </row>
    <row r="46" spans="1:7" x14ac:dyDescent="0.3">
      <c r="A46" s="2">
        <v>7</v>
      </c>
      <c r="C46" s="38" t="s">
        <v>19</v>
      </c>
      <c r="D46" s="42">
        <v>6560</v>
      </c>
      <c r="E46" s="63">
        <f t="shared" si="1"/>
        <v>21680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TRUNC(80037,-1)</f>
        <v>80030</v>
      </c>
      <c r="E48" s="63">
        <f t="shared" si="1"/>
        <v>264560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TRUNC(27782,-1)</f>
        <v>27780</v>
      </c>
      <c r="E49" s="63">
        <f t="shared" si="1"/>
        <v>91830</v>
      </c>
    </row>
    <row r="50" spans="1:7" x14ac:dyDescent="0.3">
      <c r="A50" s="2">
        <v>11</v>
      </c>
      <c r="C50" s="38" t="s">
        <v>155</v>
      </c>
      <c r="D50" s="42">
        <f>TRUNC(87946,-1)</f>
        <v>87940</v>
      </c>
      <c r="E50" s="63">
        <f t="shared" si="1"/>
        <v>290710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TRUNC(24898,-1)</f>
        <v>24890</v>
      </c>
      <c r="E52" s="63">
        <f t="shared" si="1"/>
        <v>82280</v>
      </c>
    </row>
    <row r="53" spans="1:7" x14ac:dyDescent="0.3">
      <c r="A53" s="2">
        <v>14</v>
      </c>
      <c r="C53" s="38" t="s">
        <v>25</v>
      </c>
      <c r="D53" s="42">
        <f>TRUNC(119969,-1)</f>
        <v>119960</v>
      </c>
      <c r="E53" s="63">
        <f t="shared" si="1"/>
        <v>396560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TRUNC(42995+8845+3355,-1)</f>
        <v>55190</v>
      </c>
      <c r="E58" s="63">
        <f t="shared" si="1"/>
        <v>182440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/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758880</v>
      </c>
      <c r="E60" s="39">
        <f>SUM(E40:E59)</f>
        <v>2508640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TRUNC(1642,-1)</f>
        <v>1640</v>
      </c>
      <c r="E63" s="62">
        <f>TRUNC(+D63*3.3058,-1)</f>
        <v>5420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1640</v>
      </c>
      <c r="E66" s="65">
        <f>SUM(E63:E65)</f>
        <v>5420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TRUNC(5702,-1)</f>
        <v>5700</v>
      </c>
      <c r="E69" s="62">
        <f t="shared" ref="E69:E94" si="2">TRUNC(+D69*3.3058,-1)</f>
        <v>18840</v>
      </c>
    </row>
    <row r="70" spans="1:7" ht="16.5" customHeight="1" x14ac:dyDescent="0.3">
      <c r="A70" s="2">
        <v>2</v>
      </c>
      <c r="C70" s="38" t="s">
        <v>31</v>
      </c>
      <c r="D70" s="42">
        <f>TRUNC(3886,-1)</f>
        <v>3880</v>
      </c>
      <c r="E70" s="63">
        <f t="shared" si="2"/>
        <v>12820</v>
      </c>
    </row>
    <row r="71" spans="1:7" x14ac:dyDescent="0.3">
      <c r="A71" s="2">
        <v>3</v>
      </c>
      <c r="C71" s="38" t="s">
        <v>32</v>
      </c>
      <c r="D71" s="42">
        <f>TRUNC(9091,-1)</f>
        <v>9090</v>
      </c>
      <c r="E71" s="63">
        <f t="shared" si="2"/>
        <v>30040</v>
      </c>
    </row>
    <row r="72" spans="1:7" x14ac:dyDescent="0.3">
      <c r="A72" s="2">
        <v>4</v>
      </c>
      <c r="C72" s="38" t="s">
        <v>33</v>
      </c>
      <c r="D72" s="42">
        <f>TRUNC(43228,-1)</f>
        <v>43220</v>
      </c>
      <c r="E72" s="63">
        <f t="shared" si="2"/>
        <v>142870</v>
      </c>
    </row>
    <row r="73" spans="1:7" x14ac:dyDescent="0.3">
      <c r="A73" s="2">
        <v>5</v>
      </c>
      <c r="C73" s="38" t="s">
        <v>34</v>
      </c>
      <c r="D73" s="42">
        <f>TRUNC(6535,-1)</f>
        <v>6530</v>
      </c>
      <c r="E73" s="63">
        <f t="shared" si="2"/>
        <v>21580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TRUNC(4099,-1)</f>
        <v>4090</v>
      </c>
      <c r="E89" s="63">
        <f t="shared" si="2"/>
        <v>13520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TRUNC(9894,-1)</f>
        <v>9890</v>
      </c>
      <c r="E91" s="63">
        <f t="shared" si="2"/>
        <v>32690</v>
      </c>
    </row>
    <row r="92" spans="1:7" x14ac:dyDescent="0.3">
      <c r="A92" s="2">
        <v>24</v>
      </c>
      <c r="C92" s="38" t="s">
        <v>38</v>
      </c>
      <c r="D92" s="42">
        <f>TRUNC(1246,-1)</f>
        <v>1240</v>
      </c>
      <c r="E92" s="63">
        <f t="shared" si="2"/>
        <v>4090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TRUNC(307+82,-1)</f>
        <v>380</v>
      </c>
      <c r="E94" s="64">
        <f t="shared" si="2"/>
        <v>1250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84020</v>
      </c>
      <c r="E95" s="39">
        <f>SUM(E69:E94)</f>
        <v>277700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TRUNC(66728,-1)</f>
        <v>66720</v>
      </c>
      <c r="E98" s="62">
        <f t="shared" ref="E98:E118" si="3">TRUNC(+D98*3.3058,-1)</f>
        <v>220560</v>
      </c>
    </row>
    <row r="99" spans="1:7" x14ac:dyDescent="0.3">
      <c r="A99" s="2">
        <v>2</v>
      </c>
      <c r="C99" s="38" t="s">
        <v>40</v>
      </c>
      <c r="D99" s="42">
        <f>TRUNC(64034,-1)</f>
        <v>64030</v>
      </c>
      <c r="E99" s="63">
        <f t="shared" si="3"/>
        <v>211670</v>
      </c>
    </row>
    <row r="100" spans="1:7" x14ac:dyDescent="0.3">
      <c r="A100" s="2">
        <v>3</v>
      </c>
      <c r="C100" s="38" t="s">
        <v>41</v>
      </c>
      <c r="D100" s="42">
        <f>TRUNC(24175,-1)</f>
        <v>24170</v>
      </c>
      <c r="E100" s="63">
        <f t="shared" si="3"/>
        <v>79900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TRUNC(11683,-1)</f>
        <v>11680</v>
      </c>
      <c r="E102" s="63">
        <f t="shared" si="3"/>
        <v>38610</v>
      </c>
    </row>
    <row r="103" spans="1:7" x14ac:dyDescent="0.3">
      <c r="A103" s="2">
        <v>6</v>
      </c>
      <c r="C103" s="38" t="s">
        <v>44</v>
      </c>
      <c r="D103" s="42">
        <f>TRUNC(10005,-1)</f>
        <v>10000</v>
      </c>
      <c r="E103" s="63">
        <f t="shared" si="3"/>
        <v>33050</v>
      </c>
    </row>
    <row r="104" spans="1:7" x14ac:dyDescent="0.3">
      <c r="A104" s="2">
        <v>7</v>
      </c>
      <c r="C104" s="38" t="s">
        <v>45</v>
      </c>
      <c r="D104" s="42">
        <f>TRUNC(5274,-1)</f>
        <v>5270</v>
      </c>
      <c r="E104" s="63">
        <f t="shared" si="3"/>
        <v>17420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TRUNC(17163,-1)</f>
        <v>17160</v>
      </c>
      <c r="E116" s="63">
        <f t="shared" si="3"/>
        <v>56720</v>
      </c>
      <c r="F116" s="2" t="s">
        <v>251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TRUNC(2688,-1)</f>
        <v>2680</v>
      </c>
      <c r="E118" s="64">
        <f t="shared" si="3"/>
        <v>8850</v>
      </c>
    </row>
    <row r="119" spans="1:7" x14ac:dyDescent="0.3">
      <c r="A119" s="2">
        <v>22</v>
      </c>
      <c r="C119" s="27" t="s">
        <v>112</v>
      </c>
      <c r="D119" s="39">
        <f>SUM(D98:D118)</f>
        <v>201710</v>
      </c>
      <c r="E119" s="39">
        <f>SUM(E98:E118)</f>
        <v>666780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TRUNC(999,-1)</f>
        <v>990</v>
      </c>
      <c r="E122" s="62">
        <f t="shared" ref="E122:E132" si="4">TRUNC(+D122*3.3058,-1)</f>
        <v>3270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TRUNC(6776,-1)</f>
        <v>6770</v>
      </c>
      <c r="E125" s="63">
        <f t="shared" si="4"/>
        <v>22380</v>
      </c>
    </row>
    <row r="126" spans="1:7" x14ac:dyDescent="0.3">
      <c r="A126" s="2">
        <v>5</v>
      </c>
      <c r="C126" s="38" t="s">
        <v>53</v>
      </c>
      <c r="D126" s="42">
        <f>TRUNC(6289,-1)</f>
        <v>6280</v>
      </c>
      <c r="E126" s="63">
        <f t="shared" si="4"/>
        <v>20760</v>
      </c>
    </row>
    <row r="127" spans="1:7" x14ac:dyDescent="0.3">
      <c r="A127" s="2">
        <v>6</v>
      </c>
      <c r="C127" s="38" t="s">
        <v>56</v>
      </c>
      <c r="D127" s="42">
        <v>9580</v>
      </c>
      <c r="E127" s="63">
        <f t="shared" si="4"/>
        <v>31660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TRUNC(37139,-1)</f>
        <v>37130</v>
      </c>
      <c r="E130" s="63">
        <f t="shared" si="4"/>
        <v>122740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TRUNC(1427,-1)</f>
        <v>1420</v>
      </c>
      <c r="E132" s="64">
        <f t="shared" si="4"/>
        <v>4690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62170</v>
      </c>
      <c r="E133" s="39">
        <f>SUM(E122:E132)</f>
        <v>205500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TRUNC(1574,-1)</f>
        <v>1570</v>
      </c>
      <c r="E137" s="63">
        <f t="shared" si="5"/>
        <v>5190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f>TRUNC(11144,-1)</f>
        <v>11140</v>
      </c>
      <c r="E138" s="63">
        <f t="shared" si="5"/>
        <v>36820</v>
      </c>
    </row>
    <row r="139" spans="1:7" x14ac:dyDescent="0.3">
      <c r="A139" s="2">
        <v>4</v>
      </c>
      <c r="C139" s="38" t="s">
        <v>61</v>
      </c>
      <c r="D139" s="42">
        <f>TRUNC(941,-1)</f>
        <v>940</v>
      </c>
      <c r="E139" s="63">
        <f t="shared" si="5"/>
        <v>3100</v>
      </c>
    </row>
    <row r="140" spans="1:7" x14ac:dyDescent="0.3">
      <c r="A140" s="2">
        <v>5</v>
      </c>
      <c r="C140" s="38" t="s">
        <v>57</v>
      </c>
      <c r="D140" s="42">
        <f>TRUNC(1605,-1)</f>
        <v>1600</v>
      </c>
      <c r="E140" s="63">
        <f t="shared" si="5"/>
        <v>5280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TRUNC(6211,-1)</f>
        <v>6210</v>
      </c>
      <c r="E142" s="63">
        <f t="shared" si="5"/>
        <v>20520</v>
      </c>
    </row>
    <row r="143" spans="1:7" x14ac:dyDescent="0.3">
      <c r="A143" s="2">
        <v>8</v>
      </c>
      <c r="C143" s="38" t="s">
        <v>62</v>
      </c>
      <c r="D143" s="42">
        <f>TRUNC(6291,-1)</f>
        <v>6290</v>
      </c>
      <c r="E143" s="63">
        <f t="shared" si="5"/>
        <v>20790</v>
      </c>
    </row>
    <row r="144" spans="1:7" x14ac:dyDescent="0.3">
      <c r="A144" s="2">
        <v>9</v>
      </c>
      <c r="C144" s="38" t="s">
        <v>63</v>
      </c>
      <c r="D144" s="42">
        <f>TRUNC(11814,-1)</f>
        <v>11810</v>
      </c>
      <c r="E144" s="63">
        <f t="shared" si="5"/>
        <v>39040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39560</v>
      </c>
      <c r="E146" s="39">
        <f>SUM(E136:E145)</f>
        <v>130740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2170</v>
      </c>
      <c r="E149" s="62">
        <f>TRUNC(+D149*3.3058,-1)</f>
        <v>7170</v>
      </c>
    </row>
    <row r="150" spans="1:7" x14ac:dyDescent="0.3">
      <c r="A150" s="2">
        <v>2</v>
      </c>
      <c r="C150" s="38" t="s">
        <v>49</v>
      </c>
      <c r="D150" s="42">
        <f>TRUNC(5671,-1)</f>
        <v>5670</v>
      </c>
      <c r="E150" s="63">
        <f>TRUNC(+D150*3.3058,-1)</f>
        <v>18740</v>
      </c>
    </row>
    <row r="151" spans="1:7" x14ac:dyDescent="0.3">
      <c r="A151" s="2">
        <v>3</v>
      </c>
      <c r="C151" s="38" t="s">
        <v>50</v>
      </c>
      <c r="D151" s="42">
        <f>TRUNC(8179,-1)</f>
        <v>8170</v>
      </c>
      <c r="E151" s="63">
        <f>TRUNC(+D151*3.3058,-1)</f>
        <v>27000</v>
      </c>
    </row>
    <row r="152" spans="1:7" x14ac:dyDescent="0.3">
      <c r="A152" s="2">
        <v>4</v>
      </c>
      <c r="C152" s="38" t="s">
        <v>47</v>
      </c>
      <c r="D152" s="42">
        <f>TRUNC(4199+1024,-1)</f>
        <v>5220</v>
      </c>
      <c r="E152" s="63">
        <f>TRUNC(+D152*3.3058,-1)</f>
        <v>17250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21230</v>
      </c>
      <c r="E154" s="39">
        <f>SUM(E149:E153)</f>
        <v>70160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2020-12-08T01:33:01Z</dcterms:modified>
</cp:coreProperties>
</file>