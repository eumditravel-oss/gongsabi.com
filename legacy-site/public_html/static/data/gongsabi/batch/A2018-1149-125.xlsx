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3" i="4"/>
  <c r="D139" i="4"/>
  <c r="D141" i="4"/>
  <c r="D142" i="4"/>
  <c r="D140" i="4"/>
  <c r="D128" i="4"/>
  <c r="D124" i="4"/>
  <c r="D125" i="4"/>
  <c r="D122" i="4"/>
  <c r="D130" i="4"/>
  <c r="D126" i="4"/>
  <c r="D118" i="4"/>
  <c r="D103" i="4"/>
  <c r="D102" i="4"/>
  <c r="D100" i="4"/>
  <c r="D98" i="4"/>
  <c r="D94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<sst xmlns="http://schemas.openxmlformats.org/spreadsheetml/2006/main" count="393" uniqueCount="268">
  <si>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</si>
  <si>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</si>
  <si>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</si>
  <si>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</si>
  <si>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</si>
  <si>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</si>
  <si>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</si>
  <si>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</si>
  <si>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</si>
  <si>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</si>
  <si>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</si>
  <si>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</si>
  <si>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</si>
  <si>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</si>
  <si>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</si>
  <si>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</si>
  <si>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</si>
  <si>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</si>
  <si>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</si>
  <si>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</si>
  <si>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</si>
  <si>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</si>
  <si>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</si>
  <si>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</si>
  <si>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</si>
  <si>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</si>
  <si>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</si>
  <si>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</si>
  <si>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</si>
  <si>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</si>
  <si>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</si>
  <si>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</si>
  <si>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</si>
  <si>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</si>
  <si>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</si>
  <si>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</si>
  <si>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</si>
  <si>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</si>
  <si>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</si>
  <si>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</si>
  <si>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</si>
  <si>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</si>
  <si>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</si>
  <si>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</si>
  <si>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</si>
  <si>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</si>
  <si>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</si>
  <si>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</si>
  <si>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</si>
  <si>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</si>
  <si>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</si>
  <si>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</si>
  <si>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</si>
  <si>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</si>
  <si>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</si>
  <si>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</si>
  <si>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</si>
  <si>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</si>
  <si>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</si>
  <si>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</si>
  <si>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</si>
  <si>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</si>
  <si>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</si>
  <si>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</si>
  <si>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</si>
  <si>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</si>
  <si>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</si>
  <si>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</si>
  <si>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</si>
  <si>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</si>
  <si>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</si>
  <si>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</si>
  <si>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</si>
  <si>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</si>
  <si>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</si>
  <si>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</si>
  <si>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</si>
  <si>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</si>
  <si>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</si>
  <si>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</si>
  <si>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</si>
  <si>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</si>
  <si>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</si>
  <si>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</si>
  <si>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</si>
  <si>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</si>
  <si>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</si>
  <si>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</si>
  <si>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</si>
  <si>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</si>
  <si>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</si>
  <si>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</si>
  <si>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</si>
  <si>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</si>
  <si>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</si>
  <si>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</si>
  <si>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</si>
  <si>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</si>
  <si>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</si>
  <si>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</si>
  <si>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</si>
  <si>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</si>
  <si>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</si>
  <si>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</si>
  <si>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</si>
  <si>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</si>
  <si>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</si>
  <si>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</si>
  <si>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</si>
  <si>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</si>
  <si>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</si>
  <si>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</si>
  <si>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</si>
  <si>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</si>
  <si>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</si>
  <si>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</si>
  <si>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</si>
  <si>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</si>
  <si>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</si>
  <si>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</si>
  <si>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</si>
  <si>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</si>
  <si>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</si>
  <si>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</si>
  <si>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</si>
  <si>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</si>
  <si>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</si>
  <si>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</si>
  <si>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</si>
  <si>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</si>
  <si>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</si>
  <si>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</si>
  <si>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</si>
  <si>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</si>
  <si>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</si>
  <si>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</si>
  <si>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</si>
  <si>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</si>
  <si>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</si>
  <si>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</si>
  <si>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</si>
  <si>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</si>
  <si>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</si>
  <si>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</si>
  <si>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</si>
  <si>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</si>
  <si>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</si>
  <si>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</si>
  <si>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</si>
  <si>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</si>
  <si>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</si>
  <si>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</si>
  <si>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</si>
  <si>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</si>
  <si>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</si>
  <si>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</si>
  <si>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</si>
  <si>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</si>
  <si>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</si>
  <si>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</si>
  <si>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</si>
  <si>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</si>
  <si>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</si>
  <si>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</si>
  <si>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</si>
  <si>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</si>
  <si>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</si>
  <si>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</si>
  <si>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</si>
  <si>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</si>
  <si>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</si>
  <si>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</si>
  <si>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</si>
  <si>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</si>
  <si>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</si>
  <si>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</si>
  <si>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</si>
  <si>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</si>
  <si>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</si>
  <si>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</si>
  <si>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</si>
  <si>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</si>
  <si>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</si>
  <si>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</si>
  <si>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</si>
  <si>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</si>
  <si>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</si>
  <si>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</si>
  <si>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</si>
  <si>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</si>
  <si>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</si>
  <si>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</si>
  <si>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</si>
  <si>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</si>
  <si>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</si>
  <si>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</si>
  <si>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</si>
  <si>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</si>
  <si>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</si>
  <si>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</si>
  <si>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</si>
  <si>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</si>
  <si>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</si>
  <si>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</si>
  <si>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</si>
  <si>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</si>
  <si>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</si>
  <si>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</si>
  <si>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</si>
  <si>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</si>
  <si>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</si>
  <si>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</si>
  <si>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</si>
  <si>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</si>
  <si>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</si>
  <si>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</si>
  <si>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</si>
  <si>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</si>
  <si>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</si>
  <si>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</si>
  <si>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</si>
  <si>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</si>
  <si>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</si>
  <si>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</si>
  <si>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</si>
  <si>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</si>
  <si>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</si>
  <si>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</si>
  <si>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</si>
  <si>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</si>
  <si>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</si>
  <si>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</si>
  <si>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</si>
  <si>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</si>
  <si>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</si>
  <si>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</si>
  <si>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</si>
  <si>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</si>
  <si>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</si>
  <si>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</si>
  <si>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</si>
  <si>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</si>
  <si>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</si>
  <si>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</si>
  <si>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</si>
  <si>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</si>
  <si>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</si>
  <si>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</si>
  <si>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가칭)수완2중학교 교사 신축공사</t>
    <phoneticPr fontId="2" type="noConversion"/>
  </si>
  <si>
    <t>교육연구</t>
  </si>
  <si>
    <t>광주시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</si>
  <si>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</si>
  <si>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</si>
  <si>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</si>
  <si>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</si>
  <si>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기타공사</t>
    <phoneticPr fontId="2" type="noConversion"/>
  </si>
  <si>
    <t>CATV 및 TV 설비공사</t>
    <phoneticPr fontId="2" type="noConversion"/>
  </si>
  <si>
    <t xml:space="preserve">기타공사 </t>
    <phoneticPr fontId="2" type="noConversion"/>
  </si>
  <si>
    <t>공조배관공사,난방배관공사,기타공사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</si>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</sst>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11553.9</v>
      </c>
      <c r="D7" s="36">
        <f>+C7/3.3058</f>
        <v>3495.0390223243994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802730</v>
      </c>
      <c r="E25" s="59">
        <f t="shared" si="0"/>
        <v>2653660</v>
      </c>
    </row>
    <row r="26" spans="1:5" x14ac:dyDescent="0.3">
      <c r="B26" s="2">
        <v>3</v>
      </c>
      <c r="C26" s="35" t="s">
        <v>95</v>
      </c>
      <c r="D26" s="45">
        <f>+D66</f>
        <v>4090</v>
      </c>
      <c r="E26" s="59">
        <f t="shared" si="0"/>
        <v>13520</v>
      </c>
    </row>
    <row r="27" spans="1:5" x14ac:dyDescent="0.3">
      <c r="B27" s="2">
        <v>4</v>
      </c>
      <c r="C27" s="35" t="s">
        <v>96</v>
      </c>
      <c r="D27" s="45">
        <f>+D95</f>
        <v>184400</v>
      </c>
      <c r="E27" s="59">
        <f t="shared" si="0"/>
        <v>609580</v>
      </c>
    </row>
    <row r="28" spans="1:5" x14ac:dyDescent="0.3">
      <c r="B28" s="2">
        <v>5</v>
      </c>
      <c r="C28" s="35" t="s">
        <v>97</v>
      </c>
      <c r="D28" s="45">
        <f>+D119</f>
        <v>129340</v>
      </c>
      <c r="E28" s="59">
        <f t="shared" si="0"/>
        <v>427570</v>
      </c>
    </row>
    <row r="29" spans="1:5" x14ac:dyDescent="0.3">
      <c r="B29" s="2">
        <v>6</v>
      </c>
      <c r="C29" s="35" t="s">
        <v>98</v>
      </c>
      <c r="D29" s="45">
        <f>+D133</f>
        <v>61130</v>
      </c>
      <c r="E29" s="59">
        <f t="shared" si="0"/>
        <v>202080</v>
      </c>
    </row>
    <row r="30" spans="1:5" x14ac:dyDescent="0.3">
      <c r="B30" s="2">
        <v>7</v>
      </c>
      <c r="C30" s="35" t="s">
        <v>99</v>
      </c>
      <c r="D30" s="45">
        <f>+D146</f>
        <v>37730</v>
      </c>
      <c r="E30" s="59">
        <f t="shared" si="0"/>
        <v>124720</v>
      </c>
    </row>
    <row r="31" spans="1:5" x14ac:dyDescent="0.3">
      <c r="B31" s="2">
        <v>8</v>
      </c>
      <c r="C31" s="35" t="s">
        <v>100</v>
      </c>
      <c r="D31" s="45">
        <f>+D154</f>
        <v>78250</v>
      </c>
      <c r="E31" s="59">
        <f t="shared" si="0"/>
        <v>258670</v>
      </c>
    </row>
    <row r="32" spans="1:5" x14ac:dyDescent="0.3">
      <c r="B32" s="2">
        <v>9</v>
      </c>
      <c r="C32" s="35" t="s">
        <v>101</v>
      </c>
      <c r="D32" s="45">
        <f>+D161</f>
        <v>11870</v>
      </c>
      <c r="E32" s="59">
        <f t="shared" si="0"/>
        <v>39230</v>
      </c>
    </row>
    <row r="33" spans="1:7" x14ac:dyDescent="0.3">
      <c r="B33" s="2">
        <v>10</v>
      </c>
      <c r="C33" s="35" t="s">
        <v>154</v>
      </c>
      <c r="D33" s="53">
        <f>TRUNC(SUM(D24:D32)*0.275,-1)</f>
        <v>360120</v>
      </c>
      <c r="E33" s="60">
        <f t="shared" si="0"/>
        <v>1190480</v>
      </c>
    </row>
    <row r="34" spans="1:7" x14ac:dyDescent="0.3">
      <c r="C34" s="35" t="s">
        <v>112</v>
      </c>
      <c r="D34" s="44">
        <f>SUM(D24:D33)</f>
        <v>1669660</v>
      </c>
      <c r="E34" s="44">
        <f>SUM(E24:E33)</f>
        <v>5519510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TRUNC(42208,-1)</f>
        <v>42200</v>
      </c>
      <c r="E40" s="62">
        <f t="shared" ref="E40:E59" si="1">TRUNC(+D40*3.3058,-1)</f>
        <v>139500</v>
      </c>
    </row>
    <row r="41" spans="1:7" x14ac:dyDescent="0.3">
      <c r="A41" s="2">
        <v>2</v>
      </c>
      <c r="C41" s="38" t="s">
        <v>13</v>
      </c>
      <c r="D41" s="42">
        <f>TRUNC(122118,-1)</f>
        <v>122110</v>
      </c>
      <c r="E41" s="63">
        <f t="shared" si="1"/>
        <v>403670</v>
      </c>
    </row>
    <row r="42" spans="1:7" x14ac:dyDescent="0.3">
      <c r="A42" s="2">
        <v>3</v>
      </c>
      <c r="C42" s="38" t="s">
        <v>14</v>
      </c>
      <c r="D42" s="42">
        <f>TRUNC(9929,-1)</f>
        <v>9920</v>
      </c>
      <c r="E42" s="63">
        <f t="shared" si="1"/>
        <v>32790</v>
      </c>
    </row>
    <row r="43" spans="1:7" x14ac:dyDescent="0.3">
      <c r="A43" s="2">
        <v>4</v>
      </c>
      <c r="C43" s="38" t="s">
        <v>16</v>
      </c>
      <c r="D43" s="42">
        <f>TRUNC(25623,-1)</f>
        <v>25620</v>
      </c>
      <c r="E43" s="63">
        <f t="shared" si="1"/>
        <v>84690</v>
      </c>
    </row>
    <row r="44" spans="1:7" x14ac:dyDescent="0.3">
      <c r="A44" s="2">
        <v>5</v>
      </c>
      <c r="C44" s="38" t="s">
        <v>17</v>
      </c>
      <c r="D44" s="42">
        <f>TRUNC(19365,-1)</f>
        <v>19360</v>
      </c>
      <c r="E44" s="63">
        <f t="shared" si="1"/>
        <v>64000</v>
      </c>
    </row>
    <row r="45" spans="1:7" x14ac:dyDescent="0.3">
      <c r="A45" s="2">
        <v>6</v>
      </c>
      <c r="C45" s="38" t="s">
        <v>18</v>
      </c>
      <c r="D45" s="42">
        <f>TRUNC(9625,-1)</f>
        <v>9620</v>
      </c>
      <c r="E45" s="63">
        <f t="shared" si="1"/>
        <v>31800</v>
      </c>
    </row>
    <row r="46" spans="1:7" x14ac:dyDescent="0.3">
      <c r="A46" s="2">
        <v>7</v>
      </c>
      <c r="C46" s="38" t="s">
        <v>19</v>
      </c>
      <c r="D46" s="42">
        <f>TRUNC(24185,-1)</f>
        <v>24180</v>
      </c>
      <c r="E46" s="63">
        <f t="shared" si="1"/>
        <v>79930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TRUNC(40834,-1)</f>
        <v>40830</v>
      </c>
      <c r="E48" s="63">
        <f t="shared" si="1"/>
        <v>134970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TRUNC(20172,-1)</f>
        <v>20170</v>
      </c>
      <c r="E49" s="63">
        <f t="shared" si="1"/>
        <v>66670</v>
      </c>
    </row>
    <row r="50" spans="1:7" x14ac:dyDescent="0.3">
      <c r="A50" s="2">
        <v>11</v>
      </c>
      <c r="C50" s="38" t="s">
        <v>155</v>
      </c>
      <c r="D50" s="42">
        <f>TRUNC(61095,-1)</f>
        <v>61090</v>
      </c>
      <c r="E50" s="63">
        <f t="shared" si="1"/>
        <v>201950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TRUNC(5528,-1)</f>
        <v>5520</v>
      </c>
      <c r="E52" s="63">
        <f t="shared" si="1"/>
        <v>18240</v>
      </c>
    </row>
    <row r="53" spans="1:7" x14ac:dyDescent="0.3">
      <c r="A53" s="2">
        <v>14</v>
      </c>
      <c r="C53" s="38" t="s">
        <v>25</v>
      </c>
      <c r="D53" s="42">
        <f>TRUNC(130026,-1)</f>
        <v>130020</v>
      </c>
      <c r="E53" s="63">
        <f t="shared" si="1"/>
        <v>429820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TRUNC(19793+48+3138-62+516+7106,-1)</f>
        <v>30530</v>
      </c>
      <c r="E58" s="63">
        <f t="shared" si="1"/>
        <v>100920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TRUNC(261562,-1)</f>
        <v>261560</v>
      </c>
      <c r="E59" s="64">
        <f t="shared" si="1"/>
        <v>864660</v>
      </c>
    </row>
    <row r="60" spans="1:7" x14ac:dyDescent="0.3">
      <c r="A60" s="2">
        <v>21</v>
      </c>
      <c r="C60" s="27" t="s">
        <v>112</v>
      </c>
      <c r="D60" s="39">
        <f>SUM(D40:D59)</f>
        <v>802730</v>
      </c>
      <c r="E60" s="39">
        <f>SUM(E40:E59)</f>
        <v>2653610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TRUNC(4096,-1)</f>
        <v>4090</v>
      </c>
      <c r="E63" s="62">
        <f>TRUNC(+D63*3.3058,-1)</f>
        <v>13520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4090</v>
      </c>
      <c r="E66" s="65">
        <f>SUM(E63:E65)</f>
        <v>13520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TRUNC(4996,-1)</f>
        <v>4990</v>
      </c>
      <c r="E69" s="62">
        <f t="shared" ref="E69:E94" si="2">TRUNC(+D69*3.3058,-1)</f>
        <v>16490</v>
      </c>
    </row>
    <row r="70" spans="1:7" ht="16.5" customHeight="1" x14ac:dyDescent="0.3">
      <c r="A70" s="2">
        <v>2</v>
      </c>
      <c r="C70" s="38" t="s">
        <v>31</v>
      </c>
      <c r="D70" s="42">
        <f>TRUNC(851,-1)</f>
        <v>850</v>
      </c>
      <c r="E70" s="63">
        <f t="shared" si="2"/>
        <v>2800</v>
      </c>
    </row>
    <row r="71" spans="1:7" x14ac:dyDescent="0.3">
      <c r="A71" s="2">
        <v>3</v>
      </c>
      <c r="C71" s="38" t="s">
        <v>32</v>
      </c>
      <c r="D71" s="42">
        <f>TRUNC(3126,-1)</f>
        <v>3120</v>
      </c>
      <c r="E71" s="63">
        <f t="shared" si="2"/>
        <v>10310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TRUNC(14311,-1)</f>
        <v>14310</v>
      </c>
      <c r="E73" s="63">
        <f t="shared" si="2"/>
        <v>47300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TRUNC(5797,-1)</f>
        <v>5790</v>
      </c>
      <c r="E89" s="63">
        <f t="shared" si="2"/>
        <v>19140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TRUNC(2777,-1)</f>
        <v>2770</v>
      </c>
      <c r="E91" s="63">
        <f t="shared" si="2"/>
        <v>9150</v>
      </c>
    </row>
    <row r="92" spans="1:7" x14ac:dyDescent="0.3">
      <c r="A92" s="2">
        <v>24</v>
      </c>
      <c r="C92" s="38" t="s">
        <v>38</v>
      </c>
      <c r="D92" s="42">
        <f>TRUNC(11410,-1)</f>
        <v>11410</v>
      </c>
      <c r="E92" s="63">
        <f t="shared" si="2"/>
        <v>37710</v>
      </c>
    </row>
    <row r="93" spans="1:7" x14ac:dyDescent="0.3">
      <c r="A93" s="2">
        <v>25</v>
      </c>
      <c r="C93" s="38" t="s">
        <v>148</v>
      </c>
      <c r="D93" s="42">
        <f>TRUNC(132547,-1)</f>
        <v>132540</v>
      </c>
      <c r="E93" s="63">
        <f t="shared" si="2"/>
        <v>438150</v>
      </c>
    </row>
    <row r="94" spans="1:7" ht="17.25" thickBot="1" x14ac:dyDescent="0.35">
      <c r="A94" s="2">
        <v>26</v>
      </c>
      <c r="C94" s="38" t="s">
        <v>47</v>
      </c>
      <c r="D94" s="43">
        <f>TRUNC(5827+1127+1669,-1)</f>
        <v>8620</v>
      </c>
      <c r="E94" s="64">
        <f t="shared" si="2"/>
        <v>28490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184400</v>
      </c>
      <c r="E95" s="39">
        <f>SUM(E69:E94)</f>
        <v>609540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TRUNC(17059,-1)</f>
        <v>17050</v>
      </c>
      <c r="E98" s="62">
        <f t="shared" ref="E98:E118" si="3">TRUNC(+D98*3.3058,-1)</f>
        <v>56360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TRUNC(24192,-1)</f>
        <v>24190</v>
      </c>
      <c r="E100" s="63">
        <f t="shared" si="3"/>
        <v>79960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TRUNC(13550,-1)</f>
        <v>13550</v>
      </c>
      <c r="E102" s="63">
        <f t="shared" si="3"/>
        <v>44790</v>
      </c>
    </row>
    <row r="103" spans="1:7" x14ac:dyDescent="0.3">
      <c r="A103" s="2">
        <v>6</v>
      </c>
      <c r="C103" s="38" t="s">
        <v>44</v>
      </c>
      <c r="D103" s="42">
        <f>TRUNC(8872,-1)</f>
        <v>8870</v>
      </c>
      <c r="E103" s="63">
        <f t="shared" si="3"/>
        <v>29320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TRUNC(62631,-1)</f>
        <v>62630</v>
      </c>
      <c r="E117" s="63">
        <f t="shared" si="3"/>
        <v>207040</v>
      </c>
    </row>
    <row r="118" spans="1:7" ht="17.25" thickBot="1" x14ac:dyDescent="0.35">
      <c r="A118" s="2">
        <v>21</v>
      </c>
      <c r="C118" s="38" t="s">
        <v>47</v>
      </c>
      <c r="D118" s="43">
        <f>TRUNC(3053,-1)</f>
        <v>3050</v>
      </c>
      <c r="E118" s="64">
        <f t="shared" si="3"/>
        <v>10080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129340</v>
      </c>
      <c r="E119" s="39">
        <f>SUM(E98:E118)</f>
        <v>427550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TRUNC(3046,-1)</f>
        <v>3040</v>
      </c>
      <c r="E122" s="62">
        <f t="shared" ref="E122:E132" si="4">TRUNC(+D122*3.3058,-1)</f>
        <v>10040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TRUNC(1316,-1)</f>
        <v>1310</v>
      </c>
      <c r="E124" s="63">
        <f t="shared" si="4"/>
        <v>4330</v>
      </c>
    </row>
    <row r="125" spans="1:7" x14ac:dyDescent="0.3">
      <c r="A125" s="2">
        <v>4</v>
      </c>
      <c r="C125" s="38" t="s">
        <v>138</v>
      </c>
      <c r="D125" s="42">
        <f>TRUNC(5301,-1)</f>
        <v>5300</v>
      </c>
      <c r="E125" s="63">
        <f t="shared" si="4"/>
        <v>17520</v>
      </c>
    </row>
    <row r="126" spans="1:7" x14ac:dyDescent="0.3">
      <c r="A126" s="2">
        <v>5</v>
      </c>
      <c r="C126" s="38" t="s">
        <v>53</v>
      </c>
      <c r="D126" s="42">
        <f>TRUNC(3788,-1)</f>
        <v>3780</v>
      </c>
      <c r="E126" s="63">
        <f t="shared" si="4"/>
        <v>12490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TRUNC(2650,-1)</f>
        <v>2650</v>
      </c>
      <c r="E128" s="63">
        <f t="shared" si="4"/>
        <v>8760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TRUNC(11244,-1)</f>
        <v>11240</v>
      </c>
      <c r="E130" s="63">
        <f t="shared" si="4"/>
        <v>37150</v>
      </c>
    </row>
    <row r="131" spans="1:7" x14ac:dyDescent="0.3">
      <c r="A131" s="2">
        <v>10</v>
      </c>
      <c r="C131" s="38" t="s">
        <v>148</v>
      </c>
      <c r="D131" s="42">
        <f>TRUNC(33819,-1)</f>
        <v>33810</v>
      </c>
      <c r="E131" s="63">
        <f t="shared" si="4"/>
        <v>111760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61130</v>
      </c>
      <c r="E133" s="39">
        <f>SUM(E122:E132)</f>
        <v>202050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TRUNC(144,-1)</f>
        <v>140</v>
      </c>
      <c r="E137" s="63">
        <f t="shared" si="5"/>
        <v>460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TRUNC(1034,-1)</f>
        <v>1030</v>
      </c>
      <c r="E139" s="63">
        <f t="shared" si="5"/>
        <v>3400</v>
      </c>
    </row>
    <row r="140" spans="1:7" x14ac:dyDescent="0.3">
      <c r="A140" s="2">
        <v>5</v>
      </c>
      <c r="C140" s="38" t="s">
        <v>57</v>
      </c>
      <c r="D140" s="42">
        <f>TRUNC(19020,-1)</f>
        <v>19020</v>
      </c>
      <c r="E140" s="63">
        <f t="shared" si="5"/>
        <v>62870</v>
      </c>
    </row>
    <row r="141" spans="1:7" x14ac:dyDescent="0.3">
      <c r="A141" s="2">
        <v>6</v>
      </c>
      <c r="C141" s="38" t="s">
        <v>59</v>
      </c>
      <c r="D141" s="42">
        <f>TRUNC(6450,-1)</f>
        <v>6450</v>
      </c>
      <c r="E141" s="63">
        <f t="shared" si="5"/>
        <v>21320</v>
      </c>
    </row>
    <row r="142" spans="1:7" x14ac:dyDescent="0.3">
      <c r="A142" s="2">
        <v>7</v>
      </c>
      <c r="C142" s="38" t="s">
        <v>58</v>
      </c>
      <c r="D142" s="42">
        <f>TRUNC(7478,-1)</f>
        <v>7470</v>
      </c>
      <c r="E142" s="63">
        <f t="shared" si="5"/>
        <v>24690</v>
      </c>
    </row>
    <row r="143" spans="1:7" x14ac:dyDescent="0.3">
      <c r="A143" s="2">
        <v>8</v>
      </c>
      <c r="C143" s="38" t="s">
        <v>62</v>
      </c>
      <c r="D143" s="42">
        <f>TRUNC(3628,-1)</f>
        <v>3620</v>
      </c>
      <c r="E143" s="63">
        <f t="shared" si="5"/>
        <v>11960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37730</v>
      </c>
      <c r="E146" s="39">
        <f>SUM(E136:E145)</f>
        <v>124700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TRUNC(11710+6794,-1)</f>
        <v>18500</v>
      </c>
      <c r="E149" s="62">
        <f>TRUNC(+D149*3.3058,-1)</f>
        <v>61150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TRUNC(7743,-1)</f>
        <v>7740</v>
      </c>
      <c r="E150" s="63">
        <f>TRUNC(+D150*3.3058,-1)</f>
        <v>25580</v>
      </c>
    </row>
    <row r="151" spans="1:7" x14ac:dyDescent="0.3">
      <c r="A151" s="2">
        <v>3</v>
      </c>
      <c r="C151" s="38" t="s">
        <v>50</v>
      </c>
      <c r="D151" s="42">
        <f>TRUNC(6505,-1)</f>
        <v>6500</v>
      </c>
      <c r="E151" s="63">
        <f>TRUNC(+D151*3.3058,-1)</f>
        <v>21480</v>
      </c>
    </row>
    <row r="152" spans="1:7" x14ac:dyDescent="0.3">
      <c r="A152" s="2">
        <v>4</v>
      </c>
      <c r="C152" s="38" t="s">
        <v>47</v>
      </c>
      <c r="D152" s="42">
        <f>TRUNC(713+259+11125,-1)</f>
        <v>12090</v>
      </c>
      <c r="E152" s="63">
        <f>TRUNC(+D152*3.3058,-1)</f>
        <v>39960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TRUNC(33428,-1)</f>
        <v>33420</v>
      </c>
      <c r="E153" s="64">
        <f>TRUNC(+D153*3.3058,-1)</f>
        <v>110470</v>
      </c>
    </row>
    <row r="154" spans="1:7" x14ac:dyDescent="0.3">
      <c r="A154" s="2">
        <v>6</v>
      </c>
      <c r="C154" s="27" t="s">
        <v>112</v>
      </c>
      <c r="D154" s="39">
        <f>SUM(D149:D153)</f>
        <v>78250</v>
      </c>
      <c r="E154" s="39">
        <f>SUM(E149:E153)</f>
        <v>258640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TRUNC(10567,-1)</f>
        <v>10560</v>
      </c>
      <c r="E157" s="62">
        <f>TRUNC(+D157*3.3058,-1)</f>
        <v>34900</v>
      </c>
    </row>
    <row r="158" spans="1:7" x14ac:dyDescent="0.3">
      <c r="A158" s="2">
        <v>2</v>
      </c>
      <c r="C158" s="38" t="s">
        <v>52</v>
      </c>
      <c r="D158" s="42">
        <f>TRUNC(1056,-1)</f>
        <v>1050</v>
      </c>
      <c r="E158" s="63">
        <f>TRUNC(+D158*3.3058,-1)</f>
        <v>3470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TRUNC(268,-1)</f>
        <v>260</v>
      </c>
      <c r="E159" s="63">
        <f>TRUNC(+D159*3.3058,-1)</f>
        <v>850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11870</v>
      </c>
      <c r="E161" s="39">
        <f>SUM(E157:E160)</f>
        <v>39220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2020-12-08T02:14:29Z</dcterms:modified>
</cp:coreProperties>
</file>